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5.xml" ContentType="application/vnd.openxmlformats-officedocument.drawing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drawings/drawing6.xml" ContentType="application/vnd.openxmlformats-officedocument.drawing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7.xml" ContentType="application/vnd.openxmlformats-officedocument.drawing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8.xml" ContentType="application/vnd.openxmlformats-officedocument.drawing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drawings/drawing9.xml" ContentType="application/vnd.openxmlformats-officedocument.drawing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drawings/drawing10.xml" ContentType="application/vnd.openxmlformats-officedocument.drawing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drawings/drawing11.xml" ContentType="application/vnd.openxmlformats-officedocument.drawing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drawings/drawing12.xml" ContentType="application/vnd.openxmlformats-officedocument.drawing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drawings/drawing13.xml" ContentType="application/vnd.openxmlformats-officedocument.drawing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drawings/drawing14.xml" ContentType="application/vnd.openxmlformats-officedocument.drawing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drawings/drawing15.xml" ContentType="application/vnd.openxmlformats-officedocument.drawing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drawings/drawing16.xml" ContentType="application/vnd.openxmlformats-officedocument.drawing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drawings/drawing17.xml" ContentType="application/vnd.openxmlformats-officedocument.drawing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6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67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LAN\Desktop\C-1 Analysis Complete\STN-C1-RD-7-MASAKA ROAD\MCC DATA\"/>
    </mc:Choice>
  </mc:AlternateContent>
  <bookViews>
    <workbookView xWindow="-120" yWindow="-120" windowWidth="20730" windowHeight="11160" tabRatio="913" firstSheet="14" activeTab="16"/>
  </bookViews>
  <sheets>
    <sheet name="22.07 Nateete-Ndeeba" sheetId="93" r:id="rId1"/>
    <sheet name="22.07 Ndeeba-Nateete" sheetId="94" r:id="rId2"/>
    <sheet name="23.07 Nateete-Ndeeba" sheetId="95" r:id="rId3"/>
    <sheet name="23.07 Ndeeba-Nateete" sheetId="96" r:id="rId4"/>
    <sheet name="24.07 Nateete-Ndeeba" sheetId="97" r:id="rId5"/>
    <sheet name="24.07 Ndeeba-Nateete" sheetId="98" r:id="rId6"/>
    <sheet name="25.07 Nateete-Ndeeba" sheetId="99" r:id="rId7"/>
    <sheet name="25.07 Ndeeba-Nateete" sheetId="100" r:id="rId8"/>
    <sheet name="26.07 Nateete-Ndeeba-24h" sheetId="101" r:id="rId9"/>
    <sheet name="26.07 Ndeeba-Nateete-24h" sheetId="109" r:id="rId10"/>
    <sheet name="27.07 Nateete-Ndeeba-24h" sheetId="105" r:id="rId11"/>
    <sheet name="27.07 Ndeeba-Nateete-24h" sheetId="110" r:id="rId12"/>
    <sheet name="28.07 Nateete-Ndeeba" sheetId="103" r:id="rId13"/>
    <sheet name="28.07 Ndeeba-Nateete" sheetId="104" r:id="rId14"/>
    <sheet name="Avg Week Nateete-Ndeeba" sheetId="107" r:id="rId15"/>
    <sheet name="Avg Week Ndeeba-Nateete" sheetId="108" r:id="rId16"/>
    <sheet name="Avg Week Nateete-Ndeeba-2Dir" sheetId="111" r:id="rId17"/>
  </sheets>
  <definedNames>
    <definedName name="_xlnm.Print_Area" localSheetId="0">'22.07 Nateete-Ndeeba'!$A$1:$AF$60</definedName>
    <definedName name="_xlnm.Print_Area" localSheetId="1">'22.07 Ndeeba-Nateete'!$A$1:$AF$60</definedName>
    <definedName name="_xlnm.Print_Area" localSheetId="2">'23.07 Nateete-Ndeeba'!$A$1:$AF$60</definedName>
    <definedName name="_xlnm.Print_Area" localSheetId="3">'23.07 Ndeeba-Nateete'!$A$1:$AF$60</definedName>
    <definedName name="_xlnm.Print_Area" localSheetId="4">'24.07 Nateete-Ndeeba'!$A$1:$AF$60</definedName>
    <definedName name="_xlnm.Print_Area" localSheetId="5">'24.07 Ndeeba-Nateete'!$A$1:$AF$60</definedName>
    <definedName name="_xlnm.Print_Area" localSheetId="6">'25.07 Nateete-Ndeeba'!$A$1:$AF$60</definedName>
    <definedName name="_xlnm.Print_Area" localSheetId="7">'25.07 Ndeeba-Nateete'!$A$1:$AF$60</definedName>
    <definedName name="_xlnm.Print_Area" localSheetId="8">'26.07 Nateete-Ndeeba-24h'!$A$1:$AF$108</definedName>
    <definedName name="_xlnm.Print_Area" localSheetId="9">'26.07 Ndeeba-Nateete-24h'!$A$1:$AF$108</definedName>
    <definedName name="_xlnm.Print_Area" localSheetId="10">'27.07 Nateete-Ndeeba-24h'!$A$1:$AF$108</definedName>
    <definedName name="_xlnm.Print_Area" localSheetId="11">'27.07 Ndeeba-Nateete-24h'!$A$1:$AF$108</definedName>
    <definedName name="_xlnm.Print_Area" localSheetId="12">'28.07 Nateete-Ndeeba'!$A$1:$AF$60</definedName>
    <definedName name="_xlnm.Print_Area" localSheetId="13">'28.07 Ndeeba-Nateete'!$A$1:$AF$60</definedName>
    <definedName name="_xlnm.Print_Area" localSheetId="14">'Avg Week Nateete-Ndeeba'!$A$1:$AF$108</definedName>
    <definedName name="_xlnm.Print_Area" localSheetId="15">'Avg Week Ndeeba-Nateete'!$A$1:$AF$108</definedName>
    <definedName name="_xlnm.Print_Titles" localSheetId="0">'22.07 Nateete-Ndeeba'!$1:$8</definedName>
    <definedName name="_xlnm.Print_Titles" localSheetId="1">'22.07 Ndeeba-Nateete'!$1:$8</definedName>
    <definedName name="_xlnm.Print_Titles" localSheetId="2">'23.07 Nateete-Ndeeba'!$1:$8</definedName>
    <definedName name="_xlnm.Print_Titles" localSheetId="3">'23.07 Ndeeba-Nateete'!$1:$8</definedName>
    <definedName name="_xlnm.Print_Titles" localSheetId="4">'24.07 Nateete-Ndeeba'!$1:$8</definedName>
    <definedName name="_xlnm.Print_Titles" localSheetId="5">'24.07 Ndeeba-Nateete'!$1:$8</definedName>
    <definedName name="_xlnm.Print_Titles" localSheetId="6">'25.07 Nateete-Ndeeba'!$1:$8</definedName>
    <definedName name="_xlnm.Print_Titles" localSheetId="7">'25.07 Ndeeba-Nateete'!$1:$8</definedName>
    <definedName name="_xlnm.Print_Titles" localSheetId="8">'26.07 Nateete-Ndeeba-24h'!$1:$8</definedName>
    <definedName name="_xlnm.Print_Titles" localSheetId="9">'26.07 Ndeeba-Nateete-24h'!$1:$8</definedName>
    <definedName name="_xlnm.Print_Titles" localSheetId="10">'27.07 Nateete-Ndeeba-24h'!$1:$8</definedName>
    <definedName name="_xlnm.Print_Titles" localSheetId="11">'27.07 Ndeeba-Nateete-24h'!$1:$8</definedName>
    <definedName name="_xlnm.Print_Titles" localSheetId="12">'28.07 Nateete-Ndeeba'!$1:$8</definedName>
    <definedName name="_xlnm.Print_Titles" localSheetId="13">'28.07 Ndeeba-Nateete'!$1:$8</definedName>
    <definedName name="_xlnm.Print_Titles" localSheetId="14">'Avg Week Nateete-Ndeeba'!$1:$8</definedName>
    <definedName name="_xlnm.Print_Titles" localSheetId="16">'Avg Week Nateete-Ndeeba-2Dir'!$1:$8</definedName>
    <definedName name="_xlnm.Print_Titles" localSheetId="15">'Avg Week Ndeeba-Nateete'!$1:$8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Z29" i="107" l="1"/>
  <c r="V23" i="107"/>
  <c r="AA22" i="107"/>
  <c r="F60" i="111"/>
  <c r="G60" i="111"/>
  <c r="J67" i="111"/>
  <c r="C71" i="111"/>
  <c r="J73" i="111"/>
  <c r="K73" i="111"/>
  <c r="G76" i="111"/>
  <c r="N78" i="111"/>
  <c r="AD27" i="111" s="1"/>
  <c r="C79" i="111"/>
  <c r="K81" i="111"/>
  <c r="F84" i="111"/>
  <c r="G84" i="111"/>
  <c r="C87" i="111"/>
  <c r="J89" i="111"/>
  <c r="K89" i="111"/>
  <c r="G92" i="111"/>
  <c r="N94" i="111"/>
  <c r="C95" i="111"/>
  <c r="N97" i="111"/>
  <c r="C98" i="111"/>
  <c r="J100" i="111"/>
  <c r="K100" i="111"/>
  <c r="F103" i="111"/>
  <c r="G103" i="111"/>
  <c r="K104" i="111"/>
  <c r="N105" i="111"/>
  <c r="D58" i="111"/>
  <c r="C104" i="107"/>
  <c r="C104" i="111" s="1"/>
  <c r="D105" i="108"/>
  <c r="E105" i="108"/>
  <c r="P105" i="108" s="1"/>
  <c r="F105" i="108"/>
  <c r="G105" i="108"/>
  <c r="H105" i="108"/>
  <c r="I105" i="108"/>
  <c r="J105" i="108"/>
  <c r="K105" i="108"/>
  <c r="L105" i="108"/>
  <c r="M105" i="108"/>
  <c r="N105" i="108"/>
  <c r="C105" i="108"/>
  <c r="C60" i="108"/>
  <c r="D60" i="108"/>
  <c r="E60" i="108"/>
  <c r="F60" i="108"/>
  <c r="G60" i="108"/>
  <c r="H60" i="108"/>
  <c r="I60" i="108"/>
  <c r="J60" i="108"/>
  <c r="K60" i="108"/>
  <c r="L60" i="108"/>
  <c r="M60" i="108"/>
  <c r="N60" i="108"/>
  <c r="C61" i="108"/>
  <c r="D61" i="108"/>
  <c r="P61" i="108" s="1"/>
  <c r="E61" i="108"/>
  <c r="F61" i="108"/>
  <c r="G61" i="108"/>
  <c r="H61" i="108"/>
  <c r="I61" i="108"/>
  <c r="J61" i="108"/>
  <c r="K61" i="108"/>
  <c r="L61" i="108"/>
  <c r="M61" i="108"/>
  <c r="N61" i="108"/>
  <c r="C62" i="108"/>
  <c r="D62" i="108"/>
  <c r="E62" i="108"/>
  <c r="F62" i="108"/>
  <c r="G62" i="108"/>
  <c r="H62" i="108"/>
  <c r="I62" i="108"/>
  <c r="J62" i="108"/>
  <c r="K62" i="108"/>
  <c r="L62" i="108"/>
  <c r="M62" i="108"/>
  <c r="N62" i="108"/>
  <c r="C63" i="108"/>
  <c r="D63" i="108"/>
  <c r="O63" i="108" s="1"/>
  <c r="E63" i="108"/>
  <c r="F63" i="108"/>
  <c r="G63" i="108"/>
  <c r="H63" i="108"/>
  <c r="I63" i="108"/>
  <c r="J63" i="108"/>
  <c r="K63" i="108"/>
  <c r="L63" i="108"/>
  <c r="M63" i="108"/>
  <c r="N63" i="108"/>
  <c r="C64" i="108"/>
  <c r="D64" i="108"/>
  <c r="E64" i="108"/>
  <c r="F64" i="108"/>
  <c r="G64" i="108"/>
  <c r="H64" i="108"/>
  <c r="I64" i="108"/>
  <c r="J64" i="108"/>
  <c r="K64" i="108"/>
  <c r="L64" i="108"/>
  <c r="M64" i="108"/>
  <c r="N64" i="108"/>
  <c r="C65" i="108"/>
  <c r="D65" i="108"/>
  <c r="P65" i="108" s="1"/>
  <c r="E65" i="108"/>
  <c r="F65" i="108"/>
  <c r="G65" i="108"/>
  <c r="H65" i="108"/>
  <c r="I65" i="108"/>
  <c r="J65" i="108"/>
  <c r="K65" i="108"/>
  <c r="L65" i="108"/>
  <c r="M65" i="108"/>
  <c r="N65" i="108"/>
  <c r="C66" i="108"/>
  <c r="D66" i="108"/>
  <c r="E66" i="108"/>
  <c r="F66" i="108"/>
  <c r="G66" i="108"/>
  <c r="H66" i="108"/>
  <c r="X24" i="108" s="1"/>
  <c r="I66" i="108"/>
  <c r="J66" i="108"/>
  <c r="K66" i="108"/>
  <c r="AA24" i="108" s="1"/>
  <c r="L66" i="108"/>
  <c r="M66" i="108"/>
  <c r="N66" i="108"/>
  <c r="C67" i="108"/>
  <c r="D67" i="108"/>
  <c r="O67" i="108" s="1"/>
  <c r="E67" i="108"/>
  <c r="F67" i="108"/>
  <c r="G67" i="108"/>
  <c r="H67" i="108"/>
  <c r="I67" i="108"/>
  <c r="J67" i="108"/>
  <c r="K67" i="108"/>
  <c r="L67" i="108"/>
  <c r="AB24" i="108" s="1"/>
  <c r="M67" i="108"/>
  <c r="N67" i="108"/>
  <c r="C68" i="108"/>
  <c r="D68" i="108"/>
  <c r="E68" i="108"/>
  <c r="F68" i="108"/>
  <c r="G68" i="108"/>
  <c r="H68" i="108"/>
  <c r="I68" i="108"/>
  <c r="J68" i="108"/>
  <c r="K68" i="108"/>
  <c r="L68" i="108"/>
  <c r="M68" i="108"/>
  <c r="N68" i="108"/>
  <c r="C69" i="108"/>
  <c r="D69" i="108"/>
  <c r="P69" i="108" s="1"/>
  <c r="E69" i="108"/>
  <c r="F69" i="108"/>
  <c r="G69" i="108"/>
  <c r="H69" i="108"/>
  <c r="I69" i="108"/>
  <c r="J69" i="108"/>
  <c r="K69" i="108"/>
  <c r="L69" i="108"/>
  <c r="M69" i="108"/>
  <c r="N69" i="108"/>
  <c r="C70" i="108"/>
  <c r="D70" i="108"/>
  <c r="E70" i="108"/>
  <c r="F70" i="108"/>
  <c r="G70" i="108"/>
  <c r="H70" i="108"/>
  <c r="X25" i="108" s="1"/>
  <c r="I70" i="108"/>
  <c r="J70" i="108"/>
  <c r="K70" i="108"/>
  <c r="L70" i="108"/>
  <c r="M70" i="108"/>
  <c r="N70" i="108"/>
  <c r="C71" i="108"/>
  <c r="D71" i="108"/>
  <c r="O71" i="108" s="1"/>
  <c r="E71" i="108"/>
  <c r="F71" i="108"/>
  <c r="G71" i="108"/>
  <c r="H71" i="108"/>
  <c r="I71" i="108"/>
  <c r="J71" i="108"/>
  <c r="K71" i="108"/>
  <c r="L71" i="108"/>
  <c r="M71" i="108"/>
  <c r="N71" i="108"/>
  <c r="C72" i="108"/>
  <c r="D72" i="108"/>
  <c r="E72" i="108"/>
  <c r="F72" i="108"/>
  <c r="G72" i="108"/>
  <c r="H72" i="108"/>
  <c r="I72" i="108"/>
  <c r="J72" i="108"/>
  <c r="K72" i="108"/>
  <c r="L72" i="108"/>
  <c r="M72" i="108"/>
  <c r="N72" i="108"/>
  <c r="C73" i="108"/>
  <c r="D73" i="108"/>
  <c r="P73" i="108" s="1"/>
  <c r="E73" i="108"/>
  <c r="F73" i="108"/>
  <c r="G73" i="108"/>
  <c r="H73" i="108"/>
  <c r="I73" i="108"/>
  <c r="J73" i="108"/>
  <c r="K73" i="108"/>
  <c r="L73" i="108"/>
  <c r="M73" i="108"/>
  <c r="N73" i="108"/>
  <c r="C74" i="108"/>
  <c r="D74" i="108"/>
  <c r="E74" i="108"/>
  <c r="F74" i="108"/>
  <c r="G74" i="108"/>
  <c r="H74" i="108"/>
  <c r="I74" i="108"/>
  <c r="J74" i="108"/>
  <c r="K74" i="108"/>
  <c r="AA26" i="108" s="1"/>
  <c r="L74" i="108"/>
  <c r="M74" i="108"/>
  <c r="N74" i="108"/>
  <c r="C75" i="108"/>
  <c r="D75" i="108"/>
  <c r="E75" i="108"/>
  <c r="F75" i="108"/>
  <c r="G75" i="108"/>
  <c r="H75" i="108"/>
  <c r="I75" i="108"/>
  <c r="J75" i="108"/>
  <c r="K75" i="108"/>
  <c r="L75" i="108"/>
  <c r="M75" i="108"/>
  <c r="N75" i="108"/>
  <c r="C76" i="108"/>
  <c r="D76" i="108"/>
  <c r="E76" i="108"/>
  <c r="F76" i="108"/>
  <c r="G76" i="108"/>
  <c r="H76" i="108"/>
  <c r="I76" i="108"/>
  <c r="J76" i="108"/>
  <c r="K76" i="108"/>
  <c r="L76" i="108"/>
  <c r="M76" i="108"/>
  <c r="N76" i="108"/>
  <c r="C77" i="108"/>
  <c r="D77" i="108"/>
  <c r="P77" i="108" s="1"/>
  <c r="E77" i="108"/>
  <c r="F77" i="108"/>
  <c r="G77" i="108"/>
  <c r="H77" i="108"/>
  <c r="I77" i="108"/>
  <c r="J77" i="108"/>
  <c r="K77" i="108"/>
  <c r="L77" i="108"/>
  <c r="M77" i="108"/>
  <c r="N77" i="108"/>
  <c r="C78" i="108"/>
  <c r="D78" i="108"/>
  <c r="E78" i="108"/>
  <c r="F78" i="108"/>
  <c r="G78" i="108"/>
  <c r="W27" i="108" s="1"/>
  <c r="H78" i="108"/>
  <c r="I78" i="108"/>
  <c r="J78" i="108"/>
  <c r="K78" i="108"/>
  <c r="L78" i="108"/>
  <c r="M78" i="108"/>
  <c r="N78" i="108"/>
  <c r="C79" i="108"/>
  <c r="D79" i="108"/>
  <c r="O79" i="108" s="1"/>
  <c r="E79" i="108"/>
  <c r="F79" i="108"/>
  <c r="G79" i="108"/>
  <c r="H79" i="108"/>
  <c r="I79" i="108"/>
  <c r="J79" i="108"/>
  <c r="K79" i="108"/>
  <c r="L79" i="108"/>
  <c r="M79" i="108"/>
  <c r="N79" i="108"/>
  <c r="C80" i="108"/>
  <c r="D80" i="108"/>
  <c r="E80" i="108"/>
  <c r="F80" i="108"/>
  <c r="G80" i="108"/>
  <c r="H80" i="108"/>
  <c r="I80" i="108"/>
  <c r="J80" i="108"/>
  <c r="K80" i="108"/>
  <c r="L80" i="108"/>
  <c r="M80" i="108"/>
  <c r="N80" i="108"/>
  <c r="C81" i="108"/>
  <c r="D81" i="108"/>
  <c r="E81" i="108"/>
  <c r="F81" i="108"/>
  <c r="G81" i="108"/>
  <c r="H81" i="108"/>
  <c r="I81" i="108"/>
  <c r="J81" i="108"/>
  <c r="K81" i="108"/>
  <c r="L81" i="108"/>
  <c r="M81" i="108"/>
  <c r="N81" i="108"/>
  <c r="C82" i="108"/>
  <c r="D82" i="108"/>
  <c r="E82" i="108"/>
  <c r="F82" i="108"/>
  <c r="G82" i="108"/>
  <c r="H82" i="108"/>
  <c r="I82" i="108"/>
  <c r="J82" i="108"/>
  <c r="K82" i="108"/>
  <c r="L82" i="108"/>
  <c r="M82" i="108"/>
  <c r="N82" i="108"/>
  <c r="C83" i="108"/>
  <c r="D83" i="108"/>
  <c r="O83" i="108" s="1"/>
  <c r="E83" i="108"/>
  <c r="F83" i="108"/>
  <c r="G83" i="108"/>
  <c r="H83" i="108"/>
  <c r="I83" i="108"/>
  <c r="J83" i="108"/>
  <c r="K83" i="108"/>
  <c r="L83" i="108"/>
  <c r="M83" i="108"/>
  <c r="N83" i="108"/>
  <c r="C84" i="108"/>
  <c r="D84" i="108"/>
  <c r="E84" i="108"/>
  <c r="F84" i="108"/>
  <c r="G84" i="108"/>
  <c r="H84" i="108"/>
  <c r="I84" i="108"/>
  <c r="J84" i="108"/>
  <c r="K84" i="108"/>
  <c r="L84" i="108"/>
  <c r="M84" i="108"/>
  <c r="N84" i="108"/>
  <c r="C85" i="108"/>
  <c r="D85" i="108"/>
  <c r="P85" i="108" s="1"/>
  <c r="E85" i="108"/>
  <c r="F85" i="108"/>
  <c r="G85" i="108"/>
  <c r="H85" i="108"/>
  <c r="I85" i="108"/>
  <c r="J85" i="108"/>
  <c r="K85" i="108"/>
  <c r="L85" i="108"/>
  <c r="M85" i="108"/>
  <c r="N85" i="108"/>
  <c r="C86" i="108"/>
  <c r="D86" i="108"/>
  <c r="E86" i="108"/>
  <c r="F86" i="108"/>
  <c r="G86" i="108"/>
  <c r="H86" i="108"/>
  <c r="X29" i="108" s="1"/>
  <c r="I86" i="108"/>
  <c r="J86" i="108"/>
  <c r="K86" i="108"/>
  <c r="L86" i="108"/>
  <c r="M86" i="108"/>
  <c r="N86" i="108"/>
  <c r="C87" i="108"/>
  <c r="D87" i="108"/>
  <c r="O87" i="108" s="1"/>
  <c r="E87" i="108"/>
  <c r="F87" i="108"/>
  <c r="G87" i="108"/>
  <c r="H87" i="108"/>
  <c r="I87" i="108"/>
  <c r="J87" i="108"/>
  <c r="K87" i="108"/>
  <c r="L87" i="108"/>
  <c r="M87" i="108"/>
  <c r="N87" i="108"/>
  <c r="C88" i="108"/>
  <c r="D88" i="108"/>
  <c r="E88" i="108"/>
  <c r="F88" i="108"/>
  <c r="G88" i="108"/>
  <c r="H88" i="108"/>
  <c r="I88" i="108"/>
  <c r="J88" i="108"/>
  <c r="K88" i="108"/>
  <c r="L88" i="108"/>
  <c r="M88" i="108"/>
  <c r="N88" i="108"/>
  <c r="C89" i="108"/>
  <c r="D89" i="108"/>
  <c r="P89" i="108" s="1"/>
  <c r="E89" i="108"/>
  <c r="F89" i="108"/>
  <c r="G89" i="108"/>
  <c r="H89" i="108"/>
  <c r="I89" i="108"/>
  <c r="J89" i="108"/>
  <c r="K89" i="108"/>
  <c r="L89" i="108"/>
  <c r="M89" i="108"/>
  <c r="N89" i="108"/>
  <c r="C90" i="108"/>
  <c r="D90" i="108"/>
  <c r="E90" i="108"/>
  <c r="F90" i="108"/>
  <c r="G90" i="108"/>
  <c r="H90" i="108"/>
  <c r="I90" i="108"/>
  <c r="J90" i="108"/>
  <c r="K90" i="108"/>
  <c r="L90" i="108"/>
  <c r="M90" i="108"/>
  <c r="N90" i="108"/>
  <c r="AD30" i="108" s="1"/>
  <c r="C91" i="108"/>
  <c r="D91" i="108"/>
  <c r="O91" i="108" s="1"/>
  <c r="E91" i="108"/>
  <c r="U30" i="108" s="1"/>
  <c r="F91" i="108"/>
  <c r="G91" i="108"/>
  <c r="H91" i="108"/>
  <c r="I91" i="108"/>
  <c r="J91" i="108"/>
  <c r="K91" i="108"/>
  <c r="L91" i="108"/>
  <c r="M91" i="108"/>
  <c r="N91" i="108"/>
  <c r="C92" i="108"/>
  <c r="D92" i="108"/>
  <c r="E92" i="108"/>
  <c r="F92" i="108"/>
  <c r="G92" i="108"/>
  <c r="H92" i="108"/>
  <c r="I92" i="108"/>
  <c r="J92" i="108"/>
  <c r="K92" i="108"/>
  <c r="L92" i="108"/>
  <c r="M92" i="108"/>
  <c r="N92" i="108"/>
  <c r="C93" i="108"/>
  <c r="D93" i="108"/>
  <c r="P93" i="108" s="1"/>
  <c r="E93" i="108"/>
  <c r="F93" i="108"/>
  <c r="G93" i="108"/>
  <c r="H93" i="108"/>
  <c r="I93" i="108"/>
  <c r="J93" i="108"/>
  <c r="K93" i="108"/>
  <c r="L93" i="108"/>
  <c r="M93" i="108"/>
  <c r="N93" i="108"/>
  <c r="C94" i="108"/>
  <c r="D94" i="108"/>
  <c r="E94" i="108"/>
  <c r="F94" i="108"/>
  <c r="G94" i="108"/>
  <c r="H94" i="108"/>
  <c r="I94" i="108"/>
  <c r="J94" i="108"/>
  <c r="K94" i="108"/>
  <c r="AA31" i="108" s="1"/>
  <c r="L94" i="108"/>
  <c r="M94" i="108"/>
  <c r="N94" i="108"/>
  <c r="C95" i="108"/>
  <c r="D95" i="108"/>
  <c r="O95" i="108" s="1"/>
  <c r="E95" i="108"/>
  <c r="F95" i="108"/>
  <c r="G95" i="108"/>
  <c r="H95" i="108"/>
  <c r="I95" i="108"/>
  <c r="J95" i="108"/>
  <c r="K95" i="108"/>
  <c r="L95" i="108"/>
  <c r="M95" i="108"/>
  <c r="N95" i="108"/>
  <c r="C96" i="108"/>
  <c r="D96" i="108"/>
  <c r="E96" i="108"/>
  <c r="F96" i="108"/>
  <c r="G96" i="108"/>
  <c r="H96" i="108"/>
  <c r="I96" i="108"/>
  <c r="J96" i="108"/>
  <c r="K96" i="108"/>
  <c r="L96" i="108"/>
  <c r="M96" i="108"/>
  <c r="N96" i="108"/>
  <c r="C97" i="108"/>
  <c r="D97" i="108"/>
  <c r="P97" i="108" s="1"/>
  <c r="E97" i="108"/>
  <c r="F97" i="108"/>
  <c r="G97" i="108"/>
  <c r="H97" i="108"/>
  <c r="I97" i="108"/>
  <c r="J97" i="108"/>
  <c r="K97" i="108"/>
  <c r="L97" i="108"/>
  <c r="M97" i="108"/>
  <c r="N97" i="108"/>
  <c r="C98" i="108"/>
  <c r="D98" i="108"/>
  <c r="E98" i="108"/>
  <c r="F98" i="108"/>
  <c r="G98" i="108"/>
  <c r="H98" i="108"/>
  <c r="I98" i="108"/>
  <c r="J98" i="108"/>
  <c r="K98" i="108"/>
  <c r="L98" i="108"/>
  <c r="M98" i="108"/>
  <c r="N98" i="108"/>
  <c r="C99" i="108"/>
  <c r="D99" i="108"/>
  <c r="O99" i="108" s="1"/>
  <c r="E99" i="108"/>
  <c r="F99" i="108"/>
  <c r="G99" i="108"/>
  <c r="H99" i="108"/>
  <c r="I99" i="108"/>
  <c r="J99" i="108"/>
  <c r="K99" i="108"/>
  <c r="L99" i="108"/>
  <c r="M99" i="108"/>
  <c r="N99" i="108"/>
  <c r="C100" i="108"/>
  <c r="D100" i="108"/>
  <c r="E100" i="108"/>
  <c r="F100" i="108"/>
  <c r="G100" i="108"/>
  <c r="H100" i="108"/>
  <c r="I100" i="108"/>
  <c r="J100" i="108"/>
  <c r="K100" i="108"/>
  <c r="L100" i="108"/>
  <c r="M100" i="108"/>
  <c r="N100" i="108"/>
  <c r="C101" i="108"/>
  <c r="D101" i="108"/>
  <c r="P101" i="108" s="1"/>
  <c r="E101" i="108"/>
  <c r="F101" i="108"/>
  <c r="G101" i="108"/>
  <c r="H101" i="108"/>
  <c r="I101" i="108"/>
  <c r="J101" i="108"/>
  <c r="K101" i="108"/>
  <c r="L101" i="108"/>
  <c r="M101" i="108"/>
  <c r="N101" i="108"/>
  <c r="C102" i="108"/>
  <c r="D102" i="108"/>
  <c r="E102" i="108"/>
  <c r="F102" i="108"/>
  <c r="G102" i="108"/>
  <c r="H102" i="108"/>
  <c r="I102" i="108"/>
  <c r="J102" i="108"/>
  <c r="Z33" i="108" s="1"/>
  <c r="K102" i="108"/>
  <c r="L102" i="108"/>
  <c r="M102" i="108"/>
  <c r="N102" i="108"/>
  <c r="C103" i="108"/>
  <c r="O103" i="108" s="1"/>
  <c r="D103" i="108"/>
  <c r="E103" i="108"/>
  <c r="F103" i="108"/>
  <c r="G103" i="108"/>
  <c r="H103" i="108"/>
  <c r="I103" i="108"/>
  <c r="J103" i="108"/>
  <c r="K103" i="108"/>
  <c r="L103" i="108"/>
  <c r="M103" i="108"/>
  <c r="N103" i="108"/>
  <c r="C104" i="108"/>
  <c r="D104" i="108"/>
  <c r="E104" i="108"/>
  <c r="F104" i="108"/>
  <c r="G104" i="108"/>
  <c r="H104" i="108"/>
  <c r="I104" i="108"/>
  <c r="J104" i="108"/>
  <c r="K104" i="108"/>
  <c r="L104" i="108"/>
  <c r="M104" i="108"/>
  <c r="N104" i="108"/>
  <c r="D59" i="108"/>
  <c r="E59" i="108"/>
  <c r="F59" i="108"/>
  <c r="G59" i="108"/>
  <c r="H59" i="108"/>
  <c r="I59" i="108"/>
  <c r="J59" i="108"/>
  <c r="K59" i="108"/>
  <c r="L59" i="108"/>
  <c r="M59" i="108"/>
  <c r="N59" i="108"/>
  <c r="C59" i="108"/>
  <c r="P81" i="108"/>
  <c r="O75" i="108"/>
  <c r="D58" i="108"/>
  <c r="E58" i="108"/>
  <c r="F58" i="108"/>
  <c r="V22" i="108" s="1"/>
  <c r="G58" i="108"/>
  <c r="W22" i="108" s="1"/>
  <c r="H58" i="108"/>
  <c r="I58" i="108"/>
  <c r="Y22" i="108" s="1"/>
  <c r="J58" i="108"/>
  <c r="Z22" i="108" s="1"/>
  <c r="K58" i="108"/>
  <c r="AA22" i="108" s="1"/>
  <c r="L58" i="108"/>
  <c r="M58" i="108"/>
  <c r="AC22" i="108" s="1"/>
  <c r="N58" i="108"/>
  <c r="AD22" i="108" s="1"/>
  <c r="C58" i="108"/>
  <c r="C59" i="107"/>
  <c r="C59" i="111" s="1"/>
  <c r="D59" i="107"/>
  <c r="E59" i="107"/>
  <c r="F59" i="107"/>
  <c r="G59" i="107"/>
  <c r="G59" i="111" s="1"/>
  <c r="H59" i="107"/>
  <c r="I59" i="107"/>
  <c r="J59" i="107"/>
  <c r="K59" i="107"/>
  <c r="K59" i="111" s="1"/>
  <c r="L59" i="107"/>
  <c r="M59" i="107"/>
  <c r="N59" i="107"/>
  <c r="C60" i="107"/>
  <c r="C60" i="111" s="1"/>
  <c r="D60" i="107"/>
  <c r="E60" i="107"/>
  <c r="E60" i="111" s="1"/>
  <c r="F60" i="107"/>
  <c r="G60" i="107"/>
  <c r="H60" i="107"/>
  <c r="I60" i="107"/>
  <c r="I60" i="111" s="1"/>
  <c r="J60" i="107"/>
  <c r="J60" i="111" s="1"/>
  <c r="K60" i="107"/>
  <c r="K60" i="111" s="1"/>
  <c r="L60" i="107"/>
  <c r="L60" i="111" s="1"/>
  <c r="M60" i="107"/>
  <c r="M60" i="111" s="1"/>
  <c r="N60" i="107"/>
  <c r="N60" i="111" s="1"/>
  <c r="C61" i="107"/>
  <c r="C61" i="111" s="1"/>
  <c r="D61" i="107"/>
  <c r="P61" i="107" s="1"/>
  <c r="E61" i="107"/>
  <c r="E61" i="111" s="1"/>
  <c r="F61" i="107"/>
  <c r="F61" i="111" s="1"/>
  <c r="G61" i="107"/>
  <c r="G61" i="111" s="1"/>
  <c r="H61" i="107"/>
  <c r="H61" i="111" s="1"/>
  <c r="I61" i="107"/>
  <c r="I61" i="111" s="1"/>
  <c r="J61" i="107"/>
  <c r="J61" i="111" s="1"/>
  <c r="K61" i="107"/>
  <c r="K61" i="111" s="1"/>
  <c r="L61" i="107"/>
  <c r="M61" i="107"/>
  <c r="M61" i="111" s="1"/>
  <c r="N61" i="107"/>
  <c r="N61" i="111" s="1"/>
  <c r="C62" i="107"/>
  <c r="D62" i="107"/>
  <c r="P62" i="107" s="1"/>
  <c r="E62" i="107"/>
  <c r="F62" i="107"/>
  <c r="F62" i="111" s="1"/>
  <c r="V23" i="111" s="1"/>
  <c r="G62" i="107"/>
  <c r="H62" i="107"/>
  <c r="I62" i="107"/>
  <c r="J62" i="107"/>
  <c r="K62" i="107"/>
  <c r="L62" i="107"/>
  <c r="M62" i="107"/>
  <c r="N62" i="107"/>
  <c r="C63" i="107"/>
  <c r="C63" i="111" s="1"/>
  <c r="D63" i="107"/>
  <c r="E63" i="107"/>
  <c r="E63" i="111" s="1"/>
  <c r="F63" i="107"/>
  <c r="F63" i="111" s="1"/>
  <c r="G63" i="107"/>
  <c r="G63" i="111" s="1"/>
  <c r="H63" i="107"/>
  <c r="H63" i="111" s="1"/>
  <c r="I63" i="107"/>
  <c r="I63" i="111" s="1"/>
  <c r="J63" i="107"/>
  <c r="J63" i="111" s="1"/>
  <c r="K63" i="107"/>
  <c r="K63" i="111" s="1"/>
  <c r="L63" i="107"/>
  <c r="M63" i="107"/>
  <c r="M63" i="111" s="1"/>
  <c r="N63" i="107"/>
  <c r="N63" i="111" s="1"/>
  <c r="C64" i="107"/>
  <c r="C64" i="111" s="1"/>
  <c r="D64" i="107"/>
  <c r="E64" i="107"/>
  <c r="E64" i="111" s="1"/>
  <c r="F64" i="107"/>
  <c r="F64" i="111" s="1"/>
  <c r="G64" i="107"/>
  <c r="G64" i="111" s="1"/>
  <c r="H64" i="107"/>
  <c r="I64" i="107"/>
  <c r="I64" i="111" s="1"/>
  <c r="J64" i="107"/>
  <c r="J64" i="111" s="1"/>
  <c r="K64" i="107"/>
  <c r="K64" i="111" s="1"/>
  <c r="L64" i="107"/>
  <c r="L64" i="111" s="1"/>
  <c r="M64" i="107"/>
  <c r="M64" i="111" s="1"/>
  <c r="N64" i="107"/>
  <c r="N64" i="111" s="1"/>
  <c r="C65" i="107"/>
  <c r="C65" i="111" s="1"/>
  <c r="D65" i="107"/>
  <c r="E65" i="107"/>
  <c r="E65" i="111" s="1"/>
  <c r="F65" i="107"/>
  <c r="F65" i="111" s="1"/>
  <c r="G65" i="107"/>
  <c r="G65" i="111" s="1"/>
  <c r="H65" i="107"/>
  <c r="H65" i="111" s="1"/>
  <c r="I65" i="107"/>
  <c r="I65" i="111" s="1"/>
  <c r="J65" i="107"/>
  <c r="J65" i="111" s="1"/>
  <c r="K65" i="107"/>
  <c r="K65" i="111" s="1"/>
  <c r="L65" i="107"/>
  <c r="M65" i="107"/>
  <c r="M65" i="111" s="1"/>
  <c r="N65" i="107"/>
  <c r="N65" i="111" s="1"/>
  <c r="C66" i="107"/>
  <c r="D66" i="107"/>
  <c r="E66" i="107"/>
  <c r="F66" i="107"/>
  <c r="G66" i="107"/>
  <c r="H66" i="107"/>
  <c r="I66" i="107"/>
  <c r="J66" i="107"/>
  <c r="K66" i="107"/>
  <c r="L66" i="107"/>
  <c r="M66" i="107"/>
  <c r="N66" i="107"/>
  <c r="C67" i="107"/>
  <c r="C67" i="111" s="1"/>
  <c r="D67" i="107"/>
  <c r="E67" i="107"/>
  <c r="E67" i="111" s="1"/>
  <c r="F67" i="107"/>
  <c r="F67" i="111" s="1"/>
  <c r="G67" i="107"/>
  <c r="G67" i="111" s="1"/>
  <c r="H67" i="107"/>
  <c r="H67" i="111" s="1"/>
  <c r="I67" i="107"/>
  <c r="I67" i="111" s="1"/>
  <c r="J67" i="107"/>
  <c r="K67" i="107"/>
  <c r="K67" i="111" s="1"/>
  <c r="L67" i="107"/>
  <c r="M67" i="107"/>
  <c r="M67" i="111" s="1"/>
  <c r="N67" i="107"/>
  <c r="N67" i="111" s="1"/>
  <c r="C68" i="107"/>
  <c r="C68" i="111" s="1"/>
  <c r="D68" i="107"/>
  <c r="E68" i="107"/>
  <c r="E68" i="111" s="1"/>
  <c r="F68" i="107"/>
  <c r="F68" i="111" s="1"/>
  <c r="G68" i="107"/>
  <c r="G68" i="111" s="1"/>
  <c r="H68" i="107"/>
  <c r="I68" i="107"/>
  <c r="I68" i="111" s="1"/>
  <c r="J68" i="107"/>
  <c r="J68" i="111" s="1"/>
  <c r="K68" i="107"/>
  <c r="K68" i="111" s="1"/>
  <c r="L68" i="107"/>
  <c r="L68" i="111" s="1"/>
  <c r="M68" i="107"/>
  <c r="M68" i="111" s="1"/>
  <c r="N68" i="107"/>
  <c r="N68" i="111" s="1"/>
  <c r="C69" i="107"/>
  <c r="C69" i="111" s="1"/>
  <c r="D69" i="107"/>
  <c r="P69" i="107" s="1"/>
  <c r="E69" i="107"/>
  <c r="E69" i="111" s="1"/>
  <c r="F69" i="107"/>
  <c r="F69" i="111" s="1"/>
  <c r="G69" i="107"/>
  <c r="G69" i="111" s="1"/>
  <c r="H69" i="107"/>
  <c r="H69" i="111" s="1"/>
  <c r="I69" i="107"/>
  <c r="I69" i="111" s="1"/>
  <c r="J69" i="107"/>
  <c r="J69" i="111" s="1"/>
  <c r="K69" i="107"/>
  <c r="K69" i="111" s="1"/>
  <c r="L69" i="107"/>
  <c r="M69" i="107"/>
  <c r="M69" i="111" s="1"/>
  <c r="N69" i="107"/>
  <c r="N69" i="111" s="1"/>
  <c r="C70" i="107"/>
  <c r="D70" i="107"/>
  <c r="P70" i="107" s="1"/>
  <c r="E70" i="107"/>
  <c r="F70" i="107"/>
  <c r="G70" i="107"/>
  <c r="H70" i="107"/>
  <c r="I70" i="107"/>
  <c r="I70" i="111" s="1"/>
  <c r="J70" i="107"/>
  <c r="K70" i="107"/>
  <c r="L70" i="107"/>
  <c r="M70" i="107"/>
  <c r="N70" i="107"/>
  <c r="N70" i="111" s="1"/>
  <c r="AD25" i="111" s="1"/>
  <c r="C71" i="107"/>
  <c r="D71" i="107"/>
  <c r="E71" i="107"/>
  <c r="E71" i="111" s="1"/>
  <c r="F71" i="107"/>
  <c r="F71" i="111" s="1"/>
  <c r="G71" i="107"/>
  <c r="G71" i="111" s="1"/>
  <c r="H71" i="107"/>
  <c r="H71" i="111" s="1"/>
  <c r="I71" i="107"/>
  <c r="I71" i="111" s="1"/>
  <c r="J71" i="107"/>
  <c r="J71" i="111" s="1"/>
  <c r="K71" i="107"/>
  <c r="K71" i="111" s="1"/>
  <c r="L71" i="107"/>
  <c r="M71" i="107"/>
  <c r="M71" i="111" s="1"/>
  <c r="N71" i="107"/>
  <c r="N71" i="111" s="1"/>
  <c r="C72" i="107"/>
  <c r="C72" i="111" s="1"/>
  <c r="D72" i="107"/>
  <c r="E72" i="107"/>
  <c r="E72" i="111" s="1"/>
  <c r="F72" i="107"/>
  <c r="F72" i="111" s="1"/>
  <c r="G72" i="107"/>
  <c r="G72" i="111" s="1"/>
  <c r="H72" i="107"/>
  <c r="I72" i="107"/>
  <c r="I72" i="111" s="1"/>
  <c r="J72" i="107"/>
  <c r="J72" i="111" s="1"/>
  <c r="K72" i="107"/>
  <c r="K72" i="111" s="1"/>
  <c r="L72" i="107"/>
  <c r="L72" i="111" s="1"/>
  <c r="M72" i="107"/>
  <c r="M72" i="111" s="1"/>
  <c r="N72" i="107"/>
  <c r="N72" i="111" s="1"/>
  <c r="C73" i="107"/>
  <c r="C73" i="111" s="1"/>
  <c r="D73" i="107"/>
  <c r="E73" i="107"/>
  <c r="E73" i="111" s="1"/>
  <c r="F73" i="107"/>
  <c r="F73" i="111" s="1"/>
  <c r="G73" i="107"/>
  <c r="G73" i="111" s="1"/>
  <c r="H73" i="107"/>
  <c r="H73" i="111" s="1"/>
  <c r="I73" i="107"/>
  <c r="I73" i="111" s="1"/>
  <c r="J73" i="107"/>
  <c r="K73" i="107"/>
  <c r="L73" i="107"/>
  <c r="M73" i="107"/>
  <c r="M73" i="111" s="1"/>
  <c r="N73" i="107"/>
  <c r="N73" i="111" s="1"/>
  <c r="C74" i="107"/>
  <c r="D74" i="107"/>
  <c r="E74" i="107"/>
  <c r="F74" i="107"/>
  <c r="G74" i="107"/>
  <c r="H74" i="107"/>
  <c r="I74" i="107"/>
  <c r="J74" i="107"/>
  <c r="K74" i="107"/>
  <c r="L74" i="107"/>
  <c r="M74" i="107"/>
  <c r="N74" i="107"/>
  <c r="C75" i="107"/>
  <c r="C75" i="111" s="1"/>
  <c r="D75" i="107"/>
  <c r="E75" i="107"/>
  <c r="E75" i="111" s="1"/>
  <c r="F75" i="107"/>
  <c r="F75" i="111" s="1"/>
  <c r="G75" i="107"/>
  <c r="G75" i="111" s="1"/>
  <c r="H75" i="107"/>
  <c r="H75" i="111" s="1"/>
  <c r="I75" i="107"/>
  <c r="I75" i="111" s="1"/>
  <c r="J75" i="107"/>
  <c r="J75" i="111" s="1"/>
  <c r="K75" i="107"/>
  <c r="K75" i="111" s="1"/>
  <c r="L75" i="107"/>
  <c r="M75" i="107"/>
  <c r="M75" i="111" s="1"/>
  <c r="N75" i="107"/>
  <c r="N75" i="111" s="1"/>
  <c r="C76" i="107"/>
  <c r="C76" i="111" s="1"/>
  <c r="D76" i="107"/>
  <c r="E76" i="107"/>
  <c r="E76" i="111" s="1"/>
  <c r="F76" i="107"/>
  <c r="F76" i="111" s="1"/>
  <c r="G76" i="107"/>
  <c r="H76" i="107"/>
  <c r="I76" i="107"/>
  <c r="I76" i="111" s="1"/>
  <c r="J76" i="107"/>
  <c r="J76" i="111" s="1"/>
  <c r="K76" i="107"/>
  <c r="K76" i="111" s="1"/>
  <c r="L76" i="107"/>
  <c r="L76" i="111" s="1"/>
  <c r="M76" i="107"/>
  <c r="M76" i="111" s="1"/>
  <c r="N76" i="107"/>
  <c r="N76" i="111" s="1"/>
  <c r="C77" i="107"/>
  <c r="C77" i="111" s="1"/>
  <c r="D77" i="107"/>
  <c r="P77" i="107" s="1"/>
  <c r="E77" i="107"/>
  <c r="E77" i="111" s="1"/>
  <c r="F77" i="107"/>
  <c r="F77" i="111" s="1"/>
  <c r="G77" i="107"/>
  <c r="G77" i="111" s="1"/>
  <c r="H77" i="107"/>
  <c r="H77" i="111" s="1"/>
  <c r="I77" i="107"/>
  <c r="I77" i="111" s="1"/>
  <c r="J77" i="107"/>
  <c r="J77" i="111" s="1"/>
  <c r="K77" i="107"/>
  <c r="K77" i="111" s="1"/>
  <c r="L77" i="107"/>
  <c r="M77" i="107"/>
  <c r="M77" i="111" s="1"/>
  <c r="N77" i="107"/>
  <c r="N77" i="111" s="1"/>
  <c r="C78" i="107"/>
  <c r="D78" i="107"/>
  <c r="P78" i="107" s="1"/>
  <c r="E78" i="107"/>
  <c r="F78" i="107"/>
  <c r="G78" i="107"/>
  <c r="H78" i="107"/>
  <c r="I78" i="107"/>
  <c r="J78" i="107"/>
  <c r="K78" i="107"/>
  <c r="L78" i="107"/>
  <c r="M78" i="107"/>
  <c r="N78" i="107"/>
  <c r="C79" i="107"/>
  <c r="D79" i="107"/>
  <c r="E79" i="107"/>
  <c r="E79" i="111" s="1"/>
  <c r="F79" i="107"/>
  <c r="F79" i="111" s="1"/>
  <c r="G79" i="107"/>
  <c r="G79" i="111" s="1"/>
  <c r="H79" i="107"/>
  <c r="H79" i="111" s="1"/>
  <c r="I79" i="107"/>
  <c r="I79" i="111" s="1"/>
  <c r="J79" i="107"/>
  <c r="J79" i="111" s="1"/>
  <c r="K79" i="107"/>
  <c r="K79" i="111" s="1"/>
  <c r="L79" i="107"/>
  <c r="M79" i="107"/>
  <c r="M79" i="111" s="1"/>
  <c r="N79" i="107"/>
  <c r="N79" i="111" s="1"/>
  <c r="C80" i="107"/>
  <c r="C80" i="111" s="1"/>
  <c r="D80" i="107"/>
  <c r="E80" i="107"/>
  <c r="E80" i="111" s="1"/>
  <c r="F80" i="107"/>
  <c r="F80" i="111" s="1"/>
  <c r="G80" i="107"/>
  <c r="G80" i="111" s="1"/>
  <c r="H80" i="107"/>
  <c r="I80" i="107"/>
  <c r="I80" i="111" s="1"/>
  <c r="J80" i="107"/>
  <c r="J80" i="111" s="1"/>
  <c r="K80" i="107"/>
  <c r="K80" i="111" s="1"/>
  <c r="L80" i="107"/>
  <c r="L80" i="111" s="1"/>
  <c r="M80" i="107"/>
  <c r="M80" i="111" s="1"/>
  <c r="N80" i="107"/>
  <c r="N80" i="111" s="1"/>
  <c r="C81" i="107"/>
  <c r="C81" i="111" s="1"/>
  <c r="D81" i="107"/>
  <c r="P81" i="107" s="1"/>
  <c r="E81" i="107"/>
  <c r="E81" i="111" s="1"/>
  <c r="F81" i="107"/>
  <c r="F81" i="111" s="1"/>
  <c r="G81" i="107"/>
  <c r="G81" i="111" s="1"/>
  <c r="H81" i="107"/>
  <c r="H81" i="111" s="1"/>
  <c r="I81" i="107"/>
  <c r="I81" i="111" s="1"/>
  <c r="J81" i="107"/>
  <c r="J81" i="111" s="1"/>
  <c r="K81" i="107"/>
  <c r="L81" i="107"/>
  <c r="M81" i="107"/>
  <c r="M81" i="111" s="1"/>
  <c r="N81" i="107"/>
  <c r="N81" i="111" s="1"/>
  <c r="C82" i="107"/>
  <c r="D82" i="107"/>
  <c r="E82" i="107"/>
  <c r="F82" i="107"/>
  <c r="G82" i="107"/>
  <c r="H82" i="107"/>
  <c r="I82" i="107"/>
  <c r="J82" i="107"/>
  <c r="K82" i="107"/>
  <c r="L82" i="107"/>
  <c r="M82" i="107"/>
  <c r="N82" i="107"/>
  <c r="N82" i="111" s="1"/>
  <c r="AD28" i="111" s="1"/>
  <c r="C83" i="107"/>
  <c r="C83" i="111" s="1"/>
  <c r="D83" i="107"/>
  <c r="E83" i="107"/>
  <c r="E83" i="111" s="1"/>
  <c r="F83" i="107"/>
  <c r="F83" i="111" s="1"/>
  <c r="G83" i="107"/>
  <c r="G83" i="111" s="1"/>
  <c r="H83" i="107"/>
  <c r="H83" i="111" s="1"/>
  <c r="I83" i="107"/>
  <c r="I83" i="111" s="1"/>
  <c r="J83" i="107"/>
  <c r="J83" i="111" s="1"/>
  <c r="K83" i="107"/>
  <c r="K83" i="111" s="1"/>
  <c r="L83" i="107"/>
  <c r="M83" i="107"/>
  <c r="M83" i="111" s="1"/>
  <c r="N83" i="107"/>
  <c r="N83" i="111" s="1"/>
  <c r="C84" i="107"/>
  <c r="C84" i="111" s="1"/>
  <c r="D84" i="107"/>
  <c r="E84" i="107"/>
  <c r="E84" i="111" s="1"/>
  <c r="F84" i="107"/>
  <c r="G84" i="107"/>
  <c r="H84" i="107"/>
  <c r="I84" i="107"/>
  <c r="I84" i="111" s="1"/>
  <c r="J84" i="107"/>
  <c r="J84" i="111" s="1"/>
  <c r="K84" i="107"/>
  <c r="K84" i="111" s="1"/>
  <c r="L84" i="107"/>
  <c r="L84" i="111" s="1"/>
  <c r="M84" i="107"/>
  <c r="M84" i="111" s="1"/>
  <c r="N84" i="107"/>
  <c r="N84" i="111" s="1"/>
  <c r="C85" i="107"/>
  <c r="C85" i="111" s="1"/>
  <c r="D85" i="107"/>
  <c r="P85" i="107" s="1"/>
  <c r="E85" i="107"/>
  <c r="E85" i="111" s="1"/>
  <c r="F85" i="107"/>
  <c r="F85" i="111" s="1"/>
  <c r="G85" i="107"/>
  <c r="G85" i="111" s="1"/>
  <c r="H85" i="107"/>
  <c r="H85" i="111" s="1"/>
  <c r="I85" i="107"/>
  <c r="I85" i="111" s="1"/>
  <c r="J85" i="107"/>
  <c r="J85" i="111" s="1"/>
  <c r="K85" i="107"/>
  <c r="K85" i="111" s="1"/>
  <c r="L85" i="107"/>
  <c r="M85" i="107"/>
  <c r="M85" i="111" s="1"/>
  <c r="N85" i="107"/>
  <c r="N85" i="111" s="1"/>
  <c r="C86" i="107"/>
  <c r="D86" i="107"/>
  <c r="E86" i="107"/>
  <c r="F86" i="107"/>
  <c r="G86" i="107"/>
  <c r="H86" i="107"/>
  <c r="I86" i="107"/>
  <c r="J86" i="107"/>
  <c r="J86" i="111" s="1"/>
  <c r="K86" i="107"/>
  <c r="L86" i="107"/>
  <c r="M86" i="107"/>
  <c r="N86" i="107"/>
  <c r="N86" i="111" s="1"/>
  <c r="AD29" i="111" s="1"/>
  <c r="C87" i="107"/>
  <c r="D87" i="107"/>
  <c r="E87" i="107"/>
  <c r="E87" i="111" s="1"/>
  <c r="F87" i="107"/>
  <c r="F87" i="111" s="1"/>
  <c r="G87" i="107"/>
  <c r="G87" i="111" s="1"/>
  <c r="H87" i="107"/>
  <c r="H87" i="111" s="1"/>
  <c r="I87" i="107"/>
  <c r="I87" i="111" s="1"/>
  <c r="J87" i="107"/>
  <c r="J87" i="111" s="1"/>
  <c r="K87" i="107"/>
  <c r="K87" i="111" s="1"/>
  <c r="L87" i="107"/>
  <c r="M87" i="107"/>
  <c r="M87" i="111" s="1"/>
  <c r="N87" i="107"/>
  <c r="N87" i="111" s="1"/>
  <c r="C88" i="107"/>
  <c r="C88" i="111" s="1"/>
  <c r="D88" i="107"/>
  <c r="E88" i="107"/>
  <c r="E88" i="111" s="1"/>
  <c r="F88" i="107"/>
  <c r="F88" i="111" s="1"/>
  <c r="G88" i="107"/>
  <c r="G88" i="111" s="1"/>
  <c r="H88" i="107"/>
  <c r="I88" i="107"/>
  <c r="I88" i="111" s="1"/>
  <c r="J88" i="107"/>
  <c r="J88" i="111" s="1"/>
  <c r="K88" i="107"/>
  <c r="K88" i="111" s="1"/>
  <c r="L88" i="107"/>
  <c r="L88" i="111" s="1"/>
  <c r="M88" i="107"/>
  <c r="M88" i="111" s="1"/>
  <c r="N88" i="107"/>
  <c r="N88" i="111" s="1"/>
  <c r="C89" i="107"/>
  <c r="C89" i="111" s="1"/>
  <c r="D89" i="107"/>
  <c r="E89" i="107"/>
  <c r="E89" i="111" s="1"/>
  <c r="F89" i="107"/>
  <c r="F89" i="111" s="1"/>
  <c r="G89" i="107"/>
  <c r="G89" i="111" s="1"/>
  <c r="H89" i="107"/>
  <c r="H89" i="111" s="1"/>
  <c r="I89" i="107"/>
  <c r="I89" i="111" s="1"/>
  <c r="J89" i="107"/>
  <c r="K89" i="107"/>
  <c r="L89" i="107"/>
  <c r="M89" i="107"/>
  <c r="M89" i="111" s="1"/>
  <c r="N89" i="107"/>
  <c r="N89" i="111" s="1"/>
  <c r="C90" i="107"/>
  <c r="D90" i="107"/>
  <c r="T30" i="107" s="1"/>
  <c r="E90" i="107"/>
  <c r="F90" i="107"/>
  <c r="G90" i="107"/>
  <c r="H90" i="107"/>
  <c r="I90" i="107"/>
  <c r="J90" i="107"/>
  <c r="K90" i="107"/>
  <c r="L90" i="107"/>
  <c r="M90" i="107"/>
  <c r="N90" i="107"/>
  <c r="C91" i="107"/>
  <c r="C91" i="111" s="1"/>
  <c r="D91" i="107"/>
  <c r="E91" i="107"/>
  <c r="E91" i="111" s="1"/>
  <c r="F91" i="107"/>
  <c r="F91" i="111" s="1"/>
  <c r="G91" i="107"/>
  <c r="G91" i="111" s="1"/>
  <c r="H91" i="107"/>
  <c r="H91" i="111" s="1"/>
  <c r="I91" i="107"/>
  <c r="I91" i="111" s="1"/>
  <c r="J91" i="107"/>
  <c r="J91" i="111" s="1"/>
  <c r="K91" i="107"/>
  <c r="K91" i="111" s="1"/>
  <c r="L91" i="107"/>
  <c r="M91" i="107"/>
  <c r="M91" i="111" s="1"/>
  <c r="N91" i="107"/>
  <c r="N91" i="111" s="1"/>
  <c r="C92" i="107"/>
  <c r="C92" i="111" s="1"/>
  <c r="D92" i="107"/>
  <c r="E92" i="107"/>
  <c r="E92" i="111" s="1"/>
  <c r="F92" i="107"/>
  <c r="F92" i="111" s="1"/>
  <c r="G92" i="107"/>
  <c r="H92" i="107"/>
  <c r="I92" i="107"/>
  <c r="I92" i="111" s="1"/>
  <c r="J92" i="107"/>
  <c r="J92" i="111" s="1"/>
  <c r="K92" i="107"/>
  <c r="K92" i="111" s="1"/>
  <c r="L92" i="107"/>
  <c r="L92" i="111" s="1"/>
  <c r="M92" i="107"/>
  <c r="M92" i="111" s="1"/>
  <c r="N92" i="107"/>
  <c r="N92" i="111" s="1"/>
  <c r="C93" i="107"/>
  <c r="C93" i="111" s="1"/>
  <c r="D93" i="107"/>
  <c r="P93" i="107" s="1"/>
  <c r="E93" i="107"/>
  <c r="E93" i="111" s="1"/>
  <c r="F93" i="107"/>
  <c r="F93" i="111" s="1"/>
  <c r="G93" i="107"/>
  <c r="G93" i="111" s="1"/>
  <c r="H93" i="107"/>
  <c r="H93" i="111" s="1"/>
  <c r="I93" i="107"/>
  <c r="I93" i="111" s="1"/>
  <c r="J93" i="107"/>
  <c r="J93" i="111" s="1"/>
  <c r="K93" i="107"/>
  <c r="K93" i="111" s="1"/>
  <c r="L93" i="107"/>
  <c r="M93" i="107"/>
  <c r="M93" i="111" s="1"/>
  <c r="N93" i="107"/>
  <c r="N93" i="111" s="1"/>
  <c r="C94" i="107"/>
  <c r="D94" i="107"/>
  <c r="P94" i="107" s="1"/>
  <c r="E94" i="107"/>
  <c r="F94" i="107"/>
  <c r="G94" i="107"/>
  <c r="H94" i="107"/>
  <c r="I94" i="107"/>
  <c r="J94" i="107"/>
  <c r="K94" i="107"/>
  <c r="L94" i="107"/>
  <c r="M94" i="107"/>
  <c r="N94" i="107"/>
  <c r="C95" i="107"/>
  <c r="D95" i="107"/>
  <c r="E95" i="107"/>
  <c r="E95" i="111" s="1"/>
  <c r="F95" i="107"/>
  <c r="F95" i="111" s="1"/>
  <c r="G95" i="107"/>
  <c r="G95" i="111" s="1"/>
  <c r="H95" i="107"/>
  <c r="H95" i="111" s="1"/>
  <c r="I95" i="107"/>
  <c r="I95" i="111" s="1"/>
  <c r="J95" i="107"/>
  <c r="J95" i="111" s="1"/>
  <c r="K95" i="107"/>
  <c r="K95" i="111" s="1"/>
  <c r="L95" i="107"/>
  <c r="M95" i="107"/>
  <c r="M95" i="111" s="1"/>
  <c r="N95" i="107"/>
  <c r="N95" i="111" s="1"/>
  <c r="C96" i="107"/>
  <c r="P96" i="107" s="1"/>
  <c r="D96" i="107"/>
  <c r="E96" i="107"/>
  <c r="E96" i="111" s="1"/>
  <c r="F96" i="107"/>
  <c r="F96" i="111" s="1"/>
  <c r="G96" i="107"/>
  <c r="G96" i="111" s="1"/>
  <c r="H96" i="107"/>
  <c r="I96" i="107"/>
  <c r="I96" i="111" s="1"/>
  <c r="J96" i="107"/>
  <c r="J96" i="111" s="1"/>
  <c r="K96" i="107"/>
  <c r="K96" i="111" s="1"/>
  <c r="L96" i="107"/>
  <c r="L96" i="111" s="1"/>
  <c r="M96" i="107"/>
  <c r="M96" i="111" s="1"/>
  <c r="N96" i="107"/>
  <c r="N96" i="111" s="1"/>
  <c r="C97" i="107"/>
  <c r="C97" i="111" s="1"/>
  <c r="D97" i="107"/>
  <c r="E97" i="107"/>
  <c r="E97" i="111" s="1"/>
  <c r="F97" i="107"/>
  <c r="F97" i="111" s="1"/>
  <c r="G97" i="107"/>
  <c r="G97" i="111" s="1"/>
  <c r="H97" i="107"/>
  <c r="H97" i="111" s="1"/>
  <c r="I97" i="107"/>
  <c r="I97" i="111" s="1"/>
  <c r="J97" i="107"/>
  <c r="J97" i="111" s="1"/>
  <c r="K97" i="107"/>
  <c r="K97" i="111" s="1"/>
  <c r="L97" i="107"/>
  <c r="M97" i="107"/>
  <c r="M97" i="111" s="1"/>
  <c r="N97" i="107"/>
  <c r="C98" i="107"/>
  <c r="D98" i="107"/>
  <c r="E98" i="107"/>
  <c r="F98" i="107"/>
  <c r="G98" i="107"/>
  <c r="H98" i="107"/>
  <c r="I98" i="107"/>
  <c r="J98" i="107"/>
  <c r="K98" i="107"/>
  <c r="L98" i="107"/>
  <c r="M98" i="107"/>
  <c r="N98" i="107"/>
  <c r="C99" i="107"/>
  <c r="C99" i="111" s="1"/>
  <c r="D99" i="107"/>
  <c r="E99" i="107"/>
  <c r="E99" i="111" s="1"/>
  <c r="F99" i="107"/>
  <c r="F99" i="111" s="1"/>
  <c r="G99" i="107"/>
  <c r="G99" i="111" s="1"/>
  <c r="H99" i="107"/>
  <c r="H99" i="111" s="1"/>
  <c r="I99" i="107"/>
  <c r="I99" i="111" s="1"/>
  <c r="J99" i="107"/>
  <c r="J99" i="111" s="1"/>
  <c r="K99" i="107"/>
  <c r="K99" i="111" s="1"/>
  <c r="L99" i="107"/>
  <c r="M99" i="107"/>
  <c r="M99" i="111" s="1"/>
  <c r="N99" i="107"/>
  <c r="N99" i="111" s="1"/>
  <c r="C100" i="107"/>
  <c r="P100" i="107" s="1"/>
  <c r="D100" i="107"/>
  <c r="E100" i="107"/>
  <c r="E100" i="111" s="1"/>
  <c r="F100" i="107"/>
  <c r="F100" i="111" s="1"/>
  <c r="G100" i="107"/>
  <c r="G100" i="111" s="1"/>
  <c r="H100" i="107"/>
  <c r="I100" i="107"/>
  <c r="I100" i="111" s="1"/>
  <c r="J100" i="107"/>
  <c r="K100" i="107"/>
  <c r="L100" i="107"/>
  <c r="L100" i="111" s="1"/>
  <c r="M100" i="107"/>
  <c r="M100" i="111" s="1"/>
  <c r="N100" i="107"/>
  <c r="N100" i="111" s="1"/>
  <c r="C101" i="107"/>
  <c r="C101" i="111" s="1"/>
  <c r="D101" i="107"/>
  <c r="P101" i="107" s="1"/>
  <c r="E101" i="107"/>
  <c r="E101" i="111" s="1"/>
  <c r="F101" i="107"/>
  <c r="F101" i="111" s="1"/>
  <c r="G101" i="107"/>
  <c r="G101" i="111" s="1"/>
  <c r="H101" i="107"/>
  <c r="H101" i="111" s="1"/>
  <c r="I101" i="107"/>
  <c r="I101" i="111" s="1"/>
  <c r="J101" i="107"/>
  <c r="J101" i="111" s="1"/>
  <c r="K101" i="107"/>
  <c r="L101" i="107"/>
  <c r="M101" i="107"/>
  <c r="M101" i="111" s="1"/>
  <c r="N101" i="107"/>
  <c r="N101" i="111" s="1"/>
  <c r="C102" i="107"/>
  <c r="S33" i="107" s="1"/>
  <c r="D102" i="107"/>
  <c r="P102" i="107" s="1"/>
  <c r="E102" i="107"/>
  <c r="F102" i="107"/>
  <c r="G102" i="107"/>
  <c r="H102" i="107"/>
  <c r="I102" i="107"/>
  <c r="J102" i="107"/>
  <c r="K102" i="107"/>
  <c r="AA33" i="107" s="1"/>
  <c r="L102" i="107"/>
  <c r="M102" i="107"/>
  <c r="N102" i="107"/>
  <c r="C103" i="107"/>
  <c r="D103" i="107"/>
  <c r="E103" i="107"/>
  <c r="E103" i="111" s="1"/>
  <c r="F103" i="107"/>
  <c r="G103" i="107"/>
  <c r="H103" i="107"/>
  <c r="H103" i="111" s="1"/>
  <c r="I103" i="107"/>
  <c r="I103" i="111" s="1"/>
  <c r="J103" i="107"/>
  <c r="J103" i="111" s="1"/>
  <c r="K103" i="107"/>
  <c r="L103" i="107"/>
  <c r="M103" i="107"/>
  <c r="M103" i="111" s="1"/>
  <c r="N103" i="107"/>
  <c r="N103" i="111" s="1"/>
  <c r="D104" i="107"/>
  <c r="E104" i="107"/>
  <c r="E104" i="111" s="1"/>
  <c r="F104" i="107"/>
  <c r="F104" i="111" s="1"/>
  <c r="G104" i="107"/>
  <c r="H104" i="107"/>
  <c r="I104" i="107"/>
  <c r="I104" i="111" s="1"/>
  <c r="J104" i="107"/>
  <c r="J104" i="111" s="1"/>
  <c r="K104" i="107"/>
  <c r="L104" i="107"/>
  <c r="L104" i="111" s="1"/>
  <c r="M104" i="107"/>
  <c r="M104" i="111" s="1"/>
  <c r="N104" i="107"/>
  <c r="N104" i="111" s="1"/>
  <c r="C105" i="107"/>
  <c r="D105" i="107"/>
  <c r="D105" i="111" s="1"/>
  <c r="E105" i="107"/>
  <c r="F105" i="107"/>
  <c r="F105" i="111" s="1"/>
  <c r="G105" i="107"/>
  <c r="G105" i="111" s="1"/>
  <c r="H105" i="107"/>
  <c r="H105" i="111" s="1"/>
  <c r="I105" i="107"/>
  <c r="I105" i="111" s="1"/>
  <c r="J105" i="107"/>
  <c r="J105" i="111" s="1"/>
  <c r="K105" i="107"/>
  <c r="K105" i="111" s="1"/>
  <c r="L105" i="107"/>
  <c r="L105" i="111" s="1"/>
  <c r="M105" i="107"/>
  <c r="N105" i="107"/>
  <c r="D58" i="107"/>
  <c r="E58" i="107"/>
  <c r="F58" i="107"/>
  <c r="G58" i="107"/>
  <c r="H58" i="107"/>
  <c r="I58" i="107"/>
  <c r="J58" i="107"/>
  <c r="K58" i="107"/>
  <c r="L58" i="107"/>
  <c r="M58" i="107"/>
  <c r="N58" i="107"/>
  <c r="C57" i="107"/>
  <c r="C58" i="107"/>
  <c r="O58" i="107" s="1"/>
  <c r="P59" i="107"/>
  <c r="P63" i="107"/>
  <c r="P71" i="107"/>
  <c r="P79" i="107"/>
  <c r="P87" i="107"/>
  <c r="P95" i="107"/>
  <c r="P103" i="107"/>
  <c r="AF28" i="107" l="1"/>
  <c r="P91" i="111"/>
  <c r="L74" i="111"/>
  <c r="AB26" i="107"/>
  <c r="O74" i="107"/>
  <c r="D74" i="111"/>
  <c r="AB25" i="107"/>
  <c r="L70" i="111"/>
  <c r="X23" i="108"/>
  <c r="S32" i="107"/>
  <c r="AA31" i="107"/>
  <c r="K94" i="111"/>
  <c r="AA31" i="111" s="1"/>
  <c r="AA30" i="107"/>
  <c r="K90" i="111"/>
  <c r="AA30" i="111" s="1"/>
  <c r="P88" i="111"/>
  <c r="AA29" i="107"/>
  <c r="K86" i="111"/>
  <c r="AA29" i="111" s="1"/>
  <c r="S28" i="107"/>
  <c r="C82" i="111"/>
  <c r="S27" i="107"/>
  <c r="C78" i="111"/>
  <c r="P76" i="111"/>
  <c r="AA26" i="107"/>
  <c r="K74" i="111"/>
  <c r="AA26" i="111" s="1"/>
  <c r="AA25" i="107"/>
  <c r="K70" i="111"/>
  <c r="AA25" i="111" s="1"/>
  <c r="P68" i="111"/>
  <c r="AA24" i="107"/>
  <c r="K66" i="111"/>
  <c r="AA24" i="111" s="1"/>
  <c r="AA23" i="107"/>
  <c r="K62" i="111"/>
  <c r="AA23" i="111" s="1"/>
  <c r="AB22" i="108"/>
  <c r="W33" i="108"/>
  <c r="O105" i="108"/>
  <c r="AB22" i="107"/>
  <c r="T22" i="107"/>
  <c r="Z33" i="107"/>
  <c r="Z32" i="107"/>
  <c r="J94" i="111"/>
  <c r="Z31" i="111" s="1"/>
  <c r="Z31" i="107"/>
  <c r="Z30" i="107"/>
  <c r="J90" i="111"/>
  <c r="Z30" i="111" s="1"/>
  <c r="Z29" i="111"/>
  <c r="Z28" i="107"/>
  <c r="J82" i="111"/>
  <c r="Z28" i="111" s="1"/>
  <c r="Z27" i="107"/>
  <c r="J78" i="111"/>
  <c r="Z27" i="111" s="1"/>
  <c r="Z26" i="107"/>
  <c r="J74" i="111"/>
  <c r="Z26" i="111" s="1"/>
  <c r="J70" i="111"/>
  <c r="Z25" i="111" s="1"/>
  <c r="Z25" i="107"/>
  <c r="J66" i="111"/>
  <c r="Z24" i="111" s="1"/>
  <c r="Z24" i="107"/>
  <c r="Z23" i="107"/>
  <c r="J62" i="111"/>
  <c r="Z23" i="111" s="1"/>
  <c r="N59" i="111"/>
  <c r="F59" i="111"/>
  <c r="K102" i="111"/>
  <c r="AA33" i="111" s="1"/>
  <c r="C100" i="111"/>
  <c r="S32" i="111" s="1"/>
  <c r="Y25" i="107"/>
  <c r="T30" i="108"/>
  <c r="AB32" i="107"/>
  <c r="L98" i="111"/>
  <c r="O96" i="107"/>
  <c r="D96" i="111"/>
  <c r="AB24" i="107"/>
  <c r="L66" i="111"/>
  <c r="O66" i="107"/>
  <c r="T24" i="107"/>
  <c r="D66" i="111"/>
  <c r="AB23" i="107"/>
  <c r="L62" i="111"/>
  <c r="AB23" i="111" s="1"/>
  <c r="X33" i="108"/>
  <c r="P58" i="107"/>
  <c r="U22" i="107"/>
  <c r="E58" i="111"/>
  <c r="O104" i="107"/>
  <c r="D104" i="111"/>
  <c r="P104" i="111" s="1"/>
  <c r="AA32" i="107"/>
  <c r="S31" i="107"/>
  <c r="C94" i="111"/>
  <c r="S30" i="107"/>
  <c r="C90" i="111"/>
  <c r="S29" i="107"/>
  <c r="C86" i="111"/>
  <c r="P84" i="111"/>
  <c r="AA28" i="107"/>
  <c r="K82" i="111"/>
  <c r="AA28" i="111" s="1"/>
  <c r="AA27" i="107"/>
  <c r="K78" i="111"/>
  <c r="AA27" i="111" s="1"/>
  <c r="S26" i="107"/>
  <c r="C74" i="111"/>
  <c r="S25" i="107"/>
  <c r="C70" i="111"/>
  <c r="S24" i="107"/>
  <c r="C66" i="111"/>
  <c r="S23" i="107"/>
  <c r="T22" i="108"/>
  <c r="P59" i="108"/>
  <c r="P103" i="108"/>
  <c r="AD31" i="111"/>
  <c r="P92" i="107"/>
  <c r="P84" i="107"/>
  <c r="P76" i="107"/>
  <c r="P68" i="107"/>
  <c r="P60" i="107"/>
  <c r="AF27" i="107" s="1"/>
  <c r="Y33" i="107"/>
  <c r="I102" i="111"/>
  <c r="Y33" i="111" s="1"/>
  <c r="Y32" i="107"/>
  <c r="I98" i="111"/>
  <c r="Y32" i="111" s="1"/>
  <c r="I94" i="111"/>
  <c r="Y31" i="111" s="1"/>
  <c r="Y31" i="107"/>
  <c r="Y30" i="107"/>
  <c r="I90" i="111"/>
  <c r="Y30" i="111" s="1"/>
  <c r="Y29" i="107"/>
  <c r="I86" i="111"/>
  <c r="Y29" i="111" s="1"/>
  <c r="Y28" i="107"/>
  <c r="I82" i="111"/>
  <c r="Y28" i="111" s="1"/>
  <c r="I78" i="111"/>
  <c r="Y27" i="111" s="1"/>
  <c r="Y27" i="107"/>
  <c r="Y26" i="107"/>
  <c r="I74" i="111"/>
  <c r="Y26" i="111" s="1"/>
  <c r="Y25" i="111"/>
  <c r="Y24" i="107"/>
  <c r="I66" i="111"/>
  <c r="Y24" i="111" s="1"/>
  <c r="I62" i="111"/>
  <c r="Y23" i="111" s="1"/>
  <c r="Y23" i="107"/>
  <c r="M59" i="111"/>
  <c r="E59" i="111"/>
  <c r="P59" i="111" s="1"/>
  <c r="AC32" i="108"/>
  <c r="U32" i="108"/>
  <c r="AC28" i="108"/>
  <c r="U28" i="108"/>
  <c r="U26" i="108"/>
  <c r="J102" i="111"/>
  <c r="Z33" i="111" s="1"/>
  <c r="T26" i="107"/>
  <c r="O102" i="107"/>
  <c r="T33" i="107"/>
  <c r="D102" i="111"/>
  <c r="O100" i="107"/>
  <c r="D100" i="111"/>
  <c r="AB31" i="107"/>
  <c r="L94" i="111"/>
  <c r="L90" i="111"/>
  <c r="AB30" i="111" s="1"/>
  <c r="AB30" i="107"/>
  <c r="O86" i="107"/>
  <c r="T29" i="107"/>
  <c r="D86" i="111"/>
  <c r="AB28" i="107"/>
  <c r="L82" i="111"/>
  <c r="AB28" i="111" s="1"/>
  <c r="O78" i="107"/>
  <c r="T27" i="107"/>
  <c r="D78" i="111"/>
  <c r="X27" i="108"/>
  <c r="P91" i="107"/>
  <c r="P75" i="107"/>
  <c r="M105" i="111"/>
  <c r="X33" i="107"/>
  <c r="H102" i="111"/>
  <c r="X33" i="111" s="1"/>
  <c r="H100" i="111"/>
  <c r="L97" i="111"/>
  <c r="L95" i="111"/>
  <c r="L93" i="111"/>
  <c r="L91" i="111"/>
  <c r="X30" i="107"/>
  <c r="H90" i="111"/>
  <c r="O89" i="107"/>
  <c r="D89" i="111"/>
  <c r="O89" i="111" s="1"/>
  <c r="O87" i="107"/>
  <c r="D87" i="111"/>
  <c r="P87" i="111" s="1"/>
  <c r="L85" i="111"/>
  <c r="L83" i="111"/>
  <c r="X28" i="107"/>
  <c r="H82" i="111"/>
  <c r="L81" i="111"/>
  <c r="L79" i="111"/>
  <c r="O79" i="107"/>
  <c r="D79" i="111"/>
  <c r="O79" i="111" s="1"/>
  <c r="L77" i="111"/>
  <c r="O77" i="107"/>
  <c r="D77" i="111"/>
  <c r="L75" i="111"/>
  <c r="O75" i="107"/>
  <c r="D75" i="111"/>
  <c r="O75" i="111" s="1"/>
  <c r="X26" i="107"/>
  <c r="H74" i="111"/>
  <c r="X26" i="111" s="1"/>
  <c r="O73" i="107"/>
  <c r="D73" i="111"/>
  <c r="H72" i="111"/>
  <c r="O71" i="107"/>
  <c r="D71" i="111"/>
  <c r="P71" i="111" s="1"/>
  <c r="L69" i="111"/>
  <c r="O69" i="107"/>
  <c r="D69" i="111"/>
  <c r="O69" i="111" s="1"/>
  <c r="L67" i="111"/>
  <c r="O67" i="107"/>
  <c r="D67" i="111"/>
  <c r="L65" i="111"/>
  <c r="O65" i="107"/>
  <c r="AE32" i="107" s="1"/>
  <c r="D65" i="111"/>
  <c r="O65" i="111" s="1"/>
  <c r="L63" i="111"/>
  <c r="O63" i="111" s="1"/>
  <c r="O63" i="107"/>
  <c r="AE30" i="107" s="1"/>
  <c r="D63" i="111"/>
  <c r="L61" i="111"/>
  <c r="H60" i="111"/>
  <c r="L59" i="111"/>
  <c r="O59" i="107"/>
  <c r="AE25" i="107" s="1"/>
  <c r="D59" i="111"/>
  <c r="T28" i="108"/>
  <c r="C102" i="111"/>
  <c r="P98" i="107"/>
  <c r="P90" i="107"/>
  <c r="P82" i="107"/>
  <c r="P74" i="107"/>
  <c r="P66" i="107"/>
  <c r="AF33" i="107" s="1"/>
  <c r="Y22" i="107"/>
  <c r="I58" i="111"/>
  <c r="H104" i="111"/>
  <c r="K103" i="111"/>
  <c r="C103" i="111"/>
  <c r="W33" i="107"/>
  <c r="G102" i="111"/>
  <c r="W33" i="111" s="1"/>
  <c r="K101" i="111"/>
  <c r="W32" i="107"/>
  <c r="G98" i="111"/>
  <c r="W32" i="111" s="1"/>
  <c r="O97" i="111"/>
  <c r="W31" i="107"/>
  <c r="G94" i="111"/>
  <c r="W31" i="111" s="1"/>
  <c r="W30" i="107"/>
  <c r="G90" i="111"/>
  <c r="W30" i="111" s="1"/>
  <c r="P89" i="111"/>
  <c r="W29" i="107"/>
  <c r="G86" i="111"/>
  <c r="W29" i="111" s="1"/>
  <c r="W28" i="107"/>
  <c r="G82" i="111"/>
  <c r="W28" i="111" s="1"/>
  <c r="W27" i="107"/>
  <c r="G78" i="111"/>
  <c r="W27" i="111" s="1"/>
  <c r="O77" i="111"/>
  <c r="P77" i="111"/>
  <c r="W26" i="107"/>
  <c r="G74" i="111"/>
  <c r="W26" i="111" s="1"/>
  <c r="O73" i="111"/>
  <c r="P73" i="111"/>
  <c r="W25" i="107"/>
  <c r="G70" i="111"/>
  <c r="W25" i="111" s="1"/>
  <c r="O67" i="111"/>
  <c r="W24" i="107"/>
  <c r="G66" i="111"/>
  <c r="W24" i="111" s="1"/>
  <c r="P65" i="111"/>
  <c r="P63" i="111"/>
  <c r="G62" i="111"/>
  <c r="W23" i="111" s="1"/>
  <c r="W23" i="107"/>
  <c r="O59" i="111"/>
  <c r="X22" i="108"/>
  <c r="AA33" i="108"/>
  <c r="V22" i="107"/>
  <c r="F58" i="111"/>
  <c r="AB33" i="107"/>
  <c r="L102" i="111"/>
  <c r="AB33" i="111" s="1"/>
  <c r="O98" i="107"/>
  <c r="T32" i="107"/>
  <c r="D98" i="111"/>
  <c r="O98" i="111" s="1"/>
  <c r="O88" i="107"/>
  <c r="D88" i="111"/>
  <c r="O88" i="111" s="1"/>
  <c r="O84" i="107"/>
  <c r="D84" i="111"/>
  <c r="O84" i="111" s="1"/>
  <c r="O80" i="107"/>
  <c r="D80" i="111"/>
  <c r="P80" i="111" s="1"/>
  <c r="O76" i="107"/>
  <c r="D76" i="111"/>
  <c r="O72" i="107"/>
  <c r="D72" i="111"/>
  <c r="P72" i="111" s="1"/>
  <c r="O68" i="107"/>
  <c r="D68" i="111"/>
  <c r="O68" i="111" s="1"/>
  <c r="O64" i="107"/>
  <c r="AE31" i="107" s="1"/>
  <c r="D64" i="111"/>
  <c r="P64" i="111" s="1"/>
  <c r="AF26" i="107"/>
  <c r="L103" i="111"/>
  <c r="O101" i="107"/>
  <c r="D101" i="111"/>
  <c r="P101" i="111" s="1"/>
  <c r="O99" i="107"/>
  <c r="D99" i="111"/>
  <c r="P99" i="111" s="1"/>
  <c r="O97" i="107"/>
  <c r="D97" i="111"/>
  <c r="P97" i="111" s="1"/>
  <c r="X31" i="107"/>
  <c r="H94" i="111"/>
  <c r="O91" i="107"/>
  <c r="D91" i="111"/>
  <c r="O91" i="111" s="1"/>
  <c r="L87" i="111"/>
  <c r="O85" i="107"/>
  <c r="D85" i="111"/>
  <c r="O85" i="111" s="1"/>
  <c r="O83" i="107"/>
  <c r="D83" i="111"/>
  <c r="P83" i="111" s="1"/>
  <c r="H80" i="111"/>
  <c r="H78" i="111"/>
  <c r="X27" i="111" s="1"/>
  <c r="X27" i="107"/>
  <c r="H76" i="111"/>
  <c r="O76" i="111" s="1"/>
  <c r="L73" i="111"/>
  <c r="L71" i="111"/>
  <c r="H70" i="111"/>
  <c r="X25" i="111" s="1"/>
  <c r="X25" i="107"/>
  <c r="H68" i="111"/>
  <c r="X24" i="107"/>
  <c r="H66" i="111"/>
  <c r="X24" i="111" s="1"/>
  <c r="H64" i="111"/>
  <c r="H62" i="111"/>
  <c r="X23" i="111" s="1"/>
  <c r="X23" i="107"/>
  <c r="O61" i="107"/>
  <c r="D61" i="111"/>
  <c r="O61" i="111" s="1"/>
  <c r="P97" i="107"/>
  <c r="P89" i="107"/>
  <c r="P73" i="107"/>
  <c r="P65" i="107"/>
  <c r="S22" i="107"/>
  <c r="C58" i="111"/>
  <c r="X22" i="107"/>
  <c r="H58" i="111"/>
  <c r="C105" i="111"/>
  <c r="P105" i="107"/>
  <c r="O105" i="107"/>
  <c r="G104" i="111"/>
  <c r="AD33" i="107"/>
  <c r="N102" i="111"/>
  <c r="AD33" i="111" s="1"/>
  <c r="V33" i="107"/>
  <c r="F102" i="111"/>
  <c r="V33" i="111" s="1"/>
  <c r="AD32" i="107"/>
  <c r="N98" i="111"/>
  <c r="AD32" i="111" s="1"/>
  <c r="V32" i="107"/>
  <c r="F98" i="111"/>
  <c r="V32" i="111" s="1"/>
  <c r="AD31" i="107"/>
  <c r="V31" i="107"/>
  <c r="F94" i="111"/>
  <c r="V31" i="111" s="1"/>
  <c r="AD30" i="107"/>
  <c r="V30" i="107"/>
  <c r="F90" i="111"/>
  <c r="V30" i="111" s="1"/>
  <c r="AD29" i="107"/>
  <c r="V29" i="107"/>
  <c r="F86" i="111"/>
  <c r="V29" i="111" s="1"/>
  <c r="AD28" i="107"/>
  <c r="V28" i="107"/>
  <c r="F82" i="111"/>
  <c r="V28" i="111" s="1"/>
  <c r="AD27" i="107"/>
  <c r="V27" i="107"/>
  <c r="F78" i="111"/>
  <c r="V27" i="111" s="1"/>
  <c r="AD26" i="107"/>
  <c r="V26" i="107"/>
  <c r="F74" i="111"/>
  <c r="V26" i="111" s="1"/>
  <c r="AD25" i="107"/>
  <c r="V25" i="107"/>
  <c r="F70" i="111"/>
  <c r="V25" i="111" s="1"/>
  <c r="AD24" i="107"/>
  <c r="N66" i="111"/>
  <c r="AD24" i="111" s="1"/>
  <c r="F66" i="111"/>
  <c r="V24" i="111" s="1"/>
  <c r="V24" i="107"/>
  <c r="AD23" i="107"/>
  <c r="N62" i="111"/>
  <c r="AD23" i="111" s="1"/>
  <c r="J59" i="111"/>
  <c r="P58" i="108"/>
  <c r="S22" i="108"/>
  <c r="L58" i="111"/>
  <c r="AB22" i="111" s="1"/>
  <c r="K98" i="111"/>
  <c r="AA32" i="111" s="1"/>
  <c r="C96" i="111"/>
  <c r="P67" i="111"/>
  <c r="AD22" i="107"/>
  <c r="N58" i="111"/>
  <c r="O94" i="107"/>
  <c r="T31" i="107"/>
  <c r="D94" i="111"/>
  <c r="O92" i="107"/>
  <c r="D92" i="111"/>
  <c r="O92" i="111" s="1"/>
  <c r="O90" i="107"/>
  <c r="D90" i="111"/>
  <c r="AB29" i="107"/>
  <c r="L86" i="111"/>
  <c r="AB29" i="111" s="1"/>
  <c r="O82" i="107"/>
  <c r="D82" i="111"/>
  <c r="T28" i="107"/>
  <c r="AB27" i="107"/>
  <c r="L78" i="111"/>
  <c r="AB27" i="111" s="1"/>
  <c r="O70" i="107"/>
  <c r="T25" i="107"/>
  <c r="D70" i="111"/>
  <c r="T25" i="111" s="1"/>
  <c r="O62" i="107"/>
  <c r="T23" i="107"/>
  <c r="D62" i="111"/>
  <c r="T23" i="111" s="1"/>
  <c r="X32" i="108"/>
  <c r="X31" i="108"/>
  <c r="X30" i="108"/>
  <c r="X28" i="108"/>
  <c r="X26" i="108"/>
  <c r="P86" i="107"/>
  <c r="AC22" i="107"/>
  <c r="M58" i="111"/>
  <c r="AC22" i="111" s="1"/>
  <c r="P99" i="107"/>
  <c r="P83" i="107"/>
  <c r="P67" i="107"/>
  <c r="Z22" i="107"/>
  <c r="J58" i="111"/>
  <c r="Z22" i="111" s="1"/>
  <c r="E105" i="111"/>
  <c r="O103" i="107"/>
  <c r="D103" i="111"/>
  <c r="L101" i="111"/>
  <c r="L99" i="111"/>
  <c r="X32" i="107"/>
  <c r="H98" i="111"/>
  <c r="H96" i="111"/>
  <c r="O95" i="107"/>
  <c r="D95" i="111"/>
  <c r="P95" i="111" s="1"/>
  <c r="O93" i="107"/>
  <c r="D93" i="111"/>
  <c r="P93" i="111" s="1"/>
  <c r="H92" i="111"/>
  <c r="L89" i="111"/>
  <c r="H88" i="111"/>
  <c r="H86" i="111"/>
  <c r="X29" i="107"/>
  <c r="H84" i="111"/>
  <c r="O81" i="107"/>
  <c r="D81" i="111"/>
  <c r="P81" i="111" s="1"/>
  <c r="P104" i="107"/>
  <c r="P88" i="107"/>
  <c r="P80" i="107"/>
  <c r="P72" i="107"/>
  <c r="P64" i="107"/>
  <c r="W22" i="107"/>
  <c r="G58" i="111"/>
  <c r="W22" i="111" s="1"/>
  <c r="AC33" i="107"/>
  <c r="M102" i="111"/>
  <c r="AC33" i="111" s="1"/>
  <c r="U33" i="107"/>
  <c r="E102" i="111"/>
  <c r="AC32" i="107"/>
  <c r="M98" i="111"/>
  <c r="AC32" i="111" s="1"/>
  <c r="U32" i="107"/>
  <c r="E98" i="111"/>
  <c r="U32" i="111" s="1"/>
  <c r="AC31" i="107"/>
  <c r="M94" i="111"/>
  <c r="AC31" i="111" s="1"/>
  <c r="U31" i="107"/>
  <c r="E94" i="111"/>
  <c r="U31" i="111" s="1"/>
  <c r="AC30" i="107"/>
  <c r="M90" i="111"/>
  <c r="AC30" i="111" s="1"/>
  <c r="U30" i="107"/>
  <c r="E90" i="111"/>
  <c r="U30" i="111" s="1"/>
  <c r="AC29" i="107"/>
  <c r="M86" i="111"/>
  <c r="AC29" i="111" s="1"/>
  <c r="U29" i="107"/>
  <c r="E86" i="111"/>
  <c r="U29" i="111" s="1"/>
  <c r="AC28" i="107"/>
  <c r="M82" i="111"/>
  <c r="AC28" i="111" s="1"/>
  <c r="U28" i="107"/>
  <c r="E82" i="111"/>
  <c r="U28" i="111" s="1"/>
  <c r="AC27" i="107"/>
  <c r="M78" i="111"/>
  <c r="AC27" i="111" s="1"/>
  <c r="U27" i="107"/>
  <c r="E78" i="111"/>
  <c r="U27" i="111" s="1"/>
  <c r="AC26" i="107"/>
  <c r="M74" i="111"/>
  <c r="AC26" i="111" s="1"/>
  <c r="U26" i="107"/>
  <c r="E74" i="111"/>
  <c r="U26" i="111" s="1"/>
  <c r="AC25" i="107"/>
  <c r="M70" i="111"/>
  <c r="AC25" i="111" s="1"/>
  <c r="U25" i="107"/>
  <c r="E70" i="111"/>
  <c r="U25" i="111" s="1"/>
  <c r="M66" i="111"/>
  <c r="AC24" i="111" s="1"/>
  <c r="AC24" i="107"/>
  <c r="U24" i="107"/>
  <c r="E66" i="111"/>
  <c r="U24" i="111" s="1"/>
  <c r="M62" i="111"/>
  <c r="AC23" i="111" s="1"/>
  <c r="AC23" i="107"/>
  <c r="U23" i="107"/>
  <c r="E62" i="111"/>
  <c r="U23" i="111" s="1"/>
  <c r="I59" i="111"/>
  <c r="Y33" i="108"/>
  <c r="Y32" i="108"/>
  <c r="Y31" i="108"/>
  <c r="Y30" i="108"/>
  <c r="Y29" i="108"/>
  <c r="Y28" i="108"/>
  <c r="Y27" i="108"/>
  <c r="Y26" i="108"/>
  <c r="Y25" i="108"/>
  <c r="Y24" i="108"/>
  <c r="Y23" i="108"/>
  <c r="K58" i="111"/>
  <c r="AA22" i="111" s="1"/>
  <c r="J98" i="111"/>
  <c r="Z32" i="111" s="1"/>
  <c r="N90" i="111"/>
  <c r="AD30" i="111" s="1"/>
  <c r="N74" i="111"/>
  <c r="AD26" i="111" s="1"/>
  <c r="C62" i="111"/>
  <c r="O101" i="108"/>
  <c r="P99" i="108"/>
  <c r="W32" i="108"/>
  <c r="O97" i="108"/>
  <c r="P95" i="108"/>
  <c r="W31" i="108"/>
  <c r="O93" i="108"/>
  <c r="P91" i="108"/>
  <c r="W30" i="108"/>
  <c r="O89" i="108"/>
  <c r="P87" i="108"/>
  <c r="W29" i="108"/>
  <c r="O85" i="108"/>
  <c r="P83" i="108"/>
  <c r="W28" i="108"/>
  <c r="O81" i="108"/>
  <c r="P79" i="108"/>
  <c r="O77" i="108"/>
  <c r="P75" i="108"/>
  <c r="W26" i="108"/>
  <c r="O73" i="108"/>
  <c r="P71" i="108"/>
  <c r="W25" i="108"/>
  <c r="O69" i="108"/>
  <c r="P67" i="108"/>
  <c r="AF32" i="108" s="1"/>
  <c r="W24" i="108"/>
  <c r="O65" i="108"/>
  <c r="P63" i="108"/>
  <c r="W23" i="108"/>
  <c r="O61" i="108"/>
  <c r="AD33" i="108"/>
  <c r="V33" i="108"/>
  <c r="AD32" i="108"/>
  <c r="V32" i="108"/>
  <c r="AD31" i="108"/>
  <c r="V31" i="108"/>
  <c r="V30" i="108"/>
  <c r="AD29" i="108"/>
  <c r="V29" i="108"/>
  <c r="AD28" i="108"/>
  <c r="V28" i="108"/>
  <c r="AD27" i="108"/>
  <c r="V27" i="108"/>
  <c r="AD26" i="108"/>
  <c r="V26" i="108"/>
  <c r="AD25" i="108"/>
  <c r="V25" i="108"/>
  <c r="AD24" i="108"/>
  <c r="V24" i="108"/>
  <c r="AD23" i="108"/>
  <c r="V23" i="108"/>
  <c r="AC33" i="108"/>
  <c r="U33" i="108"/>
  <c r="AC31" i="108"/>
  <c r="U31" i="108"/>
  <c r="AC30" i="108"/>
  <c r="AC29" i="108"/>
  <c r="U29" i="108"/>
  <c r="AC27" i="108"/>
  <c r="U27" i="108"/>
  <c r="AC26" i="108"/>
  <c r="AC25" i="108"/>
  <c r="U25" i="108"/>
  <c r="AC24" i="108"/>
  <c r="U24" i="108"/>
  <c r="AC23" i="108"/>
  <c r="U23" i="108"/>
  <c r="AB33" i="108"/>
  <c r="T33" i="108"/>
  <c r="AB32" i="108"/>
  <c r="T32" i="108"/>
  <c r="AB31" i="108"/>
  <c r="T31" i="108"/>
  <c r="AB30" i="108"/>
  <c r="AB29" i="108"/>
  <c r="T29" i="108"/>
  <c r="AB28" i="108"/>
  <c r="AB27" i="108"/>
  <c r="T27" i="108"/>
  <c r="AB26" i="108"/>
  <c r="T26" i="108"/>
  <c r="AB25" i="108"/>
  <c r="T25" i="108"/>
  <c r="T24" i="108"/>
  <c r="AB23" i="108"/>
  <c r="T23" i="108"/>
  <c r="S33" i="108"/>
  <c r="AA32" i="108"/>
  <c r="S32" i="108"/>
  <c r="S31" i="108"/>
  <c r="AA30" i="108"/>
  <c r="S30" i="108"/>
  <c r="AA29" i="108"/>
  <c r="S29" i="108"/>
  <c r="AA28" i="108"/>
  <c r="S28" i="108"/>
  <c r="AA27" i="108"/>
  <c r="S27" i="108"/>
  <c r="S26" i="108"/>
  <c r="AA25" i="108"/>
  <c r="S25" i="108"/>
  <c r="S24" i="108"/>
  <c r="AA23" i="108"/>
  <c r="S23" i="108"/>
  <c r="O60" i="107"/>
  <c r="D60" i="111"/>
  <c r="O60" i="111" s="1"/>
  <c r="H59" i="111"/>
  <c r="U22" i="108"/>
  <c r="Z32" i="108"/>
  <c r="Z31" i="108"/>
  <c r="Z30" i="108"/>
  <c r="Z29" i="108"/>
  <c r="Z28" i="108"/>
  <c r="Z27" i="108"/>
  <c r="Z26" i="108"/>
  <c r="Z25" i="108"/>
  <c r="Z24" i="108"/>
  <c r="Z23" i="108"/>
  <c r="O58" i="108"/>
  <c r="O59" i="108"/>
  <c r="AE26" i="108" s="1"/>
  <c r="P104" i="108"/>
  <c r="P102" i="108"/>
  <c r="P100" i="108"/>
  <c r="P98" i="108"/>
  <c r="P96" i="108"/>
  <c r="P94" i="108"/>
  <c r="P92" i="108"/>
  <c r="P90" i="108"/>
  <c r="P88" i="108"/>
  <c r="P86" i="108"/>
  <c r="P84" i="108"/>
  <c r="P82" i="108"/>
  <c r="P80" i="108"/>
  <c r="P78" i="108"/>
  <c r="P76" i="108"/>
  <c r="P74" i="108"/>
  <c r="P72" i="108"/>
  <c r="P70" i="108"/>
  <c r="P68" i="108"/>
  <c r="P66" i="108"/>
  <c r="P64" i="108"/>
  <c r="P62" i="108"/>
  <c r="AF29" i="108" s="1"/>
  <c r="P60" i="108"/>
  <c r="AF27" i="108" s="1"/>
  <c r="O104" i="108"/>
  <c r="O102" i="108"/>
  <c r="O100" i="108"/>
  <c r="O98" i="108"/>
  <c r="O96" i="108"/>
  <c r="O94" i="108"/>
  <c r="O92" i="108"/>
  <c r="O90" i="108"/>
  <c r="O88" i="108"/>
  <c r="O86" i="108"/>
  <c r="O84" i="108"/>
  <c r="O82" i="108"/>
  <c r="O80" i="108"/>
  <c r="O78" i="108"/>
  <c r="O76" i="108"/>
  <c r="O74" i="108"/>
  <c r="O72" i="108"/>
  <c r="O70" i="108"/>
  <c r="O68" i="108"/>
  <c r="O66" i="108"/>
  <c r="O64" i="108"/>
  <c r="O62" i="108"/>
  <c r="O60" i="108"/>
  <c r="AE27" i="108" s="1"/>
  <c r="O30" i="95"/>
  <c r="S26" i="111" l="1"/>
  <c r="O74" i="111"/>
  <c r="P74" i="111"/>
  <c r="T22" i="111"/>
  <c r="AB25" i="111"/>
  <c r="P58" i="111"/>
  <c r="S22" i="111"/>
  <c r="O58" i="111"/>
  <c r="AE25" i="111" s="1"/>
  <c r="AF30" i="111"/>
  <c r="P96" i="111"/>
  <c r="O96" i="111"/>
  <c r="AE28" i="107"/>
  <c r="O81" i="111"/>
  <c r="T27" i="111"/>
  <c r="AF26" i="108"/>
  <c r="T28" i="111"/>
  <c r="T31" i="111"/>
  <c r="P61" i="111"/>
  <c r="AF28" i="111" s="1"/>
  <c r="AB31" i="111"/>
  <c r="U22" i="111"/>
  <c r="AB32" i="111"/>
  <c r="P60" i="111"/>
  <c r="S27" i="111"/>
  <c r="P78" i="111"/>
  <c r="O78" i="111"/>
  <c r="P79" i="111"/>
  <c r="P69" i="111"/>
  <c r="O64" i="111"/>
  <c r="AE27" i="107"/>
  <c r="T26" i="111"/>
  <c r="AF31" i="107"/>
  <c r="U33" i="111"/>
  <c r="X29" i="111"/>
  <c r="AE29" i="107"/>
  <c r="V22" i="111"/>
  <c r="P85" i="111"/>
  <c r="O93" i="111"/>
  <c r="O99" i="111"/>
  <c r="X28" i="111"/>
  <c r="X30" i="111"/>
  <c r="S24" i="111"/>
  <c r="O66" i="111"/>
  <c r="AE33" i="111" s="1"/>
  <c r="P66" i="111"/>
  <c r="AF33" i="111" s="1"/>
  <c r="O80" i="111"/>
  <c r="S30" i="111"/>
  <c r="P90" i="111"/>
  <c r="O90" i="111"/>
  <c r="T24" i="111"/>
  <c r="P75" i="111"/>
  <c r="P103" i="111"/>
  <c r="O103" i="111"/>
  <c r="S29" i="111"/>
  <c r="P86" i="111"/>
  <c r="O86" i="111"/>
  <c r="AE25" i="108"/>
  <c r="S23" i="111"/>
  <c r="P62" i="111"/>
  <c r="AF29" i="111" s="1"/>
  <c r="O62" i="111"/>
  <c r="AE29" i="111" s="1"/>
  <c r="AE28" i="108"/>
  <c r="X32" i="111"/>
  <c r="AF25" i="108"/>
  <c r="O105" i="111"/>
  <c r="P105" i="111"/>
  <c r="O101" i="111"/>
  <c r="Y22" i="111"/>
  <c r="O71" i="111"/>
  <c r="AF25" i="107"/>
  <c r="O72" i="111"/>
  <c r="P82" i="111"/>
  <c r="S28" i="111"/>
  <c r="O82" i="111"/>
  <c r="P92" i="111"/>
  <c r="P98" i="111"/>
  <c r="AB26" i="111"/>
  <c r="O104" i="111"/>
  <c r="AE32" i="108"/>
  <c r="AF32" i="107"/>
  <c r="AF32" i="111"/>
  <c r="AE26" i="107"/>
  <c r="AF30" i="107"/>
  <c r="AE29" i="108"/>
  <c r="AF31" i="108"/>
  <c r="AE31" i="108"/>
  <c r="AF33" i="108"/>
  <c r="AD22" i="111"/>
  <c r="X22" i="111"/>
  <c r="O87" i="111"/>
  <c r="T29" i="111"/>
  <c r="S25" i="111"/>
  <c r="P70" i="111"/>
  <c r="O70" i="111"/>
  <c r="S31" i="111"/>
  <c r="P94" i="111"/>
  <c r="O94" i="111"/>
  <c r="O95" i="111"/>
  <c r="AE33" i="107"/>
  <c r="AF28" i="108"/>
  <c r="O83" i="111"/>
  <c r="AE33" i="108"/>
  <c r="AF30" i="108"/>
  <c r="T30" i="111"/>
  <c r="X31" i="111"/>
  <c r="T32" i="111"/>
  <c r="S33" i="111"/>
  <c r="P102" i="111"/>
  <c r="O102" i="111"/>
  <c r="T33" i="111"/>
  <c r="AB24" i="111"/>
  <c r="O100" i="111"/>
  <c r="P100" i="111"/>
  <c r="AE30" i="108"/>
  <c r="AF29" i="107"/>
  <c r="C3" i="94"/>
  <c r="AF26" i="111" l="1"/>
  <c r="AE30" i="111"/>
  <c r="AF27" i="111"/>
  <c r="AF25" i="111"/>
  <c r="AF31" i="111"/>
  <c r="AE28" i="111"/>
  <c r="AE31" i="111"/>
  <c r="AE27" i="111"/>
  <c r="AE26" i="111"/>
  <c r="AE32" i="111"/>
  <c r="K6" i="98"/>
  <c r="K6" i="99" s="1"/>
  <c r="K6" i="100" s="1"/>
  <c r="K6" i="101" s="1"/>
  <c r="K6" i="109" s="1"/>
  <c r="K6" i="105" s="1"/>
  <c r="K6" i="110" s="1"/>
  <c r="K6" i="103" s="1"/>
  <c r="K5" i="103"/>
  <c r="G5" i="98"/>
  <c r="G5" i="99" s="1"/>
  <c r="G5" i="100" s="1"/>
  <c r="G5" i="101" s="1"/>
  <c r="G5" i="109" s="1"/>
  <c r="G5" i="105" s="1"/>
  <c r="G5" i="110" s="1"/>
  <c r="G5" i="103" s="1"/>
  <c r="K6" i="97"/>
  <c r="G5" i="97"/>
  <c r="K6" i="96"/>
  <c r="K6" i="95"/>
  <c r="K5" i="95"/>
  <c r="G5" i="95"/>
  <c r="K6" i="94"/>
  <c r="G5" i="94"/>
  <c r="G6" i="104"/>
  <c r="G6" i="108" s="1"/>
  <c r="G6" i="110"/>
  <c r="G6" i="100"/>
  <c r="G6" i="98"/>
  <c r="G6" i="109"/>
  <c r="G6" i="103"/>
  <c r="G6" i="107" s="1"/>
  <c r="G6" i="105"/>
  <c r="G6" i="101"/>
  <c r="G6" i="99"/>
  <c r="G6" i="97"/>
  <c r="G6" i="95"/>
  <c r="D6" i="104"/>
  <c r="D6" i="108" s="1"/>
  <c r="D6" i="110"/>
  <c r="D6" i="109"/>
  <c r="D6" i="100"/>
  <c r="D6" i="98"/>
  <c r="D6" i="103"/>
  <c r="D6" i="107" s="1"/>
  <c r="D6" i="105"/>
  <c r="D6" i="101"/>
  <c r="D6" i="99"/>
  <c r="D6" i="97"/>
  <c r="D6" i="95"/>
  <c r="D5" i="104"/>
  <c r="D5" i="110"/>
  <c r="D5" i="109"/>
  <c r="D5" i="100"/>
  <c r="D5" i="98"/>
  <c r="D5" i="96"/>
  <c r="D5" i="94"/>
  <c r="K6" i="107" l="1"/>
  <c r="K6" i="104"/>
  <c r="K6" i="108" s="1"/>
  <c r="K6" i="111" s="1"/>
  <c r="K5" i="104"/>
  <c r="K5" i="108" s="1"/>
  <c r="K5" i="111" s="1"/>
  <c r="K5" i="107"/>
  <c r="G5" i="107"/>
  <c r="G5" i="104"/>
  <c r="G5" i="108" s="1"/>
  <c r="G5" i="111" s="1"/>
  <c r="AC33" i="110"/>
  <c r="AA33" i="110"/>
  <c r="Y33" i="110"/>
  <c r="W33" i="110"/>
  <c r="U33" i="110"/>
  <c r="S33" i="110"/>
  <c r="AA32" i="110"/>
  <c r="W32" i="110"/>
  <c r="S32" i="110"/>
  <c r="AC31" i="110"/>
  <c r="AA31" i="110"/>
  <c r="Y31" i="110"/>
  <c r="W31" i="110"/>
  <c r="U31" i="110"/>
  <c r="S31" i="110"/>
  <c r="AA30" i="110"/>
  <c r="W30" i="110"/>
  <c r="S30" i="110"/>
  <c r="AC29" i="110"/>
  <c r="AA29" i="110"/>
  <c r="Y29" i="110"/>
  <c r="W29" i="110"/>
  <c r="U29" i="110"/>
  <c r="S29" i="110"/>
  <c r="AA28" i="110"/>
  <c r="W28" i="110"/>
  <c r="S28" i="110"/>
  <c r="AC27" i="110"/>
  <c r="AA27" i="110"/>
  <c r="Y27" i="110"/>
  <c r="W27" i="110"/>
  <c r="U27" i="110"/>
  <c r="S27" i="110"/>
  <c r="AA26" i="110"/>
  <c r="W26" i="110"/>
  <c r="S26" i="110"/>
  <c r="AC25" i="110"/>
  <c r="AA25" i="110"/>
  <c r="Y25" i="110"/>
  <c r="W25" i="110"/>
  <c r="U25" i="110"/>
  <c r="S25" i="110"/>
  <c r="AA24" i="110"/>
  <c r="W24" i="110"/>
  <c r="S24" i="110"/>
  <c r="AC23" i="110"/>
  <c r="AA23" i="110"/>
  <c r="Y23" i="110"/>
  <c r="W23" i="110"/>
  <c r="U23" i="110"/>
  <c r="S23" i="110"/>
  <c r="AA22" i="110"/>
  <c r="W22" i="110"/>
  <c r="S22" i="110"/>
  <c r="AA21" i="110"/>
  <c r="W21" i="110"/>
  <c r="S21" i="110"/>
  <c r="AA20" i="110"/>
  <c r="W20" i="110"/>
  <c r="S20" i="110"/>
  <c r="AA19" i="110"/>
  <c r="W19" i="110"/>
  <c r="S19" i="110"/>
  <c r="AA18" i="110"/>
  <c r="Y18" i="110"/>
  <c r="W18" i="110"/>
  <c r="U18" i="110"/>
  <c r="S18" i="110"/>
  <c r="AC17" i="110"/>
  <c r="AB17" i="110"/>
  <c r="AA17" i="110"/>
  <c r="Z17" i="110"/>
  <c r="Y17" i="110"/>
  <c r="X17" i="110"/>
  <c r="W17" i="110"/>
  <c r="V17" i="110"/>
  <c r="U17" i="110"/>
  <c r="T17" i="110"/>
  <c r="AD16" i="110"/>
  <c r="AC16" i="110"/>
  <c r="AB16" i="110"/>
  <c r="AA16" i="110"/>
  <c r="Z16" i="110"/>
  <c r="Y16" i="110"/>
  <c r="X16" i="110"/>
  <c r="W16" i="110"/>
  <c r="V16" i="110"/>
  <c r="U16" i="110"/>
  <c r="T16" i="110"/>
  <c r="S16" i="110"/>
  <c r="AD17" i="110"/>
  <c r="C3" i="110"/>
  <c r="AC33" i="109"/>
  <c r="AA33" i="109"/>
  <c r="Y33" i="109"/>
  <c r="W33" i="109"/>
  <c r="U33" i="109"/>
  <c r="AA32" i="109"/>
  <c r="Y32" i="109"/>
  <c r="W32" i="109"/>
  <c r="U32" i="109"/>
  <c r="S32" i="109"/>
  <c r="AC31" i="109"/>
  <c r="AA31" i="109"/>
  <c r="Y31" i="109"/>
  <c r="W31" i="109"/>
  <c r="U31" i="109"/>
  <c r="AC30" i="109"/>
  <c r="AA30" i="109"/>
  <c r="Y30" i="109"/>
  <c r="W30" i="109"/>
  <c r="U30" i="109"/>
  <c r="S30" i="109"/>
  <c r="AC29" i="109"/>
  <c r="AA29" i="109"/>
  <c r="Y29" i="109"/>
  <c r="W29" i="109"/>
  <c r="U29" i="109"/>
  <c r="AC28" i="109"/>
  <c r="AA28" i="109"/>
  <c r="Y28" i="109"/>
  <c r="W28" i="109"/>
  <c r="U28" i="109"/>
  <c r="S28" i="109"/>
  <c r="AC27" i="109"/>
  <c r="AA27" i="109"/>
  <c r="Y27" i="109"/>
  <c r="W27" i="109"/>
  <c r="U27" i="109"/>
  <c r="AC26" i="109"/>
  <c r="AA26" i="109"/>
  <c r="Y26" i="109"/>
  <c r="W26" i="109"/>
  <c r="U26" i="109"/>
  <c r="S26" i="109"/>
  <c r="AC25" i="109"/>
  <c r="AA25" i="109"/>
  <c r="Y25" i="109"/>
  <c r="W25" i="109"/>
  <c r="U25" i="109"/>
  <c r="AC24" i="109"/>
  <c r="AA24" i="109"/>
  <c r="Y24" i="109"/>
  <c r="W24" i="109"/>
  <c r="U24" i="109"/>
  <c r="S24" i="109"/>
  <c r="AC23" i="109"/>
  <c r="AA23" i="109"/>
  <c r="Y23" i="109"/>
  <c r="W23" i="109"/>
  <c r="U23" i="109"/>
  <c r="AC22" i="109"/>
  <c r="AA22" i="109"/>
  <c r="Y22" i="109"/>
  <c r="W22" i="109"/>
  <c r="S22" i="109"/>
  <c r="AC21" i="109"/>
  <c r="AA21" i="109"/>
  <c r="Y21" i="109"/>
  <c r="W21" i="109"/>
  <c r="U21" i="109"/>
  <c r="S21" i="109"/>
  <c r="AC20" i="109"/>
  <c r="AA20" i="109"/>
  <c r="Y20" i="109"/>
  <c r="W20" i="109"/>
  <c r="U20" i="109"/>
  <c r="S20" i="109"/>
  <c r="AC19" i="109"/>
  <c r="AA19" i="109"/>
  <c r="Y19" i="109"/>
  <c r="W19" i="109"/>
  <c r="U19" i="109"/>
  <c r="U39" i="109" s="1"/>
  <c r="S19" i="109"/>
  <c r="AC18" i="109"/>
  <c r="AA18" i="109"/>
  <c r="Y18" i="109"/>
  <c r="W18" i="109"/>
  <c r="U18" i="109"/>
  <c r="S18" i="109"/>
  <c r="AB17" i="109"/>
  <c r="AA17" i="109"/>
  <c r="Z17" i="109"/>
  <c r="Y17" i="109"/>
  <c r="X17" i="109"/>
  <c r="W17" i="109"/>
  <c r="V17" i="109"/>
  <c r="U17" i="109"/>
  <c r="T17" i="109"/>
  <c r="AD16" i="109"/>
  <c r="AC16" i="109"/>
  <c r="AB16" i="109"/>
  <c r="AA16" i="109"/>
  <c r="Z16" i="109"/>
  <c r="Y16" i="109"/>
  <c r="X16" i="109"/>
  <c r="W16" i="109"/>
  <c r="V16" i="109"/>
  <c r="U16" i="109"/>
  <c r="T16" i="109"/>
  <c r="Z15" i="109"/>
  <c r="AD14" i="109"/>
  <c r="AD17" i="109"/>
  <c r="C3" i="109"/>
  <c r="C3" i="104"/>
  <c r="C3" i="103"/>
  <c r="C3" i="105"/>
  <c r="C3" i="101"/>
  <c r="C3" i="100"/>
  <c r="C3" i="99"/>
  <c r="C3" i="98"/>
  <c r="C3" i="97"/>
  <c r="AC33" i="105"/>
  <c r="AB33" i="105"/>
  <c r="Z33" i="105"/>
  <c r="Y33" i="105"/>
  <c r="X33" i="105"/>
  <c r="W33" i="105"/>
  <c r="V33" i="105"/>
  <c r="U33" i="105"/>
  <c r="T33" i="105"/>
  <c r="AD32" i="105"/>
  <c r="AC32" i="105"/>
  <c r="AB32" i="105"/>
  <c r="AA32" i="105"/>
  <c r="Z32" i="105"/>
  <c r="Y32" i="105"/>
  <c r="X32" i="105"/>
  <c r="W32" i="105"/>
  <c r="V32" i="105"/>
  <c r="U32" i="105"/>
  <c r="T32" i="105"/>
  <c r="AD31" i="105"/>
  <c r="AC31" i="105"/>
  <c r="AB31" i="105"/>
  <c r="AA31" i="105"/>
  <c r="Z31" i="105"/>
  <c r="Y31" i="105"/>
  <c r="X31" i="105"/>
  <c r="W31" i="105"/>
  <c r="V31" i="105"/>
  <c r="U31" i="105"/>
  <c r="T31" i="105"/>
  <c r="AD30" i="105"/>
  <c r="AC30" i="105"/>
  <c r="AB30" i="105"/>
  <c r="AA30" i="105"/>
  <c r="Z30" i="105"/>
  <c r="Y30" i="105"/>
  <c r="X30" i="105"/>
  <c r="W30" i="105"/>
  <c r="V30" i="105"/>
  <c r="U30" i="105"/>
  <c r="T30" i="105"/>
  <c r="AC29" i="105"/>
  <c r="AB29" i="105"/>
  <c r="AA29" i="105"/>
  <c r="Z29" i="105"/>
  <c r="Y29" i="105"/>
  <c r="X29" i="105"/>
  <c r="W29" i="105"/>
  <c r="V29" i="105"/>
  <c r="U29" i="105"/>
  <c r="T29" i="105"/>
  <c r="AD28" i="105"/>
  <c r="AC28" i="105"/>
  <c r="AB28" i="105"/>
  <c r="AA28" i="105"/>
  <c r="Z28" i="105"/>
  <c r="Y28" i="105"/>
  <c r="X28" i="105"/>
  <c r="W28" i="105"/>
  <c r="V28" i="105"/>
  <c r="U28" i="105"/>
  <c r="T28" i="105"/>
  <c r="AD27" i="105"/>
  <c r="AC27" i="105"/>
  <c r="AB27" i="105"/>
  <c r="AA27" i="105"/>
  <c r="Z27" i="105"/>
  <c r="Y27" i="105"/>
  <c r="X27" i="105"/>
  <c r="W27" i="105"/>
  <c r="V27" i="105"/>
  <c r="U27" i="105"/>
  <c r="T27" i="105"/>
  <c r="AD26" i="105"/>
  <c r="AC26" i="105"/>
  <c r="AB26" i="105"/>
  <c r="AA26" i="105"/>
  <c r="Z26" i="105"/>
  <c r="Y26" i="105"/>
  <c r="X26" i="105"/>
  <c r="W26" i="105"/>
  <c r="V26" i="105"/>
  <c r="U26" i="105"/>
  <c r="T26" i="105"/>
  <c r="AD25" i="105"/>
  <c r="AC25" i="105"/>
  <c r="AB25" i="105"/>
  <c r="AA25" i="105"/>
  <c r="Z25" i="105"/>
  <c r="Y25" i="105"/>
  <c r="X25" i="105"/>
  <c r="W25" i="105"/>
  <c r="V25" i="105"/>
  <c r="U25" i="105"/>
  <c r="T25" i="105"/>
  <c r="AD24" i="105"/>
  <c r="AC24" i="105"/>
  <c r="AB24" i="105"/>
  <c r="AA24" i="105"/>
  <c r="Z24" i="105"/>
  <c r="X24" i="105"/>
  <c r="W24" i="105"/>
  <c r="V24" i="105"/>
  <c r="U24" i="105"/>
  <c r="T24" i="105"/>
  <c r="AD23" i="105"/>
  <c r="AC23" i="105"/>
  <c r="AB23" i="105"/>
  <c r="AA23" i="105"/>
  <c r="Z23" i="105"/>
  <c r="Y23" i="105"/>
  <c r="X23" i="105"/>
  <c r="V23" i="105"/>
  <c r="U23" i="105"/>
  <c r="AD22" i="105"/>
  <c r="AC22" i="105"/>
  <c r="AB22" i="105"/>
  <c r="AA22" i="105"/>
  <c r="Z22" i="105"/>
  <c r="Y22" i="105"/>
  <c r="X22" i="105"/>
  <c r="W22" i="105"/>
  <c r="V22" i="105"/>
  <c r="U22" i="105"/>
  <c r="T22" i="105"/>
  <c r="S22" i="105"/>
  <c r="AD21" i="105"/>
  <c r="AC21" i="105"/>
  <c r="AB21" i="105"/>
  <c r="AA21" i="105"/>
  <c r="Z21" i="105"/>
  <c r="Y21" i="105"/>
  <c r="X21" i="105"/>
  <c r="W21" i="105"/>
  <c r="V21" i="105"/>
  <c r="U21" i="105"/>
  <c r="T21" i="105"/>
  <c r="AD20" i="105"/>
  <c r="AC20" i="105"/>
  <c r="AA20" i="105"/>
  <c r="Z20" i="105"/>
  <c r="Y20" i="105"/>
  <c r="X20" i="105"/>
  <c r="W20" i="105"/>
  <c r="V20" i="105"/>
  <c r="S20" i="105"/>
  <c r="AD19" i="105"/>
  <c r="AD39" i="105" s="1"/>
  <c r="AC19" i="105"/>
  <c r="AB19" i="105"/>
  <c r="AA19" i="105"/>
  <c r="AA39" i="105" s="1"/>
  <c r="Z19" i="105"/>
  <c r="Y19" i="105"/>
  <c r="X19" i="105"/>
  <c r="W19" i="105"/>
  <c r="V19" i="105"/>
  <c r="V39" i="105" s="1"/>
  <c r="U19" i="105"/>
  <c r="T19" i="105"/>
  <c r="S19" i="105"/>
  <c r="AD18" i="105"/>
  <c r="AC18" i="105"/>
  <c r="AB18" i="105"/>
  <c r="AA18" i="105"/>
  <c r="Z18" i="105"/>
  <c r="Y18" i="105"/>
  <c r="X18" i="105"/>
  <c r="W18" i="105"/>
  <c r="V18" i="105"/>
  <c r="U18" i="105"/>
  <c r="T18" i="105"/>
  <c r="S18" i="105"/>
  <c r="AD17" i="105"/>
  <c r="AC17" i="105"/>
  <c r="AB17" i="105"/>
  <c r="AA17" i="105"/>
  <c r="Z17" i="105"/>
  <c r="Y17" i="105"/>
  <c r="X17" i="105"/>
  <c r="W17" i="105"/>
  <c r="V17" i="105"/>
  <c r="U17" i="105"/>
  <c r="T17" i="105"/>
  <c r="S17" i="105"/>
  <c r="AD16" i="105"/>
  <c r="AC16" i="105"/>
  <c r="AB16" i="105"/>
  <c r="AA16" i="105"/>
  <c r="Z16" i="105"/>
  <c r="Y16" i="105"/>
  <c r="X16" i="105"/>
  <c r="W16" i="105"/>
  <c r="V16" i="105"/>
  <c r="U16" i="105"/>
  <c r="T16" i="105"/>
  <c r="S16" i="105"/>
  <c r="AD33" i="105"/>
  <c r="X12" i="105"/>
  <c r="AB11" i="105"/>
  <c r="X11" i="105"/>
  <c r="T11" i="105"/>
  <c r="AA21" i="104"/>
  <c r="AC20" i="104"/>
  <c r="AA20" i="104"/>
  <c r="Y20" i="104"/>
  <c r="W20" i="104"/>
  <c r="U20" i="104"/>
  <c r="AA19" i="104"/>
  <c r="AC18" i="104"/>
  <c r="AA18" i="104"/>
  <c r="Y18" i="104"/>
  <c r="W18" i="104"/>
  <c r="U18" i="104"/>
  <c r="AA17" i="104"/>
  <c r="AC16" i="104"/>
  <c r="AA16" i="104"/>
  <c r="Y16" i="104"/>
  <c r="W16" i="104"/>
  <c r="U16" i="104"/>
  <c r="AA15" i="104"/>
  <c r="AD14" i="104"/>
  <c r="AC14" i="104"/>
  <c r="AB14" i="104"/>
  <c r="AA14" i="104"/>
  <c r="Z14" i="104"/>
  <c r="Y14" i="104"/>
  <c r="X14" i="104"/>
  <c r="W14" i="104"/>
  <c r="V14" i="104"/>
  <c r="U14" i="104"/>
  <c r="S14" i="104"/>
  <c r="AC13" i="104"/>
  <c r="AA13" i="104"/>
  <c r="Y13" i="104"/>
  <c r="W13" i="104"/>
  <c r="U13" i="104"/>
  <c r="AD12" i="104"/>
  <c r="Z12" i="104"/>
  <c r="V12" i="104"/>
  <c r="AD11" i="104"/>
  <c r="Z11" i="104"/>
  <c r="V11" i="104"/>
  <c r="AB16" i="103"/>
  <c r="Z16" i="103"/>
  <c r="X16" i="103"/>
  <c r="V16" i="103"/>
  <c r="T16" i="103"/>
  <c r="AD15" i="103"/>
  <c r="AB15" i="103"/>
  <c r="Z15" i="103"/>
  <c r="X15" i="103"/>
  <c r="V15" i="103"/>
  <c r="T15" i="103"/>
  <c r="AD14" i="103"/>
  <c r="AC14" i="103"/>
  <c r="AA14" i="103"/>
  <c r="Z14" i="103"/>
  <c r="Y14" i="103"/>
  <c r="W14" i="103"/>
  <c r="V14" i="103"/>
  <c r="U14" i="103"/>
  <c r="AD13" i="103"/>
  <c r="Z13" i="103"/>
  <c r="V13" i="103"/>
  <c r="AD21" i="103"/>
  <c r="AC21" i="103"/>
  <c r="AB21" i="103"/>
  <c r="AA21" i="103"/>
  <c r="Z21" i="103"/>
  <c r="Y21" i="103"/>
  <c r="X21" i="103"/>
  <c r="W21" i="103"/>
  <c r="V21" i="103"/>
  <c r="U21" i="103"/>
  <c r="T21" i="103"/>
  <c r="S21" i="103"/>
  <c r="AD20" i="103"/>
  <c r="AC20" i="103"/>
  <c r="AB20" i="103"/>
  <c r="AA20" i="103"/>
  <c r="Z20" i="103"/>
  <c r="Y20" i="103"/>
  <c r="X20" i="103"/>
  <c r="W20" i="103"/>
  <c r="V20" i="103"/>
  <c r="U20" i="103"/>
  <c r="T20" i="103"/>
  <c r="S20" i="103"/>
  <c r="AD19" i="103"/>
  <c r="AC19" i="103"/>
  <c r="AB19" i="103"/>
  <c r="AA19" i="103"/>
  <c r="Z19" i="103"/>
  <c r="Z27" i="103" s="1"/>
  <c r="Y19" i="103"/>
  <c r="X19" i="103"/>
  <c r="X27" i="103" s="1"/>
  <c r="W19" i="103"/>
  <c r="W27" i="103" s="1"/>
  <c r="V19" i="103"/>
  <c r="U19" i="103"/>
  <c r="U24" i="103" s="1"/>
  <c r="T19" i="103"/>
  <c r="S19" i="103"/>
  <c r="AD18" i="103"/>
  <c r="AC18" i="103"/>
  <c r="AB18" i="103"/>
  <c r="AA18" i="103"/>
  <c r="Z18" i="103"/>
  <c r="Y18" i="103"/>
  <c r="X18" i="103"/>
  <c r="W18" i="103"/>
  <c r="V18" i="103"/>
  <c r="U18" i="103"/>
  <c r="T18" i="103"/>
  <c r="S18" i="103"/>
  <c r="AD12" i="103"/>
  <c r="AC12" i="103"/>
  <c r="AB12" i="103"/>
  <c r="AA12" i="103"/>
  <c r="Z12" i="103"/>
  <c r="Y12" i="103"/>
  <c r="X12" i="103"/>
  <c r="W12" i="103"/>
  <c r="V12" i="103"/>
  <c r="U12" i="103"/>
  <c r="T12" i="103"/>
  <c r="AD17" i="103"/>
  <c r="AC17" i="103"/>
  <c r="AB17" i="103"/>
  <c r="AA17" i="103"/>
  <c r="Z17" i="103"/>
  <c r="Y17" i="103"/>
  <c r="X17" i="103"/>
  <c r="W17" i="103"/>
  <c r="V17" i="103"/>
  <c r="U17" i="103"/>
  <c r="T17" i="103"/>
  <c r="S17" i="103"/>
  <c r="AD16" i="103"/>
  <c r="AD21" i="101"/>
  <c r="AC21" i="101"/>
  <c r="AB21" i="101"/>
  <c r="AA21" i="101"/>
  <c r="Z21" i="101"/>
  <c r="Y21" i="101"/>
  <c r="W21" i="101"/>
  <c r="V21" i="101"/>
  <c r="U21" i="101"/>
  <c r="T21" i="101"/>
  <c r="S21" i="101"/>
  <c r="AD20" i="101"/>
  <c r="AC20" i="101"/>
  <c r="AB20" i="101"/>
  <c r="AA20" i="101"/>
  <c r="Z20" i="101"/>
  <c r="Y20" i="101"/>
  <c r="X20" i="101"/>
  <c r="W20" i="101"/>
  <c r="V20" i="101"/>
  <c r="U20" i="101"/>
  <c r="T20" i="101"/>
  <c r="S20" i="101"/>
  <c r="AD19" i="101"/>
  <c r="AC19" i="101"/>
  <c r="AB19" i="101"/>
  <c r="AA19" i="101"/>
  <c r="Z19" i="101"/>
  <c r="Y19" i="101"/>
  <c r="X19" i="101"/>
  <c r="W19" i="101"/>
  <c r="W39" i="101" s="1"/>
  <c r="V19" i="101"/>
  <c r="V39" i="101" s="1"/>
  <c r="U19" i="101"/>
  <c r="T19" i="101"/>
  <c r="S19" i="101"/>
  <c r="AD18" i="101"/>
  <c r="AC18" i="101"/>
  <c r="AB18" i="101"/>
  <c r="AA18" i="101"/>
  <c r="Z18" i="101"/>
  <c r="Y18" i="101"/>
  <c r="X18" i="101"/>
  <c r="W18" i="101"/>
  <c r="V18" i="101"/>
  <c r="U18" i="101"/>
  <c r="T18" i="101"/>
  <c r="S18" i="101"/>
  <c r="AD17" i="101"/>
  <c r="AC17" i="101"/>
  <c r="AB17" i="101"/>
  <c r="AA17" i="101"/>
  <c r="Y17" i="101"/>
  <c r="X17" i="101"/>
  <c r="W17" i="101"/>
  <c r="V17" i="101"/>
  <c r="U17" i="101"/>
  <c r="T17" i="101"/>
  <c r="AD16" i="101"/>
  <c r="AC16" i="101"/>
  <c r="AB16" i="101"/>
  <c r="AA16" i="101"/>
  <c r="Z16" i="101"/>
  <c r="Y16" i="101"/>
  <c r="X16" i="101"/>
  <c r="W16" i="101"/>
  <c r="V16" i="101"/>
  <c r="U16" i="101"/>
  <c r="T16" i="101"/>
  <c r="S16" i="101"/>
  <c r="AD15" i="101"/>
  <c r="AC15" i="101"/>
  <c r="AB15" i="101"/>
  <c r="AA15" i="101"/>
  <c r="Z15" i="101"/>
  <c r="X15" i="101"/>
  <c r="W15" i="101"/>
  <c r="V15" i="101"/>
  <c r="T15" i="101"/>
  <c r="S15" i="101"/>
  <c r="AD14" i="101"/>
  <c r="AC14" i="101"/>
  <c r="AA14" i="101"/>
  <c r="Z14" i="101"/>
  <c r="W14" i="101"/>
  <c r="U14" i="101"/>
  <c r="AD13" i="101"/>
  <c r="V13" i="101"/>
  <c r="AA21" i="100"/>
  <c r="AC20" i="100"/>
  <c r="AA20" i="100"/>
  <c r="Y20" i="100"/>
  <c r="W20" i="100"/>
  <c r="AA19" i="100"/>
  <c r="AC18" i="100"/>
  <c r="AA18" i="100"/>
  <c r="Y18" i="100"/>
  <c r="W18" i="100"/>
  <c r="U18" i="100"/>
  <c r="AA17" i="100"/>
  <c r="AC16" i="100"/>
  <c r="Y16" i="100"/>
  <c r="W16" i="100"/>
  <c r="U16" i="100"/>
  <c r="AA15" i="100"/>
  <c r="AD14" i="100"/>
  <c r="AC14" i="100"/>
  <c r="AB14" i="100"/>
  <c r="AA14" i="100"/>
  <c r="Z14" i="100"/>
  <c r="X14" i="100"/>
  <c r="W14" i="100"/>
  <c r="V14" i="100"/>
  <c r="U14" i="100"/>
  <c r="S14" i="100"/>
  <c r="AC13" i="100"/>
  <c r="AA13" i="100"/>
  <c r="W13" i="100"/>
  <c r="U13" i="100"/>
  <c r="AB12" i="100"/>
  <c r="T12" i="100"/>
  <c r="AB11" i="100"/>
  <c r="X11" i="100"/>
  <c r="T11" i="100"/>
  <c r="AD21" i="99"/>
  <c r="AC21" i="99"/>
  <c r="AB21" i="99"/>
  <c r="AA21" i="99"/>
  <c r="Z21" i="99"/>
  <c r="Y21" i="99"/>
  <c r="X21" i="99"/>
  <c r="W21" i="99"/>
  <c r="V21" i="99"/>
  <c r="U21" i="99"/>
  <c r="T21" i="99"/>
  <c r="S21" i="99"/>
  <c r="AD20" i="99"/>
  <c r="AA20" i="99"/>
  <c r="Z20" i="99"/>
  <c r="W20" i="99"/>
  <c r="V20" i="99"/>
  <c r="U20" i="99"/>
  <c r="T20" i="99"/>
  <c r="S20" i="99"/>
  <c r="AD19" i="99"/>
  <c r="AD27" i="99" s="1"/>
  <c r="AC19" i="99"/>
  <c r="AB19" i="99"/>
  <c r="AA19" i="99"/>
  <c r="Z19" i="99"/>
  <c r="Y19" i="99"/>
  <c r="X19" i="99"/>
  <c r="W19" i="99"/>
  <c r="W27" i="99" s="1"/>
  <c r="V19" i="99"/>
  <c r="V27" i="99" s="1"/>
  <c r="U19" i="99"/>
  <c r="T19" i="99"/>
  <c r="T27" i="99" s="1"/>
  <c r="S19" i="99"/>
  <c r="AD18" i="99"/>
  <c r="AC18" i="99"/>
  <c r="AB18" i="99"/>
  <c r="AA18" i="99"/>
  <c r="Z18" i="99"/>
  <c r="Y18" i="99"/>
  <c r="X18" i="99"/>
  <c r="W18" i="99"/>
  <c r="V18" i="99"/>
  <c r="U18" i="99"/>
  <c r="T18" i="99"/>
  <c r="S18" i="99"/>
  <c r="AD17" i="99"/>
  <c r="AC17" i="99"/>
  <c r="AB17" i="99"/>
  <c r="AA17" i="99"/>
  <c r="Z17" i="99"/>
  <c r="Y17" i="99"/>
  <c r="X17" i="99"/>
  <c r="W17" i="99"/>
  <c r="V17" i="99"/>
  <c r="U17" i="99"/>
  <c r="T17" i="99"/>
  <c r="S17" i="99"/>
  <c r="AD16" i="99"/>
  <c r="AC16" i="99"/>
  <c r="AB16" i="99"/>
  <c r="AA16" i="99"/>
  <c r="Z16" i="99"/>
  <c r="Y16" i="99"/>
  <c r="X16" i="99"/>
  <c r="V16" i="99"/>
  <c r="U16" i="99"/>
  <c r="T16" i="99"/>
  <c r="S16" i="99"/>
  <c r="AD15" i="99"/>
  <c r="AC15" i="99"/>
  <c r="AB15" i="99"/>
  <c r="AA15" i="99"/>
  <c r="Z15" i="99"/>
  <c r="Y15" i="99"/>
  <c r="X15" i="99"/>
  <c r="W15" i="99"/>
  <c r="V15" i="99"/>
  <c r="T15" i="99"/>
  <c r="S15" i="99"/>
  <c r="AD14" i="99"/>
  <c r="AC14" i="99"/>
  <c r="AA14" i="99"/>
  <c r="Z14" i="99"/>
  <c r="Y14" i="99"/>
  <c r="W14" i="99"/>
  <c r="U14" i="99"/>
  <c r="V13" i="99"/>
  <c r="AC21" i="98"/>
  <c r="AB21" i="98"/>
  <c r="AA21" i="98"/>
  <c r="Y21" i="98"/>
  <c r="X21" i="98"/>
  <c r="W21" i="98"/>
  <c r="U21" i="98"/>
  <c r="AC20" i="98"/>
  <c r="AB20" i="98"/>
  <c r="AA20" i="98"/>
  <c r="Z20" i="98"/>
  <c r="Y20" i="98"/>
  <c r="X20" i="98"/>
  <c r="V20" i="98"/>
  <c r="U20" i="98"/>
  <c r="T20" i="98"/>
  <c r="AD19" i="98"/>
  <c r="AC19" i="98"/>
  <c r="AA19" i="98"/>
  <c r="Y19" i="98"/>
  <c r="X19" i="98"/>
  <c r="W19" i="98"/>
  <c r="V19" i="98"/>
  <c r="U19" i="98"/>
  <c r="T19" i="98"/>
  <c r="AC18" i="98"/>
  <c r="AB18" i="98"/>
  <c r="AA18" i="98"/>
  <c r="Z18" i="98"/>
  <c r="Y18" i="98"/>
  <c r="X18" i="98"/>
  <c r="W18" i="98"/>
  <c r="U18" i="98"/>
  <c r="AD17" i="98"/>
  <c r="AC17" i="98"/>
  <c r="AA17" i="98"/>
  <c r="Z17" i="98"/>
  <c r="Y17" i="98"/>
  <c r="X17" i="98"/>
  <c r="W17" i="98"/>
  <c r="V17" i="98"/>
  <c r="U17" i="98"/>
  <c r="T17" i="98"/>
  <c r="AD16" i="98"/>
  <c r="AB16" i="98"/>
  <c r="AA16" i="98"/>
  <c r="Z16" i="98"/>
  <c r="Y16" i="98"/>
  <c r="X16" i="98"/>
  <c r="W16" i="98"/>
  <c r="V16" i="98"/>
  <c r="U16" i="98"/>
  <c r="T16" i="98"/>
  <c r="AD15" i="98"/>
  <c r="AC15" i="98"/>
  <c r="AB15" i="98"/>
  <c r="AA15" i="98"/>
  <c r="Z15" i="98"/>
  <c r="Y15" i="98"/>
  <c r="X15" i="98"/>
  <c r="W15" i="98"/>
  <c r="U15" i="98"/>
  <c r="T15" i="98"/>
  <c r="AD14" i="98"/>
  <c r="AC14" i="98"/>
  <c r="AB14" i="98"/>
  <c r="AA14" i="98"/>
  <c r="Z14" i="98"/>
  <c r="Y14" i="98"/>
  <c r="X14" i="98"/>
  <c r="W14" i="98"/>
  <c r="U14" i="98"/>
  <c r="T14" i="98"/>
  <c r="AC13" i="98"/>
  <c r="AB13" i="98"/>
  <c r="AA13" i="98"/>
  <c r="Z13" i="98"/>
  <c r="Y13" i="98"/>
  <c r="X13" i="98"/>
  <c r="W13" i="98"/>
  <c r="V13" i="98"/>
  <c r="U13" i="98"/>
  <c r="T13" i="98"/>
  <c r="AD21" i="98"/>
  <c r="AC18" i="97"/>
  <c r="AA18" i="97"/>
  <c r="Z18" i="97"/>
  <c r="Y18" i="97"/>
  <c r="X18" i="97"/>
  <c r="W18" i="97"/>
  <c r="V18" i="97"/>
  <c r="U18" i="97"/>
  <c r="T18" i="97"/>
  <c r="AD17" i="97"/>
  <c r="AC17" i="97"/>
  <c r="AB17" i="97"/>
  <c r="AA17" i="97"/>
  <c r="Z17" i="97"/>
  <c r="Y17" i="97"/>
  <c r="X17" i="97"/>
  <c r="V17" i="97"/>
  <c r="T17" i="97"/>
  <c r="S17" i="97"/>
  <c r="AB16" i="97"/>
  <c r="AA16" i="97"/>
  <c r="Z16" i="97"/>
  <c r="Y16" i="97"/>
  <c r="W16" i="97"/>
  <c r="V16" i="97"/>
  <c r="U16" i="97"/>
  <c r="T16" i="97"/>
  <c r="S16" i="97"/>
  <c r="AD15" i="97"/>
  <c r="AC15" i="97"/>
  <c r="AB15" i="97"/>
  <c r="AA15" i="97"/>
  <c r="Z15" i="97"/>
  <c r="X15" i="97"/>
  <c r="W15" i="97"/>
  <c r="V15" i="97"/>
  <c r="U15" i="97"/>
  <c r="T15" i="97"/>
  <c r="S15" i="97"/>
  <c r="AD14" i="97"/>
  <c r="AC14" i="97"/>
  <c r="AB14" i="97"/>
  <c r="AA14" i="97"/>
  <c r="Z14" i="97"/>
  <c r="Y14" i="97"/>
  <c r="X14" i="97"/>
  <c r="W14" i="97"/>
  <c r="U14" i="97"/>
  <c r="T14" i="97"/>
  <c r="S14" i="97"/>
  <c r="AD13" i="97"/>
  <c r="AC13" i="97"/>
  <c r="AB13" i="97"/>
  <c r="AA13" i="97"/>
  <c r="Z13" i="97"/>
  <c r="Y13" i="97"/>
  <c r="X13" i="97"/>
  <c r="W13" i="97"/>
  <c r="U13" i="97"/>
  <c r="T13" i="97"/>
  <c r="AD21" i="97"/>
  <c r="AC21" i="97"/>
  <c r="AB21" i="97"/>
  <c r="AA21" i="97"/>
  <c r="Z21" i="97"/>
  <c r="Y21" i="97"/>
  <c r="X21" i="97"/>
  <c r="W21" i="97"/>
  <c r="V21" i="97"/>
  <c r="U21" i="97"/>
  <c r="T21" i="97"/>
  <c r="S21" i="97"/>
  <c r="AD20" i="97"/>
  <c r="AC20" i="97"/>
  <c r="AB20" i="97"/>
  <c r="AA20" i="97"/>
  <c r="Z20" i="97"/>
  <c r="Y20" i="97"/>
  <c r="X20" i="97"/>
  <c r="W20" i="97"/>
  <c r="V20" i="97"/>
  <c r="U20" i="97"/>
  <c r="T20" i="97"/>
  <c r="S20" i="97"/>
  <c r="AD19" i="97"/>
  <c r="AD27" i="97" s="1"/>
  <c r="AC19" i="97"/>
  <c r="AB19" i="97"/>
  <c r="AA19" i="97"/>
  <c r="Z19" i="97"/>
  <c r="Y19" i="97"/>
  <c r="X19" i="97"/>
  <c r="X27" i="97" s="1"/>
  <c r="W19" i="97"/>
  <c r="V19" i="97"/>
  <c r="V27" i="97" s="1"/>
  <c r="U19" i="97"/>
  <c r="T19" i="97"/>
  <c r="S19" i="97"/>
  <c r="AD18" i="97"/>
  <c r="W17" i="97"/>
  <c r="AC11" i="97"/>
  <c r="AC21" i="96"/>
  <c r="AB21" i="96"/>
  <c r="AA21" i="96"/>
  <c r="Z21" i="96"/>
  <c r="X21" i="96"/>
  <c r="W21" i="96"/>
  <c r="V21" i="96"/>
  <c r="U21" i="96"/>
  <c r="T21" i="96"/>
  <c r="AD20" i="96"/>
  <c r="AC20" i="96"/>
  <c r="AB20" i="96"/>
  <c r="AA20" i="96"/>
  <c r="Z20" i="96"/>
  <c r="Y20" i="96"/>
  <c r="X20" i="96"/>
  <c r="V20" i="96"/>
  <c r="U20" i="96"/>
  <c r="T20" i="96"/>
  <c r="AD19" i="96"/>
  <c r="AC19" i="96"/>
  <c r="AB19" i="96"/>
  <c r="AA19" i="96"/>
  <c r="Z19" i="96"/>
  <c r="Y19" i="96"/>
  <c r="X19" i="96"/>
  <c r="W19" i="96"/>
  <c r="V19" i="96"/>
  <c r="U19" i="96"/>
  <c r="T19" i="96"/>
  <c r="AD18" i="96"/>
  <c r="AC18" i="96"/>
  <c r="AB18" i="96"/>
  <c r="Z18" i="96"/>
  <c r="X18" i="96"/>
  <c r="W18" i="96"/>
  <c r="V18" i="96"/>
  <c r="U18" i="96"/>
  <c r="T18" i="96"/>
  <c r="AD17" i="96"/>
  <c r="AC17" i="96"/>
  <c r="AB17" i="96"/>
  <c r="AA17" i="96"/>
  <c r="Z17" i="96"/>
  <c r="Y17" i="96"/>
  <c r="X17" i="96"/>
  <c r="V17" i="96"/>
  <c r="T17" i="96"/>
  <c r="AB16" i="96"/>
  <c r="AA16" i="96"/>
  <c r="Z16" i="96"/>
  <c r="X16" i="96"/>
  <c r="V16" i="96"/>
  <c r="U16" i="96"/>
  <c r="AD15" i="96"/>
  <c r="AC15" i="96"/>
  <c r="AB15" i="96"/>
  <c r="AA15" i="96"/>
  <c r="Z15" i="96"/>
  <c r="Y15" i="96"/>
  <c r="W15" i="96"/>
  <c r="V15" i="96"/>
  <c r="U15" i="96"/>
  <c r="T15" i="96"/>
  <c r="AD14" i="96"/>
  <c r="AB14" i="96"/>
  <c r="AA14" i="96"/>
  <c r="Z14" i="96"/>
  <c r="Y14" i="96"/>
  <c r="X14" i="96"/>
  <c r="W14" i="96"/>
  <c r="V14" i="96"/>
  <c r="T14" i="96"/>
  <c r="AD13" i="96"/>
  <c r="AC13" i="96"/>
  <c r="AA13" i="96"/>
  <c r="Z13" i="96"/>
  <c r="Y13" i="96"/>
  <c r="X13" i="96"/>
  <c r="W13" i="96"/>
  <c r="V13" i="96"/>
  <c r="U13" i="96"/>
  <c r="T13" i="96"/>
  <c r="AD21" i="96"/>
  <c r="AB21" i="95"/>
  <c r="AA21" i="95"/>
  <c r="Z21" i="95"/>
  <c r="Y21" i="95"/>
  <c r="X21" i="95"/>
  <c r="U21" i="95"/>
  <c r="T21" i="95"/>
  <c r="AD20" i="95"/>
  <c r="AB20" i="95"/>
  <c r="AA20" i="95"/>
  <c r="Z20" i="95"/>
  <c r="Y20" i="95"/>
  <c r="X20" i="95"/>
  <c r="W20" i="95"/>
  <c r="V20" i="95"/>
  <c r="T20" i="95"/>
  <c r="S20" i="95"/>
  <c r="AD19" i="95"/>
  <c r="AC19" i="95"/>
  <c r="AB19" i="95"/>
  <c r="AA19" i="95"/>
  <c r="Y19" i="95"/>
  <c r="X19" i="95"/>
  <c r="W19" i="95"/>
  <c r="U19" i="95"/>
  <c r="AD18" i="95"/>
  <c r="AB18" i="95"/>
  <c r="AA18" i="95"/>
  <c r="Y18" i="95"/>
  <c r="X18" i="95"/>
  <c r="W18" i="95"/>
  <c r="V18" i="95"/>
  <c r="U18" i="95"/>
  <c r="T18" i="95"/>
  <c r="AD17" i="95"/>
  <c r="AA17" i="95"/>
  <c r="Z17" i="95"/>
  <c r="Y17" i="95"/>
  <c r="X17" i="95"/>
  <c r="W17" i="95"/>
  <c r="V17" i="95"/>
  <c r="U17" i="95"/>
  <c r="T17" i="95"/>
  <c r="AD16" i="95"/>
  <c r="AA16" i="95"/>
  <c r="Z16" i="95"/>
  <c r="X16" i="95"/>
  <c r="W16" i="95"/>
  <c r="V16" i="95"/>
  <c r="U16" i="95"/>
  <c r="T16" i="95"/>
  <c r="AD15" i="95"/>
  <c r="AC15" i="95"/>
  <c r="AA15" i="95"/>
  <c r="Z15" i="95"/>
  <c r="Y15" i="95"/>
  <c r="X15" i="95"/>
  <c r="W15" i="95"/>
  <c r="U15" i="95"/>
  <c r="T15" i="95"/>
  <c r="AD14" i="95"/>
  <c r="AC14" i="95"/>
  <c r="AA14" i="95"/>
  <c r="Z14" i="95"/>
  <c r="Y14" i="95"/>
  <c r="X14" i="95"/>
  <c r="W14" i="95"/>
  <c r="V14" i="95"/>
  <c r="T14" i="95"/>
  <c r="AD13" i="95"/>
  <c r="AC13" i="95"/>
  <c r="AB13" i="95"/>
  <c r="AA13" i="95"/>
  <c r="W13" i="95"/>
  <c r="V13" i="95"/>
  <c r="U13" i="95"/>
  <c r="T13" i="95"/>
  <c r="AD21" i="95"/>
  <c r="AC20" i="95"/>
  <c r="T19" i="95"/>
  <c r="Z27" i="97" l="1"/>
  <c r="AD38" i="101"/>
  <c r="Y27" i="103"/>
  <c r="AC39" i="109"/>
  <c r="T27" i="97"/>
  <c r="AB27" i="97"/>
  <c r="S27" i="103"/>
  <c r="AA27" i="103"/>
  <c r="W39" i="105"/>
  <c r="S27" i="99"/>
  <c r="T27" i="103"/>
  <c r="AB27" i="103"/>
  <c r="X39" i="105"/>
  <c r="V27" i="103"/>
  <c r="AD27" i="103"/>
  <c r="Z39" i="105"/>
  <c r="Y39" i="109"/>
  <c r="AA27" i="99"/>
  <c r="AA39" i="101"/>
  <c r="S39" i="101"/>
  <c r="AA26" i="95"/>
  <c r="X26" i="98"/>
  <c r="Z39" i="101"/>
  <c r="AB39" i="101"/>
  <c r="AD39" i="101"/>
  <c r="W26" i="95"/>
  <c r="AD26" i="95"/>
  <c r="C3" i="108"/>
  <c r="C3" i="111"/>
  <c r="C3" i="107"/>
  <c r="X15" i="96"/>
  <c r="X23" i="96" s="1"/>
  <c r="AD16" i="97"/>
  <c r="AD23" i="97" s="1"/>
  <c r="U20" i="100"/>
  <c r="T20" i="105"/>
  <c r="T39" i="105" s="1"/>
  <c r="AC17" i="95"/>
  <c r="AB13" i="96"/>
  <c r="AB26" i="96" s="1"/>
  <c r="AB16" i="95"/>
  <c r="T18" i="98"/>
  <c r="T26" i="98" s="1"/>
  <c r="Z21" i="98"/>
  <c r="T16" i="96"/>
  <c r="T26" i="96" s="1"/>
  <c r="AB20" i="99"/>
  <c r="AB27" i="99" s="1"/>
  <c r="X21" i="101"/>
  <c r="X39" i="101" s="1"/>
  <c r="U20" i="105"/>
  <c r="U39" i="105" s="1"/>
  <c r="AA33" i="105"/>
  <c r="U22" i="109"/>
  <c r="W20" i="96"/>
  <c r="W24" i="96" s="1"/>
  <c r="V14" i="101"/>
  <c r="V38" i="101" s="1"/>
  <c r="Y13" i="95"/>
  <c r="V14" i="97"/>
  <c r="S17" i="101"/>
  <c r="T23" i="105"/>
  <c r="Z27" i="99"/>
  <c r="Y16" i="96"/>
  <c r="AC32" i="109"/>
  <c r="AC18" i="110"/>
  <c r="W21" i="95"/>
  <c r="AC21" i="95"/>
  <c r="AC24" i="95" s="1"/>
  <c r="AB17" i="98"/>
  <c r="AB23" i="98" s="1"/>
  <c r="W16" i="96"/>
  <c r="AB26" i="98"/>
  <c r="AD18" i="98"/>
  <c r="AC16" i="97"/>
  <c r="AB19" i="98"/>
  <c r="AB27" i="98" s="1"/>
  <c r="S14" i="94"/>
  <c r="S15" i="94"/>
  <c r="W15" i="94"/>
  <c r="S16" i="94"/>
  <c r="W17" i="94"/>
  <c r="W19" i="94"/>
  <c r="AA19" i="94"/>
  <c r="S20" i="94"/>
  <c r="U20" i="94"/>
  <c r="W20" i="94"/>
  <c r="Y20" i="94"/>
  <c r="AA20" i="94"/>
  <c r="AC21" i="94"/>
  <c r="AC14" i="96"/>
  <c r="W14" i="94"/>
  <c r="S17" i="94"/>
  <c r="S18" i="94"/>
  <c r="S19" i="94"/>
  <c r="AC19" i="94"/>
  <c r="S21" i="94"/>
  <c r="U21" i="94"/>
  <c r="W21" i="94"/>
  <c r="Y21" i="94"/>
  <c r="X12" i="100"/>
  <c r="S39" i="110"/>
  <c r="AA39" i="110"/>
  <c r="T12" i="110"/>
  <c r="V12" i="110"/>
  <c r="X12" i="110"/>
  <c r="Z12" i="110"/>
  <c r="AB12" i="110"/>
  <c r="AD12" i="110"/>
  <c r="U12" i="110"/>
  <c r="W12" i="110"/>
  <c r="Y12" i="110"/>
  <c r="AA12" i="110"/>
  <c r="AC12" i="110"/>
  <c r="P21" i="110"/>
  <c r="T13" i="110"/>
  <c r="V13" i="110"/>
  <c r="X13" i="110"/>
  <c r="Z13" i="110"/>
  <c r="AB13" i="110"/>
  <c r="AD13" i="110"/>
  <c r="U13" i="110"/>
  <c r="W13" i="110"/>
  <c r="Y13" i="110"/>
  <c r="AA13" i="110"/>
  <c r="AC13" i="110"/>
  <c r="P25" i="110"/>
  <c r="T14" i="110"/>
  <c r="V14" i="110"/>
  <c r="X14" i="110"/>
  <c r="Z14" i="110"/>
  <c r="AB14" i="110"/>
  <c r="AD14" i="110"/>
  <c r="U14" i="110"/>
  <c r="W14" i="110"/>
  <c r="Y14" i="110"/>
  <c r="AA14" i="110"/>
  <c r="AC14" i="110"/>
  <c r="P29" i="110"/>
  <c r="T15" i="110"/>
  <c r="V15" i="110"/>
  <c r="X15" i="110"/>
  <c r="Z15" i="110"/>
  <c r="AB15" i="110"/>
  <c r="AD15" i="110"/>
  <c r="U15" i="110"/>
  <c r="W15" i="110"/>
  <c r="Y15" i="110"/>
  <c r="AA15" i="110"/>
  <c r="AC15" i="110"/>
  <c r="P33" i="110"/>
  <c r="P45" i="110"/>
  <c r="P49" i="110"/>
  <c r="P53" i="110"/>
  <c r="P59" i="110"/>
  <c r="P63" i="110"/>
  <c r="P67" i="110"/>
  <c r="P71" i="110"/>
  <c r="P75" i="110"/>
  <c r="P79" i="110"/>
  <c r="P83" i="110"/>
  <c r="P87" i="110"/>
  <c r="P91" i="110"/>
  <c r="X20" i="99"/>
  <c r="X27" i="99" s="1"/>
  <c r="F13" i="108"/>
  <c r="J13" i="108"/>
  <c r="N13" i="108"/>
  <c r="J14" i="108"/>
  <c r="N14" i="108"/>
  <c r="F15" i="108"/>
  <c r="N15" i="108"/>
  <c r="J16" i="108"/>
  <c r="F17" i="108"/>
  <c r="N17" i="108"/>
  <c r="J18" i="108"/>
  <c r="N18" i="108"/>
  <c r="F19" i="108"/>
  <c r="N19" i="108"/>
  <c r="F20" i="108"/>
  <c r="J20" i="108"/>
  <c r="F21" i="108"/>
  <c r="AB15" i="95"/>
  <c r="U17" i="97"/>
  <c r="U26" i="97" s="1"/>
  <c r="J21" i="108"/>
  <c r="N21" i="108"/>
  <c r="J22" i="108"/>
  <c r="N22" i="108"/>
  <c r="F23" i="108"/>
  <c r="N23" i="108"/>
  <c r="J24" i="108"/>
  <c r="H46" i="108"/>
  <c r="J46" i="108"/>
  <c r="L46" i="108"/>
  <c r="N46" i="108"/>
  <c r="D47" i="108"/>
  <c r="F47" i="108"/>
  <c r="H47" i="108"/>
  <c r="J47" i="108"/>
  <c r="L47" i="108"/>
  <c r="N47" i="108"/>
  <c r="D48" i="108"/>
  <c r="F48" i="108"/>
  <c r="H48" i="108"/>
  <c r="J48" i="108"/>
  <c r="L48" i="108"/>
  <c r="N48" i="108"/>
  <c r="D49" i="108"/>
  <c r="F49" i="108"/>
  <c r="H49" i="108"/>
  <c r="J49" i="108"/>
  <c r="L49" i="108"/>
  <c r="N49" i="108"/>
  <c r="D50" i="108"/>
  <c r="F50" i="108"/>
  <c r="H50" i="108"/>
  <c r="J50" i="108"/>
  <c r="L50" i="108"/>
  <c r="N50" i="108"/>
  <c r="D51" i="108"/>
  <c r="F51" i="108"/>
  <c r="H51" i="108"/>
  <c r="J51" i="108"/>
  <c r="L51" i="108"/>
  <c r="N51" i="108"/>
  <c r="D52" i="108"/>
  <c r="F52" i="108"/>
  <c r="H52" i="108"/>
  <c r="J52" i="108"/>
  <c r="L52" i="108"/>
  <c r="N52" i="108"/>
  <c r="D53" i="108"/>
  <c r="F53" i="108"/>
  <c r="H53" i="108"/>
  <c r="J53" i="108"/>
  <c r="L53" i="108"/>
  <c r="N53" i="108"/>
  <c r="D54" i="108"/>
  <c r="F54" i="108"/>
  <c r="H54" i="108"/>
  <c r="J54" i="108"/>
  <c r="L54" i="108"/>
  <c r="N54" i="108"/>
  <c r="D55" i="108"/>
  <c r="F55" i="108"/>
  <c r="H55" i="108"/>
  <c r="J55" i="108"/>
  <c r="L55" i="108"/>
  <c r="N55" i="108"/>
  <c r="D56" i="108"/>
  <c r="F56" i="108"/>
  <c r="H56" i="108"/>
  <c r="J56" i="108"/>
  <c r="L56" i="108"/>
  <c r="N56" i="108"/>
  <c r="D57" i="108"/>
  <c r="F57" i="108"/>
  <c r="H57" i="108"/>
  <c r="J57" i="108"/>
  <c r="L57" i="108"/>
  <c r="N57" i="108"/>
  <c r="I47" i="108"/>
  <c r="M48" i="108"/>
  <c r="I51" i="108"/>
  <c r="M52" i="108"/>
  <c r="I55" i="108"/>
  <c r="M56" i="108"/>
  <c r="E10" i="108"/>
  <c r="G10" i="108"/>
  <c r="I10" i="108"/>
  <c r="K10" i="108"/>
  <c r="M10" i="108"/>
  <c r="C11" i="108"/>
  <c r="E11" i="108"/>
  <c r="G11" i="108"/>
  <c r="I11" i="108"/>
  <c r="K11" i="108"/>
  <c r="M11" i="108"/>
  <c r="C13" i="108"/>
  <c r="E13" i="108"/>
  <c r="G13" i="108"/>
  <c r="I13" i="108"/>
  <c r="K13" i="108"/>
  <c r="M13" i="108"/>
  <c r="C14" i="108"/>
  <c r="E14" i="108"/>
  <c r="G14" i="108"/>
  <c r="I14" i="108"/>
  <c r="K14" i="108"/>
  <c r="M14" i="108"/>
  <c r="C15" i="108"/>
  <c r="E15" i="108"/>
  <c r="G15" i="108"/>
  <c r="I15" i="108"/>
  <c r="K15" i="108"/>
  <c r="M15" i="108"/>
  <c r="C16" i="108"/>
  <c r="E16" i="108"/>
  <c r="G16" i="108"/>
  <c r="I16" i="108"/>
  <c r="K16" i="108"/>
  <c r="M16" i="108"/>
  <c r="C17" i="108"/>
  <c r="E17" i="108"/>
  <c r="G17" i="108"/>
  <c r="I17" i="108"/>
  <c r="K17" i="108"/>
  <c r="M17" i="108"/>
  <c r="C18" i="108"/>
  <c r="E18" i="108"/>
  <c r="G18" i="108"/>
  <c r="I18" i="108"/>
  <c r="K18" i="108"/>
  <c r="M18" i="108"/>
  <c r="C24" i="108"/>
  <c r="E24" i="108"/>
  <c r="G24" i="108"/>
  <c r="I24" i="108"/>
  <c r="K24" i="108"/>
  <c r="M24" i="108"/>
  <c r="C25" i="108"/>
  <c r="E25" i="108"/>
  <c r="G25" i="108"/>
  <c r="I25" i="108"/>
  <c r="K25" i="108"/>
  <c r="M25" i="108"/>
  <c r="E26" i="108"/>
  <c r="I26" i="108"/>
  <c r="M26" i="108"/>
  <c r="C27" i="108"/>
  <c r="E27" i="108"/>
  <c r="G27" i="108"/>
  <c r="I27" i="108"/>
  <c r="K27" i="108"/>
  <c r="M27" i="108"/>
  <c r="C28" i="108"/>
  <c r="E28" i="108"/>
  <c r="G28" i="108"/>
  <c r="I28" i="108"/>
  <c r="K28" i="108"/>
  <c r="M28" i="108"/>
  <c r="C29" i="108"/>
  <c r="E29" i="108"/>
  <c r="G29" i="108"/>
  <c r="I29" i="108"/>
  <c r="K29" i="108"/>
  <c r="M29" i="108"/>
  <c r="E30" i="108"/>
  <c r="I30" i="108"/>
  <c r="M30" i="108"/>
  <c r="C31" i="108"/>
  <c r="E31" i="108"/>
  <c r="G31" i="108"/>
  <c r="I31" i="108"/>
  <c r="K31" i="108"/>
  <c r="M31" i="108"/>
  <c r="C32" i="108"/>
  <c r="E32" i="108"/>
  <c r="G32" i="108"/>
  <c r="I32" i="108"/>
  <c r="K32" i="108"/>
  <c r="M32" i="108"/>
  <c r="C33" i="108"/>
  <c r="E33" i="108"/>
  <c r="G33" i="108"/>
  <c r="I33" i="108"/>
  <c r="K33" i="108"/>
  <c r="M33" i="108"/>
  <c r="E34" i="108"/>
  <c r="G34" i="108"/>
  <c r="I34" i="108"/>
  <c r="M34" i="108"/>
  <c r="C35" i="108"/>
  <c r="E35" i="108"/>
  <c r="G35" i="108"/>
  <c r="I35" i="108"/>
  <c r="K35" i="108"/>
  <c r="M35" i="108"/>
  <c r="C36" i="108"/>
  <c r="E36" i="108"/>
  <c r="G36" i="108"/>
  <c r="I36" i="108"/>
  <c r="P23" i="110"/>
  <c r="S13" i="110"/>
  <c r="P31" i="110"/>
  <c r="S15" i="110"/>
  <c r="K36" i="108"/>
  <c r="M36" i="108"/>
  <c r="C37" i="108"/>
  <c r="E37" i="108"/>
  <c r="G37" i="108"/>
  <c r="I37" i="108"/>
  <c r="K37" i="108"/>
  <c r="M37" i="108"/>
  <c r="E38" i="108"/>
  <c r="I38" i="108"/>
  <c r="K38" i="108"/>
  <c r="M38" i="108"/>
  <c r="C39" i="108"/>
  <c r="E39" i="108"/>
  <c r="G39" i="108"/>
  <c r="I39" i="108"/>
  <c r="K39" i="108"/>
  <c r="M39" i="108"/>
  <c r="C40" i="108"/>
  <c r="E40" i="108"/>
  <c r="G40" i="108"/>
  <c r="I40" i="108"/>
  <c r="K40" i="108"/>
  <c r="M40" i="108"/>
  <c r="C41" i="108"/>
  <c r="E41" i="108"/>
  <c r="G41" i="108"/>
  <c r="I41" i="108"/>
  <c r="K41" i="108"/>
  <c r="M41" i="108"/>
  <c r="E42" i="108"/>
  <c r="G42" i="108"/>
  <c r="I42" i="108"/>
  <c r="M42" i="108"/>
  <c r="C43" i="108"/>
  <c r="E43" i="108"/>
  <c r="G43" i="108"/>
  <c r="I43" i="108"/>
  <c r="K43" i="108"/>
  <c r="M43" i="108"/>
  <c r="C44" i="108"/>
  <c r="E44" i="108"/>
  <c r="G44" i="108"/>
  <c r="I44" i="108"/>
  <c r="K44" i="108"/>
  <c r="M44" i="108"/>
  <c r="C45" i="108"/>
  <c r="E45" i="108"/>
  <c r="G45" i="108"/>
  <c r="I45" i="108"/>
  <c r="K45" i="108"/>
  <c r="M45" i="108"/>
  <c r="E46" i="108"/>
  <c r="I46" i="108"/>
  <c r="E47" i="108"/>
  <c r="M47" i="108"/>
  <c r="I48" i="108"/>
  <c r="E49" i="108"/>
  <c r="M49" i="108"/>
  <c r="E51" i="108"/>
  <c r="M51" i="108"/>
  <c r="I52" i="108"/>
  <c r="E53" i="108"/>
  <c r="M53" i="108"/>
  <c r="E55" i="108"/>
  <c r="M55" i="108"/>
  <c r="I56" i="108"/>
  <c r="E57" i="108"/>
  <c r="M57" i="108"/>
  <c r="E48" i="108"/>
  <c r="I49" i="108"/>
  <c r="E52" i="108"/>
  <c r="I53" i="108"/>
  <c r="E56" i="108"/>
  <c r="I57" i="108"/>
  <c r="X10" i="110"/>
  <c r="P13" i="110"/>
  <c r="P15" i="110"/>
  <c r="W11" i="110"/>
  <c r="AA14" i="94"/>
  <c r="K26" i="108"/>
  <c r="AA15" i="94"/>
  <c r="K30" i="108"/>
  <c r="AA16" i="94"/>
  <c r="K34" i="108"/>
  <c r="AA18" i="94"/>
  <c r="K42" i="108"/>
  <c r="M54" i="108"/>
  <c r="M50" i="108"/>
  <c r="M46" i="108"/>
  <c r="C42" i="108"/>
  <c r="C34" i="108"/>
  <c r="C26" i="108"/>
  <c r="F10" i="108"/>
  <c r="J10" i="108"/>
  <c r="N10" i="108"/>
  <c r="D11" i="108"/>
  <c r="F11" i="108"/>
  <c r="H11" i="108"/>
  <c r="J11" i="108"/>
  <c r="L11" i="108"/>
  <c r="N11" i="108"/>
  <c r="D12" i="108"/>
  <c r="F12" i="108"/>
  <c r="J12" i="108"/>
  <c r="P19" i="110"/>
  <c r="S12" i="110"/>
  <c r="E54" i="108"/>
  <c r="E50" i="108"/>
  <c r="C46" i="108"/>
  <c r="C38" i="108"/>
  <c r="C30" i="108"/>
  <c r="C47" i="108"/>
  <c r="G47" i="108"/>
  <c r="K47" i="108"/>
  <c r="C48" i="108"/>
  <c r="G48" i="108"/>
  <c r="K48" i="108"/>
  <c r="C49" i="108"/>
  <c r="G49" i="108"/>
  <c r="K49" i="108"/>
  <c r="C51" i="108"/>
  <c r="G51" i="108"/>
  <c r="K51" i="108"/>
  <c r="C52" i="108"/>
  <c r="G52" i="108"/>
  <c r="K52" i="108"/>
  <c r="C53" i="108"/>
  <c r="G53" i="108"/>
  <c r="K53" i="108"/>
  <c r="K54" i="108"/>
  <c r="C55" i="108"/>
  <c r="G55" i="108"/>
  <c r="K55" i="108"/>
  <c r="C56" i="108"/>
  <c r="G56" i="108"/>
  <c r="K56" i="108"/>
  <c r="C57" i="108"/>
  <c r="G57" i="108"/>
  <c r="K57" i="108"/>
  <c r="N12" i="108"/>
  <c r="F14" i="108"/>
  <c r="J15" i="108"/>
  <c r="N16" i="108"/>
  <c r="F18" i="108"/>
  <c r="J19" i="108"/>
  <c r="N20" i="108"/>
  <c r="J23" i="108"/>
  <c r="N24" i="108"/>
  <c r="F24" i="108"/>
  <c r="Z13" i="109"/>
  <c r="P12" i="110"/>
  <c r="F16" i="108"/>
  <c r="J17" i="108"/>
  <c r="I54" i="108"/>
  <c r="I50" i="108"/>
  <c r="C12" i="108"/>
  <c r="E12" i="108"/>
  <c r="G12" i="108"/>
  <c r="I12" i="108"/>
  <c r="K12" i="108"/>
  <c r="M12" i="108"/>
  <c r="C19" i="108"/>
  <c r="E19" i="108"/>
  <c r="G19" i="108"/>
  <c r="I19" i="108"/>
  <c r="K19" i="108"/>
  <c r="M19" i="108"/>
  <c r="C20" i="108"/>
  <c r="E20" i="108"/>
  <c r="G20" i="108"/>
  <c r="I20" i="108"/>
  <c r="K20" i="108"/>
  <c r="M20" i="108"/>
  <c r="C21" i="108"/>
  <c r="E21" i="108"/>
  <c r="G21" i="108"/>
  <c r="I21" i="108"/>
  <c r="K21" i="108"/>
  <c r="M21" i="108"/>
  <c r="C22" i="108"/>
  <c r="E22" i="108"/>
  <c r="G22" i="108"/>
  <c r="I22" i="108"/>
  <c r="K22" i="108"/>
  <c r="M22" i="108"/>
  <c r="C23" i="108"/>
  <c r="E23" i="108"/>
  <c r="G23" i="108"/>
  <c r="I23" i="108"/>
  <c r="K23" i="108"/>
  <c r="M23" i="108"/>
  <c r="D106" i="110"/>
  <c r="L106" i="110"/>
  <c r="P27" i="110"/>
  <c r="S14" i="110"/>
  <c r="G54" i="108"/>
  <c r="C54" i="108"/>
  <c r="K50" i="108"/>
  <c r="G50" i="108"/>
  <c r="C50" i="108"/>
  <c r="K46" i="108"/>
  <c r="G46" i="108"/>
  <c r="G38" i="108"/>
  <c r="G30" i="108"/>
  <c r="G26" i="108"/>
  <c r="F22" i="108"/>
  <c r="H12" i="108"/>
  <c r="L12" i="108"/>
  <c r="D13" i="108"/>
  <c r="H13" i="108"/>
  <c r="L13" i="108"/>
  <c r="D14" i="108"/>
  <c r="H14" i="108"/>
  <c r="L14" i="108"/>
  <c r="D15" i="108"/>
  <c r="H15" i="108"/>
  <c r="L15" i="108"/>
  <c r="D16" i="108"/>
  <c r="H16" i="108"/>
  <c r="L16" i="108"/>
  <c r="D17" i="108"/>
  <c r="H17" i="108"/>
  <c r="L17" i="108"/>
  <c r="D18" i="108"/>
  <c r="H18" i="108"/>
  <c r="L18" i="108"/>
  <c r="D19" i="108"/>
  <c r="H19" i="108"/>
  <c r="L19" i="108"/>
  <c r="D20" i="108"/>
  <c r="H20" i="108"/>
  <c r="L20" i="108"/>
  <c r="D21" i="108"/>
  <c r="H21" i="108"/>
  <c r="L21" i="108"/>
  <c r="D22" i="108"/>
  <c r="H22" i="108"/>
  <c r="L22" i="108"/>
  <c r="D23" i="108"/>
  <c r="H23" i="108"/>
  <c r="L23" i="108"/>
  <c r="D24" i="108"/>
  <c r="H24" i="108"/>
  <c r="L24" i="108"/>
  <c r="D25" i="108"/>
  <c r="F25" i="108"/>
  <c r="H25" i="108"/>
  <c r="J25" i="108"/>
  <c r="L25" i="108"/>
  <c r="N25" i="108"/>
  <c r="D26" i="108"/>
  <c r="F26" i="108"/>
  <c r="H26" i="108"/>
  <c r="J26" i="108"/>
  <c r="L26" i="108"/>
  <c r="N26" i="108"/>
  <c r="D27" i="108"/>
  <c r="F27" i="108"/>
  <c r="H27" i="108"/>
  <c r="J27" i="108"/>
  <c r="L27" i="108"/>
  <c r="N27" i="108"/>
  <c r="D28" i="108"/>
  <c r="F28" i="108"/>
  <c r="H28" i="108"/>
  <c r="J28" i="108"/>
  <c r="L28" i="108"/>
  <c r="N28" i="108"/>
  <c r="D29" i="108"/>
  <c r="F29" i="108"/>
  <c r="H29" i="108"/>
  <c r="J29" i="108"/>
  <c r="L29" i="108"/>
  <c r="N29" i="108"/>
  <c r="D30" i="108"/>
  <c r="F30" i="108"/>
  <c r="H30" i="108"/>
  <c r="J30" i="108"/>
  <c r="L30" i="108"/>
  <c r="N30" i="108"/>
  <c r="D31" i="108"/>
  <c r="F31" i="108"/>
  <c r="H31" i="108"/>
  <c r="J31" i="108"/>
  <c r="L31" i="108"/>
  <c r="N31" i="108"/>
  <c r="D32" i="108"/>
  <c r="F32" i="108"/>
  <c r="H32" i="108"/>
  <c r="J32" i="108"/>
  <c r="L32" i="108"/>
  <c r="N32" i="108"/>
  <c r="D33" i="108"/>
  <c r="F33" i="108"/>
  <c r="H33" i="108"/>
  <c r="J33" i="108"/>
  <c r="L33" i="108"/>
  <c r="N33" i="108"/>
  <c r="D34" i="108"/>
  <c r="F34" i="108"/>
  <c r="H34" i="108"/>
  <c r="J34" i="108"/>
  <c r="L34" i="108"/>
  <c r="N34" i="108"/>
  <c r="D35" i="108"/>
  <c r="F35" i="108"/>
  <c r="H35" i="108"/>
  <c r="J35" i="108"/>
  <c r="L35" i="108"/>
  <c r="N35" i="108"/>
  <c r="D36" i="108"/>
  <c r="F36" i="108"/>
  <c r="H36" i="108"/>
  <c r="J36" i="108"/>
  <c r="L36" i="108"/>
  <c r="N36" i="108"/>
  <c r="D37" i="108"/>
  <c r="F37" i="108"/>
  <c r="H37" i="108"/>
  <c r="J37" i="108"/>
  <c r="L37" i="108"/>
  <c r="N37" i="108"/>
  <c r="D38" i="108"/>
  <c r="F38" i="108"/>
  <c r="H38" i="108"/>
  <c r="J38" i="108"/>
  <c r="L38" i="108"/>
  <c r="N38" i="108"/>
  <c r="D39" i="108"/>
  <c r="F39" i="108"/>
  <c r="H39" i="108"/>
  <c r="J39" i="108"/>
  <c r="L39" i="108"/>
  <c r="N39" i="108"/>
  <c r="D40" i="108"/>
  <c r="F40" i="108"/>
  <c r="H40" i="108"/>
  <c r="J40" i="108"/>
  <c r="L40" i="108"/>
  <c r="N40" i="108"/>
  <c r="D41" i="108"/>
  <c r="F41" i="108"/>
  <c r="H41" i="108"/>
  <c r="J41" i="108"/>
  <c r="L41" i="108"/>
  <c r="N41" i="108"/>
  <c r="D42" i="108"/>
  <c r="F42" i="108"/>
  <c r="H42" i="108"/>
  <c r="J42" i="108"/>
  <c r="L42" i="108"/>
  <c r="N42" i="108"/>
  <c r="D43" i="108"/>
  <c r="F43" i="108"/>
  <c r="H43" i="108"/>
  <c r="J43" i="108"/>
  <c r="L43" i="108"/>
  <c r="N43" i="108"/>
  <c r="D44" i="108"/>
  <c r="F44" i="108"/>
  <c r="H44" i="108"/>
  <c r="J44" i="108"/>
  <c r="L44" i="108"/>
  <c r="N44" i="108"/>
  <c r="D45" i="108"/>
  <c r="F45" i="108"/>
  <c r="H45" i="108"/>
  <c r="J45" i="108"/>
  <c r="L45" i="108"/>
  <c r="N45" i="108"/>
  <c r="D46" i="108"/>
  <c r="T19" i="108" s="1"/>
  <c r="F46" i="108"/>
  <c r="V19" i="108" s="1"/>
  <c r="V12" i="109"/>
  <c r="AD12" i="109"/>
  <c r="P14" i="110"/>
  <c r="U11" i="110"/>
  <c r="Y11" i="110"/>
  <c r="AA11" i="110"/>
  <c r="AC11" i="110"/>
  <c r="X16" i="97"/>
  <c r="X26" i="97" s="1"/>
  <c r="W23" i="105"/>
  <c r="S11" i="109"/>
  <c r="AC17" i="109"/>
  <c r="V14" i="109"/>
  <c r="W10" i="110"/>
  <c r="P11" i="110"/>
  <c r="S11" i="110"/>
  <c r="T11" i="110"/>
  <c r="V11" i="110"/>
  <c r="X11" i="110"/>
  <c r="Z11" i="110"/>
  <c r="AB11" i="110"/>
  <c r="AD11" i="110"/>
  <c r="L10" i="108"/>
  <c r="H10" i="108"/>
  <c r="D10" i="108"/>
  <c r="D106" i="108" s="1"/>
  <c r="V13" i="109"/>
  <c r="AD13" i="109"/>
  <c r="V15" i="109"/>
  <c r="AD15" i="109"/>
  <c r="C10" i="108"/>
  <c r="AA11" i="109"/>
  <c r="Z12" i="109"/>
  <c r="Z14" i="109"/>
  <c r="S10" i="110"/>
  <c r="V18" i="110"/>
  <c r="X18" i="110"/>
  <c r="Z18" i="110"/>
  <c r="AB18" i="110"/>
  <c r="AD18" i="110"/>
  <c r="P18" i="110"/>
  <c r="W39" i="110"/>
  <c r="P20" i="110"/>
  <c r="P22" i="110"/>
  <c r="P24" i="110"/>
  <c r="P26" i="110"/>
  <c r="P28" i="110"/>
  <c r="P30" i="110"/>
  <c r="P32" i="110"/>
  <c r="P34" i="110"/>
  <c r="P35" i="110"/>
  <c r="P36" i="110"/>
  <c r="P37" i="110"/>
  <c r="P38" i="110"/>
  <c r="P39" i="110"/>
  <c r="P40" i="110"/>
  <c r="P41" i="110"/>
  <c r="P42" i="110"/>
  <c r="O44" i="110"/>
  <c r="U19" i="110"/>
  <c r="Y19" i="110"/>
  <c r="AC19" i="110"/>
  <c r="O48" i="110"/>
  <c r="U20" i="110"/>
  <c r="Y20" i="110"/>
  <c r="AC20" i="110"/>
  <c r="O52" i="110"/>
  <c r="U21" i="110"/>
  <c r="Y21" i="110"/>
  <c r="AC21" i="110"/>
  <c r="O56" i="110"/>
  <c r="O58" i="110"/>
  <c r="U22" i="110"/>
  <c r="Y22" i="110"/>
  <c r="AC22" i="110"/>
  <c r="O62" i="110"/>
  <c r="O66" i="110"/>
  <c r="U24" i="110"/>
  <c r="Y24" i="110"/>
  <c r="AC24" i="110"/>
  <c r="O70" i="110"/>
  <c r="O74" i="110"/>
  <c r="U26" i="110"/>
  <c r="Y26" i="110"/>
  <c r="AC26" i="110"/>
  <c r="O78" i="110"/>
  <c r="O82" i="110"/>
  <c r="U28" i="110"/>
  <c r="Y28" i="110"/>
  <c r="AC28" i="110"/>
  <c r="O86" i="110"/>
  <c r="O90" i="110"/>
  <c r="U30" i="110"/>
  <c r="Y30" i="110"/>
  <c r="AC30" i="110"/>
  <c r="O94" i="110"/>
  <c r="O98" i="110"/>
  <c r="U32" i="110"/>
  <c r="Y32" i="110"/>
  <c r="AC32" i="110"/>
  <c r="O102" i="110"/>
  <c r="AD13" i="99"/>
  <c r="AD26" i="99" s="1"/>
  <c r="P44" i="110"/>
  <c r="P48" i="110"/>
  <c r="V19" i="110"/>
  <c r="X19" i="110"/>
  <c r="Z19" i="110"/>
  <c r="AB19" i="110"/>
  <c r="AD19" i="110"/>
  <c r="P52" i="110"/>
  <c r="V20" i="110"/>
  <c r="X20" i="110"/>
  <c r="Z20" i="110"/>
  <c r="AB20" i="110"/>
  <c r="AD20" i="110"/>
  <c r="P56" i="110"/>
  <c r="P62" i="110"/>
  <c r="P70" i="110"/>
  <c r="P78" i="110"/>
  <c r="P86" i="110"/>
  <c r="P94" i="110"/>
  <c r="P102" i="110"/>
  <c r="S13" i="97"/>
  <c r="T12" i="109"/>
  <c r="X12" i="109"/>
  <c r="AB12" i="109"/>
  <c r="P20" i="109"/>
  <c r="T13" i="109"/>
  <c r="X13" i="109"/>
  <c r="AB13" i="109"/>
  <c r="P24" i="109"/>
  <c r="T14" i="109"/>
  <c r="X14" i="109"/>
  <c r="AB14" i="109"/>
  <c r="P28" i="109"/>
  <c r="T15" i="109"/>
  <c r="X15" i="109"/>
  <c r="AB15" i="109"/>
  <c r="P32" i="109"/>
  <c r="E106" i="110"/>
  <c r="G106" i="110"/>
  <c r="I106" i="110"/>
  <c r="K106" i="110"/>
  <c r="M106" i="110"/>
  <c r="AA10" i="110"/>
  <c r="P17" i="110"/>
  <c r="S17" i="110"/>
  <c r="P43" i="110"/>
  <c r="O46" i="110"/>
  <c r="P46" i="110"/>
  <c r="P47" i="110"/>
  <c r="O50" i="110"/>
  <c r="P50" i="110"/>
  <c r="P51" i="110"/>
  <c r="O54" i="110"/>
  <c r="P54" i="110"/>
  <c r="P55" i="110"/>
  <c r="P58" i="110"/>
  <c r="P66" i="110"/>
  <c r="P74" i="110"/>
  <c r="P82" i="110"/>
  <c r="P90" i="110"/>
  <c r="P98" i="110"/>
  <c r="P57" i="110"/>
  <c r="V21" i="110"/>
  <c r="X21" i="110"/>
  <c r="Z21" i="110"/>
  <c r="AB21" i="110"/>
  <c r="AD21" i="110"/>
  <c r="O60" i="110"/>
  <c r="P60" i="110"/>
  <c r="P61" i="110"/>
  <c r="V22" i="110"/>
  <c r="X22" i="110"/>
  <c r="Z22" i="110"/>
  <c r="AB22" i="110"/>
  <c r="AD22" i="110"/>
  <c r="O64" i="110"/>
  <c r="P64" i="110"/>
  <c r="P65" i="110"/>
  <c r="V23" i="110"/>
  <c r="X23" i="110"/>
  <c r="Z23" i="110"/>
  <c r="AB23" i="110"/>
  <c r="AD23" i="110"/>
  <c r="O68" i="110"/>
  <c r="P68" i="110"/>
  <c r="P69" i="110"/>
  <c r="V24" i="110"/>
  <c r="X24" i="110"/>
  <c r="Z24" i="110"/>
  <c r="AB24" i="110"/>
  <c r="AD24" i="110"/>
  <c r="O72" i="110"/>
  <c r="P72" i="110"/>
  <c r="P73" i="110"/>
  <c r="V25" i="110"/>
  <c r="X25" i="110"/>
  <c r="Z25" i="110"/>
  <c r="AB25" i="110"/>
  <c r="AD25" i="110"/>
  <c r="O76" i="110"/>
  <c r="P76" i="110"/>
  <c r="P77" i="110"/>
  <c r="V26" i="110"/>
  <c r="X26" i="110"/>
  <c r="Z26" i="110"/>
  <c r="AB26" i="110"/>
  <c r="AD26" i="110"/>
  <c r="O80" i="110"/>
  <c r="P80" i="110"/>
  <c r="P81" i="110"/>
  <c r="V27" i="110"/>
  <c r="X27" i="110"/>
  <c r="Z27" i="110"/>
  <c r="AB27" i="110"/>
  <c r="AD27" i="110"/>
  <c r="O84" i="110"/>
  <c r="P84" i="110"/>
  <c r="P85" i="110"/>
  <c r="V28" i="110"/>
  <c r="X28" i="110"/>
  <c r="Z28" i="110"/>
  <c r="AB28" i="110"/>
  <c r="AD28" i="110"/>
  <c r="O88" i="110"/>
  <c r="P88" i="110"/>
  <c r="P89" i="110"/>
  <c r="V29" i="110"/>
  <c r="X29" i="110"/>
  <c r="Z29" i="110"/>
  <c r="AB29" i="110"/>
  <c r="AD29" i="110"/>
  <c r="O92" i="110"/>
  <c r="P92" i="110"/>
  <c r="P93" i="110"/>
  <c r="V30" i="110"/>
  <c r="X30" i="110"/>
  <c r="Z30" i="110"/>
  <c r="O96" i="110"/>
  <c r="P96" i="110"/>
  <c r="P97" i="110"/>
  <c r="O100" i="110"/>
  <c r="P100" i="110"/>
  <c r="P101" i="110"/>
  <c r="O104" i="110"/>
  <c r="P104" i="110"/>
  <c r="P105" i="110"/>
  <c r="S38" i="110"/>
  <c r="U38" i="110"/>
  <c r="W38" i="110"/>
  <c r="C106" i="110"/>
  <c r="P10" i="110"/>
  <c r="O10" i="110"/>
  <c r="U10" i="110"/>
  <c r="Y10" i="110"/>
  <c r="AC10" i="110"/>
  <c r="O11" i="110"/>
  <c r="O12" i="110"/>
  <c r="O13" i="110"/>
  <c r="O14" i="110"/>
  <c r="O15" i="110"/>
  <c r="P16" i="110"/>
  <c r="O16" i="110"/>
  <c r="O17" i="110"/>
  <c r="O18" i="110"/>
  <c r="O19" i="110"/>
  <c r="O20" i="110"/>
  <c r="O21" i="110"/>
  <c r="O22" i="110"/>
  <c r="O23" i="110"/>
  <c r="O24" i="110"/>
  <c r="O25" i="110"/>
  <c r="O26" i="110"/>
  <c r="O27" i="110"/>
  <c r="O28" i="110"/>
  <c r="O29" i="110"/>
  <c r="O30" i="110"/>
  <c r="S36" i="110"/>
  <c r="W36" i="110"/>
  <c r="AA36" i="110"/>
  <c r="H106" i="110"/>
  <c r="C106" i="109"/>
  <c r="E106" i="109"/>
  <c r="G106" i="109"/>
  <c r="I106" i="109"/>
  <c r="K106" i="109"/>
  <c r="M106" i="109"/>
  <c r="P11" i="109"/>
  <c r="W11" i="109"/>
  <c r="P18" i="109"/>
  <c r="U12" i="109"/>
  <c r="W12" i="109"/>
  <c r="Y12" i="109"/>
  <c r="AA12" i="109"/>
  <c r="AC12" i="109"/>
  <c r="P22" i="109"/>
  <c r="U13" i="109"/>
  <c r="W13" i="109"/>
  <c r="Y13" i="109"/>
  <c r="AA13" i="109"/>
  <c r="AC13" i="109"/>
  <c r="P26" i="109"/>
  <c r="U14" i="109"/>
  <c r="W14" i="109"/>
  <c r="Y14" i="109"/>
  <c r="AA14" i="109"/>
  <c r="AC14" i="109"/>
  <c r="P30" i="109"/>
  <c r="U15" i="109"/>
  <c r="W15" i="109"/>
  <c r="Y15" i="109"/>
  <c r="AA15" i="109"/>
  <c r="AC15" i="109"/>
  <c r="P34" i="109"/>
  <c r="P35" i="109"/>
  <c r="P36" i="109"/>
  <c r="P37" i="109"/>
  <c r="P38" i="109"/>
  <c r="P39" i="109"/>
  <c r="P40" i="109"/>
  <c r="P41" i="109"/>
  <c r="P42" i="109"/>
  <c r="O44" i="109"/>
  <c r="S39" i="109"/>
  <c r="AA39" i="109"/>
  <c r="O48" i="109"/>
  <c r="O52" i="109"/>
  <c r="O56" i="109"/>
  <c r="O58" i="109"/>
  <c r="O62" i="109"/>
  <c r="O66" i="109"/>
  <c r="O70" i="109"/>
  <c r="O74" i="109"/>
  <c r="O78" i="109"/>
  <c r="O82" i="109"/>
  <c r="O86" i="109"/>
  <c r="O90" i="109"/>
  <c r="O94" i="109"/>
  <c r="O98" i="109"/>
  <c r="O102" i="109"/>
  <c r="F106" i="110"/>
  <c r="J106" i="110"/>
  <c r="N106" i="110"/>
  <c r="T10" i="110"/>
  <c r="V10" i="110"/>
  <c r="Z10" i="110"/>
  <c r="AB10" i="110"/>
  <c r="AD10" i="110"/>
  <c r="T18" i="110"/>
  <c r="T19" i="110"/>
  <c r="T20" i="110"/>
  <c r="T21" i="110"/>
  <c r="T22" i="110"/>
  <c r="T23" i="110"/>
  <c r="T24" i="110"/>
  <c r="T25" i="110"/>
  <c r="T26" i="110"/>
  <c r="T27" i="110"/>
  <c r="T28" i="110"/>
  <c r="T29" i="110"/>
  <c r="T30" i="110"/>
  <c r="O31" i="110"/>
  <c r="O32" i="110"/>
  <c r="O33" i="110"/>
  <c r="O34" i="110"/>
  <c r="O35" i="110"/>
  <c r="O36" i="110"/>
  <c r="O37" i="110"/>
  <c r="O38" i="110"/>
  <c r="O39" i="110"/>
  <c r="O40" i="110"/>
  <c r="O41" i="110"/>
  <c r="O42" i="110"/>
  <c r="AB30" i="110"/>
  <c r="AD30" i="110"/>
  <c r="P95" i="110"/>
  <c r="T31" i="110"/>
  <c r="V31" i="110"/>
  <c r="X31" i="110"/>
  <c r="Z31" i="110"/>
  <c r="AB31" i="110"/>
  <c r="AD31" i="110"/>
  <c r="P99" i="110"/>
  <c r="T32" i="110"/>
  <c r="V32" i="110"/>
  <c r="X32" i="110"/>
  <c r="Z32" i="110"/>
  <c r="AB32" i="110"/>
  <c r="AD32" i="110"/>
  <c r="P103" i="110"/>
  <c r="T33" i="110"/>
  <c r="V33" i="110"/>
  <c r="X33" i="110"/>
  <c r="Z33" i="110"/>
  <c r="AB33" i="110"/>
  <c r="AD33" i="110"/>
  <c r="O43" i="110"/>
  <c r="O45" i="110"/>
  <c r="O47" i="110"/>
  <c r="O49" i="110"/>
  <c r="O51" i="110"/>
  <c r="O53" i="110"/>
  <c r="O55" i="110"/>
  <c r="O57" i="110"/>
  <c r="O59" i="110"/>
  <c r="O61" i="110"/>
  <c r="O63" i="110"/>
  <c r="O65" i="110"/>
  <c r="O67" i="110"/>
  <c r="O69" i="110"/>
  <c r="O71" i="110"/>
  <c r="O73" i="110"/>
  <c r="O75" i="110"/>
  <c r="O77" i="110"/>
  <c r="O79" i="110"/>
  <c r="O81" i="110"/>
  <c r="O83" i="110"/>
  <c r="O85" i="110"/>
  <c r="O87" i="110"/>
  <c r="O89" i="110"/>
  <c r="O91" i="110"/>
  <c r="O93" i="110"/>
  <c r="O95" i="110"/>
  <c r="O97" i="110"/>
  <c r="O99" i="110"/>
  <c r="O101" i="110"/>
  <c r="O103" i="110"/>
  <c r="O105" i="110"/>
  <c r="V19" i="95"/>
  <c r="Y14" i="101"/>
  <c r="V15" i="98"/>
  <c r="W39" i="109"/>
  <c r="X10" i="109"/>
  <c r="P12" i="109"/>
  <c r="S12" i="109"/>
  <c r="P13" i="109"/>
  <c r="S13" i="109"/>
  <c r="P14" i="109"/>
  <c r="U11" i="109"/>
  <c r="Y11" i="109"/>
  <c r="AC11" i="109"/>
  <c r="S14" i="109"/>
  <c r="P15" i="109"/>
  <c r="S15" i="109"/>
  <c r="P16" i="109"/>
  <c r="S16" i="109"/>
  <c r="T11" i="109"/>
  <c r="V11" i="109"/>
  <c r="X11" i="109"/>
  <c r="Z11" i="109"/>
  <c r="AB11" i="109"/>
  <c r="AD11" i="109"/>
  <c r="P19" i="109"/>
  <c r="P21" i="109"/>
  <c r="P23" i="109"/>
  <c r="S23" i="109"/>
  <c r="P25" i="109"/>
  <c r="S25" i="109"/>
  <c r="P27" i="109"/>
  <c r="S27" i="109"/>
  <c r="P29" i="109"/>
  <c r="S29" i="109"/>
  <c r="P31" i="109"/>
  <c r="S31" i="109"/>
  <c r="P33" i="109"/>
  <c r="S33" i="109"/>
  <c r="S17" i="109"/>
  <c r="P45" i="109"/>
  <c r="V18" i="109"/>
  <c r="X18" i="109"/>
  <c r="Z18" i="109"/>
  <c r="AB18" i="109"/>
  <c r="AD18" i="109"/>
  <c r="P49" i="109"/>
  <c r="P53" i="109"/>
  <c r="P59" i="109"/>
  <c r="P63" i="109"/>
  <c r="P67" i="109"/>
  <c r="P71" i="109"/>
  <c r="P75" i="109"/>
  <c r="P79" i="109"/>
  <c r="P83" i="109"/>
  <c r="P87" i="109"/>
  <c r="P91" i="109"/>
  <c r="P44" i="109"/>
  <c r="P48" i="109"/>
  <c r="V19" i="109"/>
  <c r="X19" i="109"/>
  <c r="Z19" i="109"/>
  <c r="AB19" i="109"/>
  <c r="AD19" i="109"/>
  <c r="P52" i="109"/>
  <c r="V20" i="109"/>
  <c r="X20" i="109"/>
  <c r="Z20" i="109"/>
  <c r="AB20" i="109"/>
  <c r="AD20" i="109"/>
  <c r="P56" i="109"/>
  <c r="P62" i="109"/>
  <c r="P70" i="109"/>
  <c r="P78" i="109"/>
  <c r="P86" i="109"/>
  <c r="P94" i="109"/>
  <c r="P102" i="109"/>
  <c r="D106" i="109"/>
  <c r="L106" i="109"/>
  <c r="P17" i="109"/>
  <c r="P43" i="109"/>
  <c r="O46" i="109"/>
  <c r="P46" i="109"/>
  <c r="P47" i="109"/>
  <c r="O50" i="109"/>
  <c r="P50" i="109"/>
  <c r="P51" i="109"/>
  <c r="O54" i="109"/>
  <c r="P54" i="109"/>
  <c r="P55" i="109"/>
  <c r="P58" i="109"/>
  <c r="P66" i="109"/>
  <c r="P74" i="109"/>
  <c r="P82" i="109"/>
  <c r="P90" i="109"/>
  <c r="P98" i="109"/>
  <c r="P57" i="109"/>
  <c r="V21" i="109"/>
  <c r="X21" i="109"/>
  <c r="Z21" i="109"/>
  <c r="AB21" i="109"/>
  <c r="AD21" i="109"/>
  <c r="O60" i="109"/>
  <c r="P60" i="109"/>
  <c r="P61" i="109"/>
  <c r="V22" i="109"/>
  <c r="X22" i="109"/>
  <c r="Z22" i="109"/>
  <c r="AB22" i="109"/>
  <c r="AD22" i="109"/>
  <c r="O64" i="109"/>
  <c r="P64" i="109"/>
  <c r="P65" i="109"/>
  <c r="V23" i="109"/>
  <c r="X23" i="109"/>
  <c r="Z23" i="109"/>
  <c r="AB23" i="109"/>
  <c r="AD23" i="109"/>
  <c r="O68" i="109"/>
  <c r="P68" i="109"/>
  <c r="P69" i="109"/>
  <c r="V24" i="109"/>
  <c r="X24" i="109"/>
  <c r="Z24" i="109"/>
  <c r="AB24" i="109"/>
  <c r="AD24" i="109"/>
  <c r="O72" i="109"/>
  <c r="P72" i="109"/>
  <c r="P73" i="109"/>
  <c r="V25" i="109"/>
  <c r="X25" i="109"/>
  <c r="Z25" i="109"/>
  <c r="AB25" i="109"/>
  <c r="AD25" i="109"/>
  <c r="O76" i="109"/>
  <c r="P76" i="109"/>
  <c r="P77" i="109"/>
  <c r="V26" i="109"/>
  <c r="X26" i="109"/>
  <c r="Z26" i="109"/>
  <c r="AB26" i="109"/>
  <c r="AD26" i="109"/>
  <c r="O80" i="109"/>
  <c r="P80" i="109"/>
  <c r="P81" i="109"/>
  <c r="V27" i="109"/>
  <c r="X27" i="109"/>
  <c r="Z27" i="109"/>
  <c r="AB27" i="109"/>
  <c r="AD27" i="109"/>
  <c r="O84" i="109"/>
  <c r="P84" i="109"/>
  <c r="P85" i="109"/>
  <c r="V28" i="109"/>
  <c r="X28" i="109"/>
  <c r="Z28" i="109"/>
  <c r="AB28" i="109"/>
  <c r="AD28" i="109"/>
  <c r="O88" i="109"/>
  <c r="P88" i="109"/>
  <c r="P89" i="109"/>
  <c r="V29" i="109"/>
  <c r="X29" i="109"/>
  <c r="Z29" i="109"/>
  <c r="AB29" i="109"/>
  <c r="AD29" i="109"/>
  <c r="O92" i="109"/>
  <c r="P92" i="109"/>
  <c r="P93" i="109"/>
  <c r="V30" i="109"/>
  <c r="X30" i="109"/>
  <c r="Z30" i="109"/>
  <c r="O96" i="109"/>
  <c r="P96" i="109"/>
  <c r="P97" i="109"/>
  <c r="O100" i="109"/>
  <c r="P100" i="109"/>
  <c r="P101" i="109"/>
  <c r="O104" i="109"/>
  <c r="P104" i="109"/>
  <c r="P105" i="109"/>
  <c r="V39" i="109"/>
  <c r="V21" i="98"/>
  <c r="V27" i="98" s="1"/>
  <c r="AD29" i="105"/>
  <c r="O10" i="109"/>
  <c r="S10" i="109"/>
  <c r="U10" i="109"/>
  <c r="W10" i="109"/>
  <c r="Y10" i="109"/>
  <c r="AA10" i="109"/>
  <c r="AC10" i="109"/>
  <c r="O11" i="109"/>
  <c r="O12" i="109"/>
  <c r="O13" i="109"/>
  <c r="O14" i="109"/>
  <c r="O15" i="109"/>
  <c r="O16" i="109"/>
  <c r="O17" i="109"/>
  <c r="O18" i="109"/>
  <c r="O19" i="109"/>
  <c r="O20" i="109"/>
  <c r="O21" i="109"/>
  <c r="O22" i="109"/>
  <c r="O23" i="109"/>
  <c r="O24" i="109"/>
  <c r="O25" i="109"/>
  <c r="O26" i="109"/>
  <c r="O27" i="109"/>
  <c r="O28" i="109"/>
  <c r="O29" i="109"/>
  <c r="O30" i="109"/>
  <c r="S36" i="109"/>
  <c r="W36" i="109"/>
  <c r="AA36" i="109"/>
  <c r="H106" i="109"/>
  <c r="F106" i="109"/>
  <c r="J106" i="109"/>
  <c r="N106" i="109"/>
  <c r="P10" i="109"/>
  <c r="T10" i="109"/>
  <c r="V10" i="109"/>
  <c r="Z10" i="109"/>
  <c r="AB10" i="109"/>
  <c r="AD10" i="109"/>
  <c r="T18" i="109"/>
  <c r="T19" i="109"/>
  <c r="T20" i="109"/>
  <c r="T21" i="109"/>
  <c r="T22" i="109"/>
  <c r="T23" i="109"/>
  <c r="T24" i="109"/>
  <c r="T25" i="109"/>
  <c r="T26" i="109"/>
  <c r="T27" i="109"/>
  <c r="T28" i="109"/>
  <c r="T29" i="109"/>
  <c r="T30" i="109"/>
  <c r="O31" i="109"/>
  <c r="O32" i="109"/>
  <c r="O33" i="109"/>
  <c r="O34" i="109"/>
  <c r="O35" i="109"/>
  <c r="O36" i="109"/>
  <c r="U36" i="109"/>
  <c r="Y36" i="109"/>
  <c r="AC36" i="109"/>
  <c r="O37" i="109"/>
  <c r="O38" i="109"/>
  <c r="O39" i="109"/>
  <c r="O40" i="109"/>
  <c r="O41" i="109"/>
  <c r="O42" i="109"/>
  <c r="AB30" i="109"/>
  <c r="AD30" i="109"/>
  <c r="P95" i="109"/>
  <c r="T31" i="109"/>
  <c r="V31" i="109"/>
  <c r="X31" i="109"/>
  <c r="Z31" i="109"/>
  <c r="AB31" i="109"/>
  <c r="AD31" i="109"/>
  <c r="P99" i="109"/>
  <c r="T32" i="109"/>
  <c r="V32" i="109"/>
  <c r="X32" i="109"/>
  <c r="Z32" i="109"/>
  <c r="AB32" i="109"/>
  <c r="AD32" i="109"/>
  <c r="P103" i="109"/>
  <c r="T33" i="109"/>
  <c r="V33" i="109"/>
  <c r="X33" i="109"/>
  <c r="Z33" i="109"/>
  <c r="AB33" i="109"/>
  <c r="AD33" i="109"/>
  <c r="O43" i="109"/>
  <c r="O45" i="109"/>
  <c r="O47" i="109"/>
  <c r="O49" i="109"/>
  <c r="O51" i="109"/>
  <c r="O53" i="109"/>
  <c r="O55" i="109"/>
  <c r="O57" i="109"/>
  <c r="O59" i="109"/>
  <c r="O61" i="109"/>
  <c r="O63" i="109"/>
  <c r="O65" i="109"/>
  <c r="O67" i="109"/>
  <c r="O69" i="109"/>
  <c r="O71" i="109"/>
  <c r="O73" i="109"/>
  <c r="O75" i="109"/>
  <c r="O77" i="109"/>
  <c r="O79" i="109"/>
  <c r="O81" i="109"/>
  <c r="O83" i="109"/>
  <c r="O85" i="109"/>
  <c r="O87" i="109"/>
  <c r="O89" i="109"/>
  <c r="O91" i="109"/>
  <c r="O93" i="109"/>
  <c r="O95" i="109"/>
  <c r="O97" i="109"/>
  <c r="O99" i="109"/>
  <c r="O101" i="109"/>
  <c r="O103" i="109"/>
  <c r="O105" i="109"/>
  <c r="V13" i="97"/>
  <c r="U15" i="99"/>
  <c r="Z17" i="101"/>
  <c r="S21" i="105"/>
  <c r="S39" i="105" s="1"/>
  <c r="Y24" i="105"/>
  <c r="U20" i="95"/>
  <c r="AB20" i="105"/>
  <c r="AB39" i="105" s="1"/>
  <c r="U13" i="94"/>
  <c r="W13" i="94"/>
  <c r="Y13" i="94"/>
  <c r="AA13" i="94"/>
  <c r="AC13" i="94"/>
  <c r="Y15" i="94"/>
  <c r="AC15" i="94"/>
  <c r="U16" i="94"/>
  <c r="Y16" i="94"/>
  <c r="AC16" i="94"/>
  <c r="U17" i="94"/>
  <c r="AC17" i="94"/>
  <c r="Y18" i="94"/>
  <c r="AC18" i="94"/>
  <c r="U19" i="94"/>
  <c r="V14" i="94"/>
  <c r="X14" i="94"/>
  <c r="Z14" i="94"/>
  <c r="AB14" i="94"/>
  <c r="AD14" i="94"/>
  <c r="AA21" i="94"/>
  <c r="T13" i="105"/>
  <c r="AB13" i="105"/>
  <c r="T14" i="105"/>
  <c r="V14" i="105"/>
  <c r="X14" i="105"/>
  <c r="Z14" i="105"/>
  <c r="AB14" i="105"/>
  <c r="AD14" i="105"/>
  <c r="W15" i="105"/>
  <c r="Y39" i="105"/>
  <c r="T12" i="105"/>
  <c r="V12" i="105"/>
  <c r="Z12" i="105"/>
  <c r="AB12" i="105"/>
  <c r="AD12" i="105"/>
  <c r="V13" i="105"/>
  <c r="X13" i="105"/>
  <c r="Z13" i="105"/>
  <c r="AD13" i="105"/>
  <c r="V11" i="105"/>
  <c r="Z11" i="105"/>
  <c r="AD11" i="105"/>
  <c r="AC39" i="105"/>
  <c r="U12" i="105"/>
  <c r="W12" i="105"/>
  <c r="Y12" i="105"/>
  <c r="AA12" i="105"/>
  <c r="AC12" i="105"/>
  <c r="P16" i="105"/>
  <c r="U11" i="105"/>
  <c r="W11" i="105"/>
  <c r="Y11" i="105"/>
  <c r="AA11" i="105"/>
  <c r="AC11" i="105"/>
  <c r="O17" i="105"/>
  <c r="O18" i="105"/>
  <c r="O19" i="105"/>
  <c r="O20" i="105"/>
  <c r="P21" i="105"/>
  <c r="P22" i="105"/>
  <c r="U13" i="105"/>
  <c r="W13" i="105"/>
  <c r="Y13" i="105"/>
  <c r="AA13" i="105"/>
  <c r="AC13" i="105"/>
  <c r="S14" i="105"/>
  <c r="U14" i="105"/>
  <c r="W14" i="105"/>
  <c r="Y14" i="105"/>
  <c r="AA14" i="105"/>
  <c r="AC14" i="105"/>
  <c r="S15" i="105"/>
  <c r="AA15" i="105"/>
  <c r="U15" i="105"/>
  <c r="Y15" i="105"/>
  <c r="Y38" i="105" s="1"/>
  <c r="AC15" i="105"/>
  <c r="P12" i="105"/>
  <c r="S12" i="105"/>
  <c r="P13" i="105"/>
  <c r="S13" i="105"/>
  <c r="P14" i="105"/>
  <c r="P15" i="105"/>
  <c r="P32" i="105"/>
  <c r="P34" i="105"/>
  <c r="P35" i="105"/>
  <c r="P36" i="105"/>
  <c r="P37" i="105"/>
  <c r="P38" i="105"/>
  <c r="P39" i="105"/>
  <c r="P40" i="105"/>
  <c r="P41" i="105"/>
  <c r="P42" i="105"/>
  <c r="P43" i="105"/>
  <c r="P44" i="105"/>
  <c r="P45" i="105"/>
  <c r="P46" i="105"/>
  <c r="P47" i="105"/>
  <c r="P48" i="105"/>
  <c r="P49" i="105"/>
  <c r="P50" i="105"/>
  <c r="P51" i="105"/>
  <c r="P52" i="105"/>
  <c r="P53" i="105"/>
  <c r="P54" i="105"/>
  <c r="P55" i="105"/>
  <c r="P56" i="105"/>
  <c r="P57" i="105"/>
  <c r="P58" i="105"/>
  <c r="P59" i="105"/>
  <c r="P60" i="105"/>
  <c r="P61" i="105"/>
  <c r="P63" i="105"/>
  <c r="P64" i="105"/>
  <c r="P65" i="105"/>
  <c r="P67" i="105"/>
  <c r="P68" i="105"/>
  <c r="P69" i="105"/>
  <c r="P71" i="105"/>
  <c r="P72" i="105"/>
  <c r="P73" i="105"/>
  <c r="P75" i="105"/>
  <c r="P76" i="105"/>
  <c r="P77" i="105"/>
  <c r="P79" i="105"/>
  <c r="P80" i="105"/>
  <c r="P81" i="105"/>
  <c r="P83" i="105"/>
  <c r="P84" i="105"/>
  <c r="P85" i="105"/>
  <c r="P87" i="105"/>
  <c r="P88" i="105"/>
  <c r="P89" i="105"/>
  <c r="P91" i="105"/>
  <c r="P92" i="105"/>
  <c r="P93" i="105"/>
  <c r="P95" i="105"/>
  <c r="P96" i="105"/>
  <c r="P97" i="105"/>
  <c r="P98" i="105"/>
  <c r="P99" i="105"/>
  <c r="P100" i="105"/>
  <c r="P101" i="105"/>
  <c r="P103" i="105"/>
  <c r="P104" i="105"/>
  <c r="P105" i="105"/>
  <c r="P62" i="105"/>
  <c r="S23" i="105"/>
  <c r="P66" i="105"/>
  <c r="S24" i="105"/>
  <c r="P70" i="105"/>
  <c r="S25" i="105"/>
  <c r="P74" i="105"/>
  <c r="S26" i="105"/>
  <c r="P78" i="105"/>
  <c r="S27" i="105"/>
  <c r="P82" i="105"/>
  <c r="S28" i="105"/>
  <c r="P86" i="105"/>
  <c r="S29" i="105"/>
  <c r="P90" i="105"/>
  <c r="S30" i="105"/>
  <c r="I106" i="105"/>
  <c r="K106" i="105"/>
  <c r="M106" i="105"/>
  <c r="P11" i="105"/>
  <c r="P23" i="105"/>
  <c r="P24" i="105"/>
  <c r="P25" i="105"/>
  <c r="P26" i="105"/>
  <c r="P27" i="105"/>
  <c r="P28" i="105"/>
  <c r="P29" i="105"/>
  <c r="P30" i="105"/>
  <c r="T15" i="105"/>
  <c r="V15" i="105"/>
  <c r="X15" i="105"/>
  <c r="Z15" i="105"/>
  <c r="AB15" i="105"/>
  <c r="AD15" i="105"/>
  <c r="S11" i="105"/>
  <c r="P94" i="105"/>
  <c r="S31" i="105"/>
  <c r="P102" i="105"/>
  <c r="S33" i="105"/>
  <c r="H106" i="105"/>
  <c r="J106" i="105"/>
  <c r="L106" i="105"/>
  <c r="N106" i="105"/>
  <c r="P17" i="105"/>
  <c r="P18" i="105"/>
  <c r="P19" i="105"/>
  <c r="P20" i="105"/>
  <c r="S32" i="105"/>
  <c r="P31" i="105"/>
  <c r="P33" i="105"/>
  <c r="D106" i="105"/>
  <c r="T10" i="105"/>
  <c r="F106" i="105"/>
  <c r="V10" i="105"/>
  <c r="C106" i="105"/>
  <c r="P10" i="105"/>
  <c r="S10" i="105"/>
  <c r="O10" i="105"/>
  <c r="E106" i="105"/>
  <c r="U10" i="105"/>
  <c r="G106" i="105"/>
  <c r="W10" i="105"/>
  <c r="Y10" i="105"/>
  <c r="AA10" i="105"/>
  <c r="AC10" i="105"/>
  <c r="O11" i="105"/>
  <c r="O12" i="105"/>
  <c r="O13" i="105"/>
  <c r="O14" i="105"/>
  <c r="O15" i="105"/>
  <c r="O16" i="105"/>
  <c r="O21" i="105"/>
  <c r="O22" i="105"/>
  <c r="O23" i="105"/>
  <c r="O24" i="105"/>
  <c r="O25" i="105"/>
  <c r="O26" i="105"/>
  <c r="O27" i="105"/>
  <c r="O28" i="105"/>
  <c r="O29" i="105"/>
  <c r="O30" i="105"/>
  <c r="O31" i="105"/>
  <c r="O32" i="105"/>
  <c r="O33" i="105"/>
  <c r="O34" i="105"/>
  <c r="O35" i="105"/>
  <c r="O36" i="105"/>
  <c r="W36" i="105"/>
  <c r="Y36" i="105"/>
  <c r="AA36" i="105"/>
  <c r="AC36" i="105"/>
  <c r="O37" i="105"/>
  <c r="O38" i="105"/>
  <c r="O39" i="105"/>
  <c r="O40" i="105"/>
  <c r="O41" i="105"/>
  <c r="O42" i="105"/>
  <c r="O43" i="105"/>
  <c r="O44" i="105"/>
  <c r="O45" i="105"/>
  <c r="O46" i="105"/>
  <c r="O47" i="105"/>
  <c r="O48" i="105"/>
  <c r="O49" i="105"/>
  <c r="O50" i="105"/>
  <c r="O51" i="105"/>
  <c r="O52" i="105"/>
  <c r="O53" i="105"/>
  <c r="O54" i="105"/>
  <c r="O55" i="105"/>
  <c r="O56" i="105"/>
  <c r="O57" i="105"/>
  <c r="O58" i="105"/>
  <c r="O59" i="105"/>
  <c r="O60" i="105"/>
  <c r="O61" i="105"/>
  <c r="O62" i="105"/>
  <c r="O63" i="105"/>
  <c r="O64" i="105"/>
  <c r="O65" i="105"/>
  <c r="O66" i="105"/>
  <c r="O67" i="105"/>
  <c r="O68" i="105"/>
  <c r="O69" i="105"/>
  <c r="O70" i="105"/>
  <c r="O71" i="105"/>
  <c r="O72" i="105"/>
  <c r="O73" i="105"/>
  <c r="O74" i="105"/>
  <c r="O75" i="105"/>
  <c r="O76" i="105"/>
  <c r="O77" i="105"/>
  <c r="O78" i="105"/>
  <c r="O79" i="105"/>
  <c r="O80" i="105"/>
  <c r="O81" i="105"/>
  <c r="O82" i="105"/>
  <c r="O83" i="105"/>
  <c r="O84" i="105"/>
  <c r="X10" i="105"/>
  <c r="Z10" i="105"/>
  <c r="AB10" i="105"/>
  <c r="AD10" i="105"/>
  <c r="T36" i="105"/>
  <c r="V36" i="105"/>
  <c r="X36" i="105"/>
  <c r="Z36" i="105"/>
  <c r="AD36" i="105"/>
  <c r="O85" i="105"/>
  <c r="O86" i="105"/>
  <c r="O87" i="105"/>
  <c r="O88" i="105"/>
  <c r="O89" i="105"/>
  <c r="O90" i="105"/>
  <c r="O91" i="105"/>
  <c r="O92" i="105"/>
  <c r="O93" i="105"/>
  <c r="O94" i="105"/>
  <c r="O95" i="105"/>
  <c r="O96" i="105"/>
  <c r="O97" i="105"/>
  <c r="O98" i="105"/>
  <c r="O99" i="105"/>
  <c r="O100" i="105"/>
  <c r="O101" i="105"/>
  <c r="O102" i="105"/>
  <c r="O103" i="105"/>
  <c r="O104" i="105"/>
  <c r="O105" i="105"/>
  <c r="D106" i="101"/>
  <c r="F106" i="101"/>
  <c r="H106" i="101"/>
  <c r="J106" i="101"/>
  <c r="L106" i="101"/>
  <c r="N106" i="101"/>
  <c r="M106" i="101"/>
  <c r="K106" i="101"/>
  <c r="I106" i="101"/>
  <c r="G106" i="101"/>
  <c r="E106" i="101"/>
  <c r="C106" i="101"/>
  <c r="U17" i="96"/>
  <c r="V18" i="98"/>
  <c r="AC16" i="96"/>
  <c r="U18" i="94"/>
  <c r="AC16" i="95"/>
  <c r="AB18" i="97"/>
  <c r="AB26" i="97" s="1"/>
  <c r="AC20" i="99"/>
  <c r="AC24" i="99" s="1"/>
  <c r="AD20" i="98"/>
  <c r="AD27" i="98" s="1"/>
  <c r="U14" i="95"/>
  <c r="U26" i="95" s="1"/>
  <c r="T39" i="101"/>
  <c r="AC18" i="95"/>
  <c r="W16" i="99"/>
  <c r="Y20" i="99"/>
  <c r="Y27" i="99" s="1"/>
  <c r="AC16" i="98"/>
  <c r="AC23" i="98" s="1"/>
  <c r="AD13" i="98"/>
  <c r="U14" i="96"/>
  <c r="AC32" i="101"/>
  <c r="AA32" i="101"/>
  <c r="Y32" i="101"/>
  <c r="W32" i="101"/>
  <c r="U32" i="101"/>
  <c r="AC30" i="101"/>
  <c r="AA30" i="101"/>
  <c r="Y30" i="101"/>
  <c r="W30" i="101"/>
  <c r="U30" i="101"/>
  <c r="AC28" i="101"/>
  <c r="AA28" i="101"/>
  <c r="Y28" i="101"/>
  <c r="W28" i="101"/>
  <c r="U28" i="101"/>
  <c r="AC26" i="101"/>
  <c r="AA26" i="101"/>
  <c r="Y26" i="101"/>
  <c r="W26" i="101"/>
  <c r="U26" i="101"/>
  <c r="AC24" i="101"/>
  <c r="AA24" i="101"/>
  <c r="Y24" i="101"/>
  <c r="W24" i="101"/>
  <c r="U24" i="101"/>
  <c r="AC22" i="101"/>
  <c r="AA22" i="101"/>
  <c r="Y22" i="101"/>
  <c r="W22" i="101"/>
  <c r="U22" i="101"/>
  <c r="AD33" i="101"/>
  <c r="AB33" i="101"/>
  <c r="Z33" i="101"/>
  <c r="X33" i="101"/>
  <c r="V33" i="101"/>
  <c r="T33" i="101"/>
  <c r="AD31" i="101"/>
  <c r="AB31" i="101"/>
  <c r="Z31" i="101"/>
  <c r="X31" i="101"/>
  <c r="V31" i="101"/>
  <c r="T31" i="101"/>
  <c r="AD29" i="101"/>
  <c r="AB29" i="101"/>
  <c r="Z29" i="101"/>
  <c r="X29" i="101"/>
  <c r="V29" i="101"/>
  <c r="T29" i="101"/>
  <c r="AD27" i="101"/>
  <c r="AB27" i="101"/>
  <c r="Z27" i="101"/>
  <c r="X27" i="101"/>
  <c r="V27" i="101"/>
  <c r="T27" i="101"/>
  <c r="AD25" i="101"/>
  <c r="AB25" i="101"/>
  <c r="Z25" i="101"/>
  <c r="X25" i="101"/>
  <c r="V25" i="101"/>
  <c r="T25" i="101"/>
  <c r="AD23" i="101"/>
  <c r="AC33" i="101"/>
  <c r="AA33" i="101"/>
  <c r="Y33" i="101"/>
  <c r="W33" i="101"/>
  <c r="U33" i="101"/>
  <c r="AC31" i="101"/>
  <c r="AA31" i="101"/>
  <c r="Y31" i="101"/>
  <c r="W31" i="101"/>
  <c r="U31" i="101"/>
  <c r="AC29" i="101"/>
  <c r="AA29" i="101"/>
  <c r="Y29" i="101"/>
  <c r="W29" i="101"/>
  <c r="U29" i="101"/>
  <c r="AC27" i="101"/>
  <c r="AA27" i="101"/>
  <c r="Y27" i="101"/>
  <c r="W27" i="101"/>
  <c r="U27" i="101"/>
  <c r="AC25" i="101"/>
  <c r="AA25" i="101"/>
  <c r="Y25" i="101"/>
  <c r="W25" i="101"/>
  <c r="U25" i="101"/>
  <c r="AC23" i="101"/>
  <c r="AA23" i="101"/>
  <c r="Y23" i="101"/>
  <c r="W23" i="101"/>
  <c r="U23" i="101"/>
  <c r="AD32" i="101"/>
  <c r="AB32" i="101"/>
  <c r="Z32" i="101"/>
  <c r="X32" i="101"/>
  <c r="V32" i="101"/>
  <c r="T32" i="101"/>
  <c r="AD30" i="101"/>
  <c r="AB30" i="101"/>
  <c r="Z30" i="101"/>
  <c r="X30" i="101"/>
  <c r="V30" i="101"/>
  <c r="T30" i="101"/>
  <c r="AD28" i="101"/>
  <c r="AB28" i="101"/>
  <c r="Z28" i="101"/>
  <c r="X28" i="101"/>
  <c r="V28" i="101"/>
  <c r="T28" i="101"/>
  <c r="AD26" i="101"/>
  <c r="AB26" i="101"/>
  <c r="Z26" i="101"/>
  <c r="X26" i="101"/>
  <c r="V26" i="101"/>
  <c r="T26" i="101"/>
  <c r="AD24" i="101"/>
  <c r="AB24" i="101"/>
  <c r="Z24" i="101"/>
  <c r="X24" i="101"/>
  <c r="V24" i="101"/>
  <c r="T24" i="101"/>
  <c r="AB23" i="101"/>
  <c r="Z23" i="101"/>
  <c r="X23" i="101"/>
  <c r="V23" i="101"/>
  <c r="T23" i="101"/>
  <c r="AD22" i="101"/>
  <c r="AB22" i="101"/>
  <c r="Z22" i="101"/>
  <c r="X22" i="101"/>
  <c r="V22" i="101"/>
  <c r="T22" i="101"/>
  <c r="S33" i="101"/>
  <c r="S32" i="101"/>
  <c r="S31" i="101"/>
  <c r="S30" i="101"/>
  <c r="S29" i="101"/>
  <c r="S28" i="101"/>
  <c r="S27" i="101"/>
  <c r="S26" i="101"/>
  <c r="S25" i="101"/>
  <c r="S24" i="101"/>
  <c r="AB17" i="95"/>
  <c r="S22" i="101"/>
  <c r="S23" i="101"/>
  <c r="Z19" i="95"/>
  <c r="Z27" i="95" s="1"/>
  <c r="V14" i="98"/>
  <c r="AA16" i="100"/>
  <c r="AA26" i="100" s="1"/>
  <c r="Z13" i="95"/>
  <c r="V14" i="99"/>
  <c r="V26" i="99" s="1"/>
  <c r="T21" i="98"/>
  <c r="T27" i="98" s="1"/>
  <c r="AB14" i="95"/>
  <c r="U15" i="101"/>
  <c r="P105" i="101"/>
  <c r="Y17" i="94"/>
  <c r="P77" i="101"/>
  <c r="P22" i="104"/>
  <c r="P23" i="104"/>
  <c r="P24" i="104"/>
  <c r="O30" i="104"/>
  <c r="O34" i="104"/>
  <c r="O38" i="104"/>
  <c r="O42" i="104"/>
  <c r="O46" i="104"/>
  <c r="O50" i="104"/>
  <c r="O54" i="104"/>
  <c r="P69" i="101"/>
  <c r="P91" i="101"/>
  <c r="U15" i="94"/>
  <c r="W17" i="96"/>
  <c r="Z19" i="98"/>
  <c r="AC24" i="103"/>
  <c r="P81" i="101"/>
  <c r="P63" i="101"/>
  <c r="P97" i="101"/>
  <c r="P73" i="101"/>
  <c r="Y19" i="94"/>
  <c r="P95" i="101"/>
  <c r="P79" i="101"/>
  <c r="P71" i="101"/>
  <c r="P59" i="101"/>
  <c r="P101" i="101"/>
  <c r="P88" i="101"/>
  <c r="P83" i="101"/>
  <c r="P75" i="101"/>
  <c r="P67" i="101"/>
  <c r="Y14" i="100"/>
  <c r="P99" i="101"/>
  <c r="P93" i="101"/>
  <c r="P85" i="101"/>
  <c r="P65" i="101"/>
  <c r="P103" i="101"/>
  <c r="P61" i="101"/>
  <c r="O104" i="101"/>
  <c r="O102" i="101"/>
  <c r="O100" i="101"/>
  <c r="O98" i="101"/>
  <c r="O96" i="101"/>
  <c r="O94" i="101"/>
  <c r="O92" i="101"/>
  <c r="O89" i="101"/>
  <c r="O86" i="101"/>
  <c r="O84" i="101"/>
  <c r="O82" i="101"/>
  <c r="O80" i="101"/>
  <c r="O78" i="101"/>
  <c r="O76" i="101"/>
  <c r="O74" i="101"/>
  <c r="O72" i="101"/>
  <c r="O70" i="101"/>
  <c r="O68" i="101"/>
  <c r="O66" i="101"/>
  <c r="O64" i="101"/>
  <c r="O62" i="101"/>
  <c r="O60" i="101"/>
  <c r="O58" i="101"/>
  <c r="O105" i="101"/>
  <c r="P104" i="101"/>
  <c r="O103" i="101"/>
  <c r="P102" i="101"/>
  <c r="AF33" i="101" s="1"/>
  <c r="O101" i="101"/>
  <c r="P100" i="101"/>
  <c r="O99" i="101"/>
  <c r="P98" i="101"/>
  <c r="O97" i="101"/>
  <c r="P96" i="101"/>
  <c r="O95" i="101"/>
  <c r="P94" i="101"/>
  <c r="O93" i="101"/>
  <c r="P92" i="101"/>
  <c r="O91" i="101"/>
  <c r="P90" i="101"/>
  <c r="O90" i="101"/>
  <c r="P89" i="101"/>
  <c r="O88" i="101"/>
  <c r="P87" i="101"/>
  <c r="O87" i="101"/>
  <c r="P86" i="101"/>
  <c r="O85" i="101"/>
  <c r="P84" i="101"/>
  <c r="O83" i="101"/>
  <c r="P82" i="101"/>
  <c r="O81" i="101"/>
  <c r="P80" i="101"/>
  <c r="O79" i="101"/>
  <c r="P78" i="101"/>
  <c r="O77" i="101"/>
  <c r="P76" i="101"/>
  <c r="O75" i="101"/>
  <c r="P74" i="101"/>
  <c r="O73" i="101"/>
  <c r="P72" i="101"/>
  <c r="O71" i="101"/>
  <c r="P70" i="101"/>
  <c r="O69" i="101"/>
  <c r="P68" i="101"/>
  <c r="O67" i="101"/>
  <c r="P66" i="101"/>
  <c r="O65" i="101"/>
  <c r="P64" i="101"/>
  <c r="O63" i="101"/>
  <c r="P62" i="101"/>
  <c r="O61" i="101"/>
  <c r="P60" i="101"/>
  <c r="O59" i="101"/>
  <c r="P58" i="101"/>
  <c r="Y18" i="96"/>
  <c r="AC14" i="94"/>
  <c r="Y13" i="100"/>
  <c r="Y15" i="97"/>
  <c r="Y23" i="97" s="1"/>
  <c r="Y16" i="95"/>
  <c r="AA18" i="96"/>
  <c r="AA23" i="96" s="1"/>
  <c r="W20" i="98"/>
  <c r="W24" i="98" s="1"/>
  <c r="AD16" i="96"/>
  <c r="AD23" i="96" s="1"/>
  <c r="Z18" i="95"/>
  <c r="Y14" i="94"/>
  <c r="Y21" i="96"/>
  <c r="Y24" i="96" s="1"/>
  <c r="Y15" i="101"/>
  <c r="AA17" i="94"/>
  <c r="V21" i="95"/>
  <c r="X13" i="95"/>
  <c r="X23" i="95" s="1"/>
  <c r="W16" i="94"/>
  <c r="AC20" i="94"/>
  <c r="V15" i="95"/>
  <c r="V26" i="95" s="1"/>
  <c r="U14" i="94"/>
  <c r="P17" i="104"/>
  <c r="S17" i="104"/>
  <c r="V11" i="103"/>
  <c r="AD12" i="101"/>
  <c r="AD11" i="103"/>
  <c r="T11" i="104"/>
  <c r="X11" i="104"/>
  <c r="AB11" i="104"/>
  <c r="U12" i="101"/>
  <c r="W12" i="101"/>
  <c r="Y12" i="101"/>
  <c r="AA12" i="101"/>
  <c r="AC12" i="101"/>
  <c r="V26" i="103"/>
  <c r="AD26" i="103"/>
  <c r="T10" i="104"/>
  <c r="F58" i="104"/>
  <c r="X10" i="104"/>
  <c r="J58" i="104"/>
  <c r="AB10" i="104"/>
  <c r="N58" i="104"/>
  <c r="P14" i="104"/>
  <c r="U11" i="104"/>
  <c r="W11" i="104"/>
  <c r="Y11" i="104"/>
  <c r="AA11" i="104"/>
  <c r="AC11" i="104"/>
  <c r="P18" i="104"/>
  <c r="U12" i="104"/>
  <c r="W12" i="104"/>
  <c r="Y12" i="104"/>
  <c r="AA12" i="104"/>
  <c r="AC12" i="104"/>
  <c r="T12" i="104"/>
  <c r="X12" i="104"/>
  <c r="AB12" i="104"/>
  <c r="P21" i="104"/>
  <c r="S21" i="104"/>
  <c r="V11" i="101"/>
  <c r="T11" i="103"/>
  <c r="X11" i="103"/>
  <c r="Z11" i="103"/>
  <c r="AB11" i="103"/>
  <c r="S13" i="104"/>
  <c r="S15" i="104"/>
  <c r="S19" i="104"/>
  <c r="AC36" i="101"/>
  <c r="Y24" i="103"/>
  <c r="AC27" i="103"/>
  <c r="T14" i="103"/>
  <c r="X14" i="103"/>
  <c r="AB14" i="103"/>
  <c r="W15" i="104"/>
  <c r="W17" i="104"/>
  <c r="W19" i="104"/>
  <c r="W21" i="104"/>
  <c r="W18" i="94"/>
  <c r="D58" i="103"/>
  <c r="F58" i="103"/>
  <c r="H58" i="103"/>
  <c r="J58" i="103"/>
  <c r="L58" i="103"/>
  <c r="N58" i="103"/>
  <c r="Z26" i="103"/>
  <c r="U11" i="103"/>
  <c r="W11" i="103"/>
  <c r="Y11" i="103"/>
  <c r="AA11" i="103"/>
  <c r="AC11" i="103"/>
  <c r="T13" i="103"/>
  <c r="T26" i="103" s="1"/>
  <c r="X13" i="103"/>
  <c r="X23" i="103" s="1"/>
  <c r="AB13" i="103"/>
  <c r="AB26" i="103" s="1"/>
  <c r="P25" i="103"/>
  <c r="P26" i="103"/>
  <c r="P27" i="103"/>
  <c r="U27" i="103"/>
  <c r="P11" i="104"/>
  <c r="W10" i="104"/>
  <c r="S11" i="104"/>
  <c r="P12" i="104"/>
  <c r="S12" i="104"/>
  <c r="P13" i="104"/>
  <c r="P15" i="104"/>
  <c r="P16" i="104"/>
  <c r="P19" i="104"/>
  <c r="P20" i="104"/>
  <c r="X26" i="103"/>
  <c r="AA26" i="104"/>
  <c r="P34" i="104"/>
  <c r="P42" i="104"/>
  <c r="P50" i="104"/>
  <c r="V11" i="99"/>
  <c r="T12" i="99"/>
  <c r="V12" i="99"/>
  <c r="X12" i="99"/>
  <c r="Z12" i="99"/>
  <c r="AB12" i="99"/>
  <c r="AD12" i="99"/>
  <c r="T12" i="101"/>
  <c r="V12" i="101"/>
  <c r="X12" i="101"/>
  <c r="Z12" i="101"/>
  <c r="AB12" i="101"/>
  <c r="E58" i="103"/>
  <c r="G58" i="103"/>
  <c r="I58" i="103"/>
  <c r="K58" i="103"/>
  <c r="M58" i="103"/>
  <c r="P11" i="103"/>
  <c r="P12" i="103"/>
  <c r="P13" i="103"/>
  <c r="P14" i="103"/>
  <c r="P15" i="103"/>
  <c r="P16" i="103"/>
  <c r="P17" i="103"/>
  <c r="P18" i="103"/>
  <c r="P19" i="103"/>
  <c r="P20" i="103"/>
  <c r="P21" i="103"/>
  <c r="P22" i="103"/>
  <c r="U13" i="103"/>
  <c r="W13" i="103"/>
  <c r="Y13" i="103"/>
  <c r="AA13" i="103"/>
  <c r="AC13" i="103"/>
  <c r="P23" i="103"/>
  <c r="P24" i="103"/>
  <c r="P28" i="103"/>
  <c r="P29" i="103"/>
  <c r="P30" i="103"/>
  <c r="P31" i="103"/>
  <c r="U15" i="103"/>
  <c r="W15" i="103"/>
  <c r="Y15" i="103"/>
  <c r="AA15" i="103"/>
  <c r="AC15" i="103"/>
  <c r="P32" i="103"/>
  <c r="P33" i="103"/>
  <c r="P34" i="103"/>
  <c r="P35" i="103"/>
  <c r="U16" i="103"/>
  <c r="W16" i="103"/>
  <c r="Y16" i="103"/>
  <c r="AA16" i="103"/>
  <c r="S10" i="104"/>
  <c r="S16" i="104"/>
  <c r="S18" i="104"/>
  <c r="S20" i="104"/>
  <c r="U15" i="104"/>
  <c r="Y15" i="104"/>
  <c r="AC15" i="104"/>
  <c r="P30" i="104"/>
  <c r="U17" i="104"/>
  <c r="Y17" i="104"/>
  <c r="AC17" i="104"/>
  <c r="P38" i="104"/>
  <c r="U19" i="104"/>
  <c r="Y19" i="104"/>
  <c r="AC19" i="104"/>
  <c r="P46" i="104"/>
  <c r="U21" i="104"/>
  <c r="Y21" i="104"/>
  <c r="AC21" i="104"/>
  <c r="P54" i="104"/>
  <c r="AC16" i="103"/>
  <c r="P36" i="103"/>
  <c r="P37" i="103"/>
  <c r="P39" i="103"/>
  <c r="P40" i="103"/>
  <c r="P41" i="103"/>
  <c r="P42" i="103"/>
  <c r="P43" i="103"/>
  <c r="P44" i="103"/>
  <c r="P45" i="103"/>
  <c r="P46" i="103"/>
  <c r="P47" i="103"/>
  <c r="P48" i="103"/>
  <c r="P49" i="103"/>
  <c r="P50" i="103"/>
  <c r="P51" i="103"/>
  <c r="P52" i="103"/>
  <c r="P53" i="103"/>
  <c r="P54" i="103"/>
  <c r="P55" i="103"/>
  <c r="P56" i="103"/>
  <c r="P57" i="103"/>
  <c r="E58" i="104"/>
  <c r="G58" i="104"/>
  <c r="I58" i="104"/>
  <c r="K58" i="104"/>
  <c r="M58" i="104"/>
  <c r="AA10" i="104"/>
  <c r="V13" i="104"/>
  <c r="X13" i="104"/>
  <c r="Z13" i="104"/>
  <c r="AB13" i="104"/>
  <c r="AD13" i="104"/>
  <c r="P27" i="104"/>
  <c r="P28" i="104"/>
  <c r="P29" i="104"/>
  <c r="O32" i="104"/>
  <c r="P32" i="104"/>
  <c r="P33" i="104"/>
  <c r="O36" i="104"/>
  <c r="P36" i="104"/>
  <c r="P37" i="104"/>
  <c r="O40" i="104"/>
  <c r="P40" i="104"/>
  <c r="P41" i="104"/>
  <c r="O44" i="104"/>
  <c r="P44" i="104"/>
  <c r="P45" i="104"/>
  <c r="O48" i="104"/>
  <c r="P48" i="104"/>
  <c r="P49" i="104"/>
  <c r="O52" i="104"/>
  <c r="P52" i="104"/>
  <c r="P53" i="104"/>
  <c r="O56" i="104"/>
  <c r="P56" i="104"/>
  <c r="P57" i="104"/>
  <c r="P10" i="103"/>
  <c r="C58" i="103"/>
  <c r="O10" i="103"/>
  <c r="U10" i="103"/>
  <c r="Y10" i="103"/>
  <c r="AC10" i="103"/>
  <c r="O11" i="103"/>
  <c r="O12" i="103"/>
  <c r="O13" i="103"/>
  <c r="O14" i="103"/>
  <c r="O15" i="103"/>
  <c r="O16" i="103"/>
  <c r="O17" i="103"/>
  <c r="O18" i="103"/>
  <c r="O19" i="103"/>
  <c r="O20" i="103"/>
  <c r="O21" i="103"/>
  <c r="O22" i="103"/>
  <c r="O23" i="103"/>
  <c r="O24" i="103"/>
  <c r="O25" i="103"/>
  <c r="O26" i="103"/>
  <c r="O27" i="103"/>
  <c r="O28" i="103"/>
  <c r="O29" i="103"/>
  <c r="O31" i="103"/>
  <c r="O33" i="103"/>
  <c r="O35" i="103"/>
  <c r="O37" i="103"/>
  <c r="T11" i="101"/>
  <c r="X11" i="101"/>
  <c r="Z11" i="101"/>
  <c r="AB11" i="101"/>
  <c r="AD11" i="101"/>
  <c r="Y39" i="101"/>
  <c r="Y36" i="101"/>
  <c r="S10" i="103"/>
  <c r="W10" i="103"/>
  <c r="AA10" i="103"/>
  <c r="S11" i="103"/>
  <c r="S12" i="103"/>
  <c r="S13" i="103"/>
  <c r="S14" i="103"/>
  <c r="S15" i="103"/>
  <c r="S16" i="103"/>
  <c r="S24" i="103"/>
  <c r="W24" i="103"/>
  <c r="AA24" i="103"/>
  <c r="O30" i="103"/>
  <c r="O32" i="103"/>
  <c r="O34" i="103"/>
  <c r="O36" i="103"/>
  <c r="P38" i="103"/>
  <c r="O38" i="103"/>
  <c r="O39" i="103"/>
  <c r="O40" i="103"/>
  <c r="O41" i="103"/>
  <c r="O42" i="103"/>
  <c r="O43" i="103"/>
  <c r="O44" i="103"/>
  <c r="O45" i="103"/>
  <c r="O46" i="103"/>
  <c r="O47" i="103"/>
  <c r="O48" i="103"/>
  <c r="O49" i="103"/>
  <c r="O50" i="103"/>
  <c r="O51" i="103"/>
  <c r="O52" i="103"/>
  <c r="O53" i="103"/>
  <c r="O54" i="103"/>
  <c r="O55" i="103"/>
  <c r="O56" i="103"/>
  <c r="O57" i="103"/>
  <c r="AA27" i="104"/>
  <c r="AA24" i="104"/>
  <c r="AA23" i="104"/>
  <c r="P25" i="104"/>
  <c r="T13" i="104"/>
  <c r="P26" i="104"/>
  <c r="T14" i="104"/>
  <c r="H58" i="104"/>
  <c r="Z13" i="101"/>
  <c r="T10" i="103"/>
  <c r="V10" i="103"/>
  <c r="X10" i="103"/>
  <c r="Z10" i="103"/>
  <c r="AB10" i="103"/>
  <c r="AD10" i="103"/>
  <c r="V23" i="103"/>
  <c r="Z23" i="103"/>
  <c r="AD23" i="103"/>
  <c r="T24" i="103"/>
  <c r="V24" i="103"/>
  <c r="X24" i="103"/>
  <c r="Z24" i="103"/>
  <c r="AB24" i="103"/>
  <c r="AD24" i="103"/>
  <c r="C58" i="104"/>
  <c r="P10" i="104"/>
  <c r="O10" i="104"/>
  <c r="U10" i="104"/>
  <c r="Y10" i="104"/>
  <c r="AC10" i="104"/>
  <c r="O11" i="104"/>
  <c r="O12" i="104"/>
  <c r="O13" i="104"/>
  <c r="O14" i="104"/>
  <c r="O15" i="104"/>
  <c r="O16" i="104"/>
  <c r="O17" i="104"/>
  <c r="O18" i="104"/>
  <c r="O19" i="104"/>
  <c r="O20" i="104"/>
  <c r="O21" i="104"/>
  <c r="O22" i="104"/>
  <c r="O23" i="104"/>
  <c r="O24" i="104"/>
  <c r="P31" i="104"/>
  <c r="T15" i="104"/>
  <c r="V15" i="104"/>
  <c r="X15" i="104"/>
  <c r="Z15" i="104"/>
  <c r="AB15" i="104"/>
  <c r="AD15" i="104"/>
  <c r="P35" i="104"/>
  <c r="T16" i="104"/>
  <c r="V16" i="104"/>
  <c r="X16" i="104"/>
  <c r="Z16" i="104"/>
  <c r="AB16" i="104"/>
  <c r="AD16" i="104"/>
  <c r="P39" i="104"/>
  <c r="T17" i="104"/>
  <c r="V17" i="104"/>
  <c r="X17" i="104"/>
  <c r="Z17" i="104"/>
  <c r="AB17" i="104"/>
  <c r="AD17" i="104"/>
  <c r="P43" i="104"/>
  <c r="T18" i="104"/>
  <c r="V18" i="104"/>
  <c r="X18" i="104"/>
  <c r="Z18" i="104"/>
  <c r="AB18" i="104"/>
  <c r="AD18" i="104"/>
  <c r="P47" i="104"/>
  <c r="T19" i="104"/>
  <c r="V19" i="104"/>
  <c r="X19" i="104"/>
  <c r="Z19" i="104"/>
  <c r="AB19" i="104"/>
  <c r="AD19" i="104"/>
  <c r="P51" i="104"/>
  <c r="T20" i="104"/>
  <c r="V20" i="104"/>
  <c r="X20" i="104"/>
  <c r="Z20" i="104"/>
  <c r="AB20" i="104"/>
  <c r="AD20" i="104"/>
  <c r="P55" i="104"/>
  <c r="T21" i="104"/>
  <c r="V21" i="104"/>
  <c r="X21" i="104"/>
  <c r="Z21" i="104"/>
  <c r="AB21" i="104"/>
  <c r="AD21" i="104"/>
  <c r="D58" i="104"/>
  <c r="L58" i="104"/>
  <c r="V10" i="104"/>
  <c r="Z10" i="104"/>
  <c r="AD10" i="104"/>
  <c r="O25" i="104"/>
  <c r="O26" i="104"/>
  <c r="O27" i="104"/>
  <c r="O28" i="104"/>
  <c r="O29" i="104"/>
  <c r="O31" i="104"/>
  <c r="O33" i="104"/>
  <c r="O35" i="104"/>
  <c r="O37" i="104"/>
  <c r="O39" i="104"/>
  <c r="O41" i="104"/>
  <c r="O43" i="104"/>
  <c r="O45" i="104"/>
  <c r="O47" i="104"/>
  <c r="O49" i="104"/>
  <c r="O51" i="104"/>
  <c r="O53" i="104"/>
  <c r="O55" i="104"/>
  <c r="O57" i="104"/>
  <c r="AB12" i="98"/>
  <c r="U36" i="101"/>
  <c r="U39" i="101"/>
  <c r="AC39" i="101"/>
  <c r="T14" i="101"/>
  <c r="X14" i="101"/>
  <c r="AB14" i="101"/>
  <c r="U11" i="101"/>
  <c r="W11" i="101"/>
  <c r="Y11" i="101"/>
  <c r="AA11" i="101"/>
  <c r="AC11" i="101"/>
  <c r="T13" i="101"/>
  <c r="X13" i="101"/>
  <c r="AB13" i="101"/>
  <c r="P25" i="101"/>
  <c r="P26" i="101"/>
  <c r="P27" i="101"/>
  <c r="AA12" i="97"/>
  <c r="T12" i="98"/>
  <c r="P21" i="100"/>
  <c r="P23" i="100"/>
  <c r="P24" i="100"/>
  <c r="O34" i="100"/>
  <c r="O42" i="100"/>
  <c r="O50" i="100"/>
  <c r="O54" i="100"/>
  <c r="P11" i="101"/>
  <c r="P12" i="101"/>
  <c r="P13" i="101"/>
  <c r="P14" i="101"/>
  <c r="P15" i="101"/>
  <c r="P16" i="101"/>
  <c r="P17" i="101"/>
  <c r="P18" i="101"/>
  <c r="P19" i="101"/>
  <c r="P20" i="101"/>
  <c r="P21" i="101"/>
  <c r="P22" i="101"/>
  <c r="U13" i="101"/>
  <c r="W13" i="101"/>
  <c r="W35" i="101" s="1"/>
  <c r="Y13" i="101"/>
  <c r="AA13" i="101"/>
  <c r="AA35" i="101" s="1"/>
  <c r="AC13" i="101"/>
  <c r="AC35" i="101" s="1"/>
  <c r="P23" i="101"/>
  <c r="P24" i="101"/>
  <c r="P28" i="101"/>
  <c r="P29" i="101"/>
  <c r="P31" i="101"/>
  <c r="P32" i="101"/>
  <c r="P33" i="101"/>
  <c r="P34" i="101"/>
  <c r="P35" i="101"/>
  <c r="P36" i="101"/>
  <c r="P37" i="101"/>
  <c r="P38" i="101"/>
  <c r="P39" i="101"/>
  <c r="P40" i="101"/>
  <c r="P41" i="101"/>
  <c r="P42" i="101"/>
  <c r="P43" i="101"/>
  <c r="P44" i="101"/>
  <c r="P45" i="101"/>
  <c r="P46" i="101"/>
  <c r="P47" i="101"/>
  <c r="P48" i="101"/>
  <c r="P49" i="101"/>
  <c r="P50" i="101"/>
  <c r="P51" i="101"/>
  <c r="P52" i="101"/>
  <c r="P53" i="101"/>
  <c r="P54" i="101"/>
  <c r="P55" i="101"/>
  <c r="P56" i="101"/>
  <c r="P57" i="101"/>
  <c r="AC11" i="95"/>
  <c r="O38" i="100"/>
  <c r="S17" i="100"/>
  <c r="P10" i="101"/>
  <c r="O10" i="101"/>
  <c r="U10" i="101"/>
  <c r="Y10" i="101"/>
  <c r="AC10" i="101"/>
  <c r="O11" i="101"/>
  <c r="O12" i="101"/>
  <c r="O13" i="101"/>
  <c r="O14" i="101"/>
  <c r="O15" i="101"/>
  <c r="O16" i="101"/>
  <c r="O17" i="101"/>
  <c r="O18" i="101"/>
  <c r="O19" i="101"/>
  <c r="O20" i="101"/>
  <c r="O21" i="101"/>
  <c r="O22" i="101"/>
  <c r="O23" i="101"/>
  <c r="O24" i="101"/>
  <c r="O25" i="101"/>
  <c r="O26" i="101"/>
  <c r="O27" i="101"/>
  <c r="O28" i="101"/>
  <c r="O29" i="101"/>
  <c r="U11" i="97"/>
  <c r="S10" i="101"/>
  <c r="W10" i="101"/>
  <c r="AA10" i="101"/>
  <c r="S11" i="101"/>
  <c r="S12" i="101"/>
  <c r="S13" i="101"/>
  <c r="S14" i="101"/>
  <c r="S36" i="101"/>
  <c r="W36" i="101"/>
  <c r="AA36" i="101"/>
  <c r="P30" i="101"/>
  <c r="O30" i="101"/>
  <c r="O31" i="101"/>
  <c r="O32" i="101"/>
  <c r="O33" i="101"/>
  <c r="O34" i="101"/>
  <c r="O35" i="101"/>
  <c r="O36" i="101"/>
  <c r="O37" i="101"/>
  <c r="O38" i="101"/>
  <c r="O39" i="101"/>
  <c r="O40" i="101"/>
  <c r="O41" i="101"/>
  <c r="O42" i="101"/>
  <c r="O43" i="101"/>
  <c r="O44" i="101"/>
  <c r="O45" i="101"/>
  <c r="O46" i="101"/>
  <c r="O47" i="101"/>
  <c r="O48" i="101"/>
  <c r="O49" i="101"/>
  <c r="O50" i="101"/>
  <c r="O51" i="101"/>
  <c r="O52" i="101"/>
  <c r="O53" i="101"/>
  <c r="O54" i="101"/>
  <c r="O55" i="101"/>
  <c r="O56" i="101"/>
  <c r="O57" i="101"/>
  <c r="U11" i="96"/>
  <c r="W11" i="96"/>
  <c r="Y11" i="96"/>
  <c r="AA11" i="96"/>
  <c r="AC11" i="96"/>
  <c r="Y11" i="97"/>
  <c r="T11" i="99"/>
  <c r="X11" i="99"/>
  <c r="Z11" i="99"/>
  <c r="AB11" i="99"/>
  <c r="AD11" i="99"/>
  <c r="U12" i="99"/>
  <c r="W12" i="99"/>
  <c r="Y12" i="99"/>
  <c r="AA12" i="99"/>
  <c r="AC12" i="99"/>
  <c r="P17" i="100"/>
  <c r="T10" i="101"/>
  <c r="V10" i="101"/>
  <c r="X10" i="101"/>
  <c r="Z10" i="101"/>
  <c r="AB10" i="101"/>
  <c r="AD10" i="101"/>
  <c r="AD35" i="101"/>
  <c r="T36" i="101"/>
  <c r="V36" i="101"/>
  <c r="X36" i="101"/>
  <c r="Z36" i="101"/>
  <c r="AB36" i="101"/>
  <c r="AD36" i="101"/>
  <c r="V27" i="96"/>
  <c r="S11" i="97"/>
  <c r="W11" i="97"/>
  <c r="AA11" i="97"/>
  <c r="S12" i="97"/>
  <c r="U12" i="97"/>
  <c r="W12" i="97"/>
  <c r="Y12" i="97"/>
  <c r="AC12" i="97"/>
  <c r="Z13" i="99"/>
  <c r="Z26" i="99" s="1"/>
  <c r="T10" i="100"/>
  <c r="T22" i="100" s="1"/>
  <c r="X10" i="100"/>
  <c r="AB10" i="100"/>
  <c r="AB22" i="100" s="1"/>
  <c r="V11" i="100"/>
  <c r="Z11" i="100"/>
  <c r="AD11" i="100"/>
  <c r="U12" i="100"/>
  <c r="W12" i="100"/>
  <c r="Y12" i="100"/>
  <c r="AA12" i="100"/>
  <c r="AC12" i="100"/>
  <c r="V12" i="100"/>
  <c r="Z12" i="100"/>
  <c r="AD12" i="100"/>
  <c r="P22" i="100"/>
  <c r="S13" i="100"/>
  <c r="O30" i="100"/>
  <c r="S15" i="100"/>
  <c r="W15" i="100"/>
  <c r="W17" i="100"/>
  <c r="O46" i="100"/>
  <c r="S19" i="100"/>
  <c r="W19" i="100"/>
  <c r="W21" i="100"/>
  <c r="U11" i="95"/>
  <c r="Y11" i="95"/>
  <c r="P13" i="96"/>
  <c r="P20" i="96"/>
  <c r="P22" i="96"/>
  <c r="P23" i="96"/>
  <c r="P24" i="96"/>
  <c r="O25" i="96"/>
  <c r="O26" i="96"/>
  <c r="O27" i="96"/>
  <c r="O28" i="96"/>
  <c r="O29" i="96"/>
  <c r="O31" i="96"/>
  <c r="O32" i="96"/>
  <c r="O33" i="96"/>
  <c r="O34" i="96"/>
  <c r="O35" i="96"/>
  <c r="O36" i="96"/>
  <c r="O37" i="96"/>
  <c r="O39" i="96"/>
  <c r="O40" i="96"/>
  <c r="O41" i="96"/>
  <c r="O43" i="96"/>
  <c r="O44" i="96"/>
  <c r="O45" i="96"/>
  <c r="O47" i="96"/>
  <c r="O48" i="96"/>
  <c r="O49" i="96"/>
  <c r="O50" i="96"/>
  <c r="O51" i="96"/>
  <c r="O52" i="96"/>
  <c r="O53" i="96"/>
  <c r="O55" i="96"/>
  <c r="O56" i="96"/>
  <c r="O57" i="96"/>
  <c r="C58" i="97"/>
  <c r="E58" i="97"/>
  <c r="G58" i="97"/>
  <c r="I58" i="97"/>
  <c r="K58" i="97"/>
  <c r="M58" i="97"/>
  <c r="O11" i="97"/>
  <c r="O12" i="97"/>
  <c r="O13" i="97"/>
  <c r="T11" i="97"/>
  <c r="V11" i="97"/>
  <c r="X11" i="97"/>
  <c r="Z11" i="97"/>
  <c r="AB11" i="97"/>
  <c r="AD11" i="97"/>
  <c r="O16" i="97"/>
  <c r="O17" i="97"/>
  <c r="X11" i="98"/>
  <c r="V12" i="98"/>
  <c r="X12" i="98"/>
  <c r="Z12" i="98"/>
  <c r="AD12" i="98"/>
  <c r="D58" i="99"/>
  <c r="F58" i="99"/>
  <c r="H58" i="99"/>
  <c r="J58" i="99"/>
  <c r="L58" i="99"/>
  <c r="N58" i="99"/>
  <c r="U24" i="99"/>
  <c r="U27" i="99"/>
  <c r="T14" i="99"/>
  <c r="X14" i="99"/>
  <c r="AB14" i="99"/>
  <c r="F58" i="100"/>
  <c r="J58" i="100"/>
  <c r="N58" i="100"/>
  <c r="P14" i="100"/>
  <c r="S11" i="100"/>
  <c r="U11" i="100"/>
  <c r="W11" i="100"/>
  <c r="Y11" i="100"/>
  <c r="AA11" i="100"/>
  <c r="AC11" i="100"/>
  <c r="P18" i="100"/>
  <c r="S12" i="100"/>
  <c r="S21" i="100"/>
  <c r="U11" i="99"/>
  <c r="W11" i="99"/>
  <c r="Y11" i="99"/>
  <c r="AA11" i="99"/>
  <c r="AC11" i="99"/>
  <c r="T13" i="99"/>
  <c r="X13" i="99"/>
  <c r="AB13" i="99"/>
  <c r="P25" i="99"/>
  <c r="P26" i="99"/>
  <c r="P27" i="99"/>
  <c r="P11" i="100"/>
  <c r="W10" i="100"/>
  <c r="P12" i="100"/>
  <c r="P13" i="100"/>
  <c r="P15" i="100"/>
  <c r="P16" i="100"/>
  <c r="P19" i="100"/>
  <c r="P20" i="100"/>
  <c r="P34" i="100"/>
  <c r="P42" i="100"/>
  <c r="P50" i="100"/>
  <c r="O14" i="97"/>
  <c r="O15" i="97"/>
  <c r="P20" i="98"/>
  <c r="P23" i="98"/>
  <c r="P24" i="98"/>
  <c r="O25" i="98"/>
  <c r="O27" i="98"/>
  <c r="O28" i="98"/>
  <c r="O29" i="98"/>
  <c r="O30" i="98"/>
  <c r="O31" i="98"/>
  <c r="O32" i="98"/>
  <c r="O33" i="98"/>
  <c r="O35" i="98"/>
  <c r="O36" i="98"/>
  <c r="O37" i="98"/>
  <c r="O38" i="98"/>
  <c r="O39" i="98"/>
  <c r="O40" i="98"/>
  <c r="O41" i="98"/>
  <c r="O43" i="98"/>
  <c r="O44" i="98"/>
  <c r="O45" i="98"/>
  <c r="O47" i="98"/>
  <c r="O48" i="98"/>
  <c r="O49" i="98"/>
  <c r="O50" i="98"/>
  <c r="O51" i="98"/>
  <c r="O52" i="98"/>
  <c r="O53" i="98"/>
  <c r="O55" i="98"/>
  <c r="O56" i="98"/>
  <c r="O57" i="98"/>
  <c r="E58" i="99"/>
  <c r="G58" i="99"/>
  <c r="I58" i="99"/>
  <c r="K58" i="99"/>
  <c r="M58" i="99"/>
  <c r="P11" i="99"/>
  <c r="P12" i="99"/>
  <c r="P13" i="99"/>
  <c r="P14" i="99"/>
  <c r="P15" i="99"/>
  <c r="P16" i="99"/>
  <c r="P17" i="99"/>
  <c r="P18" i="99"/>
  <c r="P19" i="99"/>
  <c r="P20" i="99"/>
  <c r="P21" i="99"/>
  <c r="P22" i="99"/>
  <c r="U13" i="99"/>
  <c r="W13" i="99"/>
  <c r="Y13" i="99"/>
  <c r="Y26" i="99" s="1"/>
  <c r="AA13" i="99"/>
  <c r="AA26" i="99" s="1"/>
  <c r="AC13" i="99"/>
  <c r="AC23" i="99" s="1"/>
  <c r="P23" i="99"/>
  <c r="P24" i="99"/>
  <c r="P28" i="99"/>
  <c r="P29" i="99"/>
  <c r="P30" i="99"/>
  <c r="P31" i="99"/>
  <c r="P32" i="99"/>
  <c r="P33" i="99"/>
  <c r="P34" i="99"/>
  <c r="P35" i="99"/>
  <c r="S10" i="100"/>
  <c r="S16" i="100"/>
  <c r="S18" i="100"/>
  <c r="S20" i="100"/>
  <c r="U15" i="100"/>
  <c r="Y15" i="100"/>
  <c r="AC15" i="100"/>
  <c r="P30" i="100"/>
  <c r="U17" i="100"/>
  <c r="Y17" i="100"/>
  <c r="AC17" i="100"/>
  <c r="P38" i="100"/>
  <c r="U19" i="100"/>
  <c r="Y19" i="100"/>
  <c r="AC19" i="100"/>
  <c r="P46" i="100"/>
  <c r="U21" i="100"/>
  <c r="Y21" i="100"/>
  <c r="AC21" i="100"/>
  <c r="P54" i="100"/>
  <c r="P36" i="99"/>
  <c r="P37" i="99"/>
  <c r="P38" i="99"/>
  <c r="P39" i="99"/>
  <c r="P40" i="99"/>
  <c r="P41" i="99"/>
  <c r="P42" i="99"/>
  <c r="P43" i="99"/>
  <c r="P44" i="99"/>
  <c r="P45" i="99"/>
  <c r="P46" i="99"/>
  <c r="P47" i="99"/>
  <c r="P48" i="99"/>
  <c r="P49" i="99"/>
  <c r="P50" i="99"/>
  <c r="P51" i="99"/>
  <c r="P52" i="99"/>
  <c r="P53" i="99"/>
  <c r="P54" i="99"/>
  <c r="P55" i="99"/>
  <c r="P56" i="99"/>
  <c r="P57" i="99"/>
  <c r="E58" i="100"/>
  <c r="G58" i="100"/>
  <c r="I58" i="100"/>
  <c r="K58" i="100"/>
  <c r="M58" i="100"/>
  <c r="AA10" i="100"/>
  <c r="V13" i="100"/>
  <c r="X13" i="100"/>
  <c r="Z13" i="100"/>
  <c r="AB13" i="100"/>
  <c r="AD13" i="100"/>
  <c r="P27" i="100"/>
  <c r="P28" i="100"/>
  <c r="P29" i="100"/>
  <c r="O32" i="100"/>
  <c r="P32" i="100"/>
  <c r="P33" i="100"/>
  <c r="O36" i="100"/>
  <c r="P36" i="100"/>
  <c r="P37" i="100"/>
  <c r="O40" i="100"/>
  <c r="P40" i="100"/>
  <c r="P41" i="100"/>
  <c r="O44" i="100"/>
  <c r="P44" i="100"/>
  <c r="P45" i="100"/>
  <c r="O48" i="100"/>
  <c r="P48" i="100"/>
  <c r="P49" i="100"/>
  <c r="O52" i="100"/>
  <c r="P52" i="100"/>
  <c r="P53" i="100"/>
  <c r="O56" i="100"/>
  <c r="P56" i="100"/>
  <c r="P57" i="100"/>
  <c r="P10" i="99"/>
  <c r="C58" i="99"/>
  <c r="O10" i="99"/>
  <c r="U10" i="99"/>
  <c r="Y10" i="99"/>
  <c r="AC10" i="99"/>
  <c r="O11" i="99"/>
  <c r="O12" i="99"/>
  <c r="O13" i="99"/>
  <c r="O14" i="99"/>
  <c r="O15" i="99"/>
  <c r="O16" i="99"/>
  <c r="O17" i="99"/>
  <c r="O18" i="99"/>
  <c r="O19" i="99"/>
  <c r="O20" i="99"/>
  <c r="O21" i="99"/>
  <c r="O22" i="99"/>
  <c r="O23" i="99"/>
  <c r="O24" i="99"/>
  <c r="O25" i="99"/>
  <c r="O26" i="99"/>
  <c r="O27" i="99"/>
  <c r="S10" i="99"/>
  <c r="W10" i="99"/>
  <c r="AA10" i="99"/>
  <c r="S11" i="99"/>
  <c r="S12" i="99"/>
  <c r="S13" i="99"/>
  <c r="S14" i="99"/>
  <c r="S24" i="99"/>
  <c r="W24" i="99"/>
  <c r="AA24" i="99"/>
  <c r="O28" i="99"/>
  <c r="O29" i="99"/>
  <c r="O30" i="99"/>
  <c r="O31" i="99"/>
  <c r="O32" i="99"/>
  <c r="O33" i="99"/>
  <c r="O34" i="99"/>
  <c r="O35" i="99"/>
  <c r="O36" i="99"/>
  <c r="O37" i="99"/>
  <c r="O38" i="99"/>
  <c r="O39" i="99"/>
  <c r="O40" i="99"/>
  <c r="O41" i="99"/>
  <c r="O42" i="99"/>
  <c r="O43" i="99"/>
  <c r="O44" i="99"/>
  <c r="O45" i="99"/>
  <c r="O46" i="99"/>
  <c r="O47" i="99"/>
  <c r="O48" i="99"/>
  <c r="O49" i="99"/>
  <c r="O50" i="99"/>
  <c r="O51" i="99"/>
  <c r="O52" i="99"/>
  <c r="O53" i="99"/>
  <c r="O54" i="99"/>
  <c r="O55" i="99"/>
  <c r="O56" i="99"/>
  <c r="O57" i="99"/>
  <c r="AA27" i="100"/>
  <c r="AA24" i="100"/>
  <c r="P25" i="100"/>
  <c r="T13" i="100"/>
  <c r="P26" i="100"/>
  <c r="T14" i="100"/>
  <c r="H58" i="100"/>
  <c r="P45" i="97"/>
  <c r="P46" i="97"/>
  <c r="P47" i="97"/>
  <c r="P48" i="97"/>
  <c r="T11" i="98"/>
  <c r="V11" i="98"/>
  <c r="Z11" i="98"/>
  <c r="AB11" i="98"/>
  <c r="AD11" i="98"/>
  <c r="T10" i="99"/>
  <c r="V10" i="99"/>
  <c r="X10" i="99"/>
  <c r="Z10" i="99"/>
  <c r="AB10" i="99"/>
  <c r="AD10" i="99"/>
  <c r="T24" i="99"/>
  <c r="V24" i="99"/>
  <c r="Z24" i="99"/>
  <c r="AD24" i="99"/>
  <c r="C58" i="100"/>
  <c r="P10" i="100"/>
  <c r="O10" i="100"/>
  <c r="U10" i="100"/>
  <c r="Y10" i="100"/>
  <c r="AC10" i="100"/>
  <c r="O11" i="100"/>
  <c r="O12" i="100"/>
  <c r="O13" i="100"/>
  <c r="O14" i="100"/>
  <c r="O15" i="100"/>
  <c r="O16" i="100"/>
  <c r="O17" i="100"/>
  <c r="O18" i="100"/>
  <c r="O19" i="100"/>
  <c r="O20" i="100"/>
  <c r="O21" i="100"/>
  <c r="O22" i="100"/>
  <c r="O23" i="100"/>
  <c r="O24" i="100"/>
  <c r="P31" i="100"/>
  <c r="T15" i="100"/>
  <c r="V15" i="100"/>
  <c r="X15" i="100"/>
  <c r="Z15" i="100"/>
  <c r="AB15" i="100"/>
  <c r="AD15" i="100"/>
  <c r="P35" i="100"/>
  <c r="T16" i="100"/>
  <c r="V16" i="100"/>
  <c r="X16" i="100"/>
  <c r="Z16" i="100"/>
  <c r="AB16" i="100"/>
  <c r="AD16" i="100"/>
  <c r="P39" i="100"/>
  <c r="T17" i="100"/>
  <c r="V17" i="100"/>
  <c r="X17" i="100"/>
  <c r="Z17" i="100"/>
  <c r="AB17" i="100"/>
  <c r="AD17" i="100"/>
  <c r="P43" i="100"/>
  <c r="T18" i="100"/>
  <c r="V18" i="100"/>
  <c r="X18" i="100"/>
  <c r="Z18" i="100"/>
  <c r="AB18" i="100"/>
  <c r="AD18" i="100"/>
  <c r="P47" i="100"/>
  <c r="T19" i="100"/>
  <c r="V19" i="100"/>
  <c r="X19" i="100"/>
  <c r="Z19" i="100"/>
  <c r="AB19" i="100"/>
  <c r="AD19" i="100"/>
  <c r="P51" i="100"/>
  <c r="T20" i="100"/>
  <c r="V20" i="100"/>
  <c r="X20" i="100"/>
  <c r="Z20" i="100"/>
  <c r="AB20" i="100"/>
  <c r="AD20" i="100"/>
  <c r="P55" i="100"/>
  <c r="T21" i="100"/>
  <c r="V21" i="100"/>
  <c r="X21" i="100"/>
  <c r="Z21" i="100"/>
  <c r="AB21" i="100"/>
  <c r="AD21" i="100"/>
  <c r="D58" i="100"/>
  <c r="L58" i="100"/>
  <c r="V10" i="100"/>
  <c r="Z10" i="100"/>
  <c r="AD10" i="100"/>
  <c r="O25" i="100"/>
  <c r="O26" i="100"/>
  <c r="O27" i="100"/>
  <c r="O28" i="100"/>
  <c r="O29" i="100"/>
  <c r="O31" i="100"/>
  <c r="O33" i="100"/>
  <c r="O35" i="100"/>
  <c r="O37" i="100"/>
  <c r="O39" i="100"/>
  <c r="O41" i="100"/>
  <c r="O43" i="100"/>
  <c r="O45" i="100"/>
  <c r="O47" i="100"/>
  <c r="O49" i="100"/>
  <c r="O51" i="100"/>
  <c r="O53" i="100"/>
  <c r="O55" i="100"/>
  <c r="O57" i="100"/>
  <c r="O46" i="98"/>
  <c r="S19" i="98"/>
  <c r="T12" i="97"/>
  <c r="V12" i="97"/>
  <c r="X12" i="97"/>
  <c r="Z12" i="97"/>
  <c r="AB12" i="97"/>
  <c r="AD12" i="97"/>
  <c r="U11" i="98"/>
  <c r="W11" i="98"/>
  <c r="Y11" i="98"/>
  <c r="AA11" i="98"/>
  <c r="AC11" i="98"/>
  <c r="S15" i="98"/>
  <c r="V12" i="94"/>
  <c r="S11" i="95"/>
  <c r="W11" i="95"/>
  <c r="AA11" i="95"/>
  <c r="Z12" i="95"/>
  <c r="O20" i="97"/>
  <c r="O22" i="97"/>
  <c r="O23" i="97"/>
  <c r="O24" i="97"/>
  <c r="O25" i="97"/>
  <c r="O26" i="97"/>
  <c r="O27" i="97"/>
  <c r="O28" i="97"/>
  <c r="O29" i="97"/>
  <c r="O30" i="97"/>
  <c r="O31" i="97"/>
  <c r="O32" i="97"/>
  <c r="O33" i="97"/>
  <c r="O34" i="97"/>
  <c r="O35" i="97"/>
  <c r="O37" i="97"/>
  <c r="O38" i="97"/>
  <c r="O39" i="97"/>
  <c r="O40" i="97"/>
  <c r="O41" i="97"/>
  <c r="O42" i="97"/>
  <c r="O43" i="97"/>
  <c r="O44" i="97"/>
  <c r="P17" i="98"/>
  <c r="U12" i="98"/>
  <c r="W12" i="98"/>
  <c r="Y12" i="98"/>
  <c r="AA12" i="98"/>
  <c r="AC12" i="98"/>
  <c r="W26" i="97"/>
  <c r="AA26" i="97"/>
  <c r="P15" i="98"/>
  <c r="S11" i="98"/>
  <c r="P19" i="98"/>
  <c r="S12" i="98"/>
  <c r="U27" i="98"/>
  <c r="P22" i="98"/>
  <c r="S13" i="98"/>
  <c r="U26" i="98"/>
  <c r="W26" i="98"/>
  <c r="Y26" i="98"/>
  <c r="AA26" i="98"/>
  <c r="O26" i="98"/>
  <c r="S14" i="98"/>
  <c r="O34" i="98"/>
  <c r="S16" i="98"/>
  <c r="O42" i="98"/>
  <c r="S18" i="98"/>
  <c r="O54" i="98"/>
  <c r="S21" i="98"/>
  <c r="T11" i="95"/>
  <c r="V11" i="95"/>
  <c r="X11" i="95"/>
  <c r="Z11" i="95"/>
  <c r="AB11" i="95"/>
  <c r="AD11" i="95"/>
  <c r="D58" i="97"/>
  <c r="F58" i="97"/>
  <c r="H58" i="97"/>
  <c r="J58" i="97"/>
  <c r="L58" i="97"/>
  <c r="N58" i="97"/>
  <c r="T26" i="97"/>
  <c r="Z26" i="97"/>
  <c r="AD26" i="97"/>
  <c r="O18" i="97"/>
  <c r="S18" i="97"/>
  <c r="O19" i="97"/>
  <c r="S27" i="97"/>
  <c r="U27" i="97"/>
  <c r="W27" i="97"/>
  <c r="Y27" i="97"/>
  <c r="AA27" i="97"/>
  <c r="AC27" i="97"/>
  <c r="O21" i="97"/>
  <c r="P40" i="97"/>
  <c r="P41" i="97"/>
  <c r="P42" i="97"/>
  <c r="P43" i="97"/>
  <c r="P44" i="97"/>
  <c r="D58" i="98"/>
  <c r="F58" i="98"/>
  <c r="H58" i="98"/>
  <c r="J58" i="98"/>
  <c r="L58" i="98"/>
  <c r="N58" i="98"/>
  <c r="Z26" i="98"/>
  <c r="S17" i="98"/>
  <c r="S20" i="98"/>
  <c r="O45" i="97"/>
  <c r="O46" i="97"/>
  <c r="O47" i="97"/>
  <c r="O48" i="97"/>
  <c r="O49" i="97"/>
  <c r="O50" i="97"/>
  <c r="O51" i="97"/>
  <c r="O52" i="97"/>
  <c r="O53" i="97"/>
  <c r="O54" i="97"/>
  <c r="O55" i="97"/>
  <c r="O56" i="97"/>
  <c r="O57" i="97"/>
  <c r="C58" i="98"/>
  <c r="E58" i="98"/>
  <c r="G58" i="98"/>
  <c r="I58" i="98"/>
  <c r="K58" i="98"/>
  <c r="M58" i="98"/>
  <c r="P11" i="98"/>
  <c r="P12" i="98"/>
  <c r="P13" i="98"/>
  <c r="P14" i="98"/>
  <c r="P16" i="98"/>
  <c r="P18" i="98"/>
  <c r="P21" i="98"/>
  <c r="P43" i="98"/>
  <c r="P44" i="98"/>
  <c r="P45" i="98"/>
  <c r="P46" i="98"/>
  <c r="P47" i="98"/>
  <c r="P48" i="98"/>
  <c r="P49" i="98"/>
  <c r="P50" i="98"/>
  <c r="P51" i="98"/>
  <c r="P52" i="98"/>
  <c r="Z11" i="94"/>
  <c r="AD12" i="94"/>
  <c r="V12" i="95"/>
  <c r="AD12" i="95"/>
  <c r="T11" i="96"/>
  <c r="V11" i="96"/>
  <c r="X11" i="96"/>
  <c r="Z11" i="96"/>
  <c r="AB11" i="96"/>
  <c r="AD11" i="96"/>
  <c r="P10" i="97"/>
  <c r="T10" i="97"/>
  <c r="V10" i="97"/>
  <c r="X10" i="97"/>
  <c r="Z10" i="97"/>
  <c r="AB10" i="97"/>
  <c r="AD10" i="97"/>
  <c r="P11" i="97"/>
  <c r="P12" i="97"/>
  <c r="P13" i="97"/>
  <c r="P14" i="97"/>
  <c r="P15" i="97"/>
  <c r="P16" i="97"/>
  <c r="P17" i="97"/>
  <c r="P18" i="97"/>
  <c r="P19" i="97"/>
  <c r="P20" i="97"/>
  <c r="P21" i="97"/>
  <c r="P22" i="97"/>
  <c r="P23" i="97"/>
  <c r="T23" i="97"/>
  <c r="Z23" i="97"/>
  <c r="P24" i="97"/>
  <c r="T24" i="97"/>
  <c r="V24" i="97"/>
  <c r="X24" i="97"/>
  <c r="Z24" i="97"/>
  <c r="AB24" i="97"/>
  <c r="AD24" i="97"/>
  <c r="P25" i="97"/>
  <c r="P26" i="97"/>
  <c r="P27" i="97"/>
  <c r="P28" i="97"/>
  <c r="P29" i="97"/>
  <c r="P30" i="97"/>
  <c r="P31" i="97"/>
  <c r="P32" i="97"/>
  <c r="P33" i="97"/>
  <c r="P34" i="97"/>
  <c r="P35" i="97"/>
  <c r="S12" i="96"/>
  <c r="W12" i="96"/>
  <c r="AA12" i="96"/>
  <c r="O10" i="97"/>
  <c r="S10" i="97"/>
  <c r="U10" i="97"/>
  <c r="W10" i="97"/>
  <c r="Y10" i="97"/>
  <c r="AA10" i="97"/>
  <c r="AC10" i="97"/>
  <c r="W23" i="97"/>
  <c r="AA23" i="97"/>
  <c r="S24" i="97"/>
  <c r="U24" i="97"/>
  <c r="W24" i="97"/>
  <c r="Y24" i="97"/>
  <c r="AA24" i="97"/>
  <c r="AC24" i="97"/>
  <c r="O36" i="97"/>
  <c r="P36" i="97"/>
  <c r="P37" i="97"/>
  <c r="P38" i="97"/>
  <c r="P39" i="97"/>
  <c r="P49" i="97"/>
  <c r="P50" i="97"/>
  <c r="P51" i="97"/>
  <c r="P52" i="97"/>
  <c r="P53" i="97"/>
  <c r="P54" i="97"/>
  <c r="P55" i="97"/>
  <c r="P56" i="97"/>
  <c r="P57" i="97"/>
  <c r="O10" i="98"/>
  <c r="S10" i="98"/>
  <c r="U10" i="98"/>
  <c r="W10" i="98"/>
  <c r="Y10" i="98"/>
  <c r="AA10" i="98"/>
  <c r="AC10" i="98"/>
  <c r="O11" i="98"/>
  <c r="O12" i="98"/>
  <c r="O13" i="98"/>
  <c r="O14" i="98"/>
  <c r="O15" i="98"/>
  <c r="O16" i="98"/>
  <c r="O17" i="98"/>
  <c r="O18" i="98"/>
  <c r="O19" i="98"/>
  <c r="Y27" i="98"/>
  <c r="Y24" i="98"/>
  <c r="AA27" i="98"/>
  <c r="AA24" i="98"/>
  <c r="AC27" i="98"/>
  <c r="AC24" i="98"/>
  <c r="O20" i="98"/>
  <c r="O21" i="98"/>
  <c r="O22" i="98"/>
  <c r="O23" i="98"/>
  <c r="U23" i="98"/>
  <c r="W23" i="98"/>
  <c r="Y23" i="98"/>
  <c r="AA23" i="98"/>
  <c r="O24" i="98"/>
  <c r="U24" i="98"/>
  <c r="P10" i="98"/>
  <c r="T10" i="98"/>
  <c r="V10" i="98"/>
  <c r="X10" i="98"/>
  <c r="Z10" i="98"/>
  <c r="AB10" i="98"/>
  <c r="AD10" i="98"/>
  <c r="X27" i="98"/>
  <c r="X24" i="98"/>
  <c r="X23" i="98"/>
  <c r="Z23" i="98"/>
  <c r="P25" i="98"/>
  <c r="P26" i="98"/>
  <c r="P27" i="98"/>
  <c r="P28" i="98"/>
  <c r="P29" i="98"/>
  <c r="P30" i="98"/>
  <c r="P31" i="98"/>
  <c r="P32" i="98"/>
  <c r="P33" i="98"/>
  <c r="P34" i="98"/>
  <c r="P35" i="98"/>
  <c r="P36" i="98"/>
  <c r="P37" i="98"/>
  <c r="P38" i="98"/>
  <c r="P39" i="98"/>
  <c r="P40" i="98"/>
  <c r="P41" i="98"/>
  <c r="P42" i="98"/>
  <c r="P53" i="98"/>
  <c r="P54" i="98"/>
  <c r="P55" i="98"/>
  <c r="P56" i="98"/>
  <c r="P57" i="98"/>
  <c r="O42" i="96"/>
  <c r="S18" i="96"/>
  <c r="T11" i="94"/>
  <c r="V11" i="94"/>
  <c r="X11" i="94"/>
  <c r="AB11" i="94"/>
  <c r="AD11" i="94"/>
  <c r="T12" i="94"/>
  <c r="X12" i="94"/>
  <c r="Z12" i="94"/>
  <c r="AB12" i="94"/>
  <c r="D58" i="95"/>
  <c r="F58" i="95"/>
  <c r="H58" i="95"/>
  <c r="J58" i="95"/>
  <c r="L58" i="95"/>
  <c r="N58" i="95"/>
  <c r="T26" i="95"/>
  <c r="AD27" i="95"/>
  <c r="S13" i="96"/>
  <c r="P14" i="96"/>
  <c r="S11" i="96"/>
  <c r="S14" i="96"/>
  <c r="T12" i="95"/>
  <c r="X12" i="95"/>
  <c r="AB12" i="95"/>
  <c r="P21" i="95"/>
  <c r="P22" i="95"/>
  <c r="P23" i="95"/>
  <c r="P24" i="95"/>
  <c r="P25" i="95"/>
  <c r="P26" i="95"/>
  <c r="P27" i="95"/>
  <c r="P28" i="95"/>
  <c r="P29" i="95"/>
  <c r="P30" i="95"/>
  <c r="P31" i="95"/>
  <c r="P32" i="95"/>
  <c r="P33" i="95"/>
  <c r="P34" i="95"/>
  <c r="P35" i="95"/>
  <c r="O37" i="95"/>
  <c r="O39" i="95"/>
  <c r="O40" i="95"/>
  <c r="O41" i="95"/>
  <c r="O42" i="95"/>
  <c r="O43" i="95"/>
  <c r="O44" i="95"/>
  <c r="O45" i="95"/>
  <c r="O47" i="95"/>
  <c r="O48" i="95"/>
  <c r="O49" i="95"/>
  <c r="O50" i="95"/>
  <c r="O51" i="95"/>
  <c r="O52" i="95"/>
  <c r="O53" i="95"/>
  <c r="O54" i="95"/>
  <c r="O55" i="95"/>
  <c r="O56" i="95"/>
  <c r="O57" i="95"/>
  <c r="C58" i="96"/>
  <c r="E58" i="96"/>
  <c r="G58" i="96"/>
  <c r="I58" i="96"/>
  <c r="K58" i="96"/>
  <c r="M58" i="96"/>
  <c r="P11" i="96"/>
  <c r="S10" i="94"/>
  <c r="W10" i="94"/>
  <c r="P18" i="95"/>
  <c r="T27" i="95"/>
  <c r="X27" i="95"/>
  <c r="AB27" i="95"/>
  <c r="P20" i="95"/>
  <c r="U12" i="95"/>
  <c r="W12" i="95"/>
  <c r="Y12" i="95"/>
  <c r="AA12" i="95"/>
  <c r="AC12" i="95"/>
  <c r="P12" i="96"/>
  <c r="P16" i="96"/>
  <c r="P18" i="96"/>
  <c r="U12" i="96"/>
  <c r="Y12" i="96"/>
  <c r="AC12" i="96"/>
  <c r="T12" i="96"/>
  <c r="V12" i="96"/>
  <c r="X12" i="96"/>
  <c r="Z12" i="96"/>
  <c r="AB12" i="96"/>
  <c r="AD12" i="96"/>
  <c r="O38" i="95"/>
  <c r="S17" i="95"/>
  <c r="O46" i="95"/>
  <c r="S19" i="95"/>
  <c r="Y27" i="95"/>
  <c r="AA27" i="95"/>
  <c r="O30" i="96"/>
  <c r="S15" i="96"/>
  <c r="O38" i="96"/>
  <c r="S17" i="96"/>
  <c r="O46" i="96"/>
  <c r="S19" i="96"/>
  <c r="U27" i="96"/>
  <c r="O54" i="96"/>
  <c r="S21" i="96"/>
  <c r="P14" i="94"/>
  <c r="U11" i="94"/>
  <c r="W11" i="94"/>
  <c r="Y11" i="94"/>
  <c r="AA11" i="94"/>
  <c r="AC11" i="94"/>
  <c r="P16" i="94"/>
  <c r="P18" i="94"/>
  <c r="U12" i="94"/>
  <c r="W12" i="94"/>
  <c r="Y12" i="94"/>
  <c r="AA12" i="94"/>
  <c r="AC12" i="94"/>
  <c r="P20" i="94"/>
  <c r="P22" i="94"/>
  <c r="P23" i="94"/>
  <c r="P24" i="94"/>
  <c r="O30" i="94"/>
  <c r="O34" i="94"/>
  <c r="O38" i="94"/>
  <c r="O42" i="94"/>
  <c r="O46" i="94"/>
  <c r="O50" i="94"/>
  <c r="O54" i="94"/>
  <c r="C58" i="95"/>
  <c r="E58" i="95"/>
  <c r="G58" i="95"/>
  <c r="I58" i="95"/>
  <c r="K58" i="95"/>
  <c r="M58" i="95"/>
  <c r="P11" i="95"/>
  <c r="P12" i="95"/>
  <c r="S12" i="95"/>
  <c r="P13" i="95"/>
  <c r="S13" i="95"/>
  <c r="P14" i="95"/>
  <c r="S14" i="95"/>
  <c r="P15" i="95"/>
  <c r="S15" i="95"/>
  <c r="P16" i="95"/>
  <c r="S16" i="95"/>
  <c r="S18" i="95"/>
  <c r="S21" i="95"/>
  <c r="S16" i="96"/>
  <c r="T27" i="96"/>
  <c r="S20" i="96"/>
  <c r="P17" i="95"/>
  <c r="P19" i="95"/>
  <c r="P49" i="95"/>
  <c r="P50" i="95"/>
  <c r="P51" i="95"/>
  <c r="P52" i="95"/>
  <c r="P53" i="95"/>
  <c r="P54" i="95"/>
  <c r="P55" i="95"/>
  <c r="P56" i="95"/>
  <c r="P57" i="95"/>
  <c r="D58" i="96"/>
  <c r="F58" i="96"/>
  <c r="H58" i="96"/>
  <c r="J58" i="96"/>
  <c r="L58" i="96"/>
  <c r="N58" i="96"/>
  <c r="V26" i="96"/>
  <c r="X26" i="96"/>
  <c r="Z26" i="96"/>
  <c r="P15" i="96"/>
  <c r="P17" i="96"/>
  <c r="P19" i="96"/>
  <c r="P21" i="96"/>
  <c r="O10" i="95"/>
  <c r="S10" i="95"/>
  <c r="U10" i="95"/>
  <c r="W10" i="95"/>
  <c r="Y10" i="95"/>
  <c r="AA10" i="95"/>
  <c r="AC10" i="95"/>
  <c r="O11" i="95"/>
  <c r="O12" i="95"/>
  <c r="O13" i="95"/>
  <c r="O14" i="95"/>
  <c r="O15" i="95"/>
  <c r="O16" i="95"/>
  <c r="O17" i="95"/>
  <c r="O18" i="95"/>
  <c r="O19" i="95"/>
  <c r="O20" i="95"/>
  <c r="O21" i="95"/>
  <c r="O22" i="95"/>
  <c r="O23" i="95"/>
  <c r="W23" i="95"/>
  <c r="AA23" i="95"/>
  <c r="O24" i="95"/>
  <c r="Y24" i="95"/>
  <c r="AA24" i="95"/>
  <c r="O25" i="95"/>
  <c r="O26" i="95"/>
  <c r="O27" i="95"/>
  <c r="O28" i="95"/>
  <c r="O29" i="95"/>
  <c r="O31" i="95"/>
  <c r="O32" i="95"/>
  <c r="O33" i="95"/>
  <c r="O34" i="95"/>
  <c r="O35" i="95"/>
  <c r="O36" i="95"/>
  <c r="P36" i="95"/>
  <c r="T10" i="94"/>
  <c r="F58" i="94"/>
  <c r="X10" i="94"/>
  <c r="J58" i="94"/>
  <c r="AB10" i="94"/>
  <c r="N58" i="94"/>
  <c r="P11" i="94"/>
  <c r="S11" i="94"/>
  <c r="P12" i="94"/>
  <c r="S12" i="94"/>
  <c r="P13" i="94"/>
  <c r="S13" i="94"/>
  <c r="P15" i="94"/>
  <c r="P17" i="94"/>
  <c r="P19" i="94"/>
  <c r="P21" i="94"/>
  <c r="P10" i="95"/>
  <c r="T10" i="95"/>
  <c r="V10" i="95"/>
  <c r="X10" i="95"/>
  <c r="Z10" i="95"/>
  <c r="AB10" i="95"/>
  <c r="AD10" i="95"/>
  <c r="T23" i="95"/>
  <c r="AD23" i="95"/>
  <c r="T24" i="95"/>
  <c r="X24" i="95"/>
  <c r="AB24" i="95"/>
  <c r="AD24" i="95"/>
  <c r="P37" i="95"/>
  <c r="P38" i="95"/>
  <c r="P39" i="95"/>
  <c r="P40" i="95"/>
  <c r="P41" i="95"/>
  <c r="P42" i="95"/>
  <c r="P43" i="95"/>
  <c r="P44" i="95"/>
  <c r="P45" i="95"/>
  <c r="P46" i="95"/>
  <c r="P47" i="95"/>
  <c r="P48" i="95"/>
  <c r="O10" i="96"/>
  <c r="S10" i="96"/>
  <c r="U10" i="96"/>
  <c r="W10" i="96"/>
  <c r="Y10" i="96"/>
  <c r="AA10" i="96"/>
  <c r="AC10" i="96"/>
  <c r="O11" i="96"/>
  <c r="O12" i="96"/>
  <c r="O13" i="96"/>
  <c r="O14" i="96"/>
  <c r="O15" i="96"/>
  <c r="O16" i="96"/>
  <c r="O17" i="96"/>
  <c r="O18" i="96"/>
  <c r="O19" i="96"/>
  <c r="AA27" i="96"/>
  <c r="AA24" i="96"/>
  <c r="AC27" i="96"/>
  <c r="AC24" i="96"/>
  <c r="O20" i="96"/>
  <c r="O21" i="96"/>
  <c r="O22" i="96"/>
  <c r="O23" i="96"/>
  <c r="O24" i="96"/>
  <c r="U24" i="96"/>
  <c r="P10" i="96"/>
  <c r="T10" i="96"/>
  <c r="V10" i="96"/>
  <c r="X10" i="96"/>
  <c r="Z10" i="96"/>
  <c r="AB10" i="96"/>
  <c r="AD10" i="96"/>
  <c r="X27" i="96"/>
  <c r="X24" i="96"/>
  <c r="Z27" i="96"/>
  <c r="Z24" i="96"/>
  <c r="AB27" i="96"/>
  <c r="AB24" i="96"/>
  <c r="AD27" i="96"/>
  <c r="AD24" i="96"/>
  <c r="V23" i="96"/>
  <c r="Z23" i="96"/>
  <c r="T24" i="96"/>
  <c r="V24" i="96"/>
  <c r="P25" i="96"/>
  <c r="P26" i="96"/>
  <c r="P27" i="96"/>
  <c r="P28" i="96"/>
  <c r="P29" i="96"/>
  <c r="P30" i="96"/>
  <c r="P31" i="96"/>
  <c r="P32" i="96"/>
  <c r="P33" i="96"/>
  <c r="P34" i="96"/>
  <c r="P35" i="96"/>
  <c r="P36" i="96"/>
  <c r="P37" i="96"/>
  <c r="P38" i="96"/>
  <c r="P39" i="96"/>
  <c r="P40" i="96"/>
  <c r="P41" i="96"/>
  <c r="P42" i="96"/>
  <c r="P43" i="96"/>
  <c r="P44" i="96"/>
  <c r="P45" i="96"/>
  <c r="P46" i="96"/>
  <c r="P47" i="96"/>
  <c r="P48" i="96"/>
  <c r="P49" i="96"/>
  <c r="P50" i="96"/>
  <c r="P51" i="96"/>
  <c r="P52" i="96"/>
  <c r="P53" i="96"/>
  <c r="P54" i="96"/>
  <c r="P55" i="96"/>
  <c r="P56" i="96"/>
  <c r="P57" i="96"/>
  <c r="P30" i="94"/>
  <c r="P34" i="94"/>
  <c r="P38" i="94"/>
  <c r="P42" i="94"/>
  <c r="P46" i="94"/>
  <c r="P50" i="94"/>
  <c r="P54" i="94"/>
  <c r="E58" i="94"/>
  <c r="G58" i="94"/>
  <c r="I58" i="94"/>
  <c r="K58" i="94"/>
  <c r="M58" i="94"/>
  <c r="AA10" i="94"/>
  <c r="V13" i="94"/>
  <c r="X13" i="94"/>
  <c r="Z13" i="94"/>
  <c r="AB13" i="94"/>
  <c r="AD13" i="94"/>
  <c r="P27" i="94"/>
  <c r="P28" i="94"/>
  <c r="P29" i="94"/>
  <c r="O32" i="94"/>
  <c r="P32" i="94"/>
  <c r="P33" i="94"/>
  <c r="O36" i="94"/>
  <c r="P36" i="94"/>
  <c r="P37" i="94"/>
  <c r="O40" i="94"/>
  <c r="P40" i="94"/>
  <c r="P41" i="94"/>
  <c r="O44" i="94"/>
  <c r="P44" i="94"/>
  <c r="P45" i="94"/>
  <c r="O48" i="94"/>
  <c r="P48" i="94"/>
  <c r="P49" i="94"/>
  <c r="O52" i="94"/>
  <c r="P52" i="94"/>
  <c r="P53" i="94"/>
  <c r="O56" i="94"/>
  <c r="P56" i="94"/>
  <c r="P57" i="94"/>
  <c r="P25" i="94"/>
  <c r="T13" i="94"/>
  <c r="P26" i="94"/>
  <c r="T14" i="94"/>
  <c r="H58" i="94"/>
  <c r="C58" i="94"/>
  <c r="P10" i="94"/>
  <c r="O10" i="94"/>
  <c r="U10" i="94"/>
  <c r="Y10" i="94"/>
  <c r="AC10" i="94"/>
  <c r="O11" i="94"/>
  <c r="O12" i="94"/>
  <c r="O13" i="94"/>
  <c r="O14" i="94"/>
  <c r="O15" i="94"/>
  <c r="O16" i="94"/>
  <c r="O17" i="94"/>
  <c r="O18" i="94"/>
  <c r="O19" i="94"/>
  <c r="O20" i="94"/>
  <c r="O21" i="94"/>
  <c r="O22" i="94"/>
  <c r="O23" i="94"/>
  <c r="O24" i="94"/>
  <c r="P31" i="94"/>
  <c r="T15" i="94"/>
  <c r="V15" i="94"/>
  <c r="X15" i="94"/>
  <c r="Z15" i="94"/>
  <c r="AB15" i="94"/>
  <c r="AD15" i="94"/>
  <c r="P35" i="94"/>
  <c r="T16" i="94"/>
  <c r="V16" i="94"/>
  <c r="X16" i="94"/>
  <c r="Z16" i="94"/>
  <c r="AB16" i="94"/>
  <c r="AD16" i="94"/>
  <c r="P39" i="94"/>
  <c r="T17" i="94"/>
  <c r="V17" i="94"/>
  <c r="X17" i="94"/>
  <c r="Z17" i="94"/>
  <c r="AB17" i="94"/>
  <c r="AD17" i="94"/>
  <c r="P43" i="94"/>
  <c r="T18" i="94"/>
  <c r="V18" i="94"/>
  <c r="X18" i="94"/>
  <c r="Z18" i="94"/>
  <c r="AB18" i="94"/>
  <c r="AD18" i="94"/>
  <c r="P47" i="94"/>
  <c r="T19" i="94"/>
  <c r="V19" i="94"/>
  <c r="X19" i="94"/>
  <c r="Z19" i="94"/>
  <c r="AB19" i="94"/>
  <c r="AD19" i="94"/>
  <c r="P51" i="94"/>
  <c r="T20" i="94"/>
  <c r="V20" i="94"/>
  <c r="X20" i="94"/>
  <c r="Z20" i="94"/>
  <c r="AB20" i="94"/>
  <c r="AD20" i="94"/>
  <c r="P55" i="94"/>
  <c r="T21" i="94"/>
  <c r="V21" i="94"/>
  <c r="X21" i="94"/>
  <c r="Z21" i="94"/>
  <c r="AB21" i="94"/>
  <c r="AD21" i="94"/>
  <c r="D58" i="94"/>
  <c r="L58" i="94"/>
  <c r="V10" i="94"/>
  <c r="Z10" i="94"/>
  <c r="AD10" i="94"/>
  <c r="O25" i="94"/>
  <c r="O26" i="94"/>
  <c r="O27" i="94"/>
  <c r="O28" i="94"/>
  <c r="O29" i="94"/>
  <c r="O31" i="94"/>
  <c r="O33" i="94"/>
  <c r="O35" i="94"/>
  <c r="O37" i="94"/>
  <c r="O39" i="94"/>
  <c r="O41" i="94"/>
  <c r="O43" i="94"/>
  <c r="O45" i="94"/>
  <c r="O47" i="94"/>
  <c r="O49" i="94"/>
  <c r="O51" i="94"/>
  <c r="O53" i="94"/>
  <c r="O55" i="94"/>
  <c r="O57" i="94"/>
  <c r="C11" i="107"/>
  <c r="D11" i="107"/>
  <c r="E11" i="107"/>
  <c r="F11" i="107"/>
  <c r="G11" i="107"/>
  <c r="H11" i="107"/>
  <c r="I11" i="107"/>
  <c r="J11" i="107"/>
  <c r="K11" i="107"/>
  <c r="L11" i="107"/>
  <c r="M11" i="107"/>
  <c r="N11" i="107"/>
  <c r="C12" i="107"/>
  <c r="D12" i="107"/>
  <c r="E12" i="107"/>
  <c r="F12" i="107"/>
  <c r="G12" i="107"/>
  <c r="H12" i="107"/>
  <c r="I12" i="107"/>
  <c r="J12" i="107"/>
  <c r="K12" i="107"/>
  <c r="L12" i="107"/>
  <c r="M12" i="107"/>
  <c r="N12" i="107"/>
  <c r="C13" i="107"/>
  <c r="D13" i="107"/>
  <c r="E13" i="107"/>
  <c r="F13" i="107"/>
  <c r="G13" i="107"/>
  <c r="H13" i="107"/>
  <c r="I13" i="107"/>
  <c r="J13" i="107"/>
  <c r="K13" i="107"/>
  <c r="L13" i="107"/>
  <c r="M13" i="107"/>
  <c r="N13" i="107"/>
  <c r="C14" i="107"/>
  <c r="D14" i="107"/>
  <c r="E14" i="107"/>
  <c r="F14" i="107"/>
  <c r="G14" i="107"/>
  <c r="H14" i="107"/>
  <c r="I14" i="107"/>
  <c r="J14" i="107"/>
  <c r="K14" i="107"/>
  <c r="L14" i="107"/>
  <c r="M14" i="107"/>
  <c r="N14" i="107"/>
  <c r="C15" i="107"/>
  <c r="D15" i="107"/>
  <c r="E15" i="107"/>
  <c r="F15" i="107"/>
  <c r="G15" i="107"/>
  <c r="H15" i="107"/>
  <c r="I15" i="107"/>
  <c r="J15" i="107"/>
  <c r="K15" i="107"/>
  <c r="L15" i="107"/>
  <c r="M15" i="107"/>
  <c r="N15" i="107"/>
  <c r="C16" i="107"/>
  <c r="D16" i="107"/>
  <c r="E16" i="107"/>
  <c r="F16" i="107"/>
  <c r="G16" i="107"/>
  <c r="H16" i="107"/>
  <c r="I16" i="107"/>
  <c r="J16" i="107"/>
  <c r="K16" i="107"/>
  <c r="L16" i="107"/>
  <c r="M16" i="107"/>
  <c r="N16" i="107"/>
  <c r="C17" i="107"/>
  <c r="D17" i="107"/>
  <c r="E17" i="107"/>
  <c r="F17" i="107"/>
  <c r="G17" i="107"/>
  <c r="H17" i="107"/>
  <c r="I17" i="107"/>
  <c r="J17" i="107"/>
  <c r="K17" i="107"/>
  <c r="L17" i="107"/>
  <c r="M17" i="107"/>
  <c r="N17" i="107"/>
  <c r="C18" i="107"/>
  <c r="D18" i="107"/>
  <c r="E18" i="107"/>
  <c r="F18" i="107"/>
  <c r="G18" i="107"/>
  <c r="H18" i="107"/>
  <c r="I18" i="107"/>
  <c r="J18" i="107"/>
  <c r="K18" i="107"/>
  <c r="L18" i="107"/>
  <c r="M18" i="107"/>
  <c r="N18" i="107"/>
  <c r="C19" i="107"/>
  <c r="D19" i="107"/>
  <c r="E19" i="107"/>
  <c r="F19" i="107"/>
  <c r="G19" i="107"/>
  <c r="H19" i="107"/>
  <c r="I19" i="107"/>
  <c r="J19" i="107"/>
  <c r="K19" i="107"/>
  <c r="L19" i="107"/>
  <c r="M19" i="107"/>
  <c r="N19" i="107"/>
  <c r="C20" i="107"/>
  <c r="D20" i="107"/>
  <c r="E20" i="107"/>
  <c r="F20" i="107"/>
  <c r="G20" i="107"/>
  <c r="H20" i="107"/>
  <c r="I20" i="107"/>
  <c r="J20" i="107"/>
  <c r="K20" i="107"/>
  <c r="L20" i="107"/>
  <c r="M20" i="107"/>
  <c r="N20" i="107"/>
  <c r="C21" i="107"/>
  <c r="D21" i="107"/>
  <c r="E21" i="107"/>
  <c r="F21" i="107"/>
  <c r="G21" i="107"/>
  <c r="H21" i="107"/>
  <c r="I21" i="107"/>
  <c r="J21" i="107"/>
  <c r="K21" i="107"/>
  <c r="L21" i="107"/>
  <c r="M21" i="107"/>
  <c r="N21" i="107"/>
  <c r="C22" i="107"/>
  <c r="D22" i="107"/>
  <c r="E22" i="107"/>
  <c r="F22" i="107"/>
  <c r="G22" i="107"/>
  <c r="H22" i="107"/>
  <c r="I22" i="107"/>
  <c r="J22" i="107"/>
  <c r="K22" i="107"/>
  <c r="L22" i="107"/>
  <c r="M22" i="107"/>
  <c r="N22" i="107"/>
  <c r="C23" i="107"/>
  <c r="D23" i="107"/>
  <c r="E23" i="107"/>
  <c r="F23" i="107"/>
  <c r="G23" i="107"/>
  <c r="H23" i="107"/>
  <c r="I23" i="107"/>
  <c r="J23" i="107"/>
  <c r="K23" i="107"/>
  <c r="L23" i="107"/>
  <c r="M23" i="107"/>
  <c r="N23" i="107"/>
  <c r="C24" i="107"/>
  <c r="D24" i="107"/>
  <c r="E24" i="107"/>
  <c r="F24" i="107"/>
  <c r="G24" i="107"/>
  <c r="H24" i="107"/>
  <c r="I24" i="107"/>
  <c r="J24" i="107"/>
  <c r="K24" i="107"/>
  <c r="L24" i="107"/>
  <c r="M24" i="107"/>
  <c r="N24" i="107"/>
  <c r="C25" i="107"/>
  <c r="D25" i="107"/>
  <c r="E25" i="107"/>
  <c r="F25" i="107"/>
  <c r="G25" i="107"/>
  <c r="H25" i="107"/>
  <c r="I25" i="107"/>
  <c r="J25" i="107"/>
  <c r="K25" i="107"/>
  <c r="L25" i="107"/>
  <c r="M25" i="107"/>
  <c r="N25" i="107"/>
  <c r="C26" i="107"/>
  <c r="D26" i="107"/>
  <c r="E26" i="107"/>
  <c r="F26" i="107"/>
  <c r="G26" i="107"/>
  <c r="H26" i="107"/>
  <c r="I26" i="107"/>
  <c r="J26" i="107"/>
  <c r="K26" i="107"/>
  <c r="L26" i="107"/>
  <c r="M26" i="107"/>
  <c r="N26" i="107"/>
  <c r="C27" i="107"/>
  <c r="D27" i="107"/>
  <c r="E27" i="107"/>
  <c r="F27" i="107"/>
  <c r="G27" i="107"/>
  <c r="H27" i="107"/>
  <c r="I27" i="107"/>
  <c r="J27" i="107"/>
  <c r="K27" i="107"/>
  <c r="L27" i="107"/>
  <c r="M27" i="107"/>
  <c r="N27" i="107"/>
  <c r="C28" i="107"/>
  <c r="D28" i="107"/>
  <c r="E28" i="107"/>
  <c r="F28" i="107"/>
  <c r="G28" i="107"/>
  <c r="H28" i="107"/>
  <c r="I28" i="107"/>
  <c r="J28" i="107"/>
  <c r="K28" i="107"/>
  <c r="L28" i="107"/>
  <c r="M28" i="107"/>
  <c r="N28" i="107"/>
  <c r="C29" i="107"/>
  <c r="D29" i="107"/>
  <c r="E29" i="107"/>
  <c r="F29" i="107"/>
  <c r="G29" i="107"/>
  <c r="H29" i="107"/>
  <c r="I29" i="107"/>
  <c r="J29" i="107"/>
  <c r="K29" i="107"/>
  <c r="L29" i="107"/>
  <c r="M29" i="107"/>
  <c r="N29" i="107"/>
  <c r="C30" i="107"/>
  <c r="D30" i="107"/>
  <c r="E30" i="107"/>
  <c r="F30" i="107"/>
  <c r="G30" i="107"/>
  <c r="H30" i="107"/>
  <c r="I30" i="107"/>
  <c r="J30" i="107"/>
  <c r="K30" i="107"/>
  <c r="L30" i="107"/>
  <c r="M30" i="107"/>
  <c r="N30" i="107"/>
  <c r="C31" i="107"/>
  <c r="D31" i="107"/>
  <c r="E31" i="107"/>
  <c r="F31" i="107"/>
  <c r="G31" i="107"/>
  <c r="H31" i="107"/>
  <c r="I31" i="107"/>
  <c r="J31" i="107"/>
  <c r="K31" i="107"/>
  <c r="L31" i="107"/>
  <c r="M31" i="107"/>
  <c r="N31" i="107"/>
  <c r="C32" i="107"/>
  <c r="D32" i="107"/>
  <c r="E32" i="107"/>
  <c r="F32" i="107"/>
  <c r="G32" i="107"/>
  <c r="H32" i="107"/>
  <c r="I32" i="107"/>
  <c r="J32" i="107"/>
  <c r="K32" i="107"/>
  <c r="L32" i="107"/>
  <c r="M32" i="107"/>
  <c r="N32" i="107"/>
  <c r="C33" i="107"/>
  <c r="D33" i="107"/>
  <c r="E33" i="107"/>
  <c r="F33" i="107"/>
  <c r="G33" i="107"/>
  <c r="H33" i="107"/>
  <c r="I33" i="107"/>
  <c r="J33" i="107"/>
  <c r="K33" i="107"/>
  <c r="L33" i="107"/>
  <c r="M33" i="107"/>
  <c r="N33" i="107"/>
  <c r="C34" i="107"/>
  <c r="D34" i="107"/>
  <c r="E34" i="107"/>
  <c r="F34" i="107"/>
  <c r="G34" i="107"/>
  <c r="H34" i="107"/>
  <c r="I34" i="107"/>
  <c r="J34" i="107"/>
  <c r="K34" i="107"/>
  <c r="L34" i="107"/>
  <c r="M34" i="107"/>
  <c r="N34" i="107"/>
  <c r="C35" i="107"/>
  <c r="D35" i="107"/>
  <c r="E35" i="107"/>
  <c r="F35" i="107"/>
  <c r="G35" i="107"/>
  <c r="H35" i="107"/>
  <c r="I35" i="107"/>
  <c r="J35" i="107"/>
  <c r="K35" i="107"/>
  <c r="L35" i="107"/>
  <c r="M35" i="107"/>
  <c r="N35" i="107"/>
  <c r="C36" i="107"/>
  <c r="D36" i="107"/>
  <c r="E36" i="107"/>
  <c r="F36" i="107"/>
  <c r="G36" i="107"/>
  <c r="H36" i="107"/>
  <c r="I36" i="107"/>
  <c r="J36" i="107"/>
  <c r="K36" i="107"/>
  <c r="L36" i="107"/>
  <c r="M36" i="107"/>
  <c r="N36" i="107"/>
  <c r="C37" i="107"/>
  <c r="D37" i="107"/>
  <c r="E37" i="107"/>
  <c r="F37" i="107"/>
  <c r="G37" i="107"/>
  <c r="H37" i="107"/>
  <c r="I37" i="107"/>
  <c r="J37" i="107"/>
  <c r="K37" i="107"/>
  <c r="L37" i="107"/>
  <c r="M37" i="107"/>
  <c r="N37" i="107"/>
  <c r="C38" i="107"/>
  <c r="D38" i="107"/>
  <c r="E38" i="107"/>
  <c r="F38" i="107"/>
  <c r="G38" i="107"/>
  <c r="H38" i="107"/>
  <c r="I38" i="107"/>
  <c r="J38" i="107"/>
  <c r="K38" i="107"/>
  <c r="L38" i="107"/>
  <c r="M38" i="107"/>
  <c r="N38" i="107"/>
  <c r="C39" i="107"/>
  <c r="D39" i="107"/>
  <c r="E39" i="107"/>
  <c r="F39" i="107"/>
  <c r="G39" i="107"/>
  <c r="H39" i="107"/>
  <c r="I39" i="107"/>
  <c r="J39" i="107"/>
  <c r="K39" i="107"/>
  <c r="L39" i="107"/>
  <c r="M39" i="107"/>
  <c r="N39" i="107"/>
  <c r="C40" i="107"/>
  <c r="D40" i="107"/>
  <c r="E40" i="107"/>
  <c r="F40" i="107"/>
  <c r="G40" i="107"/>
  <c r="H40" i="107"/>
  <c r="I40" i="107"/>
  <c r="J40" i="107"/>
  <c r="K40" i="107"/>
  <c r="L40" i="107"/>
  <c r="M40" i="107"/>
  <c r="N40" i="107"/>
  <c r="C41" i="107"/>
  <c r="D41" i="107"/>
  <c r="E41" i="107"/>
  <c r="F41" i="107"/>
  <c r="G41" i="107"/>
  <c r="H41" i="107"/>
  <c r="I41" i="107"/>
  <c r="J41" i="107"/>
  <c r="K41" i="107"/>
  <c r="L41" i="107"/>
  <c r="M41" i="107"/>
  <c r="N41" i="107"/>
  <c r="C42" i="107"/>
  <c r="D42" i="107"/>
  <c r="E42" i="107"/>
  <c r="F42" i="107"/>
  <c r="G42" i="107"/>
  <c r="H42" i="107"/>
  <c r="I42" i="107"/>
  <c r="J42" i="107"/>
  <c r="K42" i="107"/>
  <c r="L42" i="107"/>
  <c r="M42" i="107"/>
  <c r="N42" i="107"/>
  <c r="C43" i="107"/>
  <c r="D43" i="107"/>
  <c r="E43" i="107"/>
  <c r="F43" i="107"/>
  <c r="G43" i="107"/>
  <c r="H43" i="107"/>
  <c r="I43" i="107"/>
  <c r="J43" i="107"/>
  <c r="K43" i="107"/>
  <c r="L43" i="107"/>
  <c r="M43" i="107"/>
  <c r="N43" i="107"/>
  <c r="C44" i="107"/>
  <c r="D44" i="107"/>
  <c r="E44" i="107"/>
  <c r="F44" i="107"/>
  <c r="G44" i="107"/>
  <c r="H44" i="107"/>
  <c r="I44" i="107"/>
  <c r="J44" i="107"/>
  <c r="K44" i="107"/>
  <c r="L44" i="107"/>
  <c r="M44" i="107"/>
  <c r="N44" i="107"/>
  <c r="C45" i="107"/>
  <c r="D45" i="107"/>
  <c r="E45" i="107"/>
  <c r="F45" i="107"/>
  <c r="G45" i="107"/>
  <c r="H45" i="107"/>
  <c r="I45" i="107"/>
  <c r="J45" i="107"/>
  <c r="K45" i="107"/>
  <c r="L45" i="107"/>
  <c r="M45" i="107"/>
  <c r="N45" i="107"/>
  <c r="C46" i="107"/>
  <c r="D46" i="107"/>
  <c r="E46" i="107"/>
  <c r="F46" i="107"/>
  <c r="G46" i="107"/>
  <c r="H46" i="107"/>
  <c r="I46" i="107"/>
  <c r="J46" i="107"/>
  <c r="K46" i="107"/>
  <c r="L46" i="107"/>
  <c r="M46" i="107"/>
  <c r="N46" i="107"/>
  <c r="C47" i="107"/>
  <c r="D47" i="107"/>
  <c r="E47" i="107"/>
  <c r="F47" i="107"/>
  <c r="G47" i="107"/>
  <c r="H47" i="107"/>
  <c r="I47" i="107"/>
  <c r="J47" i="107"/>
  <c r="K47" i="107"/>
  <c r="L47" i="107"/>
  <c r="M47" i="107"/>
  <c r="N47" i="107"/>
  <c r="C48" i="107"/>
  <c r="D48" i="107"/>
  <c r="E48" i="107"/>
  <c r="F48" i="107"/>
  <c r="G48" i="107"/>
  <c r="H48" i="107"/>
  <c r="I48" i="107"/>
  <c r="J48" i="107"/>
  <c r="K48" i="107"/>
  <c r="L48" i="107"/>
  <c r="M48" i="107"/>
  <c r="N48" i="107"/>
  <c r="C49" i="107"/>
  <c r="D49" i="107"/>
  <c r="E49" i="107"/>
  <c r="F49" i="107"/>
  <c r="G49" i="107"/>
  <c r="H49" i="107"/>
  <c r="I49" i="107"/>
  <c r="J49" i="107"/>
  <c r="K49" i="107"/>
  <c r="L49" i="107"/>
  <c r="M49" i="107"/>
  <c r="N49" i="107"/>
  <c r="C50" i="107"/>
  <c r="D50" i="107"/>
  <c r="E50" i="107"/>
  <c r="F50" i="107"/>
  <c r="G50" i="107"/>
  <c r="H50" i="107"/>
  <c r="I50" i="107"/>
  <c r="J50" i="107"/>
  <c r="K50" i="107"/>
  <c r="L50" i="107"/>
  <c r="M50" i="107"/>
  <c r="N50" i="107"/>
  <c r="C51" i="107"/>
  <c r="D51" i="107"/>
  <c r="E51" i="107"/>
  <c r="F51" i="107"/>
  <c r="G51" i="107"/>
  <c r="H51" i="107"/>
  <c r="I51" i="107"/>
  <c r="J51" i="107"/>
  <c r="K51" i="107"/>
  <c r="L51" i="107"/>
  <c r="M51" i="107"/>
  <c r="N51" i="107"/>
  <c r="C52" i="107"/>
  <c r="D52" i="107"/>
  <c r="E52" i="107"/>
  <c r="F52" i="107"/>
  <c r="G52" i="107"/>
  <c r="H52" i="107"/>
  <c r="I52" i="107"/>
  <c r="J52" i="107"/>
  <c r="K52" i="107"/>
  <c r="L52" i="107"/>
  <c r="M52" i="107"/>
  <c r="N52" i="107"/>
  <c r="C53" i="107"/>
  <c r="D53" i="107"/>
  <c r="E53" i="107"/>
  <c r="F53" i="107"/>
  <c r="G53" i="107"/>
  <c r="H53" i="107"/>
  <c r="I53" i="107"/>
  <c r="J53" i="107"/>
  <c r="K53" i="107"/>
  <c r="L53" i="107"/>
  <c r="M53" i="107"/>
  <c r="N53" i="107"/>
  <c r="C54" i="107"/>
  <c r="D54" i="107"/>
  <c r="E54" i="107"/>
  <c r="F54" i="107"/>
  <c r="G54" i="107"/>
  <c r="H54" i="107"/>
  <c r="I54" i="107"/>
  <c r="J54" i="107"/>
  <c r="K54" i="107"/>
  <c r="L54" i="107"/>
  <c r="M54" i="107"/>
  <c r="N54" i="107"/>
  <c r="C55" i="107"/>
  <c r="D55" i="107"/>
  <c r="E55" i="107"/>
  <c r="F55" i="107"/>
  <c r="G55" i="107"/>
  <c r="H55" i="107"/>
  <c r="I55" i="107"/>
  <c r="J55" i="107"/>
  <c r="K55" i="107"/>
  <c r="L55" i="107"/>
  <c r="M55" i="107"/>
  <c r="N55" i="107"/>
  <c r="C56" i="107"/>
  <c r="D56" i="107"/>
  <c r="E56" i="107"/>
  <c r="F56" i="107"/>
  <c r="G56" i="107"/>
  <c r="H56" i="107"/>
  <c r="I56" i="107"/>
  <c r="J56" i="107"/>
  <c r="K56" i="107"/>
  <c r="L56" i="107"/>
  <c r="M56" i="107"/>
  <c r="N56" i="107"/>
  <c r="D57" i="107"/>
  <c r="E57" i="107"/>
  <c r="F57" i="107"/>
  <c r="G57" i="107"/>
  <c r="H57" i="107"/>
  <c r="I57" i="107"/>
  <c r="J57" i="107"/>
  <c r="K57" i="107"/>
  <c r="L57" i="107"/>
  <c r="M57" i="107"/>
  <c r="N57" i="107"/>
  <c r="D10" i="107"/>
  <c r="E10" i="107"/>
  <c r="F10" i="107"/>
  <c r="G10" i="107"/>
  <c r="H10" i="107"/>
  <c r="H106" i="107" s="1"/>
  <c r="I10" i="107"/>
  <c r="I106" i="107" s="1"/>
  <c r="J10" i="107"/>
  <c r="K10" i="107"/>
  <c r="L10" i="107"/>
  <c r="M10" i="107"/>
  <c r="N10" i="107"/>
  <c r="C10" i="107"/>
  <c r="K106" i="108" l="1"/>
  <c r="C106" i="107"/>
  <c r="H106" i="108"/>
  <c r="I106" i="108"/>
  <c r="N106" i="107"/>
  <c r="Z26" i="95"/>
  <c r="L106" i="108"/>
  <c r="G106" i="108"/>
  <c r="S38" i="105"/>
  <c r="C106" i="108"/>
  <c r="E106" i="108"/>
  <c r="G106" i="107"/>
  <c r="L106" i="107"/>
  <c r="U38" i="109"/>
  <c r="F106" i="107"/>
  <c r="M106" i="107"/>
  <c r="K106" i="107"/>
  <c r="AF32" i="101"/>
  <c r="N106" i="108"/>
  <c r="E106" i="107"/>
  <c r="D106" i="107"/>
  <c r="J106" i="107"/>
  <c r="J106" i="108"/>
  <c r="AF25" i="101"/>
  <c r="S35" i="110"/>
  <c r="F106" i="108"/>
  <c r="M106" i="108"/>
  <c r="P57" i="108"/>
  <c r="AF24" i="108" s="1"/>
  <c r="O57" i="108"/>
  <c r="AE24" i="108" s="1"/>
  <c r="AF28" i="101"/>
  <c r="AB23" i="96"/>
  <c r="AC26" i="95"/>
  <c r="T23" i="96"/>
  <c r="W27" i="96"/>
  <c r="T23" i="98"/>
  <c r="Z24" i="98"/>
  <c r="V35" i="101"/>
  <c r="U36" i="105"/>
  <c r="Y26" i="95"/>
  <c r="AB24" i="99"/>
  <c r="V26" i="97"/>
  <c r="Y26" i="96"/>
  <c r="U27" i="94"/>
  <c r="AC27" i="95"/>
  <c r="AD23" i="98"/>
  <c r="AB39" i="109"/>
  <c r="L10" i="111"/>
  <c r="J10" i="111"/>
  <c r="D10" i="111"/>
  <c r="M57" i="111"/>
  <c r="I57" i="111"/>
  <c r="G57" i="111"/>
  <c r="M56" i="111"/>
  <c r="K56" i="111"/>
  <c r="I56" i="111"/>
  <c r="C56" i="111"/>
  <c r="G55" i="111"/>
  <c r="E55" i="111"/>
  <c r="K54" i="111"/>
  <c r="I54" i="111"/>
  <c r="G54" i="111"/>
  <c r="I53" i="111"/>
  <c r="G53" i="111"/>
  <c r="E53" i="111"/>
  <c r="M52" i="111"/>
  <c r="K52" i="111"/>
  <c r="C52" i="111"/>
  <c r="M51" i="111"/>
  <c r="G51" i="111"/>
  <c r="M50" i="111"/>
  <c r="K50" i="111"/>
  <c r="E50" i="111"/>
  <c r="C50" i="111"/>
  <c r="M49" i="111"/>
  <c r="K49" i="111"/>
  <c r="I49" i="111"/>
  <c r="C49" i="111"/>
  <c r="M48" i="111"/>
  <c r="I48" i="111"/>
  <c r="G48" i="111"/>
  <c r="K47" i="111"/>
  <c r="E47" i="111"/>
  <c r="C47" i="111"/>
  <c r="G46" i="111"/>
  <c r="E46" i="111"/>
  <c r="K45" i="111"/>
  <c r="G45" i="111"/>
  <c r="C45" i="111"/>
  <c r="K44" i="111"/>
  <c r="G44" i="111"/>
  <c r="C44" i="111"/>
  <c r="K43" i="111"/>
  <c r="G43" i="111"/>
  <c r="C43" i="111"/>
  <c r="K42" i="111"/>
  <c r="I42" i="111"/>
  <c r="E42" i="111"/>
  <c r="C42" i="111"/>
  <c r="K41" i="111"/>
  <c r="G41" i="111"/>
  <c r="C41" i="111"/>
  <c r="K40" i="111"/>
  <c r="G40" i="111"/>
  <c r="C40" i="111"/>
  <c r="K39" i="111"/>
  <c r="G39" i="111"/>
  <c r="C39" i="111"/>
  <c r="K38" i="111"/>
  <c r="E38" i="111"/>
  <c r="C38" i="111"/>
  <c r="S24" i="94"/>
  <c r="C10" i="111"/>
  <c r="M10" i="111"/>
  <c r="I10" i="111"/>
  <c r="E10" i="111"/>
  <c r="L57" i="111"/>
  <c r="H57" i="111"/>
  <c r="D57" i="111"/>
  <c r="L56" i="111"/>
  <c r="H56" i="111"/>
  <c r="D56" i="111"/>
  <c r="L55" i="111"/>
  <c r="H55" i="111"/>
  <c r="D55" i="111"/>
  <c r="L54" i="111"/>
  <c r="H54" i="111"/>
  <c r="D54" i="111"/>
  <c r="L53" i="111"/>
  <c r="H53" i="111"/>
  <c r="D53" i="111"/>
  <c r="L52" i="111"/>
  <c r="H52" i="111"/>
  <c r="D52" i="111"/>
  <c r="L51" i="111"/>
  <c r="H51" i="111"/>
  <c r="D51" i="111"/>
  <c r="L50" i="111"/>
  <c r="H50" i="111"/>
  <c r="D50" i="111"/>
  <c r="L49" i="111"/>
  <c r="H49" i="111"/>
  <c r="D49" i="111"/>
  <c r="L48" i="111"/>
  <c r="H48" i="111"/>
  <c r="D48" i="111"/>
  <c r="L47" i="111"/>
  <c r="H47" i="111"/>
  <c r="D47" i="111"/>
  <c r="L46" i="111"/>
  <c r="H46" i="111"/>
  <c r="D46" i="111"/>
  <c r="L45" i="111"/>
  <c r="H45" i="111"/>
  <c r="D45" i="111"/>
  <c r="L44" i="111"/>
  <c r="H44" i="111"/>
  <c r="D44" i="111"/>
  <c r="L43" i="111"/>
  <c r="H43" i="111"/>
  <c r="D43" i="111"/>
  <c r="L42" i="111"/>
  <c r="H42" i="111"/>
  <c r="D42" i="111"/>
  <c r="L41" i="111"/>
  <c r="H41" i="111"/>
  <c r="D41" i="111"/>
  <c r="L40" i="111"/>
  <c r="H40" i="111"/>
  <c r="D40" i="111"/>
  <c r="L39" i="111"/>
  <c r="H39" i="111"/>
  <c r="D39" i="111"/>
  <c r="L38" i="111"/>
  <c r="H38" i="111"/>
  <c r="D38" i="111"/>
  <c r="L37" i="111"/>
  <c r="H37" i="111"/>
  <c r="D37" i="111"/>
  <c r="L36" i="111"/>
  <c r="H36" i="111"/>
  <c r="D36" i="111"/>
  <c r="L35" i="111"/>
  <c r="H35" i="111"/>
  <c r="D35" i="111"/>
  <c r="L34" i="111"/>
  <c r="H34" i="111"/>
  <c r="D34" i="111"/>
  <c r="L33" i="111"/>
  <c r="H33" i="111"/>
  <c r="D33" i="111"/>
  <c r="L32" i="111"/>
  <c r="H32" i="111"/>
  <c r="D32" i="111"/>
  <c r="L31" i="111"/>
  <c r="H31" i="111"/>
  <c r="D31" i="111"/>
  <c r="L30" i="111"/>
  <c r="H30" i="111"/>
  <c r="D30" i="111"/>
  <c r="L29" i="111"/>
  <c r="H29" i="111"/>
  <c r="D29" i="111"/>
  <c r="L28" i="111"/>
  <c r="H28" i="111"/>
  <c r="D28" i="111"/>
  <c r="L27" i="111"/>
  <c r="H27" i="111"/>
  <c r="D27" i="111"/>
  <c r="L26" i="111"/>
  <c r="H26" i="111"/>
  <c r="D26" i="111"/>
  <c r="L25" i="111"/>
  <c r="H25" i="111"/>
  <c r="D25" i="111"/>
  <c r="H24" i="111"/>
  <c r="F24" i="111"/>
  <c r="N23" i="111"/>
  <c r="L23" i="111"/>
  <c r="J23" i="111"/>
  <c r="D23" i="111"/>
  <c r="N22" i="111"/>
  <c r="H22" i="111"/>
  <c r="N21" i="111"/>
  <c r="L21" i="111"/>
  <c r="F21" i="111"/>
  <c r="D21" i="111"/>
  <c r="H20" i="111"/>
  <c r="F20" i="111"/>
  <c r="L19" i="111"/>
  <c r="J19" i="111"/>
  <c r="F19" i="111"/>
  <c r="D19" i="111"/>
  <c r="J18" i="111"/>
  <c r="H18" i="111"/>
  <c r="L17" i="111"/>
  <c r="J17" i="111"/>
  <c r="F17" i="111"/>
  <c r="D17" i="111"/>
  <c r="N16" i="111"/>
  <c r="H16" i="111"/>
  <c r="N15" i="111"/>
  <c r="L15" i="111"/>
  <c r="D15" i="111"/>
  <c r="N14" i="111"/>
  <c r="H14" i="111"/>
  <c r="F14" i="111"/>
  <c r="N13" i="111"/>
  <c r="L13" i="111"/>
  <c r="F13" i="111"/>
  <c r="D13" i="111"/>
  <c r="H12" i="111"/>
  <c r="F12" i="111"/>
  <c r="N11" i="111"/>
  <c r="J11" i="111"/>
  <c r="F11" i="111"/>
  <c r="AD21" i="108"/>
  <c r="Z20" i="108"/>
  <c r="W27" i="95"/>
  <c r="W24" i="95"/>
  <c r="K37" i="111"/>
  <c r="G37" i="111"/>
  <c r="C37" i="111"/>
  <c r="K36" i="111"/>
  <c r="G36" i="111"/>
  <c r="C36" i="111"/>
  <c r="K35" i="111"/>
  <c r="G35" i="111"/>
  <c r="C35" i="111"/>
  <c r="K34" i="111"/>
  <c r="I34" i="111"/>
  <c r="E34" i="111"/>
  <c r="K33" i="111"/>
  <c r="G33" i="111"/>
  <c r="C33" i="111"/>
  <c r="K32" i="111"/>
  <c r="G32" i="111"/>
  <c r="C32" i="111"/>
  <c r="K31" i="111"/>
  <c r="G31" i="111"/>
  <c r="C31" i="111"/>
  <c r="K30" i="111"/>
  <c r="I30" i="111"/>
  <c r="G30" i="111"/>
  <c r="M29" i="111"/>
  <c r="I29" i="111"/>
  <c r="E29" i="111"/>
  <c r="M28" i="111"/>
  <c r="I28" i="111"/>
  <c r="E28" i="111"/>
  <c r="M27" i="111"/>
  <c r="I27" i="111"/>
  <c r="E27" i="111"/>
  <c r="M26" i="111"/>
  <c r="K26" i="111"/>
  <c r="E26" i="111"/>
  <c r="C26" i="111"/>
  <c r="K25" i="111"/>
  <c r="G25" i="111"/>
  <c r="C25" i="111"/>
  <c r="K24" i="111"/>
  <c r="G24" i="111"/>
  <c r="C24" i="111"/>
  <c r="K23" i="111"/>
  <c r="G23" i="111"/>
  <c r="C23" i="111"/>
  <c r="K22" i="111"/>
  <c r="G22" i="111"/>
  <c r="C22" i="111"/>
  <c r="K21" i="111"/>
  <c r="G21" i="111"/>
  <c r="C21" i="111"/>
  <c r="K20" i="111"/>
  <c r="G20" i="111"/>
  <c r="C20" i="111"/>
  <c r="K19" i="111"/>
  <c r="G19" i="111"/>
  <c r="C19" i="111"/>
  <c r="K18" i="111"/>
  <c r="G18" i="111"/>
  <c r="C18" i="111"/>
  <c r="K17" i="111"/>
  <c r="G17" i="111"/>
  <c r="C17" i="111"/>
  <c r="K16" i="111"/>
  <c r="G16" i="111"/>
  <c r="C16" i="111"/>
  <c r="K15" i="111"/>
  <c r="G15" i="111"/>
  <c r="C15" i="111"/>
  <c r="K14" i="111"/>
  <c r="G14" i="111"/>
  <c r="C14" i="111"/>
  <c r="K13" i="111"/>
  <c r="G13" i="111"/>
  <c r="C13" i="111"/>
  <c r="K12" i="111"/>
  <c r="G12" i="111"/>
  <c r="C12" i="111"/>
  <c r="K11" i="111"/>
  <c r="G11" i="111"/>
  <c r="C11" i="111"/>
  <c r="AB24" i="98"/>
  <c r="W26" i="96"/>
  <c r="V21" i="108"/>
  <c r="AD19" i="108"/>
  <c r="Z21" i="108"/>
  <c r="AD20" i="108"/>
  <c r="V20" i="108"/>
  <c r="Z19" i="108"/>
  <c r="AC26" i="97"/>
  <c r="AC23" i="97"/>
  <c r="N57" i="111"/>
  <c r="J57" i="111"/>
  <c r="F57" i="111"/>
  <c r="N56" i="111"/>
  <c r="J56" i="111"/>
  <c r="F56" i="111"/>
  <c r="N55" i="111"/>
  <c r="J55" i="111"/>
  <c r="F55" i="111"/>
  <c r="N54" i="111"/>
  <c r="J54" i="111"/>
  <c r="F54" i="111"/>
  <c r="N53" i="111"/>
  <c r="J53" i="111"/>
  <c r="F53" i="111"/>
  <c r="N52" i="111"/>
  <c r="J52" i="111"/>
  <c r="F52" i="111"/>
  <c r="N51" i="111"/>
  <c r="J51" i="111"/>
  <c r="F51" i="111"/>
  <c r="N50" i="111"/>
  <c r="J50" i="111"/>
  <c r="F50" i="111"/>
  <c r="N49" i="111"/>
  <c r="J49" i="111"/>
  <c r="F49" i="111"/>
  <c r="N48" i="111"/>
  <c r="J48" i="111"/>
  <c r="F48" i="111"/>
  <c r="N47" i="111"/>
  <c r="J47" i="111"/>
  <c r="F47" i="111"/>
  <c r="N46" i="111"/>
  <c r="J46" i="111"/>
  <c r="F46" i="111"/>
  <c r="N45" i="111"/>
  <c r="J45" i="111"/>
  <c r="F45" i="111"/>
  <c r="N44" i="111"/>
  <c r="J44" i="111"/>
  <c r="F44" i="111"/>
  <c r="N43" i="111"/>
  <c r="J43" i="111"/>
  <c r="F43" i="111"/>
  <c r="N42" i="111"/>
  <c r="J42" i="111"/>
  <c r="F42" i="111"/>
  <c r="N41" i="111"/>
  <c r="J41" i="111"/>
  <c r="F41" i="111"/>
  <c r="N40" i="111"/>
  <c r="J40" i="111"/>
  <c r="F40" i="111"/>
  <c r="N39" i="111"/>
  <c r="J39" i="111"/>
  <c r="F39" i="111"/>
  <c r="N38" i="111"/>
  <c r="J38" i="111"/>
  <c r="F38" i="111"/>
  <c r="N37" i="111"/>
  <c r="J37" i="111"/>
  <c r="F37" i="111"/>
  <c r="N36" i="111"/>
  <c r="J36" i="111"/>
  <c r="F36" i="111"/>
  <c r="N35" i="111"/>
  <c r="J35" i="111"/>
  <c r="F35" i="111"/>
  <c r="N34" i="111"/>
  <c r="J34" i="111"/>
  <c r="F34" i="111"/>
  <c r="N33" i="111"/>
  <c r="J33" i="111"/>
  <c r="F33" i="111"/>
  <c r="N32" i="111"/>
  <c r="J32" i="111"/>
  <c r="F32" i="111"/>
  <c r="N31" i="111"/>
  <c r="J31" i="111"/>
  <c r="F31" i="111"/>
  <c r="N30" i="111"/>
  <c r="J30" i="111"/>
  <c r="F30" i="111"/>
  <c r="N29" i="111"/>
  <c r="J29" i="111"/>
  <c r="F29" i="111"/>
  <c r="N28" i="111"/>
  <c r="J28" i="111"/>
  <c r="F28" i="111"/>
  <c r="N27" i="111"/>
  <c r="J27" i="111"/>
  <c r="F27" i="111"/>
  <c r="N26" i="111"/>
  <c r="J26" i="111"/>
  <c r="F26" i="111"/>
  <c r="N25" i="111"/>
  <c r="J25" i="111"/>
  <c r="F25" i="111"/>
  <c r="N24" i="111"/>
  <c r="L24" i="111"/>
  <c r="J24" i="111"/>
  <c r="D24" i="111"/>
  <c r="H23" i="111"/>
  <c r="F23" i="111"/>
  <c r="L22" i="111"/>
  <c r="J22" i="111"/>
  <c r="F22" i="111"/>
  <c r="D22" i="111"/>
  <c r="T13" i="111" s="1"/>
  <c r="J21" i="111"/>
  <c r="H21" i="111"/>
  <c r="N20" i="111"/>
  <c r="L20" i="111"/>
  <c r="J20" i="111"/>
  <c r="D20" i="111"/>
  <c r="N19" i="111"/>
  <c r="H19" i="111"/>
  <c r="N18" i="111"/>
  <c r="L18" i="111"/>
  <c r="F18" i="111"/>
  <c r="D18" i="111"/>
  <c r="N17" i="111"/>
  <c r="H17" i="111"/>
  <c r="L16" i="111"/>
  <c r="J16" i="111"/>
  <c r="F16" i="111"/>
  <c r="D16" i="111"/>
  <c r="J15" i="111"/>
  <c r="H15" i="111"/>
  <c r="F15" i="111"/>
  <c r="L14" i="111"/>
  <c r="J14" i="111"/>
  <c r="D14" i="111"/>
  <c r="J13" i="111"/>
  <c r="H13" i="111"/>
  <c r="N12" i="111"/>
  <c r="L12" i="111"/>
  <c r="J12" i="111"/>
  <c r="D12" i="111"/>
  <c r="L11" i="111"/>
  <c r="H11" i="111"/>
  <c r="D11" i="111"/>
  <c r="AC24" i="94"/>
  <c r="Y24" i="94"/>
  <c r="S27" i="94"/>
  <c r="AA38" i="110"/>
  <c r="W24" i="94"/>
  <c r="N10" i="111"/>
  <c r="H10" i="111"/>
  <c r="F10" i="111"/>
  <c r="K57" i="111"/>
  <c r="E57" i="111"/>
  <c r="C57" i="111"/>
  <c r="G56" i="111"/>
  <c r="E56" i="111"/>
  <c r="M55" i="111"/>
  <c r="K55" i="111"/>
  <c r="I55" i="111"/>
  <c r="C55" i="111"/>
  <c r="M54" i="111"/>
  <c r="E54" i="111"/>
  <c r="C54" i="111"/>
  <c r="M53" i="111"/>
  <c r="K53" i="111"/>
  <c r="C53" i="111"/>
  <c r="I52" i="111"/>
  <c r="G52" i="111"/>
  <c r="E52" i="111"/>
  <c r="K51" i="111"/>
  <c r="I51" i="111"/>
  <c r="E51" i="111"/>
  <c r="C51" i="111"/>
  <c r="I50" i="111"/>
  <c r="G50" i="111"/>
  <c r="G49" i="111"/>
  <c r="E49" i="111"/>
  <c r="K48" i="111"/>
  <c r="E48" i="111"/>
  <c r="C48" i="111"/>
  <c r="M47" i="111"/>
  <c r="I47" i="111"/>
  <c r="G47" i="111"/>
  <c r="M46" i="111"/>
  <c r="K46" i="111"/>
  <c r="I46" i="111"/>
  <c r="C46" i="111"/>
  <c r="M45" i="111"/>
  <c r="I45" i="111"/>
  <c r="E45" i="111"/>
  <c r="M44" i="111"/>
  <c r="I44" i="111"/>
  <c r="E44" i="111"/>
  <c r="M43" i="111"/>
  <c r="I43" i="111"/>
  <c r="E43" i="111"/>
  <c r="M42" i="111"/>
  <c r="G42" i="111"/>
  <c r="M41" i="111"/>
  <c r="I41" i="111"/>
  <c r="E41" i="111"/>
  <c r="M40" i="111"/>
  <c r="I40" i="111"/>
  <c r="E40" i="111"/>
  <c r="M39" i="111"/>
  <c r="I39" i="111"/>
  <c r="E39" i="111"/>
  <c r="M38" i="111"/>
  <c r="I38" i="111"/>
  <c r="G38" i="111"/>
  <c r="M37" i="111"/>
  <c r="W27" i="94"/>
  <c r="S26" i="94"/>
  <c r="U23" i="97"/>
  <c r="AA27" i="94"/>
  <c r="U27" i="95"/>
  <c r="U24" i="95"/>
  <c r="I37" i="111"/>
  <c r="E37" i="111"/>
  <c r="M36" i="111"/>
  <c r="I36" i="111"/>
  <c r="E36" i="111"/>
  <c r="M35" i="111"/>
  <c r="I35" i="111"/>
  <c r="E35" i="111"/>
  <c r="M34" i="111"/>
  <c r="G34" i="111"/>
  <c r="C34" i="111"/>
  <c r="M33" i="111"/>
  <c r="I33" i="111"/>
  <c r="E33" i="111"/>
  <c r="M32" i="111"/>
  <c r="I32" i="111"/>
  <c r="E32" i="111"/>
  <c r="M31" i="111"/>
  <c r="I31" i="111"/>
  <c r="E31" i="111"/>
  <c r="M30" i="111"/>
  <c r="E30" i="111"/>
  <c r="C30" i="111"/>
  <c r="K29" i="111"/>
  <c r="G29" i="111"/>
  <c r="C29" i="111"/>
  <c r="K28" i="111"/>
  <c r="G28" i="111"/>
  <c r="C28" i="111"/>
  <c r="K27" i="111"/>
  <c r="G27" i="111"/>
  <c r="C27" i="111"/>
  <c r="I26" i="111"/>
  <c r="G26" i="111"/>
  <c r="M25" i="111"/>
  <c r="I25" i="111"/>
  <c r="E25" i="111"/>
  <c r="M24" i="111"/>
  <c r="I24" i="111"/>
  <c r="E24" i="111"/>
  <c r="M23" i="111"/>
  <c r="I23" i="111"/>
  <c r="E23" i="111"/>
  <c r="M22" i="111"/>
  <c r="I22" i="111"/>
  <c r="E22" i="111"/>
  <c r="M21" i="111"/>
  <c r="I21" i="111"/>
  <c r="E21" i="111"/>
  <c r="M20" i="111"/>
  <c r="I20" i="111"/>
  <c r="E20" i="111"/>
  <c r="M19" i="111"/>
  <c r="I19" i="111"/>
  <c r="E19" i="111"/>
  <c r="M18" i="111"/>
  <c r="I18" i="111"/>
  <c r="E18" i="111"/>
  <c r="M17" i="111"/>
  <c r="I17" i="111"/>
  <c r="E17" i="111"/>
  <c r="M16" i="111"/>
  <c r="I16" i="111"/>
  <c r="E16" i="111"/>
  <c r="M15" i="111"/>
  <c r="I15" i="111"/>
  <c r="E15" i="111"/>
  <c r="M14" i="111"/>
  <c r="I14" i="111"/>
  <c r="E14" i="111"/>
  <c r="M13" i="111"/>
  <c r="I13" i="111"/>
  <c r="E13" i="111"/>
  <c r="M12" i="111"/>
  <c r="I12" i="111"/>
  <c r="E12" i="111"/>
  <c r="M11" i="111"/>
  <c r="I11" i="111"/>
  <c r="E11" i="111"/>
  <c r="X22" i="100"/>
  <c r="AC26" i="96"/>
  <c r="V10" i="108"/>
  <c r="AB21" i="108"/>
  <c r="X21" i="108"/>
  <c r="T21" i="108"/>
  <c r="AB20" i="108"/>
  <c r="X20" i="108"/>
  <c r="T20" i="108"/>
  <c r="AB19" i="108"/>
  <c r="X19" i="108"/>
  <c r="AA35" i="110"/>
  <c r="W35" i="110"/>
  <c r="Z39" i="110"/>
  <c r="AD38" i="110"/>
  <c r="Z38" i="110"/>
  <c r="V38" i="110"/>
  <c r="X37" i="110"/>
  <c r="V12" i="108"/>
  <c r="V11" i="108"/>
  <c r="AD10" i="108"/>
  <c r="AD36" i="110"/>
  <c r="V36" i="110"/>
  <c r="AC35" i="109"/>
  <c r="AD11" i="108"/>
  <c r="AC38" i="110"/>
  <c r="K10" i="111"/>
  <c r="G10" i="111"/>
  <c r="T38" i="110"/>
  <c r="AC36" i="110"/>
  <c r="Y35" i="110"/>
  <c r="AC35" i="110"/>
  <c r="U35" i="110"/>
  <c r="U26" i="99"/>
  <c r="Y38" i="110"/>
  <c r="X36" i="110"/>
  <c r="X24" i="99"/>
  <c r="U23" i="99"/>
  <c r="S36" i="105"/>
  <c r="T38" i="109"/>
  <c r="AD38" i="109"/>
  <c r="Z38" i="109"/>
  <c r="Z35" i="110"/>
  <c r="AB38" i="110"/>
  <c r="X35" i="110"/>
  <c r="AB36" i="110"/>
  <c r="X34" i="110"/>
  <c r="W37" i="110"/>
  <c r="Z11" i="108"/>
  <c r="AA35" i="109"/>
  <c r="U36" i="110"/>
  <c r="V35" i="109"/>
  <c r="X11" i="108"/>
  <c r="S41" i="110"/>
  <c r="Z10" i="108"/>
  <c r="W12" i="108"/>
  <c r="AF32" i="110"/>
  <c r="S35" i="109"/>
  <c r="T11" i="108"/>
  <c r="AA12" i="108"/>
  <c r="V24" i="98"/>
  <c r="X23" i="97"/>
  <c r="AD23" i="99"/>
  <c r="AB38" i="109"/>
  <c r="AD35" i="110"/>
  <c r="V35" i="110"/>
  <c r="AA40" i="110"/>
  <c r="Y36" i="110"/>
  <c r="S37" i="110"/>
  <c r="X10" i="108"/>
  <c r="W40" i="110"/>
  <c r="AD36" i="109"/>
  <c r="Z39" i="109"/>
  <c r="S26" i="97"/>
  <c r="AF33" i="110"/>
  <c r="AF31" i="110"/>
  <c r="AB35" i="110"/>
  <c r="X38" i="110"/>
  <c r="AA41" i="110"/>
  <c r="AA42" i="110" s="1"/>
  <c r="W41" i="110"/>
  <c r="T10" i="108"/>
  <c r="T41" i="108" s="1"/>
  <c r="AB10" i="108"/>
  <c r="AF12" i="109"/>
  <c r="AE33" i="110"/>
  <c r="AE32" i="110"/>
  <c r="AE31" i="110"/>
  <c r="AE30" i="110"/>
  <c r="AE29" i="110"/>
  <c r="AE28" i="110"/>
  <c r="AE27" i="110"/>
  <c r="AE26" i="110"/>
  <c r="AE25" i="110"/>
  <c r="AE24" i="110"/>
  <c r="AE23" i="110"/>
  <c r="AE22" i="110"/>
  <c r="AE21" i="110"/>
  <c r="AE20" i="110"/>
  <c r="AE19" i="110"/>
  <c r="AA37" i="110"/>
  <c r="AD39" i="109"/>
  <c r="Z36" i="109"/>
  <c r="V36" i="109"/>
  <c r="AC38" i="109"/>
  <c r="U35" i="109"/>
  <c r="AD39" i="110"/>
  <c r="Z36" i="110"/>
  <c r="V39" i="110"/>
  <c r="S40" i="110"/>
  <c r="V38" i="109"/>
  <c r="X35" i="109"/>
  <c r="AA34" i="110"/>
  <c r="W34" i="110"/>
  <c r="S34" i="110"/>
  <c r="AF30" i="110"/>
  <c r="AB39" i="110"/>
  <c r="X40" i="110"/>
  <c r="AF15" i="110"/>
  <c r="AF14" i="110"/>
  <c r="AF13" i="110"/>
  <c r="Z35" i="109"/>
  <c r="AD35" i="109"/>
  <c r="X34" i="109"/>
  <c r="T35" i="110"/>
  <c r="Y38" i="109"/>
  <c r="AC39" i="110"/>
  <c r="U39" i="110"/>
  <c r="AF17" i="110"/>
  <c r="AF16" i="110"/>
  <c r="Z38" i="101"/>
  <c r="Y35" i="109"/>
  <c r="X39" i="110"/>
  <c r="AF11" i="110"/>
  <c r="Y39" i="110"/>
  <c r="AF12" i="110"/>
  <c r="AA38" i="109"/>
  <c r="W38" i="109"/>
  <c r="AF29" i="110"/>
  <c r="AF28" i="110"/>
  <c r="AF27" i="110"/>
  <c r="AF26" i="110"/>
  <c r="AF25" i="110"/>
  <c r="AF24" i="110"/>
  <c r="AF23" i="110"/>
  <c r="AF22" i="110"/>
  <c r="AF18" i="110"/>
  <c r="AF30" i="109"/>
  <c r="X39" i="109"/>
  <c r="X37" i="109"/>
  <c r="X41" i="110"/>
  <c r="AF21" i="110"/>
  <c r="AF20" i="110"/>
  <c r="AF19" i="110"/>
  <c r="AF15" i="109"/>
  <c r="AF14" i="109"/>
  <c r="AF13" i="109"/>
  <c r="AE18" i="110"/>
  <c r="AE17" i="110"/>
  <c r="T39" i="110"/>
  <c r="T36" i="110"/>
  <c r="AD41" i="110"/>
  <c r="AD40" i="110"/>
  <c r="AD37" i="110"/>
  <c r="AD34" i="110"/>
  <c r="Z41" i="110"/>
  <c r="Z40" i="110"/>
  <c r="Z37" i="110"/>
  <c r="Z34" i="110"/>
  <c r="AF17" i="109"/>
  <c r="AF16" i="109"/>
  <c r="AE11" i="110"/>
  <c r="Y41" i="110"/>
  <c r="Y40" i="110"/>
  <c r="Y37" i="110"/>
  <c r="Y34" i="110"/>
  <c r="O106" i="110"/>
  <c r="J108" i="110" s="1"/>
  <c r="AE10" i="110"/>
  <c r="AF10" i="110"/>
  <c r="P106" i="110"/>
  <c r="N107" i="110" s="1"/>
  <c r="T41" i="110"/>
  <c r="T40" i="110"/>
  <c r="T37" i="110"/>
  <c r="T34" i="110"/>
  <c r="AC27" i="99"/>
  <c r="W38" i="101"/>
  <c r="U35" i="101"/>
  <c r="V27" i="95"/>
  <c r="AE33" i="109"/>
  <c r="AE32" i="109"/>
  <c r="AE31" i="109"/>
  <c r="AE30" i="109"/>
  <c r="AE29" i="109"/>
  <c r="AF32" i="109"/>
  <c r="AB35" i="109"/>
  <c r="W35" i="109"/>
  <c r="AF11" i="109"/>
  <c r="S38" i="109"/>
  <c r="AE16" i="110"/>
  <c r="AB41" i="110"/>
  <c r="AB40" i="110"/>
  <c r="AB37" i="110"/>
  <c r="AB34" i="110"/>
  <c r="V41" i="110"/>
  <c r="V40" i="110"/>
  <c r="V37" i="110"/>
  <c r="V34" i="110"/>
  <c r="AE15" i="110"/>
  <c r="AE14" i="110"/>
  <c r="AE13" i="110"/>
  <c r="AE12" i="110"/>
  <c r="AC41" i="110"/>
  <c r="AC40" i="110"/>
  <c r="AC37" i="110"/>
  <c r="AC34" i="110"/>
  <c r="U41" i="110"/>
  <c r="U40" i="110"/>
  <c r="U37" i="110"/>
  <c r="U34" i="110"/>
  <c r="AB36" i="109"/>
  <c r="X36" i="109"/>
  <c r="X40" i="109"/>
  <c r="V23" i="97"/>
  <c r="AD38" i="105"/>
  <c r="AF33" i="109"/>
  <c r="AF31" i="109"/>
  <c r="X38" i="109"/>
  <c r="X41" i="109"/>
  <c r="X42" i="109" s="1"/>
  <c r="T35" i="109"/>
  <c r="AF29" i="109"/>
  <c r="AF28" i="109"/>
  <c r="AF27" i="109"/>
  <c r="AF26" i="109"/>
  <c r="AF25" i="109"/>
  <c r="AF24" i="109"/>
  <c r="AF23" i="109"/>
  <c r="AF22" i="109"/>
  <c r="AF18" i="109"/>
  <c r="AF21" i="109"/>
  <c r="AF20" i="109"/>
  <c r="AF19" i="109"/>
  <c r="T39" i="109"/>
  <c r="T36" i="109"/>
  <c r="AD41" i="109"/>
  <c r="AD40" i="109"/>
  <c r="AD37" i="109"/>
  <c r="AD34" i="109"/>
  <c r="Z41" i="109"/>
  <c r="Z40" i="109"/>
  <c r="Z37" i="109"/>
  <c r="Z34" i="109"/>
  <c r="T41" i="109"/>
  <c r="T40" i="109"/>
  <c r="T37" i="109"/>
  <c r="T34" i="109"/>
  <c r="AE15" i="109"/>
  <c r="AE14" i="109"/>
  <c r="AE13" i="109"/>
  <c r="AE12" i="109"/>
  <c r="AE11" i="109"/>
  <c r="AC41" i="109"/>
  <c r="AC40" i="109"/>
  <c r="AC37" i="109"/>
  <c r="AC34" i="109"/>
  <c r="Y41" i="109"/>
  <c r="Y40" i="109"/>
  <c r="Y37" i="109"/>
  <c r="Y34" i="109"/>
  <c r="U41" i="109"/>
  <c r="U40" i="109"/>
  <c r="U37" i="109"/>
  <c r="U34" i="109"/>
  <c r="O106" i="109"/>
  <c r="AE10" i="109"/>
  <c r="AE28" i="109"/>
  <c r="AE27" i="109"/>
  <c r="AE26" i="109"/>
  <c r="AE25" i="109"/>
  <c r="AE24" i="109"/>
  <c r="AE23" i="109"/>
  <c r="AE22" i="109"/>
  <c r="AE21" i="109"/>
  <c r="AE20" i="109"/>
  <c r="AE19" i="109"/>
  <c r="AE18" i="109"/>
  <c r="AE17" i="109"/>
  <c r="AE16" i="109"/>
  <c r="AB41" i="109"/>
  <c r="AB40" i="109"/>
  <c r="AB37" i="109"/>
  <c r="AB34" i="109"/>
  <c r="V41" i="109"/>
  <c r="V40" i="109"/>
  <c r="V37" i="109"/>
  <c r="V34" i="109"/>
  <c r="AF10" i="109"/>
  <c r="P106" i="109"/>
  <c r="J107" i="109" s="1"/>
  <c r="AA41" i="109"/>
  <c r="AA40" i="109"/>
  <c r="AA37" i="109"/>
  <c r="AA34" i="109"/>
  <c r="W41" i="109"/>
  <c r="W40" i="109"/>
  <c r="W37" i="109"/>
  <c r="W34" i="109"/>
  <c r="S41" i="109"/>
  <c r="S40" i="109"/>
  <c r="S37" i="109"/>
  <c r="S34" i="109"/>
  <c r="AD13" i="108"/>
  <c r="AA24" i="94"/>
  <c r="AC23" i="96"/>
  <c r="AB36" i="105"/>
  <c r="P16" i="108"/>
  <c r="Z13" i="108"/>
  <c r="O56" i="108"/>
  <c r="AE23" i="108" s="1"/>
  <c r="S15" i="108"/>
  <c r="T17" i="108"/>
  <c r="O11" i="108"/>
  <c r="X18" i="108"/>
  <c r="AB15" i="108"/>
  <c r="P40" i="108"/>
  <c r="AB17" i="108"/>
  <c r="O35" i="108"/>
  <c r="X16" i="108"/>
  <c r="T15" i="108"/>
  <c r="O10" i="108"/>
  <c r="AA26" i="94"/>
  <c r="AB18" i="108"/>
  <c r="T18" i="108"/>
  <c r="X17" i="108"/>
  <c r="AB16" i="108"/>
  <c r="T16" i="108"/>
  <c r="X15" i="108"/>
  <c r="P29" i="108"/>
  <c r="T13" i="108"/>
  <c r="AC11" i="108"/>
  <c r="Y12" i="108"/>
  <c r="O16" i="108"/>
  <c r="Y10" i="108"/>
  <c r="P49" i="108"/>
  <c r="P22" i="108"/>
  <c r="O49" i="108"/>
  <c r="P43" i="108"/>
  <c r="AD18" i="108"/>
  <c r="Z18" i="108"/>
  <c r="V18" i="108"/>
  <c r="AD16" i="108"/>
  <c r="Z16" i="108"/>
  <c r="V16" i="108"/>
  <c r="O28" i="108"/>
  <c r="W15" i="108"/>
  <c r="W19" i="108"/>
  <c r="S20" i="108"/>
  <c r="AA20" i="108"/>
  <c r="W21" i="108"/>
  <c r="O36" i="108"/>
  <c r="S13" i="108"/>
  <c r="O20" i="108"/>
  <c r="AA15" i="108"/>
  <c r="AA17" i="108"/>
  <c r="Y19" i="108"/>
  <c r="U20" i="108"/>
  <c r="AC20" i="108"/>
  <c r="Y21" i="108"/>
  <c r="P55" i="108"/>
  <c r="AF22" i="108" s="1"/>
  <c r="P52" i="108"/>
  <c r="P35" i="108"/>
  <c r="P21" i="108"/>
  <c r="O13" i="108"/>
  <c r="P12" i="108"/>
  <c r="AA10" i="108"/>
  <c r="O53" i="108"/>
  <c r="O48" i="108"/>
  <c r="P46" i="108"/>
  <c r="O38" i="108"/>
  <c r="P45" i="108"/>
  <c r="P38" i="108"/>
  <c r="P32" i="108"/>
  <c r="O30" i="108"/>
  <c r="AB13" i="108"/>
  <c r="X13" i="108"/>
  <c r="O31" i="108"/>
  <c r="P24" i="108"/>
  <c r="P17" i="108"/>
  <c r="O14" i="108"/>
  <c r="O43" i="108"/>
  <c r="S11" i="108"/>
  <c r="P56" i="108"/>
  <c r="AF23" i="108" s="1"/>
  <c r="O55" i="108"/>
  <c r="P53" i="108"/>
  <c r="P51" i="108"/>
  <c r="P48" i="108"/>
  <c r="W18" i="108"/>
  <c r="O39" i="108"/>
  <c r="P37" i="108"/>
  <c r="W16" i="108"/>
  <c r="P27" i="108"/>
  <c r="AC12" i="108"/>
  <c r="U12" i="108"/>
  <c r="Y11" i="108"/>
  <c r="P13" i="108"/>
  <c r="O12" i="108"/>
  <c r="P11" i="108"/>
  <c r="AC10" i="108"/>
  <c r="P10" i="108"/>
  <c r="O52" i="108"/>
  <c r="P47" i="108"/>
  <c r="P26" i="108"/>
  <c r="U24" i="94"/>
  <c r="AC26" i="94"/>
  <c r="O51" i="108"/>
  <c r="O47" i="108"/>
  <c r="O26" i="108"/>
  <c r="O22" i="108"/>
  <c r="O18" i="108"/>
  <c r="U10" i="108"/>
  <c r="P54" i="108"/>
  <c r="O50" i="108"/>
  <c r="W14" i="108"/>
  <c r="W17" i="108"/>
  <c r="AA19" i="108"/>
  <c r="W20" i="108"/>
  <c r="S21" i="108"/>
  <c r="U19" i="108"/>
  <c r="AA14" i="108"/>
  <c r="AA16" i="108"/>
  <c r="AA18" i="108"/>
  <c r="AC19" i="108"/>
  <c r="Y20" i="108"/>
  <c r="U21" i="108"/>
  <c r="AC21" i="108"/>
  <c r="Z12" i="108"/>
  <c r="O44" i="108"/>
  <c r="AB14" i="108"/>
  <c r="X14" i="108"/>
  <c r="T14" i="108"/>
  <c r="V13" i="108"/>
  <c r="AA13" i="108"/>
  <c r="O46" i="108"/>
  <c r="S18" i="108"/>
  <c r="S16" i="108"/>
  <c r="S14" i="108"/>
  <c r="O45" i="108"/>
  <c r="P41" i="108"/>
  <c r="P39" i="108"/>
  <c r="AD17" i="108"/>
  <c r="Z17" i="108"/>
  <c r="V17" i="108"/>
  <c r="O37" i="108"/>
  <c r="O32" i="108"/>
  <c r="AD15" i="108"/>
  <c r="Z15" i="108"/>
  <c r="P30" i="108"/>
  <c r="P28" i="108"/>
  <c r="P25" i="108"/>
  <c r="P23" i="108"/>
  <c r="O21" i="108"/>
  <c r="P19" i="108"/>
  <c r="P44" i="108"/>
  <c r="O40" i="108"/>
  <c r="P36" i="108"/>
  <c r="P33" i="108"/>
  <c r="P31" i="108"/>
  <c r="O29" i="108"/>
  <c r="O27" i="108"/>
  <c r="O24" i="108"/>
  <c r="W13" i="108"/>
  <c r="P20" i="108"/>
  <c r="O17" i="108"/>
  <c r="P15" i="108"/>
  <c r="AA11" i="108"/>
  <c r="P14" i="108"/>
  <c r="AA21" i="108"/>
  <c r="W10" i="108"/>
  <c r="S10" i="108"/>
  <c r="S41" i="108" s="1"/>
  <c r="S19" i="108"/>
  <c r="S17" i="108"/>
  <c r="AD12" i="108"/>
  <c r="AD14" i="108"/>
  <c r="Z14" i="108"/>
  <c r="V14" i="108"/>
  <c r="X12" i="108"/>
  <c r="AC18" i="108"/>
  <c r="Y18" i="108"/>
  <c r="U18" i="108"/>
  <c r="AC17" i="108"/>
  <c r="Y17" i="108"/>
  <c r="AC16" i="108"/>
  <c r="Y16" i="108"/>
  <c r="U16" i="108"/>
  <c r="Y14" i="108"/>
  <c r="AC13" i="108"/>
  <c r="Y13" i="108"/>
  <c r="U13" i="108"/>
  <c r="W11" i="108"/>
  <c r="AB11" i="108"/>
  <c r="O41" i="108"/>
  <c r="O33" i="108"/>
  <c r="O25" i="108"/>
  <c r="V15" i="108"/>
  <c r="O23" i="108"/>
  <c r="O19" i="108"/>
  <c r="O15" i="108"/>
  <c r="P50" i="108"/>
  <c r="P42" i="108"/>
  <c r="P34" i="108"/>
  <c r="S12" i="108"/>
  <c r="O54" i="108"/>
  <c r="O42" i="108"/>
  <c r="O34" i="108"/>
  <c r="P18" i="108"/>
  <c r="AB12" i="108"/>
  <c r="T12" i="108"/>
  <c r="U17" i="108"/>
  <c r="AC15" i="108"/>
  <c r="Y15" i="108"/>
  <c r="U15" i="108"/>
  <c r="AC14" i="108"/>
  <c r="U14" i="108"/>
  <c r="U11" i="108"/>
  <c r="Z38" i="105"/>
  <c r="V38" i="105"/>
  <c r="AC15" i="107"/>
  <c r="W15" i="107"/>
  <c r="U15" i="107"/>
  <c r="AC10" i="107"/>
  <c r="W10" i="107"/>
  <c r="U10" i="107"/>
  <c r="X38" i="105"/>
  <c r="O57" i="107"/>
  <c r="AE24" i="107" s="1"/>
  <c r="Y15" i="107"/>
  <c r="Z11" i="107"/>
  <c r="AC35" i="105"/>
  <c r="U38" i="105"/>
  <c r="AD21" i="107"/>
  <c r="AB21" i="107"/>
  <c r="Z21" i="107"/>
  <c r="X21" i="107"/>
  <c r="V21" i="107"/>
  <c r="T21" i="107"/>
  <c r="AD20" i="107"/>
  <c r="Z20" i="107"/>
  <c r="V20" i="107"/>
  <c r="AB19" i="107"/>
  <c r="X19" i="107"/>
  <c r="T19" i="107"/>
  <c r="AB18" i="107"/>
  <c r="X18" i="107"/>
  <c r="V18" i="107"/>
  <c r="AD17" i="107"/>
  <c r="Z17" i="107"/>
  <c r="V17" i="107"/>
  <c r="O37" i="107"/>
  <c r="P36" i="107"/>
  <c r="P35" i="107"/>
  <c r="AB16" i="107"/>
  <c r="X16" i="107"/>
  <c r="T16" i="107"/>
  <c r="O32" i="107"/>
  <c r="P31" i="107"/>
  <c r="AB15" i="107"/>
  <c r="X15" i="107"/>
  <c r="T15" i="107"/>
  <c r="P28" i="107"/>
  <c r="AD14" i="107"/>
  <c r="Z14" i="107"/>
  <c r="V14" i="107"/>
  <c r="O25" i="107"/>
  <c r="AD13" i="107"/>
  <c r="Z13" i="107"/>
  <c r="V13" i="107"/>
  <c r="O19" i="107"/>
  <c r="AB12" i="107"/>
  <c r="Z12" i="107"/>
  <c r="V12" i="107"/>
  <c r="T12" i="107"/>
  <c r="P18" i="107"/>
  <c r="O17" i="107"/>
  <c r="O15" i="107"/>
  <c r="AD11" i="107"/>
  <c r="AB11" i="107"/>
  <c r="T11" i="107"/>
  <c r="P14" i="107"/>
  <c r="AB20" i="107"/>
  <c r="X20" i="107"/>
  <c r="T20" i="107"/>
  <c r="AD19" i="107"/>
  <c r="AD39" i="107" s="1"/>
  <c r="Z19" i="107"/>
  <c r="V19" i="107"/>
  <c r="AD18" i="107"/>
  <c r="Z18" i="107"/>
  <c r="T18" i="107"/>
  <c r="AB17" i="107"/>
  <c r="X17" i="107"/>
  <c r="T17" i="107"/>
  <c r="AD16" i="107"/>
  <c r="Z16" i="107"/>
  <c r="V16" i="107"/>
  <c r="P33" i="107"/>
  <c r="O33" i="107"/>
  <c r="AD15" i="107"/>
  <c r="Z15" i="107"/>
  <c r="V15" i="107"/>
  <c r="O29" i="107"/>
  <c r="O27" i="107"/>
  <c r="AB14" i="107"/>
  <c r="X14" i="107"/>
  <c r="T14" i="107"/>
  <c r="P24" i="107"/>
  <c r="AB13" i="107"/>
  <c r="X13" i="107"/>
  <c r="P22" i="107"/>
  <c r="T13" i="107"/>
  <c r="O22" i="107"/>
  <c r="O20" i="107"/>
  <c r="AD12" i="107"/>
  <c r="X12" i="107"/>
  <c r="X11" i="107"/>
  <c r="V11" i="107"/>
  <c r="O13" i="107"/>
  <c r="O11" i="107"/>
  <c r="AB10" i="107"/>
  <c r="Z10" i="107"/>
  <c r="X10" i="107"/>
  <c r="T10" i="107"/>
  <c r="P57" i="107"/>
  <c r="AF24" i="107" s="1"/>
  <c r="P56" i="107"/>
  <c r="AF23" i="107" s="1"/>
  <c r="O56" i="107"/>
  <c r="P55" i="107"/>
  <c r="O55" i="107"/>
  <c r="AC21" i="107"/>
  <c r="AA21" i="107"/>
  <c r="Y21" i="107"/>
  <c r="W21" i="107"/>
  <c r="U21" i="107"/>
  <c r="S21" i="107"/>
  <c r="P54" i="107"/>
  <c r="O54" i="107"/>
  <c r="P53" i="107"/>
  <c r="O53" i="107"/>
  <c r="O52" i="107"/>
  <c r="P52" i="107"/>
  <c r="O51" i="107"/>
  <c r="P51" i="107"/>
  <c r="AC20" i="107"/>
  <c r="AA20" i="107"/>
  <c r="Y20" i="107"/>
  <c r="W20" i="107"/>
  <c r="U20" i="107"/>
  <c r="O50" i="107"/>
  <c r="P50" i="107"/>
  <c r="S20" i="107"/>
  <c r="P49" i="107"/>
  <c r="O49" i="107"/>
  <c r="P48" i="107"/>
  <c r="O48" i="107"/>
  <c r="P47" i="107"/>
  <c r="O47" i="107"/>
  <c r="AC19" i="107"/>
  <c r="AA19" i="107"/>
  <c r="Y19" i="107"/>
  <c r="W19" i="107"/>
  <c r="U19" i="107"/>
  <c r="S19" i="107"/>
  <c r="S36" i="107" s="1"/>
  <c r="O46" i="107"/>
  <c r="P46" i="107"/>
  <c r="P45" i="107"/>
  <c r="O45" i="107"/>
  <c r="O44" i="107"/>
  <c r="P44" i="107"/>
  <c r="O43" i="107"/>
  <c r="P43" i="107"/>
  <c r="AC18" i="107"/>
  <c r="AA18" i="107"/>
  <c r="Y18" i="107"/>
  <c r="W18" i="107"/>
  <c r="U18" i="107"/>
  <c r="O42" i="107"/>
  <c r="P42" i="107"/>
  <c r="S18" i="107"/>
  <c r="P41" i="107"/>
  <c r="O41" i="107"/>
  <c r="P40" i="107"/>
  <c r="P39" i="107"/>
  <c r="AC17" i="107"/>
  <c r="Y17" i="107"/>
  <c r="W17" i="107"/>
  <c r="U17" i="107"/>
  <c r="O38" i="107"/>
  <c r="P37" i="107"/>
  <c r="O36" i="107"/>
  <c r="O35" i="107"/>
  <c r="O34" i="107"/>
  <c r="P32" i="107"/>
  <c r="O31" i="107"/>
  <c r="P29" i="107"/>
  <c r="O28" i="107"/>
  <c r="P27" i="107"/>
  <c r="P25" i="107"/>
  <c r="O24" i="107"/>
  <c r="P23" i="107"/>
  <c r="P21" i="107"/>
  <c r="P17" i="107"/>
  <c r="O40" i="107"/>
  <c r="AA17" i="107"/>
  <c r="S17" i="107"/>
  <c r="AC16" i="107"/>
  <c r="AA16" i="107"/>
  <c r="Y16" i="107"/>
  <c r="W16" i="107"/>
  <c r="U16" i="107"/>
  <c r="AA15" i="107"/>
  <c r="S15" i="107"/>
  <c r="AC14" i="107"/>
  <c r="AA14" i="107"/>
  <c r="Y14" i="107"/>
  <c r="W14" i="107"/>
  <c r="U14" i="107"/>
  <c r="S14" i="107"/>
  <c r="AC13" i="107"/>
  <c r="AA13" i="107"/>
  <c r="Y13" i="107"/>
  <c r="W13" i="107"/>
  <c r="U13" i="107"/>
  <c r="S13" i="107"/>
  <c r="P20" i="107"/>
  <c r="P19" i="107"/>
  <c r="AC12" i="107"/>
  <c r="AA12" i="107"/>
  <c r="Y12" i="107"/>
  <c r="W12" i="107"/>
  <c r="U12" i="107"/>
  <c r="S12" i="107"/>
  <c r="P16" i="107"/>
  <c r="P15" i="107"/>
  <c r="AC11" i="107"/>
  <c r="AA11" i="107"/>
  <c r="Y11" i="107"/>
  <c r="W11" i="107"/>
  <c r="U11" i="107"/>
  <c r="S11" i="107"/>
  <c r="P13" i="107"/>
  <c r="P12" i="107"/>
  <c r="P11" i="107"/>
  <c r="O39" i="107"/>
  <c r="O26" i="107"/>
  <c r="O23" i="107"/>
  <c r="O21" i="107"/>
  <c r="O18" i="107"/>
  <c r="O16" i="107"/>
  <c r="O14" i="107"/>
  <c r="O12" i="107"/>
  <c r="P26" i="107"/>
  <c r="P38" i="107"/>
  <c r="P30" i="107"/>
  <c r="S16" i="107"/>
  <c r="P34" i="107"/>
  <c r="O30" i="107"/>
  <c r="Y10" i="107"/>
  <c r="AB38" i="105"/>
  <c r="T38" i="105"/>
  <c r="AD10" i="107"/>
  <c r="V10" i="107"/>
  <c r="V41" i="107" s="1"/>
  <c r="AA10" i="107"/>
  <c r="P10" i="107"/>
  <c r="S10" i="107"/>
  <c r="O10" i="107"/>
  <c r="X35" i="105"/>
  <c r="AC23" i="95"/>
  <c r="U23" i="96"/>
  <c r="AA35" i="105"/>
  <c r="AD26" i="98"/>
  <c r="U35" i="105"/>
  <c r="AB35" i="105"/>
  <c r="T35" i="105"/>
  <c r="AE12" i="105"/>
  <c r="AF33" i="105"/>
  <c r="AF31" i="105"/>
  <c r="AF13" i="105"/>
  <c r="AC38" i="105"/>
  <c r="AA38" i="105"/>
  <c r="W38" i="105"/>
  <c r="W35" i="105"/>
  <c r="S35" i="105"/>
  <c r="AF11" i="105"/>
  <c r="AF32" i="105"/>
  <c r="Y35" i="105"/>
  <c r="AF15" i="105"/>
  <c r="AF30" i="105"/>
  <c r="AF29" i="105"/>
  <c r="AF28" i="105"/>
  <c r="AF27" i="105"/>
  <c r="AF26" i="105"/>
  <c r="AF25" i="105"/>
  <c r="AF24" i="105"/>
  <c r="AF23" i="105"/>
  <c r="AF22" i="105"/>
  <c r="AF21" i="105"/>
  <c r="AF20" i="105"/>
  <c r="AF19" i="105"/>
  <c r="AF18" i="105"/>
  <c r="AF17" i="105"/>
  <c r="AF16" i="105"/>
  <c r="AF14" i="105"/>
  <c r="AD35" i="105"/>
  <c r="Z35" i="105"/>
  <c r="V35" i="105"/>
  <c r="AF12" i="105"/>
  <c r="AD41" i="105"/>
  <c r="AD40" i="105"/>
  <c r="AD37" i="105"/>
  <c r="AD34" i="105"/>
  <c r="Z41" i="105"/>
  <c r="Z40" i="105"/>
  <c r="Z37" i="105"/>
  <c r="Z34" i="105"/>
  <c r="AE28" i="105"/>
  <c r="AE27" i="105"/>
  <c r="AE26" i="105"/>
  <c r="AE25" i="105"/>
  <c r="AE24" i="105"/>
  <c r="AE23" i="105"/>
  <c r="AE22" i="105"/>
  <c r="AE21" i="105"/>
  <c r="AE20" i="105"/>
  <c r="AE19" i="105"/>
  <c r="AE18" i="105"/>
  <c r="AE17" i="105"/>
  <c r="AE16" i="105"/>
  <c r="AE15" i="105"/>
  <c r="AE14" i="105"/>
  <c r="AE13" i="105"/>
  <c r="AE11" i="105"/>
  <c r="AC41" i="105"/>
  <c r="AC40" i="105"/>
  <c r="AC37" i="105"/>
  <c r="AC34" i="105"/>
  <c r="Y41" i="105"/>
  <c r="Y40" i="105"/>
  <c r="Y37" i="105"/>
  <c r="Y34" i="105"/>
  <c r="W41" i="105"/>
  <c r="W40" i="105"/>
  <c r="W37" i="105"/>
  <c r="W34" i="105"/>
  <c r="U41" i="105"/>
  <c r="U40" i="105"/>
  <c r="U37" i="105"/>
  <c r="U34" i="105"/>
  <c r="O106" i="105"/>
  <c r="G108" i="105" s="1"/>
  <c r="AE10" i="105"/>
  <c r="P106" i="105"/>
  <c r="G107" i="105" s="1"/>
  <c r="AF10" i="105"/>
  <c r="V41" i="105"/>
  <c r="V40" i="105"/>
  <c r="V37" i="105"/>
  <c r="V34" i="105"/>
  <c r="T41" i="105"/>
  <c r="T40" i="105"/>
  <c r="T37" i="105"/>
  <c r="T34" i="105"/>
  <c r="AE33" i="105"/>
  <c r="AE32" i="105"/>
  <c r="AE31" i="105"/>
  <c r="AE30" i="105"/>
  <c r="AE29" i="105"/>
  <c r="AB41" i="105"/>
  <c r="AB40" i="105"/>
  <c r="AB37" i="105"/>
  <c r="AB34" i="105"/>
  <c r="X41" i="105"/>
  <c r="X40" i="105"/>
  <c r="X37" i="105"/>
  <c r="X34" i="105"/>
  <c r="AA41" i="105"/>
  <c r="AA40" i="105"/>
  <c r="AA37" i="105"/>
  <c r="AA34" i="105"/>
  <c r="S41" i="105"/>
  <c r="S40" i="105"/>
  <c r="S37" i="105"/>
  <c r="S34" i="105"/>
  <c r="AD24" i="98"/>
  <c r="AC26" i="98"/>
  <c r="AA23" i="100"/>
  <c r="O106" i="101"/>
  <c r="C108" i="101" s="1"/>
  <c r="Y24" i="99"/>
  <c r="P106" i="101"/>
  <c r="U26" i="96"/>
  <c r="AB23" i="97"/>
  <c r="W26" i="99"/>
  <c r="U26" i="94"/>
  <c r="V26" i="98"/>
  <c r="U23" i="95"/>
  <c r="V41" i="101"/>
  <c r="AB41" i="101"/>
  <c r="X41" i="101"/>
  <c r="T41" i="101"/>
  <c r="W41" i="101"/>
  <c r="AC41" i="101"/>
  <c r="U41" i="101"/>
  <c r="AD41" i="101"/>
  <c r="Z41" i="101"/>
  <c r="AA41" i="101"/>
  <c r="Y41" i="101"/>
  <c r="S41" i="101"/>
  <c r="AE30" i="101"/>
  <c r="AE31" i="101"/>
  <c r="AE32" i="101"/>
  <c r="AE33" i="101"/>
  <c r="AF22" i="101"/>
  <c r="AF23" i="101"/>
  <c r="AF24" i="101"/>
  <c r="AF26" i="101"/>
  <c r="AF27" i="101"/>
  <c r="AF29" i="101"/>
  <c r="AF30" i="101"/>
  <c r="AF31" i="101"/>
  <c r="AE22" i="101"/>
  <c r="AE23" i="101"/>
  <c r="AE24" i="101"/>
  <c r="AE25" i="101"/>
  <c r="AE26" i="101"/>
  <c r="AE27" i="101"/>
  <c r="AE28" i="101"/>
  <c r="AE29" i="101"/>
  <c r="AB23" i="95"/>
  <c r="Y24" i="100"/>
  <c r="AB26" i="95"/>
  <c r="Z24" i="95"/>
  <c r="V23" i="99"/>
  <c r="V23" i="98"/>
  <c r="Z27" i="98"/>
  <c r="T24" i="98"/>
  <c r="Y27" i="94"/>
  <c r="Y23" i="96"/>
  <c r="Y26" i="94"/>
  <c r="Y23" i="95"/>
  <c r="AF13" i="104"/>
  <c r="W23" i="96"/>
  <c r="AA26" i="96"/>
  <c r="Y26" i="97"/>
  <c r="AD26" i="96"/>
  <c r="AC23" i="94"/>
  <c r="W27" i="98"/>
  <c r="V24" i="95"/>
  <c r="Y27" i="96"/>
  <c r="Z23" i="95"/>
  <c r="AC27" i="94"/>
  <c r="AA23" i="94"/>
  <c r="X26" i="95"/>
  <c r="X38" i="101"/>
  <c r="Y23" i="94"/>
  <c r="Y38" i="101"/>
  <c r="W26" i="94"/>
  <c r="X35" i="101"/>
  <c r="AB38" i="101"/>
  <c r="T38" i="101"/>
  <c r="AB35" i="101"/>
  <c r="T35" i="101"/>
  <c r="U23" i="94"/>
  <c r="AC24" i="104"/>
  <c r="W28" i="104"/>
  <c r="V23" i="95"/>
  <c r="W23" i="104"/>
  <c r="X25" i="104"/>
  <c r="S24" i="104"/>
  <c r="AB25" i="104"/>
  <c r="W23" i="94"/>
  <c r="U24" i="104"/>
  <c r="AC23" i="104"/>
  <c r="S25" i="104"/>
  <c r="AA26" i="103"/>
  <c r="Y26" i="103"/>
  <c r="W25" i="104"/>
  <c r="W27" i="104"/>
  <c r="W26" i="104"/>
  <c r="AC27" i="104"/>
  <c r="U23" i="104"/>
  <c r="AF16" i="103"/>
  <c r="AC26" i="103"/>
  <c r="U26" i="103"/>
  <c r="AF12" i="104"/>
  <c r="AA28" i="104"/>
  <c r="AF11" i="104"/>
  <c r="AB22" i="104"/>
  <c r="T22" i="104"/>
  <c r="AB23" i="103"/>
  <c r="T23" i="103"/>
  <c r="W24" i="104"/>
  <c r="X22" i="104"/>
  <c r="AA38" i="101"/>
  <c r="T25" i="104"/>
  <c r="W22" i="104"/>
  <c r="S28" i="104"/>
  <c r="AA25" i="104"/>
  <c r="S27" i="104"/>
  <c r="Y27" i="104"/>
  <c r="W26" i="103"/>
  <c r="AC38" i="101"/>
  <c r="Y35" i="101"/>
  <c r="U38" i="101"/>
  <c r="AF18" i="104"/>
  <c r="AA22" i="104"/>
  <c r="S22" i="104"/>
  <c r="AC26" i="104"/>
  <c r="U26" i="104"/>
  <c r="Y23" i="103"/>
  <c r="U23" i="103"/>
  <c r="AF14" i="103"/>
  <c r="S26" i="104"/>
  <c r="AC23" i="103"/>
  <c r="AF15" i="103"/>
  <c r="AA23" i="103"/>
  <c r="W23" i="103"/>
  <c r="AF20" i="104"/>
  <c r="AF16" i="104"/>
  <c r="Y23" i="100"/>
  <c r="AE15" i="103"/>
  <c r="AF21" i="104"/>
  <c r="AF19" i="104"/>
  <c r="Y24" i="104"/>
  <c r="AF17" i="104"/>
  <c r="AF15" i="104"/>
  <c r="Y26" i="104"/>
  <c r="AD23" i="104"/>
  <c r="Z26" i="104"/>
  <c r="V23" i="104"/>
  <c r="Z23" i="104"/>
  <c r="AF13" i="103"/>
  <c r="AF12" i="103"/>
  <c r="AF11" i="103"/>
  <c r="W28" i="100"/>
  <c r="AB26" i="99"/>
  <c r="T26" i="99"/>
  <c r="AF13" i="100"/>
  <c r="Z35" i="101"/>
  <c r="AB23" i="104"/>
  <c r="X26" i="104"/>
  <c r="T28" i="104"/>
  <c r="Y23" i="104"/>
  <c r="AF14" i="104"/>
  <c r="AD26" i="104"/>
  <c r="V26" i="104"/>
  <c r="S23" i="104"/>
  <c r="AF17" i="103"/>
  <c r="AF21" i="103"/>
  <c r="AF20" i="103"/>
  <c r="AF19" i="103"/>
  <c r="AF18" i="103"/>
  <c r="U27" i="104"/>
  <c r="Z28" i="104"/>
  <c r="Z25" i="104"/>
  <c r="Z22" i="104"/>
  <c r="AB27" i="104"/>
  <c r="AB24" i="104"/>
  <c r="X27" i="104"/>
  <c r="X24" i="104"/>
  <c r="T24" i="104"/>
  <c r="T27" i="104"/>
  <c r="AE13" i="104"/>
  <c r="Y28" i="104"/>
  <c r="Y25" i="104"/>
  <c r="Y22" i="104"/>
  <c r="O58" i="104"/>
  <c r="L60" i="104" s="1"/>
  <c r="AE10" i="104"/>
  <c r="AF10" i="104"/>
  <c r="P58" i="104"/>
  <c r="L59" i="104" s="1"/>
  <c r="AD28" i="103"/>
  <c r="AD25" i="103"/>
  <c r="AD22" i="103"/>
  <c r="Z28" i="103"/>
  <c r="Z25" i="103"/>
  <c r="Z22" i="103"/>
  <c r="V28" i="103"/>
  <c r="V25" i="103"/>
  <c r="V22" i="103"/>
  <c r="X28" i="104"/>
  <c r="X23" i="104"/>
  <c r="AE21" i="103"/>
  <c r="AE20" i="103"/>
  <c r="AE19" i="103"/>
  <c r="AE18" i="103"/>
  <c r="AE17" i="103"/>
  <c r="S26" i="103"/>
  <c r="S23" i="103"/>
  <c r="W28" i="103"/>
  <c r="W25" i="103"/>
  <c r="W22" i="103"/>
  <c r="Y28" i="103"/>
  <c r="Y25" i="103"/>
  <c r="Y22" i="103"/>
  <c r="O58" i="103"/>
  <c r="C60" i="103" s="1"/>
  <c r="AE10" i="103"/>
  <c r="AC26" i="99"/>
  <c r="AE21" i="104"/>
  <c r="AE20" i="104"/>
  <c r="AE19" i="104"/>
  <c r="AE18" i="104"/>
  <c r="AE17" i="104"/>
  <c r="AE16" i="104"/>
  <c r="AE15" i="104"/>
  <c r="AE14" i="104"/>
  <c r="AD28" i="104"/>
  <c r="AD25" i="104"/>
  <c r="AD22" i="104"/>
  <c r="V28" i="104"/>
  <c r="V25" i="104"/>
  <c r="V22" i="104"/>
  <c r="AD27" i="104"/>
  <c r="AD24" i="104"/>
  <c r="Z27" i="104"/>
  <c r="Z24" i="104"/>
  <c r="V27" i="104"/>
  <c r="V24" i="104"/>
  <c r="AB28" i="104"/>
  <c r="AB26" i="104"/>
  <c r="AE12" i="104"/>
  <c r="AE11" i="104"/>
  <c r="AC28" i="104"/>
  <c r="AC25" i="104"/>
  <c r="AC22" i="104"/>
  <c r="U28" i="104"/>
  <c r="U25" i="104"/>
  <c r="U22" i="104"/>
  <c r="AB28" i="103"/>
  <c r="AB25" i="103"/>
  <c r="AB22" i="103"/>
  <c r="X28" i="103"/>
  <c r="X25" i="103"/>
  <c r="X22" i="103"/>
  <c r="T28" i="103"/>
  <c r="T25" i="103"/>
  <c r="T22" i="103"/>
  <c r="T23" i="104"/>
  <c r="T26" i="104"/>
  <c r="AE16" i="103"/>
  <c r="AA28" i="103"/>
  <c r="AA25" i="103"/>
  <c r="AA22" i="103"/>
  <c r="S28" i="103"/>
  <c r="S25" i="103"/>
  <c r="S22" i="103"/>
  <c r="AE14" i="103"/>
  <c r="AE13" i="103"/>
  <c r="AE12" i="103"/>
  <c r="AE11" i="103"/>
  <c r="AC28" i="103"/>
  <c r="AC25" i="103"/>
  <c r="AC22" i="103"/>
  <c r="U28" i="103"/>
  <c r="U25" i="103"/>
  <c r="U22" i="103"/>
  <c r="P58" i="103"/>
  <c r="AF10" i="103"/>
  <c r="AC24" i="100"/>
  <c r="U24" i="100"/>
  <c r="AC23" i="100"/>
  <c r="U23" i="100"/>
  <c r="T25" i="100"/>
  <c r="AB23" i="99"/>
  <c r="T23" i="99"/>
  <c r="AA22" i="100"/>
  <c r="X26" i="99"/>
  <c r="W27" i="100"/>
  <c r="AF15" i="101"/>
  <c r="AF14" i="101"/>
  <c r="AF13" i="101"/>
  <c r="AF12" i="101"/>
  <c r="AF11" i="101"/>
  <c r="X23" i="99"/>
  <c r="X25" i="100"/>
  <c r="AA25" i="100"/>
  <c r="S24" i="100"/>
  <c r="AF21" i="101"/>
  <c r="AF20" i="101"/>
  <c r="AF19" i="101"/>
  <c r="AF18" i="101"/>
  <c r="AF17" i="101"/>
  <c r="AF16" i="101"/>
  <c r="AB40" i="101"/>
  <c r="AB37" i="101"/>
  <c r="AB34" i="101"/>
  <c r="X40" i="101"/>
  <c r="X37" i="101"/>
  <c r="X34" i="101"/>
  <c r="T40" i="101"/>
  <c r="T37" i="101"/>
  <c r="T34" i="101"/>
  <c r="AE21" i="101"/>
  <c r="AE20" i="101"/>
  <c r="AE19" i="101"/>
  <c r="AE18" i="101"/>
  <c r="AE17" i="101"/>
  <c r="AE16" i="101"/>
  <c r="AE15" i="101"/>
  <c r="S38" i="101"/>
  <c r="S35" i="101"/>
  <c r="W40" i="101"/>
  <c r="W37" i="101"/>
  <c r="W34" i="101"/>
  <c r="AE14" i="101"/>
  <c r="AE13" i="101"/>
  <c r="AE12" i="101"/>
  <c r="AE11" i="101"/>
  <c r="AC40" i="101"/>
  <c r="AC37" i="101"/>
  <c r="AC34" i="101"/>
  <c r="U40" i="101"/>
  <c r="U37" i="101"/>
  <c r="U34" i="101"/>
  <c r="AF10" i="101"/>
  <c r="S23" i="98"/>
  <c r="Z23" i="99"/>
  <c r="Y23" i="99"/>
  <c r="S22" i="100"/>
  <c r="W26" i="100"/>
  <c r="AD40" i="101"/>
  <c r="AD37" i="101"/>
  <c r="AD34" i="101"/>
  <c r="Z40" i="101"/>
  <c r="Z37" i="101"/>
  <c r="Z34" i="101"/>
  <c r="V40" i="101"/>
  <c r="V37" i="101"/>
  <c r="V34" i="101"/>
  <c r="AA40" i="101"/>
  <c r="AA37" i="101"/>
  <c r="AA34" i="101"/>
  <c r="S40" i="101"/>
  <c r="S37" i="101"/>
  <c r="S34" i="101"/>
  <c r="Y40" i="101"/>
  <c r="Y37" i="101"/>
  <c r="Y34" i="101"/>
  <c r="AE10" i="101"/>
  <c r="AE12" i="97"/>
  <c r="Y27" i="100"/>
  <c r="Y26" i="100"/>
  <c r="AF13" i="96"/>
  <c r="AE19" i="96"/>
  <c r="AE17" i="96"/>
  <c r="AE15" i="96"/>
  <c r="S23" i="96"/>
  <c r="T25" i="94"/>
  <c r="AE18" i="96"/>
  <c r="S23" i="97"/>
  <c r="AB25" i="100"/>
  <c r="W23" i="100"/>
  <c r="AA28" i="100"/>
  <c r="AA23" i="99"/>
  <c r="W23" i="99"/>
  <c r="AF12" i="100"/>
  <c r="W25" i="100"/>
  <c r="S28" i="100"/>
  <c r="AF11" i="100"/>
  <c r="W24" i="100"/>
  <c r="S23" i="100"/>
  <c r="X25" i="94"/>
  <c r="S26" i="100"/>
  <c r="AE16" i="96"/>
  <c r="AE21" i="96"/>
  <c r="AF11" i="98"/>
  <c r="AE18" i="97"/>
  <c r="AE19" i="98"/>
  <c r="AE21" i="100"/>
  <c r="AE20" i="100"/>
  <c r="AE19" i="100"/>
  <c r="AE18" i="100"/>
  <c r="AE17" i="100"/>
  <c r="AE16" i="100"/>
  <c r="AE15" i="100"/>
  <c r="AF20" i="100"/>
  <c r="AF18" i="100"/>
  <c r="AF16" i="100"/>
  <c r="AB23" i="100"/>
  <c r="W22" i="100"/>
  <c r="AC27" i="100"/>
  <c r="AC26" i="100"/>
  <c r="U26" i="100"/>
  <c r="S27" i="100"/>
  <c r="S25" i="100"/>
  <c r="AF14" i="99"/>
  <c r="AE20" i="96"/>
  <c r="AE14" i="96"/>
  <c r="S23" i="95"/>
  <c r="S25" i="94"/>
  <c r="X23" i="100"/>
  <c r="AB28" i="100"/>
  <c r="AF21" i="99"/>
  <c r="AF20" i="99"/>
  <c r="AF19" i="99"/>
  <c r="AF18" i="99"/>
  <c r="AF17" i="99"/>
  <c r="U27" i="100"/>
  <c r="AF16" i="99"/>
  <c r="AF15" i="99"/>
  <c r="AF13" i="99"/>
  <c r="AF12" i="99"/>
  <c r="AF11" i="99"/>
  <c r="AE15" i="98"/>
  <c r="AF13" i="94"/>
  <c r="S23" i="94"/>
  <c r="X22" i="94"/>
  <c r="AE21" i="98"/>
  <c r="AE18" i="98"/>
  <c r="AE16" i="98"/>
  <c r="AE14" i="98"/>
  <c r="AF21" i="100"/>
  <c r="AF19" i="100"/>
  <c r="AF17" i="100"/>
  <c r="AD26" i="100"/>
  <c r="Z23" i="100"/>
  <c r="V26" i="100"/>
  <c r="AF15" i="100"/>
  <c r="AB26" i="100"/>
  <c r="X26" i="100"/>
  <c r="AF14" i="100"/>
  <c r="AE20" i="98"/>
  <c r="AE24" i="98" s="1"/>
  <c r="AE17" i="98"/>
  <c r="AE11" i="97"/>
  <c r="AE14" i="100"/>
  <c r="AD28" i="100"/>
  <c r="AD25" i="100"/>
  <c r="AD22" i="100"/>
  <c r="V28" i="100"/>
  <c r="V25" i="100"/>
  <c r="V22" i="100"/>
  <c r="AD27" i="100"/>
  <c r="AD24" i="100"/>
  <c r="Z27" i="100"/>
  <c r="Z24" i="100"/>
  <c r="V27" i="100"/>
  <c r="V24" i="100"/>
  <c r="AE12" i="100"/>
  <c r="AE11" i="100"/>
  <c r="AC28" i="100"/>
  <c r="AC25" i="100"/>
  <c r="AC22" i="100"/>
  <c r="U28" i="100"/>
  <c r="U25" i="100"/>
  <c r="U22" i="100"/>
  <c r="AB28" i="99"/>
  <c r="AB25" i="99"/>
  <c r="AB22" i="99"/>
  <c r="X28" i="99"/>
  <c r="X25" i="99"/>
  <c r="X22" i="99"/>
  <c r="T28" i="99"/>
  <c r="T25" i="99"/>
  <c r="T22" i="99"/>
  <c r="AD23" i="100"/>
  <c r="Z26" i="100"/>
  <c r="V23" i="100"/>
  <c r="T23" i="100"/>
  <c r="T26" i="100"/>
  <c r="S26" i="99"/>
  <c r="S23" i="99"/>
  <c r="W28" i="99"/>
  <c r="W25" i="99"/>
  <c r="W22" i="99"/>
  <c r="Y28" i="99"/>
  <c r="Y25" i="99"/>
  <c r="Y22" i="99"/>
  <c r="O58" i="99"/>
  <c r="C60" i="99" s="1"/>
  <c r="AE10" i="99"/>
  <c r="AA25" i="94"/>
  <c r="AF12" i="95"/>
  <c r="S24" i="96"/>
  <c r="S26" i="96"/>
  <c r="AF20" i="98"/>
  <c r="AF13" i="98"/>
  <c r="AF19" i="97"/>
  <c r="AE16" i="97"/>
  <c r="Z28" i="100"/>
  <c r="Z25" i="100"/>
  <c r="Z22" i="100"/>
  <c r="AB27" i="100"/>
  <c r="AB24" i="100"/>
  <c r="X27" i="100"/>
  <c r="X24" i="100"/>
  <c r="T24" i="100"/>
  <c r="T27" i="100"/>
  <c r="T28" i="100"/>
  <c r="AE13" i="100"/>
  <c r="Y28" i="100"/>
  <c r="Y25" i="100"/>
  <c r="Y22" i="100"/>
  <c r="O58" i="100"/>
  <c r="AE10" i="100"/>
  <c r="AF10" i="100"/>
  <c r="P58" i="100"/>
  <c r="H59" i="100" s="1"/>
  <c r="AD28" i="99"/>
  <c r="AD25" i="99"/>
  <c r="AD22" i="99"/>
  <c r="Z28" i="99"/>
  <c r="Z25" i="99"/>
  <c r="Z22" i="99"/>
  <c r="V28" i="99"/>
  <c r="V25" i="99"/>
  <c r="V22" i="99"/>
  <c r="X28" i="100"/>
  <c r="AE21" i="99"/>
  <c r="AE20" i="99"/>
  <c r="AE19" i="99"/>
  <c r="AE18" i="99"/>
  <c r="AE17" i="99"/>
  <c r="AE16" i="99"/>
  <c r="AE15" i="99"/>
  <c r="AA28" i="99"/>
  <c r="AA25" i="99"/>
  <c r="AA22" i="99"/>
  <c r="S28" i="99"/>
  <c r="S25" i="99"/>
  <c r="S22" i="99"/>
  <c r="AE14" i="99"/>
  <c r="AE13" i="99"/>
  <c r="AE12" i="99"/>
  <c r="AE11" i="99"/>
  <c r="AC28" i="99"/>
  <c r="AC25" i="99"/>
  <c r="AC22" i="99"/>
  <c r="U28" i="99"/>
  <c r="U25" i="99"/>
  <c r="U22" i="99"/>
  <c r="P58" i="99"/>
  <c r="AF10" i="99"/>
  <c r="AF12" i="98"/>
  <c r="S24" i="98"/>
  <c r="AE17" i="97"/>
  <c r="AE15" i="97"/>
  <c r="AE14" i="97"/>
  <c r="AE13" i="97"/>
  <c r="AF18" i="97"/>
  <c r="S27" i="98"/>
  <c r="AB22" i="94"/>
  <c r="T22" i="94"/>
  <c r="AF18" i="98"/>
  <c r="AF19" i="98"/>
  <c r="AE21" i="97"/>
  <c r="AE20" i="97"/>
  <c r="AE19" i="97"/>
  <c r="S26" i="98"/>
  <c r="AF21" i="98"/>
  <c r="AF17" i="98"/>
  <c r="AF16" i="98"/>
  <c r="AF15" i="98"/>
  <c r="AF14" i="98"/>
  <c r="AD28" i="98"/>
  <c r="AD25" i="98"/>
  <c r="AD22" i="98"/>
  <c r="Z28" i="98"/>
  <c r="Z25" i="98"/>
  <c r="Z22" i="98"/>
  <c r="V28" i="98"/>
  <c r="V25" i="98"/>
  <c r="V22" i="98"/>
  <c r="P58" i="98"/>
  <c r="AF10" i="98"/>
  <c r="AA28" i="98"/>
  <c r="AA25" i="98"/>
  <c r="AA22" i="98"/>
  <c r="W28" i="98"/>
  <c r="W25" i="98"/>
  <c r="W22" i="98"/>
  <c r="S28" i="98"/>
  <c r="S25" i="98"/>
  <c r="S22" i="98"/>
  <c r="AF21" i="97"/>
  <c r="AF20" i="97"/>
  <c r="AC28" i="97"/>
  <c r="AC25" i="97"/>
  <c r="AC22" i="97"/>
  <c r="Y28" i="97"/>
  <c r="Y25" i="97"/>
  <c r="Y22" i="97"/>
  <c r="U28" i="97"/>
  <c r="U25" i="97"/>
  <c r="U22" i="97"/>
  <c r="O58" i="97"/>
  <c r="AE10" i="97"/>
  <c r="AB28" i="97"/>
  <c r="AB25" i="97"/>
  <c r="AB22" i="97"/>
  <c r="X28" i="97"/>
  <c r="X25" i="97"/>
  <c r="X22" i="97"/>
  <c r="T28" i="97"/>
  <c r="T25" i="97"/>
  <c r="T22" i="97"/>
  <c r="AF12" i="96"/>
  <c r="W25" i="94"/>
  <c r="AB28" i="98"/>
  <c r="AB25" i="98"/>
  <c r="AB22" i="98"/>
  <c r="X28" i="98"/>
  <c r="X25" i="98"/>
  <c r="X22" i="98"/>
  <c r="T28" i="98"/>
  <c r="T25" i="98"/>
  <c r="T22" i="98"/>
  <c r="AE13" i="98"/>
  <c r="AE12" i="98"/>
  <c r="AE11" i="98"/>
  <c r="AC28" i="98"/>
  <c r="AC25" i="98"/>
  <c r="AC22" i="98"/>
  <c r="Y28" i="98"/>
  <c r="Y25" i="98"/>
  <c r="Y22" i="98"/>
  <c r="U28" i="98"/>
  <c r="U25" i="98"/>
  <c r="U22" i="98"/>
  <c r="O58" i="98"/>
  <c r="AE10" i="98"/>
  <c r="AF17" i="97"/>
  <c r="AA28" i="97"/>
  <c r="AA25" i="97"/>
  <c r="AA22" i="97"/>
  <c r="W28" i="97"/>
  <c r="W25" i="97"/>
  <c r="W22" i="97"/>
  <c r="S28" i="97"/>
  <c r="S25" i="97"/>
  <c r="S22" i="97"/>
  <c r="AF16" i="97"/>
  <c r="AF15" i="97"/>
  <c r="AF14" i="97"/>
  <c r="AF13" i="97"/>
  <c r="AF12" i="97"/>
  <c r="AF11" i="97"/>
  <c r="AD28" i="97"/>
  <c r="AD25" i="97"/>
  <c r="AD22" i="97"/>
  <c r="Z28" i="97"/>
  <c r="Z25" i="97"/>
  <c r="Z22" i="97"/>
  <c r="V28" i="97"/>
  <c r="V25" i="97"/>
  <c r="V22" i="97"/>
  <c r="P58" i="97"/>
  <c r="AF10" i="97"/>
  <c r="AE21" i="95"/>
  <c r="AE20" i="95"/>
  <c r="AB25" i="94"/>
  <c r="W22" i="94"/>
  <c r="AF11" i="94"/>
  <c r="W28" i="94"/>
  <c r="AE19" i="95"/>
  <c r="AE17" i="95"/>
  <c r="AE18" i="95"/>
  <c r="AF15" i="95"/>
  <c r="AF14" i="95"/>
  <c r="AF13" i="95"/>
  <c r="AF11" i="96"/>
  <c r="S27" i="95"/>
  <c r="S28" i="94"/>
  <c r="AA28" i="94"/>
  <c r="AF12" i="94"/>
  <c r="AF16" i="95"/>
  <c r="AF21" i="95"/>
  <c r="AF20" i="95"/>
  <c r="S26" i="95"/>
  <c r="AF20" i="94"/>
  <c r="AF18" i="94"/>
  <c r="AF16" i="94"/>
  <c r="AF14" i="94"/>
  <c r="AA22" i="94"/>
  <c r="S22" i="94"/>
  <c r="S24" i="95"/>
  <c r="AF11" i="95"/>
  <c r="S27" i="96"/>
  <c r="AF21" i="96"/>
  <c r="AF20" i="96"/>
  <c r="AF19" i="96"/>
  <c r="AF18" i="96"/>
  <c r="AF17" i="96"/>
  <c r="AF16" i="96"/>
  <c r="AF15" i="96"/>
  <c r="AF14" i="96"/>
  <c r="AD28" i="96"/>
  <c r="AD25" i="96"/>
  <c r="AD22" i="96"/>
  <c r="Z28" i="96"/>
  <c r="Z25" i="96"/>
  <c r="Z22" i="96"/>
  <c r="V28" i="96"/>
  <c r="V25" i="96"/>
  <c r="V22" i="96"/>
  <c r="P58" i="96"/>
  <c r="AF10" i="96"/>
  <c r="AA28" i="96"/>
  <c r="AA25" i="96"/>
  <c r="AA22" i="96"/>
  <c r="W28" i="96"/>
  <c r="W25" i="96"/>
  <c r="W22" i="96"/>
  <c r="S28" i="96"/>
  <c r="S25" i="96"/>
  <c r="S22" i="96"/>
  <c r="AB28" i="95"/>
  <c r="AB25" i="95"/>
  <c r="AB22" i="95"/>
  <c r="X28" i="95"/>
  <c r="X25" i="95"/>
  <c r="X22" i="95"/>
  <c r="T28" i="95"/>
  <c r="T25" i="95"/>
  <c r="T22" i="95"/>
  <c r="AE13" i="95"/>
  <c r="AE12" i="95"/>
  <c r="AE11" i="95"/>
  <c r="AC28" i="95"/>
  <c r="AC25" i="95"/>
  <c r="AC22" i="95"/>
  <c r="Y28" i="95"/>
  <c r="Y25" i="95"/>
  <c r="Y22" i="95"/>
  <c r="U28" i="95"/>
  <c r="U25" i="95"/>
  <c r="U22" i="95"/>
  <c r="O58" i="95"/>
  <c r="AE10" i="95"/>
  <c r="AB28" i="96"/>
  <c r="AB25" i="96"/>
  <c r="AB22" i="96"/>
  <c r="X28" i="96"/>
  <c r="X25" i="96"/>
  <c r="X22" i="96"/>
  <c r="T28" i="96"/>
  <c r="T25" i="96"/>
  <c r="T22" i="96"/>
  <c r="AE13" i="96"/>
  <c r="AE12" i="96"/>
  <c r="AE11" i="96"/>
  <c r="AC28" i="96"/>
  <c r="AC25" i="96"/>
  <c r="AC22" i="96"/>
  <c r="Y28" i="96"/>
  <c r="Y25" i="96"/>
  <c r="Y22" i="96"/>
  <c r="U28" i="96"/>
  <c r="U25" i="96"/>
  <c r="U22" i="96"/>
  <c r="O58" i="96"/>
  <c r="AE10" i="96"/>
  <c r="AF19" i="95"/>
  <c r="AF18" i="95"/>
  <c r="AF17" i="95"/>
  <c r="AD28" i="95"/>
  <c r="AD25" i="95"/>
  <c r="AD22" i="95"/>
  <c r="Z28" i="95"/>
  <c r="Z25" i="95"/>
  <c r="Z22" i="95"/>
  <c r="V28" i="95"/>
  <c r="V25" i="95"/>
  <c r="V22" i="95"/>
  <c r="P58" i="95"/>
  <c r="AF10" i="95"/>
  <c r="AE16" i="95"/>
  <c r="AE15" i="95"/>
  <c r="AE14" i="95"/>
  <c r="AA28" i="95"/>
  <c r="AA25" i="95"/>
  <c r="AA22" i="95"/>
  <c r="W28" i="95"/>
  <c r="W25" i="95"/>
  <c r="W22" i="95"/>
  <c r="S28" i="95"/>
  <c r="S25" i="95"/>
  <c r="S22" i="95"/>
  <c r="AB23" i="94"/>
  <c r="X26" i="94"/>
  <c r="AB28" i="94"/>
  <c r="X28" i="94"/>
  <c r="X23" i="94"/>
  <c r="AF21" i="94"/>
  <c r="AF19" i="94"/>
  <c r="AF17" i="94"/>
  <c r="AD23" i="94"/>
  <c r="Z26" i="94"/>
  <c r="V23" i="94"/>
  <c r="AF15" i="94"/>
  <c r="AB26" i="94"/>
  <c r="T28" i="94"/>
  <c r="Z28" i="94"/>
  <c r="Z25" i="94"/>
  <c r="Z22" i="94"/>
  <c r="AD27" i="94"/>
  <c r="AD24" i="94"/>
  <c r="Z27" i="94"/>
  <c r="Z24" i="94"/>
  <c r="V27" i="94"/>
  <c r="V24" i="94"/>
  <c r="AE12" i="94"/>
  <c r="AE11" i="94"/>
  <c r="AC28" i="94"/>
  <c r="AC25" i="94"/>
  <c r="AC22" i="94"/>
  <c r="U28" i="94"/>
  <c r="U25" i="94"/>
  <c r="U22" i="94"/>
  <c r="AD26" i="94"/>
  <c r="Z23" i="94"/>
  <c r="V26" i="94"/>
  <c r="AE21" i="94"/>
  <c r="AE20" i="94"/>
  <c r="AE19" i="94"/>
  <c r="AE18" i="94"/>
  <c r="AE17" i="94"/>
  <c r="AE16" i="94"/>
  <c r="AE15" i="94"/>
  <c r="AE14" i="94"/>
  <c r="AD28" i="94"/>
  <c r="AD25" i="94"/>
  <c r="AD22" i="94"/>
  <c r="V28" i="94"/>
  <c r="V25" i="94"/>
  <c r="V22" i="94"/>
  <c r="AB27" i="94"/>
  <c r="AB24" i="94"/>
  <c r="X27" i="94"/>
  <c r="X24" i="94"/>
  <c r="T24" i="94"/>
  <c r="T27" i="94"/>
  <c r="AE13" i="94"/>
  <c r="Y28" i="94"/>
  <c r="Y25" i="94"/>
  <c r="Y22" i="94"/>
  <c r="O58" i="94"/>
  <c r="C60" i="94" s="1"/>
  <c r="AE10" i="94"/>
  <c r="AF10" i="94"/>
  <c r="P58" i="94"/>
  <c r="H59" i="94" s="1"/>
  <c r="T23" i="94"/>
  <c r="T26" i="94"/>
  <c r="Z21" i="93"/>
  <c r="AD20" i="93"/>
  <c r="V20" i="93"/>
  <c r="Z19" i="93"/>
  <c r="AD18" i="93"/>
  <c r="V18" i="93"/>
  <c r="Z17" i="93"/>
  <c r="AD16" i="93"/>
  <c r="V16" i="93"/>
  <c r="Z15" i="93"/>
  <c r="AD14" i="93"/>
  <c r="V14" i="93"/>
  <c r="Z13" i="93"/>
  <c r="AD12" i="93"/>
  <c r="V12" i="93"/>
  <c r="Z11" i="93"/>
  <c r="AD21" i="93"/>
  <c r="V21" i="93"/>
  <c r="Z20" i="93"/>
  <c r="AD19" i="93"/>
  <c r="V19" i="93"/>
  <c r="Z18" i="93"/>
  <c r="AD17" i="93"/>
  <c r="V17" i="93"/>
  <c r="Z16" i="93"/>
  <c r="AD15" i="93"/>
  <c r="V15" i="93"/>
  <c r="Z14" i="93"/>
  <c r="AD13" i="93"/>
  <c r="V13" i="93"/>
  <c r="Z12" i="93"/>
  <c r="AD11" i="93"/>
  <c r="V11" i="93"/>
  <c r="AB21" i="93"/>
  <c r="X21" i="93"/>
  <c r="T21" i="93"/>
  <c r="AB20" i="93"/>
  <c r="X20" i="93"/>
  <c r="T20" i="93"/>
  <c r="AB19" i="93"/>
  <c r="X19" i="93"/>
  <c r="T19" i="93"/>
  <c r="AB18" i="93"/>
  <c r="X18" i="93"/>
  <c r="T18" i="93"/>
  <c r="AB17" i="93"/>
  <c r="X17" i="93"/>
  <c r="T17" i="93"/>
  <c r="AB16" i="93"/>
  <c r="X16" i="93"/>
  <c r="T16" i="93"/>
  <c r="AB15" i="93"/>
  <c r="X15" i="93"/>
  <c r="T15" i="93"/>
  <c r="AB14" i="93"/>
  <c r="X14" i="93"/>
  <c r="T14" i="93"/>
  <c r="AB13" i="93"/>
  <c r="X13" i="93"/>
  <c r="T13" i="93"/>
  <c r="AB12" i="93"/>
  <c r="X12" i="93"/>
  <c r="T12" i="93"/>
  <c r="AB11" i="93"/>
  <c r="X11" i="93"/>
  <c r="T11" i="93"/>
  <c r="AC21" i="93"/>
  <c r="AA21" i="93"/>
  <c r="Y21" i="93"/>
  <c r="W21" i="93"/>
  <c r="U21" i="93"/>
  <c r="S21" i="93"/>
  <c r="AC20" i="93"/>
  <c r="AA20" i="93"/>
  <c r="Y20" i="93"/>
  <c r="W20" i="93"/>
  <c r="U20" i="93"/>
  <c r="S20" i="93"/>
  <c r="AC19" i="93"/>
  <c r="AA19" i="93"/>
  <c r="Y19" i="93"/>
  <c r="W19" i="93"/>
  <c r="U19" i="93"/>
  <c r="S19" i="93"/>
  <c r="AC18" i="93"/>
  <c r="AA18" i="93"/>
  <c r="Y18" i="93"/>
  <c r="W18" i="93"/>
  <c r="U18" i="93"/>
  <c r="S18" i="93"/>
  <c r="AC17" i="93"/>
  <c r="AA17" i="93"/>
  <c r="Y17" i="93"/>
  <c r="W17" i="93"/>
  <c r="U17" i="93"/>
  <c r="S17" i="93"/>
  <c r="AC16" i="93"/>
  <c r="AA16" i="93"/>
  <c r="Y16" i="93"/>
  <c r="W16" i="93"/>
  <c r="U16" i="93"/>
  <c r="S16" i="93"/>
  <c r="AC15" i="93"/>
  <c r="AA15" i="93"/>
  <c r="Y15" i="93"/>
  <c r="W15" i="93"/>
  <c r="U15" i="93"/>
  <c r="S15" i="93"/>
  <c r="AC14" i="93"/>
  <c r="AA14" i="93"/>
  <c r="Y14" i="93"/>
  <c r="W14" i="93"/>
  <c r="U14" i="93"/>
  <c r="S14" i="93"/>
  <c r="AC13" i="93"/>
  <c r="AA13" i="93"/>
  <c r="Y13" i="93"/>
  <c r="W13" i="93"/>
  <c r="U13" i="93"/>
  <c r="S13" i="93"/>
  <c r="AC12" i="93"/>
  <c r="AA12" i="93"/>
  <c r="Y12" i="93"/>
  <c r="W12" i="93"/>
  <c r="U12" i="93"/>
  <c r="S12" i="93"/>
  <c r="AC11" i="93"/>
  <c r="AA11" i="93"/>
  <c r="Y11" i="93"/>
  <c r="W11" i="93"/>
  <c r="U11" i="93"/>
  <c r="S11" i="93"/>
  <c r="S10" i="93"/>
  <c r="AC10" i="93"/>
  <c r="AA10" i="93"/>
  <c r="Y10" i="93"/>
  <c r="W10" i="93"/>
  <c r="U10" i="93"/>
  <c r="AD10" i="93"/>
  <c r="AB10" i="93"/>
  <c r="Z10" i="93"/>
  <c r="X10" i="93"/>
  <c r="V10" i="93"/>
  <c r="V22" i="93" s="1"/>
  <c r="T10" i="93"/>
  <c r="P34" i="93"/>
  <c r="P50" i="93"/>
  <c r="P18" i="93"/>
  <c r="N58" i="93"/>
  <c r="P42" i="93"/>
  <c r="P26" i="93"/>
  <c r="P56" i="93"/>
  <c r="P46" i="93"/>
  <c r="P38" i="93"/>
  <c r="P30" i="93"/>
  <c r="P22" i="93"/>
  <c r="P14" i="93"/>
  <c r="F58" i="93"/>
  <c r="P10" i="93"/>
  <c r="P52" i="93"/>
  <c r="P48" i="93"/>
  <c r="P44" i="93"/>
  <c r="P40" i="93"/>
  <c r="P36" i="93"/>
  <c r="P32" i="93"/>
  <c r="P28" i="93"/>
  <c r="P24" i="93"/>
  <c r="P23" i="93"/>
  <c r="P20" i="93"/>
  <c r="P16" i="93"/>
  <c r="P12" i="93"/>
  <c r="P54" i="93"/>
  <c r="P51" i="93"/>
  <c r="P49" i="93"/>
  <c r="P35" i="93"/>
  <c r="P33" i="93"/>
  <c r="P31" i="93"/>
  <c r="P21" i="93"/>
  <c r="P19" i="93"/>
  <c r="P17" i="93"/>
  <c r="P15" i="93"/>
  <c r="P13" i="93"/>
  <c r="P11" i="93"/>
  <c r="P47" i="93"/>
  <c r="P45" i="93"/>
  <c r="P43" i="93"/>
  <c r="P41" i="93"/>
  <c r="P39" i="93"/>
  <c r="P37" i="93"/>
  <c r="P29" i="93"/>
  <c r="P27" i="93"/>
  <c r="P25" i="93"/>
  <c r="K58" i="93"/>
  <c r="G58" i="93"/>
  <c r="P57" i="93"/>
  <c r="P55" i="93"/>
  <c r="H58" i="93"/>
  <c r="D58" i="93"/>
  <c r="L58" i="93"/>
  <c r="P53" i="93"/>
  <c r="J58" i="93"/>
  <c r="E58" i="93"/>
  <c r="I58" i="93"/>
  <c r="O27" i="93"/>
  <c r="O29" i="93"/>
  <c r="O31" i="93"/>
  <c r="O33" i="93"/>
  <c r="O35" i="93"/>
  <c r="O37" i="93"/>
  <c r="O39" i="93"/>
  <c r="O41" i="93"/>
  <c r="O43" i="93"/>
  <c r="O45" i="93"/>
  <c r="O47" i="93"/>
  <c r="O49" i="93"/>
  <c r="O51" i="93"/>
  <c r="O53" i="93"/>
  <c r="O55" i="93"/>
  <c r="O57" i="93"/>
  <c r="M58" i="93"/>
  <c r="O10" i="93"/>
  <c r="O11" i="93"/>
  <c r="O12" i="93"/>
  <c r="O13" i="93"/>
  <c r="O14" i="93"/>
  <c r="O15" i="93"/>
  <c r="O16" i="93"/>
  <c r="O17" i="93"/>
  <c r="O18" i="93"/>
  <c r="O19" i="93"/>
  <c r="O20" i="93"/>
  <c r="O21" i="93"/>
  <c r="O22" i="93"/>
  <c r="O23" i="93"/>
  <c r="O24" i="93"/>
  <c r="O25" i="93"/>
  <c r="O26" i="93"/>
  <c r="O28" i="93"/>
  <c r="O30" i="93"/>
  <c r="O32" i="93"/>
  <c r="O34" i="93"/>
  <c r="O36" i="93"/>
  <c r="O38" i="93"/>
  <c r="O40" i="93"/>
  <c r="O42" i="93"/>
  <c r="O44" i="93"/>
  <c r="O46" i="93"/>
  <c r="O48" i="93"/>
  <c r="O50" i="93"/>
  <c r="O52" i="93"/>
  <c r="O54" i="93"/>
  <c r="O56" i="93"/>
  <c r="C58" i="93"/>
  <c r="AB41" i="108" l="1"/>
  <c r="J106" i="111"/>
  <c r="T41" i="107"/>
  <c r="AA41" i="108"/>
  <c r="C106" i="111"/>
  <c r="X41" i="107"/>
  <c r="U41" i="107"/>
  <c r="U41" i="108"/>
  <c r="Z41" i="108"/>
  <c r="F106" i="111"/>
  <c r="AD12" i="111"/>
  <c r="L106" i="111"/>
  <c r="Y41" i="107"/>
  <c r="U36" i="107"/>
  <c r="Z41" i="107"/>
  <c r="W41" i="107"/>
  <c r="X41" i="108"/>
  <c r="H106" i="111"/>
  <c r="V36" i="108"/>
  <c r="Y41" i="108"/>
  <c r="W41" i="108"/>
  <c r="T42" i="108"/>
  <c r="S41" i="107"/>
  <c r="AE22" i="107"/>
  <c r="AB41" i="107"/>
  <c r="AC41" i="107"/>
  <c r="AD41" i="108"/>
  <c r="N106" i="111"/>
  <c r="E106" i="111"/>
  <c r="AD41" i="107"/>
  <c r="AD42" i="107" s="1"/>
  <c r="AF21" i="107"/>
  <c r="AF22" i="107"/>
  <c r="V39" i="107"/>
  <c r="AE22" i="108"/>
  <c r="S42" i="110"/>
  <c r="G106" i="111"/>
  <c r="I106" i="111"/>
  <c r="AA41" i="107"/>
  <c r="AA42" i="107" s="1"/>
  <c r="AE23" i="107"/>
  <c r="AC41" i="108"/>
  <c r="K106" i="111"/>
  <c r="V41" i="108"/>
  <c r="M106" i="111"/>
  <c r="D106" i="111"/>
  <c r="Y34" i="108"/>
  <c r="T12" i="111"/>
  <c r="U39" i="107"/>
  <c r="AF10" i="108"/>
  <c r="T11" i="111"/>
  <c r="V17" i="111"/>
  <c r="AA12" i="111"/>
  <c r="X14" i="111"/>
  <c r="AD11" i="111"/>
  <c r="T17" i="111"/>
  <c r="AB19" i="111"/>
  <c r="AA15" i="111"/>
  <c r="O47" i="111"/>
  <c r="Z14" i="111"/>
  <c r="AD19" i="111"/>
  <c r="W11" i="111"/>
  <c r="U14" i="111"/>
  <c r="AB15" i="111"/>
  <c r="X18" i="111"/>
  <c r="T21" i="111"/>
  <c r="AA18" i="111"/>
  <c r="AD36" i="108"/>
  <c r="AB12" i="111"/>
  <c r="S18" i="111"/>
  <c r="Y14" i="111"/>
  <c r="S15" i="111"/>
  <c r="W17" i="111"/>
  <c r="W18" i="111"/>
  <c r="Y19" i="111"/>
  <c r="O52" i="111"/>
  <c r="AC20" i="111"/>
  <c r="AA21" i="111"/>
  <c r="X11" i="111"/>
  <c r="V13" i="111"/>
  <c r="AD13" i="111"/>
  <c r="V15" i="111"/>
  <c r="AD15" i="111"/>
  <c r="Z16" i="111"/>
  <c r="AD17" i="111"/>
  <c r="Z18" i="111"/>
  <c r="V19" i="111"/>
  <c r="Z20" i="111"/>
  <c r="V21" i="111"/>
  <c r="AD21" i="111"/>
  <c r="Z36" i="108"/>
  <c r="S11" i="111"/>
  <c r="AA11" i="111"/>
  <c r="S12" i="111"/>
  <c r="W12" i="111"/>
  <c r="S13" i="111"/>
  <c r="AA13" i="111"/>
  <c r="T14" i="111"/>
  <c r="AB14" i="111"/>
  <c r="X15" i="111"/>
  <c r="T15" i="111"/>
  <c r="X16" i="111"/>
  <c r="T16" i="111"/>
  <c r="AB16" i="111"/>
  <c r="X17" i="111"/>
  <c r="AB17" i="111"/>
  <c r="T18" i="111"/>
  <c r="AB18" i="111"/>
  <c r="T19" i="111"/>
  <c r="X20" i="111"/>
  <c r="T20" i="111"/>
  <c r="AB20" i="111"/>
  <c r="X21" i="111"/>
  <c r="S17" i="111"/>
  <c r="AA17" i="111"/>
  <c r="W13" i="111"/>
  <c r="AC14" i="111"/>
  <c r="X13" i="111"/>
  <c r="AB21" i="111"/>
  <c r="Z10" i="111"/>
  <c r="V39" i="108"/>
  <c r="U19" i="111"/>
  <c r="AC21" i="111"/>
  <c r="Y21" i="111"/>
  <c r="W15" i="111"/>
  <c r="AA16" i="111"/>
  <c r="O12" i="111"/>
  <c r="P26" i="111"/>
  <c r="V11" i="111"/>
  <c r="X12" i="111"/>
  <c r="Z12" i="111"/>
  <c r="P46" i="111"/>
  <c r="S10" i="111"/>
  <c r="AB36" i="108"/>
  <c r="AD37" i="108"/>
  <c r="P10" i="111"/>
  <c r="X19" i="111"/>
  <c r="W10" i="111"/>
  <c r="O22" i="111"/>
  <c r="P31" i="111"/>
  <c r="W16" i="111"/>
  <c r="V10" i="111"/>
  <c r="T10" i="111"/>
  <c r="AB10" i="111"/>
  <c r="AB41" i="111" s="1"/>
  <c r="Z11" i="111"/>
  <c r="AB11" i="111"/>
  <c r="V12" i="111"/>
  <c r="AB13" i="111"/>
  <c r="Z13" i="111"/>
  <c r="V14" i="111"/>
  <c r="AD14" i="111"/>
  <c r="Z15" i="111"/>
  <c r="V16" i="111"/>
  <c r="AD16" i="111"/>
  <c r="Z17" i="111"/>
  <c r="V18" i="111"/>
  <c r="AD18" i="111"/>
  <c r="Z19" i="111"/>
  <c r="V20" i="111"/>
  <c r="AD20" i="111"/>
  <c r="Z21" i="111"/>
  <c r="AD39" i="108"/>
  <c r="Z39" i="108"/>
  <c r="O34" i="111"/>
  <c r="P17" i="111"/>
  <c r="O21" i="111"/>
  <c r="O37" i="111"/>
  <c r="P41" i="111"/>
  <c r="O42" i="111"/>
  <c r="U20" i="111"/>
  <c r="P53" i="111"/>
  <c r="X10" i="111"/>
  <c r="T39" i="108"/>
  <c r="U10" i="111"/>
  <c r="AC10" i="111"/>
  <c r="P13" i="111"/>
  <c r="O14" i="111"/>
  <c r="O15" i="111"/>
  <c r="O17" i="111"/>
  <c r="O19" i="111"/>
  <c r="P20" i="111"/>
  <c r="P25" i="111"/>
  <c r="O26" i="111"/>
  <c r="P28" i="111"/>
  <c r="P30" i="111"/>
  <c r="O32" i="111"/>
  <c r="P33" i="111"/>
  <c r="U16" i="111"/>
  <c r="AC16" i="111"/>
  <c r="Y16" i="111"/>
  <c r="P38" i="111"/>
  <c r="P39" i="111"/>
  <c r="O40" i="111"/>
  <c r="P44" i="111"/>
  <c r="S19" i="111"/>
  <c r="AA19" i="111"/>
  <c r="P47" i="111"/>
  <c r="P50" i="111"/>
  <c r="P51" i="111"/>
  <c r="Y20" i="111"/>
  <c r="P54" i="111"/>
  <c r="O55" i="111"/>
  <c r="U21" i="111"/>
  <c r="P23" i="111"/>
  <c r="O23" i="111"/>
  <c r="Y18" i="111"/>
  <c r="O43" i="111"/>
  <c r="O49" i="111"/>
  <c r="P49" i="111"/>
  <c r="W21" i="111"/>
  <c r="P56" i="111"/>
  <c r="O10" i="111"/>
  <c r="C108" i="110"/>
  <c r="P15" i="111"/>
  <c r="O28" i="111"/>
  <c r="O35" i="111"/>
  <c r="O25" i="111"/>
  <c r="O44" i="111"/>
  <c r="O54" i="111"/>
  <c r="AD10" i="111"/>
  <c r="P36" i="111"/>
  <c r="O57" i="111"/>
  <c r="AE24" i="111" s="1"/>
  <c r="X36" i="108"/>
  <c r="V34" i="108"/>
  <c r="O11" i="111"/>
  <c r="Y10" i="111"/>
  <c r="O13" i="111"/>
  <c r="Y11" i="111"/>
  <c r="U11" i="111"/>
  <c r="AC11" i="111"/>
  <c r="O16" i="111"/>
  <c r="Y12" i="111"/>
  <c r="U12" i="111"/>
  <c r="AC12" i="111"/>
  <c r="O20" i="111"/>
  <c r="P21" i="111"/>
  <c r="Y13" i="111"/>
  <c r="U13" i="111"/>
  <c r="AC13" i="111"/>
  <c r="P24" i="111"/>
  <c r="W14" i="111"/>
  <c r="AA14" i="111"/>
  <c r="P29" i="111"/>
  <c r="O30" i="111"/>
  <c r="AC15" i="111"/>
  <c r="Y15" i="111"/>
  <c r="U15" i="111"/>
  <c r="O33" i="111"/>
  <c r="P34" i="111"/>
  <c r="P35" i="111"/>
  <c r="O36" i="111"/>
  <c r="P37" i="111"/>
  <c r="O38" i="111"/>
  <c r="AC17" i="111"/>
  <c r="Y17" i="111"/>
  <c r="U17" i="111"/>
  <c r="O41" i="111"/>
  <c r="P42" i="111"/>
  <c r="U18" i="111"/>
  <c r="AC18" i="111"/>
  <c r="P45" i="111"/>
  <c r="O46" i="111"/>
  <c r="AC19" i="111"/>
  <c r="O48" i="111"/>
  <c r="W19" i="111"/>
  <c r="O50" i="111"/>
  <c r="O51" i="111"/>
  <c r="AA20" i="111"/>
  <c r="W20" i="111"/>
  <c r="O53" i="111"/>
  <c r="P55" i="111"/>
  <c r="AF22" i="111" s="1"/>
  <c r="O56" i="111"/>
  <c r="AE23" i="111" s="1"/>
  <c r="P57" i="111"/>
  <c r="AF24" i="111" s="1"/>
  <c r="P14" i="111"/>
  <c r="P16" i="111"/>
  <c r="O18" i="111"/>
  <c r="S14" i="111"/>
  <c r="O27" i="111"/>
  <c r="O29" i="111"/>
  <c r="S16" i="111"/>
  <c r="O39" i="111"/>
  <c r="P48" i="111"/>
  <c r="S20" i="111"/>
  <c r="P52" i="111"/>
  <c r="P12" i="111"/>
  <c r="P19" i="111"/>
  <c r="O24" i="111"/>
  <c r="O31" i="111"/>
  <c r="O45" i="111"/>
  <c r="S21" i="111"/>
  <c r="P11" i="111"/>
  <c r="P18" i="111"/>
  <c r="P22" i="111"/>
  <c r="P27" i="111"/>
  <c r="P32" i="111"/>
  <c r="P40" i="111"/>
  <c r="P43" i="111"/>
  <c r="X39" i="108"/>
  <c r="T36" i="108"/>
  <c r="AB39" i="108"/>
  <c r="V37" i="108"/>
  <c r="T34" i="108"/>
  <c r="F108" i="110"/>
  <c r="AA10" i="111"/>
  <c r="AA41" i="111" s="1"/>
  <c r="H108" i="110"/>
  <c r="N108" i="110"/>
  <c r="X34" i="108"/>
  <c r="AE39" i="110"/>
  <c r="W42" i="110"/>
  <c r="Z34" i="108"/>
  <c r="AE36" i="110"/>
  <c r="F107" i="110"/>
  <c r="C107" i="110"/>
  <c r="H107" i="110"/>
  <c r="T42" i="110"/>
  <c r="Y42" i="110"/>
  <c r="X42" i="110"/>
  <c r="AF36" i="110"/>
  <c r="AF39" i="110"/>
  <c r="AF35" i="110"/>
  <c r="AF38" i="110"/>
  <c r="U42" i="110"/>
  <c r="AC42" i="110"/>
  <c r="AE38" i="110"/>
  <c r="AE35" i="110"/>
  <c r="V42" i="110"/>
  <c r="AB42" i="110"/>
  <c r="M107" i="110"/>
  <c r="D107" i="110"/>
  <c r="L107" i="110"/>
  <c r="E107" i="110"/>
  <c r="G107" i="110"/>
  <c r="I107" i="110"/>
  <c r="K107" i="110"/>
  <c r="AE41" i="110"/>
  <c r="AE40" i="110"/>
  <c r="AE37" i="110"/>
  <c r="AE34" i="110"/>
  <c r="Z42" i="110"/>
  <c r="AD42" i="110"/>
  <c r="AF41" i="110"/>
  <c r="AF40" i="110"/>
  <c r="AF37" i="110"/>
  <c r="AF34" i="110"/>
  <c r="D108" i="110"/>
  <c r="L108" i="110"/>
  <c r="E108" i="110"/>
  <c r="G108" i="110"/>
  <c r="I108" i="110"/>
  <c r="K108" i="110"/>
  <c r="J107" i="110"/>
  <c r="H107" i="109"/>
  <c r="U42" i="109"/>
  <c r="Y42" i="109"/>
  <c r="AC42" i="109"/>
  <c r="AF39" i="109"/>
  <c r="AF36" i="109"/>
  <c r="AF38" i="109"/>
  <c r="AF35" i="109"/>
  <c r="M107" i="109"/>
  <c r="D107" i="109"/>
  <c r="L107" i="109"/>
  <c r="C107" i="109"/>
  <c r="E107" i="109"/>
  <c r="G107" i="109"/>
  <c r="I107" i="109"/>
  <c r="K107" i="109"/>
  <c r="D108" i="109"/>
  <c r="L108" i="109"/>
  <c r="C108" i="109"/>
  <c r="E108" i="109"/>
  <c r="G108" i="109"/>
  <c r="I108" i="109"/>
  <c r="K108" i="109"/>
  <c r="F108" i="109"/>
  <c r="N107" i="109"/>
  <c r="S42" i="109"/>
  <c r="W42" i="109"/>
  <c r="AA42" i="109"/>
  <c r="H108" i="109"/>
  <c r="J108" i="109"/>
  <c r="AF41" i="109"/>
  <c r="AF40" i="109"/>
  <c r="AF37" i="109"/>
  <c r="AF34" i="109"/>
  <c r="V42" i="109"/>
  <c r="AB42" i="109"/>
  <c r="AE39" i="109"/>
  <c r="AE36" i="109"/>
  <c r="AE41" i="109"/>
  <c r="AE40" i="109"/>
  <c r="AE37" i="109"/>
  <c r="AE34" i="109"/>
  <c r="AE38" i="109"/>
  <c r="AE35" i="109"/>
  <c r="F107" i="109"/>
  <c r="N108" i="109"/>
  <c r="T42" i="109"/>
  <c r="Z42" i="109"/>
  <c r="AD42" i="109"/>
  <c r="AE21" i="108"/>
  <c r="AD38" i="108"/>
  <c r="AE20" i="107"/>
  <c r="T39" i="107"/>
  <c r="AB39" i="107"/>
  <c r="Z37" i="108"/>
  <c r="Z38" i="108"/>
  <c r="AF11" i="108"/>
  <c r="AC36" i="108"/>
  <c r="Y39" i="108"/>
  <c r="AF21" i="108"/>
  <c r="AC34" i="108"/>
  <c r="AE10" i="108"/>
  <c r="AF19" i="108"/>
  <c r="U39" i="108"/>
  <c r="W36" i="108"/>
  <c r="T38" i="108"/>
  <c r="Y37" i="108"/>
  <c r="AD34" i="107"/>
  <c r="S38" i="107"/>
  <c r="AC34" i="107"/>
  <c r="V34" i="107"/>
  <c r="AD40" i="108"/>
  <c r="AA39" i="108"/>
  <c r="AA35" i="108"/>
  <c r="T35" i="108"/>
  <c r="AB35" i="108"/>
  <c r="AE12" i="108"/>
  <c r="X38" i="108"/>
  <c r="AC37" i="108"/>
  <c r="X40" i="108"/>
  <c r="AE18" i="108"/>
  <c r="S37" i="108"/>
  <c r="AE19" i="108"/>
  <c r="W39" i="108"/>
  <c r="AD38" i="107"/>
  <c r="X35" i="108"/>
  <c r="AF20" i="108"/>
  <c r="AE17" i="108"/>
  <c r="AC40" i="108"/>
  <c r="AA40" i="108"/>
  <c r="AE14" i="108"/>
  <c r="AF14" i="108"/>
  <c r="AE15" i="108"/>
  <c r="V38" i="108"/>
  <c r="AF17" i="108"/>
  <c r="S35" i="108"/>
  <c r="Y36" i="108"/>
  <c r="AC39" i="108"/>
  <c r="AE20" i="108"/>
  <c r="AE13" i="108"/>
  <c r="O106" i="108"/>
  <c r="H108" i="108" s="1"/>
  <c r="U36" i="108"/>
  <c r="V36" i="107"/>
  <c r="AD37" i="107"/>
  <c r="AD35" i="107"/>
  <c r="P106" i="107"/>
  <c r="V37" i="107"/>
  <c r="Y37" i="107"/>
  <c r="W34" i="107"/>
  <c r="U40" i="108"/>
  <c r="AF12" i="108"/>
  <c r="AF18" i="108"/>
  <c r="AA38" i="108"/>
  <c r="AE11" i="108"/>
  <c r="AD36" i="107"/>
  <c r="Y34" i="107"/>
  <c r="Z40" i="107"/>
  <c r="AB35" i="107"/>
  <c r="Z36" i="107"/>
  <c r="AD34" i="108"/>
  <c r="U37" i="108"/>
  <c r="AB38" i="108"/>
  <c r="AB40" i="108"/>
  <c r="S38" i="108"/>
  <c r="S40" i="108"/>
  <c r="S42" i="108" s="1"/>
  <c r="AA34" i="108"/>
  <c r="Y40" i="108"/>
  <c r="V35" i="108"/>
  <c r="AD35" i="108"/>
  <c r="AF13" i="108"/>
  <c r="AF15" i="108"/>
  <c r="AE16" i="108"/>
  <c r="Z40" i="108"/>
  <c r="F107" i="105"/>
  <c r="AE12" i="107"/>
  <c r="AE16" i="107"/>
  <c r="AF18" i="107"/>
  <c r="S39" i="108"/>
  <c r="S36" i="108"/>
  <c r="W38" i="108"/>
  <c r="W35" i="108"/>
  <c r="P106" i="108"/>
  <c r="H107" i="108" s="1"/>
  <c r="V40" i="108"/>
  <c r="Z35" i="108"/>
  <c r="U34" i="108"/>
  <c r="T40" i="108"/>
  <c r="S34" i="108"/>
  <c r="AF16" i="108"/>
  <c r="AA37" i="108"/>
  <c r="AA36" i="108"/>
  <c r="AB34" i="108"/>
  <c r="AB37" i="108"/>
  <c r="W40" i="108"/>
  <c r="W37" i="108"/>
  <c r="W34" i="108"/>
  <c r="Y38" i="108"/>
  <c r="Y35" i="108"/>
  <c r="T37" i="108"/>
  <c r="X37" i="108"/>
  <c r="Y40" i="107"/>
  <c r="AE14" i="107"/>
  <c r="AE18" i="107"/>
  <c r="T38" i="107"/>
  <c r="V38" i="107"/>
  <c r="X36" i="107"/>
  <c r="U37" i="107"/>
  <c r="U38" i="108"/>
  <c r="U35" i="108"/>
  <c r="AC38" i="108"/>
  <c r="AC35" i="108"/>
  <c r="X35" i="107"/>
  <c r="T36" i="107"/>
  <c r="AB36" i="107"/>
  <c r="AC40" i="107"/>
  <c r="E107" i="105"/>
  <c r="V40" i="107"/>
  <c r="V42" i="107" s="1"/>
  <c r="Z37" i="107"/>
  <c r="AE10" i="107"/>
  <c r="AF10" i="107"/>
  <c r="AC38" i="107"/>
  <c r="D107" i="105"/>
  <c r="C107" i="105"/>
  <c r="Z34" i="107"/>
  <c r="AE15" i="107"/>
  <c r="S35" i="107"/>
  <c r="U40" i="107"/>
  <c r="AC37" i="107"/>
  <c r="U35" i="107"/>
  <c r="Y35" i="107"/>
  <c r="AC35" i="107"/>
  <c r="AE19" i="107"/>
  <c r="AE21" i="107"/>
  <c r="X40" i="107"/>
  <c r="AB40" i="107"/>
  <c r="X38" i="107"/>
  <c r="Z35" i="107"/>
  <c r="AF35" i="105"/>
  <c r="AE17" i="107"/>
  <c r="AE13" i="107"/>
  <c r="AF15" i="107"/>
  <c r="O106" i="107"/>
  <c r="H108" i="107" s="1"/>
  <c r="T40" i="107"/>
  <c r="AE11" i="107"/>
  <c r="V35" i="107"/>
  <c r="AD40" i="107"/>
  <c r="AB38" i="107"/>
  <c r="X39" i="107"/>
  <c r="Z39" i="107"/>
  <c r="W40" i="107"/>
  <c r="D108" i="105"/>
  <c r="F108" i="105"/>
  <c r="C108" i="105"/>
  <c r="E108" i="105"/>
  <c r="U34" i="107"/>
  <c r="T35" i="107"/>
  <c r="Z38" i="107"/>
  <c r="U38" i="107"/>
  <c r="Y38" i="107"/>
  <c r="W37" i="107"/>
  <c r="AF16" i="107"/>
  <c r="AF14" i="107"/>
  <c r="W38" i="107"/>
  <c r="W35" i="107"/>
  <c r="AA35" i="107"/>
  <c r="AA38" i="107"/>
  <c r="Y39" i="107"/>
  <c r="Y36" i="107"/>
  <c r="AC39" i="107"/>
  <c r="AC36" i="107"/>
  <c r="AF19" i="107"/>
  <c r="T37" i="107"/>
  <c r="T34" i="107"/>
  <c r="AF13" i="107"/>
  <c r="AF17" i="107"/>
  <c r="W39" i="107"/>
  <c r="W36" i="107"/>
  <c r="AA36" i="107"/>
  <c r="AA39" i="107"/>
  <c r="S39" i="107"/>
  <c r="AF20" i="107"/>
  <c r="X37" i="107"/>
  <c r="X34" i="107"/>
  <c r="AB34" i="107"/>
  <c r="AB37" i="107"/>
  <c r="AF11" i="107"/>
  <c r="AF12" i="107"/>
  <c r="AA40" i="107"/>
  <c r="AA37" i="107"/>
  <c r="AA34" i="107"/>
  <c r="S37" i="107"/>
  <c r="S40" i="107"/>
  <c r="S34" i="107"/>
  <c r="AF38" i="105"/>
  <c r="T42" i="105"/>
  <c r="V42" i="105"/>
  <c r="U42" i="105"/>
  <c r="W42" i="105"/>
  <c r="Y42" i="105"/>
  <c r="AC42" i="105"/>
  <c r="AF39" i="105"/>
  <c r="AF36" i="105"/>
  <c r="M107" i="105"/>
  <c r="N107" i="105"/>
  <c r="I107" i="105"/>
  <c r="K107" i="105"/>
  <c r="H107" i="105"/>
  <c r="J107" i="105"/>
  <c r="L107" i="105"/>
  <c r="I108" i="105"/>
  <c r="K108" i="105"/>
  <c r="H108" i="105"/>
  <c r="J108" i="105"/>
  <c r="L108" i="105"/>
  <c r="N108" i="105"/>
  <c r="AE38" i="105"/>
  <c r="AE35" i="105"/>
  <c r="AE39" i="105"/>
  <c r="AE36" i="105"/>
  <c r="S42" i="105"/>
  <c r="AA42" i="105"/>
  <c r="X42" i="105"/>
  <c r="AB42" i="105"/>
  <c r="AF41" i="105"/>
  <c r="AF40" i="105"/>
  <c r="AF37" i="105"/>
  <c r="AF34" i="105"/>
  <c r="AE41" i="105"/>
  <c r="AE40" i="105"/>
  <c r="AE37" i="105"/>
  <c r="AE34" i="105"/>
  <c r="Z42" i="105"/>
  <c r="AD42" i="105"/>
  <c r="Z42" i="101"/>
  <c r="U42" i="101"/>
  <c r="W42" i="101"/>
  <c r="X42" i="101"/>
  <c r="Y42" i="101"/>
  <c r="V42" i="101"/>
  <c r="AA42" i="101"/>
  <c r="AD42" i="101"/>
  <c r="AC42" i="101"/>
  <c r="T42" i="101"/>
  <c r="AB42" i="101"/>
  <c r="S42" i="101"/>
  <c r="AF41" i="101"/>
  <c r="AE41" i="101"/>
  <c r="AF23" i="104"/>
  <c r="AF27" i="104"/>
  <c r="H60" i="104"/>
  <c r="C60" i="104"/>
  <c r="AF26" i="104"/>
  <c r="AF24" i="104"/>
  <c r="H59" i="104"/>
  <c r="AF26" i="103"/>
  <c r="AF23" i="103"/>
  <c r="H60" i="94"/>
  <c r="C59" i="104"/>
  <c r="AF27" i="103"/>
  <c r="AF24" i="103"/>
  <c r="M59" i="103"/>
  <c r="D59" i="103"/>
  <c r="H59" i="103"/>
  <c r="L59" i="103"/>
  <c r="E59" i="103"/>
  <c r="G59" i="103"/>
  <c r="I59" i="103"/>
  <c r="K59" i="103"/>
  <c r="F59" i="103"/>
  <c r="J59" i="103"/>
  <c r="N59" i="103"/>
  <c r="AE27" i="104"/>
  <c r="AE24" i="104"/>
  <c r="E60" i="103"/>
  <c r="G60" i="103"/>
  <c r="I60" i="103"/>
  <c r="K60" i="103"/>
  <c r="F60" i="103"/>
  <c r="J60" i="103"/>
  <c r="N60" i="103"/>
  <c r="D60" i="103"/>
  <c r="H60" i="103"/>
  <c r="L60" i="103"/>
  <c r="AF22" i="104"/>
  <c r="AF28" i="104"/>
  <c r="AF25" i="104"/>
  <c r="F60" i="104"/>
  <c r="E60" i="104"/>
  <c r="G60" i="104"/>
  <c r="I60" i="104"/>
  <c r="K60" i="104"/>
  <c r="J60" i="104"/>
  <c r="N60" i="104"/>
  <c r="AE26" i="104"/>
  <c r="AE23" i="104"/>
  <c r="D60" i="104"/>
  <c r="AF35" i="101"/>
  <c r="AF28" i="103"/>
  <c r="AF25" i="103"/>
  <c r="AF22" i="103"/>
  <c r="AE26" i="103"/>
  <c r="AE23" i="103"/>
  <c r="C59" i="103"/>
  <c r="AE28" i="103"/>
  <c r="AE25" i="103"/>
  <c r="AE22" i="103"/>
  <c r="AE27" i="103"/>
  <c r="AE24" i="103"/>
  <c r="F59" i="104"/>
  <c r="M59" i="104"/>
  <c r="J59" i="104"/>
  <c r="E59" i="104"/>
  <c r="G59" i="104"/>
  <c r="I59" i="104"/>
  <c r="K59" i="104"/>
  <c r="N59" i="104"/>
  <c r="AE28" i="104"/>
  <c r="AE25" i="104"/>
  <c r="AE22" i="104"/>
  <c r="D59" i="104"/>
  <c r="AF24" i="100"/>
  <c r="AE27" i="96"/>
  <c r="AF36" i="101"/>
  <c r="AF39" i="101"/>
  <c r="AF38" i="101"/>
  <c r="F108" i="101"/>
  <c r="J108" i="101"/>
  <c r="N108" i="101"/>
  <c r="E108" i="101"/>
  <c r="G108" i="101"/>
  <c r="I108" i="101"/>
  <c r="K108" i="101"/>
  <c r="D108" i="101"/>
  <c r="H108" i="101"/>
  <c r="L108" i="101"/>
  <c r="E107" i="101"/>
  <c r="G107" i="101"/>
  <c r="I107" i="101"/>
  <c r="K107" i="101"/>
  <c r="D107" i="101"/>
  <c r="H107" i="101"/>
  <c r="L107" i="101"/>
  <c r="M107" i="101"/>
  <c r="F107" i="101"/>
  <c r="J107" i="101"/>
  <c r="N107" i="101"/>
  <c r="AE39" i="101"/>
  <c r="AE36" i="101"/>
  <c r="AF23" i="100"/>
  <c r="AE24" i="96"/>
  <c r="AE27" i="100"/>
  <c r="C107" i="101"/>
  <c r="AE40" i="101"/>
  <c r="AE37" i="101"/>
  <c r="AE34" i="101"/>
  <c r="AF40" i="101"/>
  <c r="AF37" i="101"/>
  <c r="AF34" i="101"/>
  <c r="AE38" i="101"/>
  <c r="AE35" i="101"/>
  <c r="AE26" i="97"/>
  <c r="AF27" i="97"/>
  <c r="AE24" i="100"/>
  <c r="AF26" i="100"/>
  <c r="AF27" i="100"/>
  <c r="AF23" i="99"/>
  <c r="AF26" i="99"/>
  <c r="AF24" i="99"/>
  <c r="AF27" i="99"/>
  <c r="AE23" i="97"/>
  <c r="D59" i="100"/>
  <c r="AE27" i="98"/>
  <c r="AF28" i="99"/>
  <c r="AF25" i="99"/>
  <c r="AF22" i="99"/>
  <c r="AE26" i="99"/>
  <c r="AE23" i="99"/>
  <c r="AE27" i="99"/>
  <c r="AE24" i="99"/>
  <c r="AF22" i="100"/>
  <c r="AF28" i="100"/>
  <c r="AF25" i="100"/>
  <c r="N60" i="100"/>
  <c r="J60" i="100"/>
  <c r="F60" i="100"/>
  <c r="E60" i="100"/>
  <c r="G60" i="100"/>
  <c r="I60" i="100"/>
  <c r="K60" i="100"/>
  <c r="AE26" i="100"/>
  <c r="AE23" i="100"/>
  <c r="E60" i="99"/>
  <c r="G60" i="99"/>
  <c r="I60" i="99"/>
  <c r="K60" i="99"/>
  <c r="F60" i="99"/>
  <c r="J60" i="99"/>
  <c r="N60" i="99"/>
  <c r="D60" i="99"/>
  <c r="H60" i="99"/>
  <c r="L60" i="99"/>
  <c r="C60" i="100"/>
  <c r="L60" i="100"/>
  <c r="M59" i="99"/>
  <c r="D59" i="99"/>
  <c r="H59" i="99"/>
  <c r="L59" i="99"/>
  <c r="E59" i="99"/>
  <c r="G59" i="99"/>
  <c r="I59" i="99"/>
  <c r="K59" i="99"/>
  <c r="F59" i="99"/>
  <c r="J59" i="99"/>
  <c r="N59" i="99"/>
  <c r="F59" i="100"/>
  <c r="J59" i="100"/>
  <c r="E59" i="100"/>
  <c r="G59" i="100"/>
  <c r="I59" i="100"/>
  <c r="K59" i="100"/>
  <c r="N59" i="100"/>
  <c r="M59" i="100"/>
  <c r="AE28" i="100"/>
  <c r="AE25" i="100"/>
  <c r="AE22" i="100"/>
  <c r="D60" i="100"/>
  <c r="C59" i="99"/>
  <c r="AE28" i="99"/>
  <c r="AE25" i="99"/>
  <c r="AE22" i="99"/>
  <c r="H60" i="100"/>
  <c r="C59" i="100"/>
  <c r="L59" i="100"/>
  <c r="AF24" i="97"/>
  <c r="AF23" i="98"/>
  <c r="AF27" i="98"/>
  <c r="AE27" i="97"/>
  <c r="AE24" i="97"/>
  <c r="AF28" i="97"/>
  <c r="AF25" i="97"/>
  <c r="AF22" i="97"/>
  <c r="C60" i="98"/>
  <c r="E60" i="98"/>
  <c r="G60" i="98"/>
  <c r="I60" i="98"/>
  <c r="K60" i="98"/>
  <c r="D60" i="98"/>
  <c r="F60" i="98"/>
  <c r="H60" i="98"/>
  <c r="J60" i="98"/>
  <c r="L60" i="98"/>
  <c r="N60" i="98"/>
  <c r="AE26" i="98"/>
  <c r="AE23" i="98"/>
  <c r="AE28" i="97"/>
  <c r="AE25" i="97"/>
  <c r="AE22" i="97"/>
  <c r="AF28" i="98"/>
  <c r="AF25" i="98"/>
  <c r="AF22" i="98"/>
  <c r="AF26" i="98"/>
  <c r="M59" i="97"/>
  <c r="D59" i="97"/>
  <c r="F59" i="97"/>
  <c r="H59" i="97"/>
  <c r="J59" i="97"/>
  <c r="L59" i="97"/>
  <c r="N59" i="97"/>
  <c r="C59" i="97"/>
  <c r="E59" i="97"/>
  <c r="G59" i="97"/>
  <c r="I59" i="97"/>
  <c r="K59" i="97"/>
  <c r="AF26" i="97"/>
  <c r="AF23" i="97"/>
  <c r="AE28" i="98"/>
  <c r="AE25" i="98"/>
  <c r="AE22" i="98"/>
  <c r="D60" i="97"/>
  <c r="F60" i="97"/>
  <c r="H60" i="97"/>
  <c r="J60" i="97"/>
  <c r="L60" i="97"/>
  <c r="N60" i="97"/>
  <c r="C60" i="97"/>
  <c r="E60" i="97"/>
  <c r="G60" i="97"/>
  <c r="I60" i="97"/>
  <c r="K60" i="97"/>
  <c r="C59" i="98"/>
  <c r="E59" i="98"/>
  <c r="G59" i="98"/>
  <c r="I59" i="98"/>
  <c r="K59" i="98"/>
  <c r="D59" i="98"/>
  <c r="F59" i="98"/>
  <c r="H59" i="98"/>
  <c r="J59" i="98"/>
  <c r="L59" i="98"/>
  <c r="N59" i="98"/>
  <c r="M59" i="98"/>
  <c r="AF24" i="98"/>
  <c r="AE27" i="95"/>
  <c r="AE24" i="95"/>
  <c r="AF23" i="94"/>
  <c r="AF27" i="94"/>
  <c r="AF26" i="96"/>
  <c r="AF24" i="94"/>
  <c r="AF26" i="94"/>
  <c r="AF26" i="95"/>
  <c r="AF28" i="95"/>
  <c r="AF25" i="95"/>
  <c r="AF22" i="95"/>
  <c r="AE28" i="96"/>
  <c r="AE25" i="96"/>
  <c r="AE22" i="96"/>
  <c r="C60" i="95"/>
  <c r="E60" i="95"/>
  <c r="G60" i="95"/>
  <c r="I60" i="95"/>
  <c r="K60" i="95"/>
  <c r="D60" i="95"/>
  <c r="F60" i="95"/>
  <c r="H60" i="95"/>
  <c r="J60" i="95"/>
  <c r="L60" i="95"/>
  <c r="N60" i="95"/>
  <c r="AE26" i="95"/>
  <c r="AE23" i="95"/>
  <c r="C59" i="96"/>
  <c r="E59" i="96"/>
  <c r="G59" i="96"/>
  <c r="I59" i="96"/>
  <c r="K59" i="96"/>
  <c r="D59" i="96"/>
  <c r="F59" i="96"/>
  <c r="H59" i="96"/>
  <c r="J59" i="96"/>
  <c r="L59" i="96"/>
  <c r="N59" i="96"/>
  <c r="M59" i="96"/>
  <c r="AF23" i="95"/>
  <c r="AF23" i="96"/>
  <c r="L60" i="94"/>
  <c r="M59" i="95"/>
  <c r="C59" i="95"/>
  <c r="E59" i="95"/>
  <c r="G59" i="95"/>
  <c r="I59" i="95"/>
  <c r="K59" i="95"/>
  <c r="D59" i="95"/>
  <c r="F59" i="95"/>
  <c r="H59" i="95"/>
  <c r="J59" i="95"/>
  <c r="L59" i="95"/>
  <c r="N59" i="95"/>
  <c r="AF27" i="95"/>
  <c r="AF24" i="95"/>
  <c r="C60" i="96"/>
  <c r="E60" i="96"/>
  <c r="G60" i="96"/>
  <c r="I60" i="96"/>
  <c r="K60" i="96"/>
  <c r="D60" i="96"/>
  <c r="F60" i="96"/>
  <c r="H60" i="96"/>
  <c r="J60" i="96"/>
  <c r="L60" i="96"/>
  <c r="N60" i="96"/>
  <c r="AE26" i="96"/>
  <c r="AE23" i="96"/>
  <c r="AE28" i="95"/>
  <c r="AE25" i="95"/>
  <c r="AE22" i="95"/>
  <c r="AF28" i="96"/>
  <c r="AF25" i="96"/>
  <c r="AF22" i="96"/>
  <c r="AF27" i="96"/>
  <c r="AF24" i="96"/>
  <c r="E59" i="94"/>
  <c r="G59" i="94"/>
  <c r="I59" i="94"/>
  <c r="K59" i="94"/>
  <c r="F59" i="94"/>
  <c r="J59" i="94"/>
  <c r="N59" i="94"/>
  <c r="M59" i="94"/>
  <c r="AE28" i="94"/>
  <c r="AE25" i="94"/>
  <c r="AE22" i="94"/>
  <c r="D59" i="94"/>
  <c r="AF22" i="94"/>
  <c r="AF28" i="94"/>
  <c r="AF25" i="94"/>
  <c r="F60" i="94"/>
  <c r="J60" i="94"/>
  <c r="N60" i="94"/>
  <c r="E60" i="94"/>
  <c r="G60" i="94"/>
  <c r="I60" i="94"/>
  <c r="K60" i="94"/>
  <c r="AE26" i="94"/>
  <c r="AE23" i="94"/>
  <c r="D60" i="94"/>
  <c r="AE27" i="94"/>
  <c r="AE24" i="94"/>
  <c r="C59" i="94"/>
  <c r="L59" i="94"/>
  <c r="T22" i="93"/>
  <c r="X22" i="93"/>
  <c r="AB22" i="93"/>
  <c r="U22" i="93"/>
  <c r="Y22" i="93"/>
  <c r="AC22" i="93"/>
  <c r="Z24" i="93"/>
  <c r="W26" i="93"/>
  <c r="W23" i="93"/>
  <c r="AA26" i="93"/>
  <c r="AA23" i="93"/>
  <c r="W27" i="93"/>
  <c r="W24" i="93"/>
  <c r="AA27" i="93"/>
  <c r="AA24" i="93"/>
  <c r="T26" i="93"/>
  <c r="T23" i="93"/>
  <c r="AB26" i="93"/>
  <c r="AB23" i="93"/>
  <c r="T27" i="93"/>
  <c r="T24" i="93"/>
  <c r="AB27" i="93"/>
  <c r="AB24" i="93"/>
  <c r="V26" i="93"/>
  <c r="V23" i="93"/>
  <c r="AD27" i="93"/>
  <c r="AD24" i="93"/>
  <c r="Z22" i="93"/>
  <c r="AD22" i="93"/>
  <c r="W22" i="93"/>
  <c r="AA22" i="93"/>
  <c r="U26" i="93"/>
  <c r="U23" i="93"/>
  <c r="Y26" i="93"/>
  <c r="Y23" i="93"/>
  <c r="AC26" i="93"/>
  <c r="AC23" i="93"/>
  <c r="U27" i="93"/>
  <c r="U24" i="93"/>
  <c r="Y27" i="93"/>
  <c r="Y24" i="93"/>
  <c r="AC27" i="93"/>
  <c r="AC24" i="93"/>
  <c r="X23" i="93"/>
  <c r="X24" i="93"/>
  <c r="AD23" i="93"/>
  <c r="V24" i="93"/>
  <c r="Z23" i="93"/>
  <c r="S27" i="93"/>
  <c r="S24" i="93"/>
  <c r="S26" i="93"/>
  <c r="S23" i="93"/>
  <c r="S22" i="93"/>
  <c r="Z27" i="93"/>
  <c r="T28" i="93"/>
  <c r="T25" i="93"/>
  <c r="X28" i="93"/>
  <c r="X25" i="93"/>
  <c r="AB28" i="93"/>
  <c r="AB25" i="93"/>
  <c r="U28" i="93"/>
  <c r="U25" i="93"/>
  <c r="Y28" i="93"/>
  <c r="Y25" i="93"/>
  <c r="AC28" i="93"/>
  <c r="AC25" i="93"/>
  <c r="V28" i="93"/>
  <c r="V25" i="93"/>
  <c r="Z28" i="93"/>
  <c r="Z25" i="93"/>
  <c r="AD28" i="93"/>
  <c r="AD25" i="93"/>
  <c r="W28" i="93"/>
  <c r="W25" i="93"/>
  <c r="AA28" i="93"/>
  <c r="AA25" i="93"/>
  <c r="S28" i="93"/>
  <c r="S25" i="93"/>
  <c r="X26" i="93"/>
  <c r="X27" i="93"/>
  <c r="AD26" i="93"/>
  <c r="V27" i="93"/>
  <c r="Z26" i="93"/>
  <c r="AF10" i="93"/>
  <c r="AF16" i="93"/>
  <c r="AF18" i="93"/>
  <c r="AF14" i="93"/>
  <c r="AF20" i="93"/>
  <c r="AF13" i="93"/>
  <c r="AF11" i="93"/>
  <c r="AF12" i="93"/>
  <c r="AF15" i="93"/>
  <c r="AF17" i="93"/>
  <c r="AF19" i="93"/>
  <c r="P58" i="93"/>
  <c r="G59" i="93" s="1"/>
  <c r="AF21" i="93"/>
  <c r="AE20" i="93"/>
  <c r="AE18" i="93"/>
  <c r="AE16" i="93"/>
  <c r="AE14" i="93"/>
  <c r="AE12" i="93"/>
  <c r="AE11" i="93"/>
  <c r="O58" i="93"/>
  <c r="C60" i="93" s="1"/>
  <c r="AE10" i="93"/>
  <c r="AE21" i="93"/>
  <c r="AE19" i="93"/>
  <c r="AE17" i="93"/>
  <c r="AE15" i="93"/>
  <c r="AE13" i="93"/>
  <c r="Z41" i="111" l="1"/>
  <c r="AC41" i="111"/>
  <c r="W42" i="108"/>
  <c r="U41" i="111"/>
  <c r="V41" i="111"/>
  <c r="Y42" i="108"/>
  <c r="AA42" i="108"/>
  <c r="P106" i="111"/>
  <c r="AE41" i="108"/>
  <c r="S41" i="111"/>
  <c r="S34" i="111"/>
  <c r="AD42" i="108"/>
  <c r="AB42" i="111"/>
  <c r="AD41" i="111"/>
  <c r="O106" i="111"/>
  <c r="K108" i="111" s="1"/>
  <c r="X41" i="111"/>
  <c r="V42" i="108"/>
  <c r="AC42" i="107"/>
  <c r="T42" i="107"/>
  <c r="X42" i="107"/>
  <c r="T41" i="111"/>
  <c r="T42" i="111" s="1"/>
  <c r="Y42" i="107"/>
  <c r="AF23" i="111"/>
  <c r="S36" i="111"/>
  <c r="AB42" i="107"/>
  <c r="X42" i="108"/>
  <c r="Z42" i="108"/>
  <c r="S35" i="111"/>
  <c r="AF41" i="107"/>
  <c r="AF42" i="107" s="1"/>
  <c r="Y41" i="111"/>
  <c r="AE22" i="111"/>
  <c r="W41" i="111"/>
  <c r="AF41" i="108"/>
  <c r="AC42" i="108"/>
  <c r="W42" i="107"/>
  <c r="U42" i="108"/>
  <c r="AB42" i="108"/>
  <c r="AE41" i="107"/>
  <c r="S42" i="107"/>
  <c r="Z42" i="107"/>
  <c r="U42" i="107"/>
  <c r="AD37" i="111"/>
  <c r="X34" i="111"/>
  <c r="AD39" i="111"/>
  <c r="T34" i="111"/>
  <c r="W37" i="111"/>
  <c r="X36" i="111"/>
  <c r="Z39" i="111"/>
  <c r="AD38" i="111"/>
  <c r="V40" i="111"/>
  <c r="AA35" i="111"/>
  <c r="AF12" i="111"/>
  <c r="T39" i="111"/>
  <c r="AC34" i="111"/>
  <c r="AD34" i="111"/>
  <c r="T37" i="111"/>
  <c r="AE15" i="111"/>
  <c r="AF19" i="111"/>
  <c r="AE12" i="111"/>
  <c r="AA36" i="111"/>
  <c r="AF14" i="111"/>
  <c r="AE14" i="111"/>
  <c r="AF11" i="111"/>
  <c r="AE18" i="111"/>
  <c r="Z37" i="111"/>
  <c r="T38" i="111"/>
  <c r="AF10" i="111"/>
  <c r="W36" i="111"/>
  <c r="Y40" i="111"/>
  <c r="U36" i="111"/>
  <c r="Z36" i="111"/>
  <c r="V35" i="111"/>
  <c r="AB40" i="111"/>
  <c r="X39" i="111"/>
  <c r="S37" i="111"/>
  <c r="AB36" i="111"/>
  <c r="AE20" i="111"/>
  <c r="AE10" i="111"/>
  <c r="X35" i="111"/>
  <c r="S40" i="111"/>
  <c r="Z38" i="111"/>
  <c r="AE13" i="111"/>
  <c r="V34" i="111"/>
  <c r="W35" i="111"/>
  <c r="AC35" i="111"/>
  <c r="AB38" i="111"/>
  <c r="W40" i="111"/>
  <c r="V39" i="111"/>
  <c r="AD40" i="111"/>
  <c r="X40" i="111"/>
  <c r="V38" i="111"/>
  <c r="AB39" i="111"/>
  <c r="AB37" i="111"/>
  <c r="W34" i="111"/>
  <c r="AF15" i="111"/>
  <c r="AF13" i="111"/>
  <c r="AE21" i="111"/>
  <c r="W38" i="111"/>
  <c r="X38" i="111"/>
  <c r="AF20" i="111"/>
  <c r="AE11" i="111"/>
  <c r="U39" i="111"/>
  <c r="Z35" i="111"/>
  <c r="Z40" i="111"/>
  <c r="V37" i="111"/>
  <c r="T36" i="111"/>
  <c r="T40" i="111"/>
  <c r="AB35" i="111"/>
  <c r="AA38" i="111"/>
  <c r="V36" i="111"/>
  <c r="AD35" i="111"/>
  <c r="X37" i="111"/>
  <c r="AC39" i="111"/>
  <c r="Y39" i="111"/>
  <c r="U35" i="111"/>
  <c r="AD36" i="111"/>
  <c r="AE19" i="111"/>
  <c r="U40" i="111"/>
  <c r="Z34" i="111"/>
  <c r="T35" i="111"/>
  <c r="AB34" i="111"/>
  <c r="U34" i="111"/>
  <c r="AF17" i="111"/>
  <c r="AC36" i="111"/>
  <c r="Y36" i="111"/>
  <c r="U37" i="111"/>
  <c r="AA39" i="111"/>
  <c r="S39" i="111"/>
  <c r="S38" i="111"/>
  <c r="Y38" i="111"/>
  <c r="AF16" i="111"/>
  <c r="N107" i="111"/>
  <c r="AF21" i="111"/>
  <c r="W39" i="111"/>
  <c r="AE17" i="111"/>
  <c r="AC38" i="111"/>
  <c r="U38" i="111"/>
  <c r="AC40" i="111"/>
  <c r="Y37" i="111"/>
  <c r="AE16" i="111"/>
  <c r="Y35" i="111"/>
  <c r="AF18" i="111"/>
  <c r="Y34" i="111"/>
  <c r="AC37" i="111"/>
  <c r="AA37" i="111"/>
  <c r="AA40" i="111"/>
  <c r="AA42" i="111" s="1"/>
  <c r="AA34" i="111"/>
  <c r="M107" i="107"/>
  <c r="AF39" i="108"/>
  <c r="F108" i="107"/>
  <c r="J107" i="108"/>
  <c r="AF42" i="110"/>
  <c r="AE42" i="110"/>
  <c r="AE42" i="109"/>
  <c r="AF42" i="109"/>
  <c r="K107" i="107"/>
  <c r="L107" i="108"/>
  <c r="G107" i="108"/>
  <c r="L107" i="107"/>
  <c r="G108" i="108"/>
  <c r="AE39" i="108"/>
  <c r="AE37" i="108"/>
  <c r="F108" i="108"/>
  <c r="AE36" i="108"/>
  <c r="AF36" i="108"/>
  <c r="AF34" i="108"/>
  <c r="C108" i="108"/>
  <c r="K108" i="108"/>
  <c r="N108" i="108"/>
  <c r="AF40" i="108"/>
  <c r="K108" i="107"/>
  <c r="L108" i="108"/>
  <c r="D108" i="108"/>
  <c r="I108" i="108"/>
  <c r="E108" i="108"/>
  <c r="J108" i="108"/>
  <c r="AF37" i="108"/>
  <c r="AE38" i="108"/>
  <c r="AE39" i="107"/>
  <c r="AF35" i="108"/>
  <c r="AE35" i="108"/>
  <c r="D107" i="107"/>
  <c r="G107" i="107"/>
  <c r="J107" i="107"/>
  <c r="N108" i="107"/>
  <c r="G108" i="107"/>
  <c r="D107" i="108"/>
  <c r="M107" i="108"/>
  <c r="K107" i="108"/>
  <c r="L108" i="107"/>
  <c r="AE40" i="108"/>
  <c r="AF40" i="107"/>
  <c r="F107" i="107"/>
  <c r="I107" i="107"/>
  <c r="E107" i="107"/>
  <c r="N107" i="107"/>
  <c r="C107" i="108"/>
  <c r="AE34" i="108"/>
  <c r="N107" i="108"/>
  <c r="F107" i="108"/>
  <c r="I107" i="108"/>
  <c r="E107" i="108"/>
  <c r="H107" i="107"/>
  <c r="AF38" i="108"/>
  <c r="AE37" i="107"/>
  <c r="AE35" i="107"/>
  <c r="AF34" i="107"/>
  <c r="AE40" i="107"/>
  <c r="AE38" i="107"/>
  <c r="AE36" i="107"/>
  <c r="AE34" i="107"/>
  <c r="D108" i="107"/>
  <c r="J108" i="107"/>
  <c r="I108" i="107"/>
  <c r="E108" i="107"/>
  <c r="AF37" i="107"/>
  <c r="AF35" i="107"/>
  <c r="AF38" i="107"/>
  <c r="AF36" i="107"/>
  <c r="AF39" i="107"/>
  <c r="AE42" i="105"/>
  <c r="AF42" i="105"/>
  <c r="AE42" i="101"/>
  <c r="AF42" i="101"/>
  <c r="M59" i="93"/>
  <c r="N60" i="93"/>
  <c r="G60" i="93"/>
  <c r="E60" i="93"/>
  <c r="H60" i="93"/>
  <c r="J60" i="93"/>
  <c r="F60" i="93"/>
  <c r="D60" i="93"/>
  <c r="K60" i="93"/>
  <c r="L60" i="93"/>
  <c r="I60" i="93"/>
  <c r="AE24" i="93"/>
  <c r="AE22" i="93"/>
  <c r="AF23" i="93"/>
  <c r="AE23" i="93"/>
  <c r="AF24" i="93"/>
  <c r="AF22" i="93"/>
  <c r="AE26" i="93"/>
  <c r="AF27" i="93"/>
  <c r="AF28" i="93"/>
  <c r="AF25" i="93"/>
  <c r="AE27" i="93"/>
  <c r="AE28" i="93"/>
  <c r="AE25" i="93"/>
  <c r="AF26" i="93"/>
  <c r="D59" i="93"/>
  <c r="C59" i="93"/>
  <c r="L59" i="93"/>
  <c r="F59" i="93"/>
  <c r="J59" i="93"/>
  <c r="E59" i="93"/>
  <c r="H59" i="93"/>
  <c r="K59" i="93"/>
  <c r="N59" i="93"/>
  <c r="I59" i="93"/>
  <c r="AE41" i="111" l="1"/>
  <c r="AE42" i="107"/>
  <c r="Y42" i="111"/>
  <c r="AD42" i="111"/>
  <c r="V42" i="111"/>
  <c r="AF34" i="111"/>
  <c r="AF41" i="111"/>
  <c r="AF42" i="111" s="1"/>
  <c r="U42" i="111"/>
  <c r="AF42" i="108"/>
  <c r="S42" i="111"/>
  <c r="AC42" i="111"/>
  <c r="W42" i="111"/>
  <c r="X42" i="111"/>
  <c r="AE42" i="108"/>
  <c r="Z42" i="111"/>
  <c r="AF37" i="111"/>
  <c r="K107" i="111"/>
  <c r="E108" i="111"/>
  <c r="AE34" i="111"/>
  <c r="F108" i="111"/>
  <c r="AE39" i="111"/>
  <c r="AE37" i="111"/>
  <c r="H107" i="111"/>
  <c r="F107" i="111"/>
  <c r="E107" i="111"/>
  <c r="C107" i="111"/>
  <c r="I107" i="111"/>
  <c r="AE40" i="111"/>
  <c r="AF40" i="111"/>
  <c r="N108" i="111"/>
  <c r="H108" i="111"/>
  <c r="C108" i="111"/>
  <c r="AE35" i="111"/>
  <c r="AE36" i="111"/>
  <c r="AF36" i="111"/>
  <c r="M107" i="111"/>
  <c r="D107" i="111"/>
  <c r="L107" i="111"/>
  <c r="G107" i="111"/>
  <c r="J107" i="111"/>
  <c r="AF38" i="111"/>
  <c r="AF39" i="111"/>
  <c r="AE38" i="111"/>
  <c r="J108" i="111"/>
  <c r="I108" i="111"/>
  <c r="D108" i="111"/>
  <c r="L108" i="111"/>
  <c r="G108" i="111"/>
  <c r="AF35" i="111"/>
  <c r="AE42" i="111" l="1"/>
  <c r="C107" i="107"/>
  <c r="C108" i="107"/>
</calcChain>
</file>

<file path=xl/sharedStrings.xml><?xml version="1.0" encoding="utf-8"?>
<sst xmlns="http://schemas.openxmlformats.org/spreadsheetml/2006/main" count="2339" uniqueCount="185">
  <si>
    <t>Time / Veh Type</t>
  </si>
  <si>
    <t xml:space="preserve">  Location</t>
  </si>
  <si>
    <t xml:space="preserve">  Dir. To</t>
  </si>
  <si>
    <t>Date</t>
  </si>
  <si>
    <t>Dir. From</t>
  </si>
  <si>
    <t>Surveyor</t>
  </si>
  <si>
    <t>0700-0800</t>
  </si>
  <si>
    <t>0800-0900</t>
  </si>
  <si>
    <t>0900-1000</t>
  </si>
  <si>
    <t>1000-1100</t>
  </si>
  <si>
    <t>1100-1200</t>
  </si>
  <si>
    <t>1200-1300</t>
  </si>
  <si>
    <t>1300-1400</t>
  </si>
  <si>
    <t>1400-1500</t>
  </si>
  <si>
    <t>1500-1600</t>
  </si>
  <si>
    <t>1600-1700</t>
  </si>
  <si>
    <t>1700-1800</t>
  </si>
  <si>
    <t>12 Hours</t>
  </si>
  <si>
    <t>Totals</t>
  </si>
  <si>
    <t>Time</t>
  </si>
  <si>
    <t>1800-1900</t>
  </si>
  <si>
    <t>Supervisor</t>
  </si>
  <si>
    <t>Total All</t>
  </si>
  <si>
    <t>Consultancy services for Preparation of Expressway Development Master Plan (EDMP) for Uganda</t>
  </si>
  <si>
    <t>1. Car</t>
  </si>
  <si>
    <t>2. Station Wagon</t>
  </si>
  <si>
    <t>3. Pickups</t>
  </si>
  <si>
    <t>4. Minibus, matatu</t>
  </si>
  <si>
    <t xml:space="preserve">5. Medium bus </t>
  </si>
  <si>
    <t>6. Large Bus</t>
  </si>
  <si>
    <t xml:space="preserve">7. Light Truck </t>
  </si>
  <si>
    <t xml:space="preserve">8. Medium Truck </t>
  </si>
  <si>
    <t xml:space="preserve">9. Heavy truck </t>
  </si>
  <si>
    <t xml:space="preserve">10. Truck Trailer </t>
  </si>
  <si>
    <t>11. Motorcycles</t>
  </si>
  <si>
    <t>12. Tractors, Graders</t>
  </si>
  <si>
    <t>Total Excl M/Cycles</t>
  </si>
  <si>
    <t>07.00 - 07.15</t>
  </si>
  <si>
    <t>07.15 - 07.30</t>
  </si>
  <si>
    <t>07.30 - 07.45</t>
  </si>
  <si>
    <t>07.45 - 08.00</t>
  </si>
  <si>
    <t>08.00 - 08.15</t>
  </si>
  <si>
    <t>08.15 - 08.30</t>
  </si>
  <si>
    <t>08.30 - 08.45</t>
  </si>
  <si>
    <t>08.45 - 9.00</t>
  </si>
  <si>
    <t>09.00 - 09.15</t>
  </si>
  <si>
    <t>09.15 - 09.30</t>
  </si>
  <si>
    <t>09.30 - 09.45</t>
  </si>
  <si>
    <t>09.45 - 10.00</t>
  </si>
  <si>
    <t>10.00 - 10.15</t>
  </si>
  <si>
    <t>10.15 - 10.30</t>
  </si>
  <si>
    <t>10.30 - 10.45</t>
  </si>
  <si>
    <t>10.45 - 11.00</t>
  </si>
  <si>
    <t>11.00 - 11.15</t>
  </si>
  <si>
    <t>11.15 - 11.30</t>
  </si>
  <si>
    <t>11.30 - 11.45</t>
  </si>
  <si>
    <t>11.45 - 12.00</t>
  </si>
  <si>
    <t>12.00 - 12.15</t>
  </si>
  <si>
    <t>12.15 - 12.30</t>
  </si>
  <si>
    <t>12.30 - 12.45</t>
  </si>
  <si>
    <t>12.45 - 13.00</t>
  </si>
  <si>
    <t>13.00 - 13.15</t>
  </si>
  <si>
    <t>13.15 - 13.30</t>
  </si>
  <si>
    <t>13.30 - 13.45</t>
  </si>
  <si>
    <t>13.45 - 14.00</t>
  </si>
  <si>
    <t>14.00 - 14.15</t>
  </si>
  <si>
    <t>14.15 - 14.30</t>
  </si>
  <si>
    <t>14.30 - 14.45</t>
  </si>
  <si>
    <t>14.45 - 15.00</t>
  </si>
  <si>
    <t>15.00 - 15.15</t>
  </si>
  <si>
    <t>15.15 - 15.30</t>
  </si>
  <si>
    <t>15.30 - 15.45</t>
  </si>
  <si>
    <t>15.45 - 16.00</t>
  </si>
  <si>
    <t>16.00 - 16.15</t>
  </si>
  <si>
    <t>16.15 -16.30</t>
  </si>
  <si>
    <t>16.30 -16.45</t>
  </si>
  <si>
    <t>16.45 -17.00</t>
  </si>
  <si>
    <t>17.00 -17.15</t>
  </si>
  <si>
    <t>17.15 -17.30</t>
  </si>
  <si>
    <t>17.30 -17.45</t>
  </si>
  <si>
    <t>17.45 -18.00</t>
  </si>
  <si>
    <t>18.00 - 18.15</t>
  </si>
  <si>
    <t>18.15 - 18.30</t>
  </si>
  <si>
    <t>18.30 - 18.45</t>
  </si>
  <si>
    <t>18.45 - 19.00</t>
  </si>
  <si>
    <t>AM Period</t>
  </si>
  <si>
    <t>IP Period</t>
  </si>
  <si>
    <t>PM Period</t>
  </si>
  <si>
    <t>SUMMARY TRAFFIC VOLUMES</t>
  </si>
  <si>
    <t>Total Excl M/ Cycles</t>
  </si>
  <si>
    <t>AM Peak Hr</t>
  </si>
  <si>
    <t>IP Peak Hr</t>
  </si>
  <si>
    <t>PM Peak Hr</t>
  </si>
  <si>
    <t>%ges + MCs</t>
  </si>
  <si>
    <t>%ges w/o MCs</t>
  </si>
  <si>
    <t>MANUAL CLASSIFIED COUNT (MCC)</t>
  </si>
  <si>
    <t>ROAD NAME:</t>
  </si>
  <si>
    <t>12. Tractors</t>
  </si>
  <si>
    <t>11. Motor cycles</t>
  </si>
  <si>
    <t>19.00 - 19.15</t>
  </si>
  <si>
    <t>19.15 - 19.30</t>
  </si>
  <si>
    <t>19.30 - 19.45</t>
  </si>
  <si>
    <t>19.45 - 20.00</t>
  </si>
  <si>
    <t>21.00 - 21.15</t>
  </si>
  <si>
    <t>21.15 - 21.30</t>
  </si>
  <si>
    <t>21.30 - 21.45</t>
  </si>
  <si>
    <t>21.45 - 22.00</t>
  </si>
  <si>
    <t>20.00 - 20.15</t>
  </si>
  <si>
    <t>20.15 - 20.30</t>
  </si>
  <si>
    <t>20.30 - 20.45</t>
  </si>
  <si>
    <t>22.00 - 22.15</t>
  </si>
  <si>
    <t>22.15 - 22.30</t>
  </si>
  <si>
    <t>22.30 - 22.45</t>
  </si>
  <si>
    <t>22.45 - 23.00</t>
  </si>
  <si>
    <t>23.00 - 23.15</t>
  </si>
  <si>
    <t>23.15 - 23.30</t>
  </si>
  <si>
    <t>23.30 - 23.45</t>
  </si>
  <si>
    <t>23.45 - 00.00</t>
  </si>
  <si>
    <t>00.00 - 00.15</t>
  </si>
  <si>
    <t>00.15 - 00.30</t>
  </si>
  <si>
    <t>00.30 - 00.45</t>
  </si>
  <si>
    <t>00.45 - 01.00</t>
  </si>
  <si>
    <t>01.00 - 01.15</t>
  </si>
  <si>
    <t>01.15 - 01.30</t>
  </si>
  <si>
    <t>01.30 - 01.45</t>
  </si>
  <si>
    <t>01.45 - 02.00</t>
  </si>
  <si>
    <t>02.00 - 02.15</t>
  </si>
  <si>
    <t>02.15 - 02.30</t>
  </si>
  <si>
    <t>02.30 - 02.45</t>
  </si>
  <si>
    <t>02.45 - 03.00</t>
  </si>
  <si>
    <t>03.00 - 03.15</t>
  </si>
  <si>
    <t>03.15 - 03.30</t>
  </si>
  <si>
    <t>03.30 - 03.45</t>
  </si>
  <si>
    <t>03.45 - 04.00</t>
  </si>
  <si>
    <t>04.00 - 04.15</t>
  </si>
  <si>
    <t>04.15 - 04.30</t>
  </si>
  <si>
    <t>04.30 - 04.45</t>
  </si>
  <si>
    <t>04.45 - 05.00</t>
  </si>
  <si>
    <t>05.00 - 05.15</t>
  </si>
  <si>
    <t>05.15 - 05.30</t>
  </si>
  <si>
    <t>05.30 - 05.45</t>
  </si>
  <si>
    <t>05.45 - 06.00</t>
  </si>
  <si>
    <t>06.00 - 06.15</t>
  </si>
  <si>
    <t>06.15 - 06.30</t>
  </si>
  <si>
    <t>06.30 - 06.45</t>
  </si>
  <si>
    <t>06.45 - 07.00</t>
  </si>
  <si>
    <t>1900-2000</t>
  </si>
  <si>
    <t>2000-2100</t>
  </si>
  <si>
    <t>2100-2200</t>
  </si>
  <si>
    <t>2200-2300</t>
  </si>
  <si>
    <t>2300-0000</t>
  </si>
  <si>
    <t>0000-0100</t>
  </si>
  <si>
    <t>0100-0200</t>
  </si>
  <si>
    <t>0200-0300</t>
  </si>
  <si>
    <t>0300-0400</t>
  </si>
  <si>
    <t>0400-0500</t>
  </si>
  <si>
    <t>0500-0600</t>
  </si>
  <si>
    <t>0600-0700</t>
  </si>
  <si>
    <t>20.45 - 21.00</t>
  </si>
  <si>
    <t>24 Hrs/ADT</t>
  </si>
  <si>
    <t>NEF</t>
  </si>
  <si>
    <t>BOTH DIRECTIONS</t>
  </si>
  <si>
    <t>23.07.19</t>
  </si>
  <si>
    <t>24.07.19</t>
  </si>
  <si>
    <t>25.07.19</t>
  </si>
  <si>
    <t>26.07.19</t>
  </si>
  <si>
    <t>27.07.19</t>
  </si>
  <si>
    <t>28.07.19</t>
  </si>
  <si>
    <t>AVERAGE WEEK</t>
  </si>
  <si>
    <t>MCC-CI-STNO1-MASAKA</t>
  </si>
  <si>
    <t>14.45-15.00</t>
  </si>
  <si>
    <t>MCC - C1 - STN07 - MASAKA ROAD</t>
  </si>
  <si>
    <t>22/7/2019</t>
  </si>
  <si>
    <t>MCC-C1-STNO7-MASAKA ROAD</t>
  </si>
  <si>
    <t>17.00-17-30</t>
  </si>
  <si>
    <t>Nateete</t>
  </si>
  <si>
    <t>Ndeeba</t>
  </si>
  <si>
    <t>Rhino Funeral Services</t>
  </si>
  <si>
    <t>Felix</t>
  </si>
  <si>
    <t>Asibazuyo Jennifer</t>
  </si>
  <si>
    <t>Ahimbisibwe Faith</t>
  </si>
  <si>
    <t>Asibazuyo Jennipher&amp; Kyagulanyi Lawrence</t>
  </si>
  <si>
    <t>Ahimbisibwe Faith &amp; Bukozi Nicholas</t>
  </si>
  <si>
    <t>Asibazuyo Jennipher &amp;Kyagulanyi Lawrence</t>
  </si>
  <si>
    <t>24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</si>
</sst>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(* #,##0_);_(* \(#,##0\);_(* &quot;-&quot;_);_(@_)"/>
    <numFmt numFmtId="164" formatCode="0.0%"/>
    <numFmt numFmtId="165" formatCode="0.000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Arial"/>
      <family val="2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12"/>
      <color theme="1"/>
      <name val="Arial"/>
      <family val="2"/>
    </font>
    <font>
      <i/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6"/>
      <name val="Arial"/>
      <family val="2"/>
    </font>
    <font>
      <sz val="8"/>
      <name val="Calibri"/>
      <family val="2"/>
      <scheme val="minor"/>
    </font>
    <font>
      <b/>
      <sz val="10"/>
      <color theme="1"/>
      <name val="Arial"/>
      <family val="2"/>
    </font>
    <font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9FCD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76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0" xfId="0" applyBorder="1"/>
    <xf numFmtId="0" fontId="1" fillId="0" borderId="0" xfId="0" applyFont="1" applyAlignment="1"/>
    <xf numFmtId="0" fontId="1" fillId="0" borderId="1" xfId="0" applyFont="1" applyBorder="1"/>
    <xf numFmtId="9" fontId="0" fillId="0" borderId="0" xfId="1" applyFont="1"/>
    <xf numFmtId="0" fontId="0" fillId="0" borderId="0" xfId="0" applyFont="1" applyFill="1"/>
    <xf numFmtId="0" fontId="0" fillId="0" borderId="0" xfId="0" applyFont="1" applyFill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0" xfId="0" applyFont="1"/>
    <xf numFmtId="1" fontId="0" fillId="0" borderId="1" xfId="0" applyNumberForma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64" fontId="0" fillId="0" borderId="0" xfId="0" applyNumberForma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8" fillId="0" borderId="5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wrapText="1"/>
    </xf>
    <xf numFmtId="0" fontId="9" fillId="3" borderId="4" xfId="0" applyFont="1" applyFill="1" applyBorder="1" applyAlignment="1">
      <alignment horizontal="center" vertical="center" wrapText="1"/>
    </xf>
    <xf numFmtId="1" fontId="0" fillId="3" borderId="1" xfId="0" applyNumberForma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0" fontId="0" fillId="0" borderId="5" xfId="0" applyFont="1" applyFill="1" applyBorder="1"/>
    <xf numFmtId="1" fontId="0" fillId="0" borderId="4" xfId="0" applyNumberForma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0" fontId="0" fillId="0" borderId="4" xfId="0" applyBorder="1"/>
    <xf numFmtId="0" fontId="1" fillId="0" borderId="8" xfId="0" applyFont="1" applyBorder="1" applyAlignment="1">
      <alignment wrapText="1"/>
    </xf>
    <xf numFmtId="0" fontId="11" fillId="0" borderId="9" xfId="0" applyFont="1" applyFill="1" applyBorder="1"/>
    <xf numFmtId="1" fontId="11" fillId="0" borderId="9" xfId="0" applyNumberFormat="1" applyFont="1" applyFill="1" applyBorder="1" applyAlignment="1">
      <alignment horizontal="center"/>
    </xf>
    <xf numFmtId="1" fontId="1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8" fillId="0" borderId="7" xfId="0" applyFont="1" applyFill="1" applyBorder="1" applyAlignment="1">
      <alignment horizontal="center" vertical="center"/>
    </xf>
    <xf numFmtId="164" fontId="1" fillId="0" borderId="4" xfId="1" applyNumberFormat="1" applyFont="1" applyBorder="1" applyAlignment="1">
      <alignment horizontal="center"/>
    </xf>
    <xf numFmtId="10" fontId="1" fillId="0" borderId="9" xfId="1" applyNumberFormat="1" applyFont="1" applyBorder="1"/>
    <xf numFmtId="0" fontId="7" fillId="0" borderId="1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165" fontId="1" fillId="0" borderId="1" xfId="0" applyNumberFormat="1" applyFont="1" applyBorder="1" applyAlignment="1">
      <alignment horizontal="center"/>
    </xf>
    <xf numFmtId="1" fontId="0" fillId="0" borderId="1" xfId="0" applyNumberFormat="1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0" fontId="0" fillId="0" borderId="4" xfId="0" applyFont="1" applyBorder="1"/>
    <xf numFmtId="41" fontId="1" fillId="0" borderId="1" xfId="2" applyFont="1" applyBorder="1" applyAlignment="1">
      <alignment horizontal="center"/>
    </xf>
    <xf numFmtId="41" fontId="1" fillId="3" borderId="1" xfId="2" applyFont="1" applyFill="1" applyBorder="1" applyAlignment="1">
      <alignment horizontal="center"/>
    </xf>
    <xf numFmtId="165" fontId="1" fillId="3" borderId="1" xfId="0" applyNumberFormat="1" applyFont="1" applyFill="1" applyBorder="1" applyAlignment="1">
      <alignment horizontal="center"/>
    </xf>
    <xf numFmtId="0" fontId="7" fillId="2" borderId="2" xfId="0" applyFont="1" applyFill="1" applyBorder="1" applyAlignment="1">
      <alignment horizontal="left" vertical="center" wrapText="1"/>
    </xf>
    <xf numFmtId="0" fontId="7" fillId="2" borderId="3" xfId="0" applyFont="1" applyFill="1" applyBorder="1" applyAlignment="1">
      <alignment horizontal="left" vertical="center" wrapText="1"/>
    </xf>
    <xf numFmtId="0" fontId="10" fillId="0" borderId="6" xfId="0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6" fillId="2" borderId="9" xfId="0" applyFont="1" applyFill="1" applyBorder="1" applyAlignment="1">
      <alignment horizontal="center"/>
    </xf>
    <xf numFmtId="0" fontId="7" fillId="0" borderId="2" xfId="0" applyFont="1" applyFill="1" applyBorder="1" applyAlignment="1">
      <alignment horizontal="left" vertical="center" wrapText="1"/>
    </xf>
    <xf numFmtId="0" fontId="7" fillId="0" borderId="3" xfId="0" applyFont="1" applyFill="1" applyBorder="1" applyAlignment="1">
      <alignment horizontal="left" vertical="center" wrapText="1"/>
    </xf>
    <xf numFmtId="0" fontId="16" fillId="0" borderId="9" xfId="0" applyFont="1" applyFill="1" applyBorder="1" applyAlignment="1">
      <alignment horizontal="center"/>
    </xf>
    <xf numFmtId="0" fontId="7" fillId="0" borderId="2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16" fillId="0" borderId="10" xfId="0" applyFont="1" applyFill="1" applyBorder="1" applyAlignment="1">
      <alignment horizontal="center"/>
    </xf>
    <xf numFmtId="0" fontId="16" fillId="0" borderId="11" xfId="0" applyFont="1" applyFill="1" applyBorder="1" applyAlignment="1">
      <alignment horizontal="center"/>
    </xf>
    <xf numFmtId="0" fontId="16" fillId="0" borderId="12" xfId="0" applyFont="1" applyFill="1" applyBorder="1" applyAlignment="1">
      <alignment horizontal="center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2" fillId="0" borderId="9" xfId="0" applyFont="1" applyFill="1" applyBorder="1" applyAlignment="1">
      <alignment horizontal="center"/>
    </xf>
    <xf numFmtId="0" fontId="15" fillId="0" borderId="2" xfId="0" applyFont="1" applyBorder="1" applyAlignment="1">
      <alignment horizontal="left" vertical="center" wrapText="1"/>
    </xf>
    <xf numFmtId="0" fontId="15" fillId="0" borderId="3" xfId="0" applyFont="1" applyBorder="1" applyAlignment="1">
      <alignment horizontal="left" vertical="center" wrapText="1"/>
    </xf>
  </cellXfs>
  <cellStyles count="3">
    <cellStyle name="Comma [0]" xfId="2" builtinId="6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9FCD2"/>
      <color rgb="FFF0F2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15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'22.07 Nateete-Ndeeba'!$AE$9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'22.07 Nateete-Ndeeba'!$R$10:$R$21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'22.07 Nateete-Ndeeba'!$AE$10:$AE$21</c:f>
              <c:numCache>
                <c:formatCode>0</c:formatCode>
                <c:ptCount val="12"/>
                <c:pt idx="0">
                  <c:v>273</c:v>
                </c:pt>
                <c:pt idx="1">
                  <c:v>482</c:v>
                </c:pt>
                <c:pt idx="2">
                  <c:v>469</c:v>
                </c:pt>
                <c:pt idx="3">
                  <c:v>469</c:v>
                </c:pt>
                <c:pt idx="4">
                  <c:v>381</c:v>
                </c:pt>
                <c:pt idx="5">
                  <c:v>487</c:v>
                </c:pt>
                <c:pt idx="6">
                  <c:v>452</c:v>
                </c:pt>
                <c:pt idx="7">
                  <c:v>440</c:v>
                </c:pt>
                <c:pt idx="8">
                  <c:v>472</c:v>
                </c:pt>
                <c:pt idx="9">
                  <c:v>415</c:v>
                </c:pt>
                <c:pt idx="10">
                  <c:v>382</c:v>
                </c:pt>
                <c:pt idx="11">
                  <c:v>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2E1-4581-8355-9A9D08B6A3D4}"/>
            </c:ext>
          </c:extLst>
        </c:ser>
        <c:ser>
          <c:idx val="1"/>
          <c:order val="1"/>
          <c:tx>
            <c:strRef>
              <c:f>'22.07 Nateete-Ndeeba'!$AF$9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'22.07 Nateete-Ndeeba'!$R$10:$R$21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'22.07 Nateete-Ndeeba'!$AF$10:$AF$21</c:f>
              <c:numCache>
                <c:formatCode>0</c:formatCode>
                <c:ptCount val="12"/>
                <c:pt idx="0">
                  <c:v>988</c:v>
                </c:pt>
                <c:pt idx="1">
                  <c:v>1763</c:v>
                </c:pt>
                <c:pt idx="2">
                  <c:v>1528</c:v>
                </c:pt>
                <c:pt idx="3">
                  <c:v>1403</c:v>
                </c:pt>
                <c:pt idx="4">
                  <c:v>1536</c:v>
                </c:pt>
                <c:pt idx="5">
                  <c:v>1572</c:v>
                </c:pt>
                <c:pt idx="6">
                  <c:v>1397</c:v>
                </c:pt>
                <c:pt idx="7">
                  <c:v>1239</c:v>
                </c:pt>
                <c:pt idx="8">
                  <c:v>930</c:v>
                </c:pt>
                <c:pt idx="9">
                  <c:v>1220</c:v>
                </c:pt>
                <c:pt idx="10">
                  <c:v>1202</c:v>
                </c:pt>
                <c:pt idx="11">
                  <c:v>1149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2E1-4581-8355-9A9D08B6A3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3256992"/>
        <c:axId val="613249376"/>
      </c:lineChart>
      <c:catAx>
        <c:axId val="61325699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249376"/>
        <c:crosses val="autoZero"/>
        <c:auto val="1"/>
        <c:lblAlgn val="ctr"/>
        <c:lblOffset val="100"/>
        <c:noMultiLvlLbl val="0"/>
      </c:catAx>
      <c:valAx>
        <c:axId val="61324937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256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66C-49DF-A540-BEECCA775C9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66C-49DF-A540-BEECCA775C9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66C-49DF-A540-BEECCA775C9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66C-49DF-A540-BEECCA775C9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66C-49DF-A540-BEECCA775C9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966C-49DF-A540-BEECCA775C9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966C-49DF-A540-BEECCA775C9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966C-49DF-A540-BEECCA775C9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966C-49DF-A540-BEECCA775C9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966C-49DF-A540-BEECCA775C9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966C-49DF-A540-BEECCA775C9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966C-49DF-A540-BEECCA775C95}"/>
              </c:ext>
            </c:extLst>
          </c:dPt>
          <c:dLbls>
            <c:dLbl>
              <c:idx val="10"/>
              <c:layout>
                <c:manualLayout>
                  <c:x val="-2.6175304576939715E-2"/>
                  <c:y val="-3.243408000329516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966C-49DF-A540-BEECCA775C9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'22.07 Nateete-Ndeeba'!$C$9:$N$9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'22.07 Nateete-Ndeeba'!$C$59:$N$59</c:f>
              <c:numCache>
                <c:formatCode>0.0%</c:formatCode>
                <c:ptCount val="12"/>
                <c:pt idx="0">
                  <c:v>0.12055000941796949</c:v>
                </c:pt>
                <c:pt idx="1">
                  <c:v>1.6701199221447856E-2</c:v>
                </c:pt>
                <c:pt idx="2">
                  <c:v>1.2620079110943681E-2</c:v>
                </c:pt>
                <c:pt idx="3">
                  <c:v>9.5812142901990333E-2</c:v>
                </c:pt>
                <c:pt idx="4">
                  <c:v>2.0091668236328249E-3</c:v>
                </c:pt>
                <c:pt idx="5">
                  <c:v>1.0673698750549381E-3</c:v>
                </c:pt>
                <c:pt idx="6">
                  <c:v>2.6684246876373455E-2</c:v>
                </c:pt>
                <c:pt idx="7">
                  <c:v>3.0577007597162052E-2</c:v>
                </c:pt>
                <c:pt idx="8">
                  <c:v>8.7273183901550831E-3</c:v>
                </c:pt>
                <c:pt idx="9">
                  <c:v>7.5343755886230932E-4</c:v>
                </c:pt>
                <c:pt idx="10">
                  <c:v>0.68443523576316945</c:v>
                </c:pt>
                <c:pt idx="11">
                  <c:v>6.2786463238525777E-5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966C-49DF-A540-BEECCA775C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E16-490A-B833-4EE796B330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E16-490A-B833-4EE796B330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E16-490A-B833-4EE796B330D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E16-490A-B833-4EE796B330D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E16-490A-B833-4EE796B330D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E16-490A-B833-4EE796B330D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E16-490A-B833-4EE796B330D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E16-490A-B833-4EE796B330D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E16-490A-B833-4EE796B330D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E16-490A-B833-4EE796B330D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EE16-490A-B833-4EE796B330D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EE16-490A-B833-4EE796B330D7}"/>
              </c:ext>
            </c:extLst>
          </c:dPt>
          <c:dLbls>
            <c:dLbl>
              <c:idx val="10"/>
              <c:layout>
                <c:manualLayout>
                  <c:x val="-2.6175304576939715E-2"/>
                  <c:y val="-3.243408000329516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E16-490A-B833-4EE796B330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'22.07 Nateete-Ndeeba'!$C$9:$N$9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'22.07 Nateete-Ndeeba'!$C$60:$N$60</c:f>
              <c:numCache>
                <c:formatCode>0.00%</c:formatCode>
                <c:ptCount val="12"/>
                <c:pt idx="0">
                  <c:v>0.38201352964584162</c:v>
                </c:pt>
                <c:pt idx="1">
                  <c:v>5.2924791086350974E-2</c:v>
                </c:pt>
                <c:pt idx="2">
                  <c:v>3.9992041384799046E-2</c:v>
                </c:pt>
                <c:pt idx="3">
                  <c:v>0.30362116991643456</c:v>
                </c:pt>
                <c:pt idx="4">
                  <c:v>6.366892160764027E-3</c:v>
                </c:pt>
                <c:pt idx="5">
                  <c:v>3.3824114604058893E-3</c:v>
                </c:pt>
                <c:pt idx="6">
                  <c:v>8.4560286510147228E-2</c:v>
                </c:pt>
                <c:pt idx="7">
                  <c:v>9.6896140071627543E-2</c:v>
                </c:pt>
                <c:pt idx="8">
                  <c:v>2.7656187823318742E-2</c:v>
                </c:pt>
                <c:pt idx="9">
                  <c:v>2.3875845602865102E-3</c:v>
                </c:pt>
                <c:pt idx="11">
                  <c:v>1.9896538002387584E-4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E16-490A-B833-4EE796B330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15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'22.07 Ndeeba-Nateete'!$AE$9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'22.07 Ndeeba-Nateete'!$R$10:$R$21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'22.07 Ndeeba-Nateete'!$AE$10:$AE$21</c:f>
              <c:numCache>
                <c:formatCode>0</c:formatCode>
                <c:ptCount val="12"/>
                <c:pt idx="0">
                  <c:v>241</c:v>
                </c:pt>
                <c:pt idx="1">
                  <c:v>282</c:v>
                </c:pt>
                <c:pt idx="2">
                  <c:v>424</c:v>
                </c:pt>
                <c:pt idx="3">
                  <c:v>402</c:v>
                </c:pt>
                <c:pt idx="4">
                  <c:v>276</c:v>
                </c:pt>
                <c:pt idx="5">
                  <c:v>402</c:v>
                </c:pt>
                <c:pt idx="6">
                  <c:v>436</c:v>
                </c:pt>
                <c:pt idx="7">
                  <c:v>426</c:v>
                </c:pt>
                <c:pt idx="8">
                  <c:v>299</c:v>
                </c:pt>
                <c:pt idx="9">
                  <c:v>382</c:v>
                </c:pt>
                <c:pt idx="10">
                  <c:v>466</c:v>
                </c:pt>
                <c:pt idx="11">
                  <c:v>762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89C-45BB-88A7-B65865997A3E}"/>
            </c:ext>
          </c:extLst>
        </c:ser>
        <c:ser>
          <c:idx val="1"/>
          <c:order val="1"/>
          <c:tx>
            <c:strRef>
              <c:f>'22.07 Ndeeba-Nateete'!$AF$9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'22.07 Ndeeba-Nateete'!$R$10:$R$21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'22.07 Ndeeba-Nateete'!$AF$10:$AF$21</c:f>
              <c:numCache>
                <c:formatCode>0</c:formatCode>
                <c:ptCount val="12"/>
                <c:pt idx="0">
                  <c:v>708</c:v>
                </c:pt>
                <c:pt idx="1">
                  <c:v>997</c:v>
                </c:pt>
                <c:pt idx="2">
                  <c:v>1292</c:v>
                </c:pt>
                <c:pt idx="3">
                  <c:v>1079</c:v>
                </c:pt>
                <c:pt idx="4">
                  <c:v>819</c:v>
                </c:pt>
                <c:pt idx="5">
                  <c:v>997</c:v>
                </c:pt>
                <c:pt idx="6">
                  <c:v>1166</c:v>
                </c:pt>
                <c:pt idx="7">
                  <c:v>996</c:v>
                </c:pt>
                <c:pt idx="8">
                  <c:v>634</c:v>
                </c:pt>
                <c:pt idx="9">
                  <c:v>931</c:v>
                </c:pt>
                <c:pt idx="10">
                  <c:v>1036</c:v>
                </c:pt>
                <c:pt idx="11">
                  <c:v>1217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89C-45BB-88A7-B65865997A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3255360"/>
        <c:axId val="613253184"/>
      </c:lineChart>
      <c:catAx>
        <c:axId val="61325536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253184"/>
        <c:crosses val="autoZero"/>
        <c:auto val="1"/>
        <c:lblAlgn val="ctr"/>
        <c:lblOffset val="100"/>
        <c:noMultiLvlLbl val="0"/>
      </c:catAx>
      <c:valAx>
        <c:axId val="61325318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255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8B9-4D32-9FA4-C5B7B71D021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8B9-4D32-9FA4-C5B7B71D021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8B9-4D32-9FA4-C5B7B71D021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8B9-4D32-9FA4-C5B7B71D021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8B9-4D32-9FA4-C5B7B71D021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8B9-4D32-9FA4-C5B7B71D021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8B9-4D32-9FA4-C5B7B71D021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8B9-4D32-9FA4-C5B7B71D021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8B9-4D32-9FA4-C5B7B71D021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8B9-4D32-9FA4-C5B7B71D021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E8B9-4D32-9FA4-C5B7B71D021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E8B9-4D32-9FA4-C5B7B71D021F}"/>
              </c:ext>
            </c:extLst>
          </c:dPt>
          <c:dLbls>
            <c:dLbl>
              <c:idx val="10"/>
              <c:layout>
                <c:manualLayout>
                  <c:x val="-2.6175304576939715E-2"/>
                  <c:y val="-3.243408000329516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8B9-4D32-9FA4-C5B7B71D021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'22.07 Ndeeba-Nateete'!$C$9:$N$9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'22.07 Ndeeba-Nateete'!$C$59:$N$59</c:f>
              <c:numCache>
                <c:formatCode>0.0%</c:formatCode>
                <c:ptCount val="12"/>
                <c:pt idx="0">
                  <c:v>0.10453167115902964</c:v>
                </c:pt>
                <c:pt idx="1">
                  <c:v>3.1839622641509434E-2</c:v>
                </c:pt>
                <c:pt idx="2">
                  <c:v>1.1118598382749326E-2</c:v>
                </c:pt>
                <c:pt idx="3">
                  <c:v>0.17216981132075471</c:v>
                </c:pt>
                <c:pt idx="4">
                  <c:v>2.6111859838274932E-3</c:v>
                </c:pt>
                <c:pt idx="5">
                  <c:v>1.5161725067385444E-3</c:v>
                </c:pt>
                <c:pt idx="6">
                  <c:v>5.0960242587601075E-2</c:v>
                </c:pt>
                <c:pt idx="7">
                  <c:v>2.046832884097035E-2</c:v>
                </c:pt>
                <c:pt idx="8">
                  <c:v>6.6543126684636116E-3</c:v>
                </c:pt>
                <c:pt idx="9">
                  <c:v>2.1900269541778976E-3</c:v>
                </c:pt>
                <c:pt idx="10">
                  <c:v>0.59585579514824794</c:v>
                </c:pt>
                <c:pt idx="11">
                  <c:v>8.4231805929919142E-5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8B9-4D32-9FA4-C5B7B71D02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76"/>
          <c:y val="2.2960226637323739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'22.07 Ndeeba-Nateete'!$S$9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'22.07 Ndeeba-Nateete'!$R$10:$R$21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'22.07 Ndeeba-Nateete'!$S$10:$S$21</c:f>
              <c:numCache>
                <c:formatCode>0</c:formatCode>
                <c:ptCount val="12"/>
                <c:pt idx="0">
                  <c:v>76</c:v>
                </c:pt>
                <c:pt idx="1">
                  <c:v>57</c:v>
                </c:pt>
                <c:pt idx="2">
                  <c:v>123</c:v>
                </c:pt>
                <c:pt idx="3">
                  <c:v>79</c:v>
                </c:pt>
                <c:pt idx="4">
                  <c:v>73</c:v>
                </c:pt>
                <c:pt idx="5">
                  <c:v>125</c:v>
                </c:pt>
                <c:pt idx="6">
                  <c:v>148</c:v>
                </c:pt>
                <c:pt idx="7">
                  <c:v>137</c:v>
                </c:pt>
                <c:pt idx="8">
                  <c:v>107</c:v>
                </c:pt>
                <c:pt idx="9">
                  <c:v>104</c:v>
                </c:pt>
                <c:pt idx="10">
                  <c:v>85</c:v>
                </c:pt>
                <c:pt idx="11">
                  <c:v>127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651-40BE-9A1E-5B6943FE144C}"/>
            </c:ext>
          </c:extLst>
        </c:ser>
        <c:ser>
          <c:idx val="1"/>
          <c:order val="1"/>
          <c:tx>
            <c:strRef>
              <c:f>'22.07 Ndeeba-Nateete'!$T$9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'22.07 Ndeeba-Nateete'!$R$10:$R$21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'22.07 Ndeeba-Nateete'!$T$10:$T$21</c:f>
              <c:numCache>
                <c:formatCode>0</c:formatCode>
                <c:ptCount val="12"/>
                <c:pt idx="0">
                  <c:v>7</c:v>
                </c:pt>
                <c:pt idx="1">
                  <c:v>28</c:v>
                </c:pt>
                <c:pt idx="2">
                  <c:v>19</c:v>
                </c:pt>
                <c:pt idx="3">
                  <c:v>19</c:v>
                </c:pt>
                <c:pt idx="4">
                  <c:v>15</c:v>
                </c:pt>
                <c:pt idx="5">
                  <c:v>14</c:v>
                </c:pt>
                <c:pt idx="6">
                  <c:v>18</c:v>
                </c:pt>
                <c:pt idx="7">
                  <c:v>36</c:v>
                </c:pt>
                <c:pt idx="8">
                  <c:v>60</c:v>
                </c:pt>
                <c:pt idx="9">
                  <c:v>33</c:v>
                </c:pt>
                <c:pt idx="10">
                  <c:v>103</c:v>
                </c:pt>
                <c:pt idx="11">
                  <c:v>26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651-40BE-9A1E-5B6943FE144C}"/>
            </c:ext>
          </c:extLst>
        </c:ser>
        <c:ser>
          <c:idx val="2"/>
          <c:order val="2"/>
          <c:tx>
            <c:strRef>
              <c:f>'22.07 Ndeeba-Nateete'!$U$9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'22.07 Ndeeba-Nateete'!$U$10:$U$21</c:f>
              <c:numCache>
                <c:formatCode>0</c:formatCode>
                <c:ptCount val="12"/>
                <c:pt idx="0">
                  <c:v>11</c:v>
                </c:pt>
                <c:pt idx="1">
                  <c:v>2</c:v>
                </c:pt>
                <c:pt idx="2">
                  <c:v>3</c:v>
                </c:pt>
                <c:pt idx="3">
                  <c:v>7</c:v>
                </c:pt>
                <c:pt idx="4">
                  <c:v>9</c:v>
                </c:pt>
                <c:pt idx="5">
                  <c:v>8</c:v>
                </c:pt>
                <c:pt idx="6">
                  <c:v>9</c:v>
                </c:pt>
                <c:pt idx="7">
                  <c:v>16</c:v>
                </c:pt>
                <c:pt idx="8">
                  <c:v>4</c:v>
                </c:pt>
                <c:pt idx="9">
                  <c:v>20</c:v>
                </c:pt>
                <c:pt idx="10">
                  <c:v>41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651-40BE-9A1E-5B6943FE144C}"/>
            </c:ext>
          </c:extLst>
        </c:ser>
        <c:ser>
          <c:idx val="3"/>
          <c:order val="3"/>
          <c:tx>
            <c:strRef>
              <c:f>'22.07 Ndeeba-Nateete'!$V$9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'22.07 Ndeeba-Nateete'!$V$10:$V$21</c:f>
              <c:numCache>
                <c:formatCode>0</c:formatCode>
                <c:ptCount val="12"/>
                <c:pt idx="0">
                  <c:v>89</c:v>
                </c:pt>
                <c:pt idx="1">
                  <c:v>144</c:v>
                </c:pt>
                <c:pt idx="2">
                  <c:v>221</c:v>
                </c:pt>
                <c:pt idx="3">
                  <c:v>223</c:v>
                </c:pt>
                <c:pt idx="4">
                  <c:v>87</c:v>
                </c:pt>
                <c:pt idx="5">
                  <c:v>150</c:v>
                </c:pt>
                <c:pt idx="6">
                  <c:v>154</c:v>
                </c:pt>
                <c:pt idx="7">
                  <c:v>133</c:v>
                </c:pt>
                <c:pt idx="8">
                  <c:v>74</c:v>
                </c:pt>
                <c:pt idx="9">
                  <c:v>130</c:v>
                </c:pt>
                <c:pt idx="10">
                  <c:v>129</c:v>
                </c:pt>
                <c:pt idx="11">
                  <c:v>510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651-40BE-9A1E-5B6943FE144C}"/>
            </c:ext>
          </c:extLst>
        </c:ser>
        <c:ser>
          <c:idx val="4"/>
          <c:order val="4"/>
          <c:tx>
            <c:strRef>
              <c:f>'22.07 Ndeeba-Nateete'!$W$9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'22.07 Ndeeba-Nateete'!$W$10:$W$21</c:f>
              <c:numCache>
                <c:formatCode>0</c:formatCode>
                <c:ptCount val="12"/>
                <c:pt idx="0">
                  <c:v>3</c:v>
                </c:pt>
                <c:pt idx="1">
                  <c:v>2</c:v>
                </c:pt>
                <c:pt idx="2">
                  <c:v>4</c:v>
                </c:pt>
                <c:pt idx="3">
                  <c:v>4</c:v>
                </c:pt>
                <c:pt idx="4">
                  <c:v>1</c:v>
                </c:pt>
                <c:pt idx="5">
                  <c:v>4</c:v>
                </c:pt>
                <c:pt idx="6">
                  <c:v>0</c:v>
                </c:pt>
                <c:pt idx="7">
                  <c:v>7</c:v>
                </c:pt>
                <c:pt idx="8">
                  <c:v>5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651-40BE-9A1E-5B6943FE144C}"/>
            </c:ext>
          </c:extLst>
        </c:ser>
        <c:ser>
          <c:idx val="5"/>
          <c:order val="5"/>
          <c:tx>
            <c:strRef>
              <c:f>'22.07 Ndeeba-Nateete'!$X$9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'22.07 Ndeeba-Nateete'!$X$10:$X$21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3</c:v>
                </c:pt>
                <c:pt idx="3">
                  <c:v>0</c:v>
                </c:pt>
                <c:pt idx="4">
                  <c:v>3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9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651-40BE-9A1E-5B6943FE144C}"/>
            </c:ext>
          </c:extLst>
        </c:ser>
        <c:ser>
          <c:idx val="6"/>
          <c:order val="6"/>
          <c:tx>
            <c:strRef>
              <c:f>'22.07 Ndeeba-Nateete'!$Y$9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'22.07 Ndeeba-Nateete'!$Y$10:$Y$21</c:f>
              <c:numCache>
                <c:formatCode>0</c:formatCode>
                <c:ptCount val="12"/>
                <c:pt idx="0">
                  <c:v>49</c:v>
                </c:pt>
                <c:pt idx="1">
                  <c:v>28</c:v>
                </c:pt>
                <c:pt idx="2">
                  <c:v>37</c:v>
                </c:pt>
                <c:pt idx="3">
                  <c:v>52</c:v>
                </c:pt>
                <c:pt idx="4">
                  <c:v>78</c:v>
                </c:pt>
                <c:pt idx="5">
                  <c:v>69</c:v>
                </c:pt>
                <c:pt idx="6">
                  <c:v>92</c:v>
                </c:pt>
                <c:pt idx="7">
                  <c:v>44</c:v>
                </c:pt>
                <c:pt idx="8">
                  <c:v>24</c:v>
                </c:pt>
                <c:pt idx="9">
                  <c:v>47</c:v>
                </c:pt>
                <c:pt idx="10">
                  <c:v>44</c:v>
                </c:pt>
                <c:pt idx="11">
                  <c:v>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651-40BE-9A1E-5B6943FE144C}"/>
            </c:ext>
          </c:extLst>
        </c:ser>
        <c:ser>
          <c:idx val="7"/>
          <c:order val="7"/>
          <c:tx>
            <c:strRef>
              <c:f>'22.07 Ndeeba-Nateete'!$Z$9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'22.07 Ndeeba-Nateete'!$Z$10:$Z$21</c:f>
              <c:numCache>
                <c:formatCode>0</c:formatCode>
                <c:ptCount val="12"/>
                <c:pt idx="0">
                  <c:v>2</c:v>
                </c:pt>
                <c:pt idx="1">
                  <c:v>9</c:v>
                </c:pt>
                <c:pt idx="2">
                  <c:v>12</c:v>
                </c:pt>
                <c:pt idx="3">
                  <c:v>11</c:v>
                </c:pt>
                <c:pt idx="4">
                  <c:v>6</c:v>
                </c:pt>
                <c:pt idx="5">
                  <c:v>14</c:v>
                </c:pt>
                <c:pt idx="6">
                  <c:v>15</c:v>
                </c:pt>
                <c:pt idx="7">
                  <c:v>45</c:v>
                </c:pt>
                <c:pt idx="8">
                  <c:v>13</c:v>
                </c:pt>
                <c:pt idx="9">
                  <c:v>33</c:v>
                </c:pt>
                <c:pt idx="10">
                  <c:v>36</c:v>
                </c:pt>
                <c:pt idx="11">
                  <c:v>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651-40BE-9A1E-5B6943FE144C}"/>
            </c:ext>
          </c:extLst>
        </c:ser>
        <c:ser>
          <c:idx val="8"/>
          <c:order val="8"/>
          <c:tx>
            <c:strRef>
              <c:f>'22.07 Ndeeba-Nateete'!$AA$9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'22.07 Ndeeba-Nateete'!$AA$10:$AA$21</c:f>
              <c:numCache>
                <c:formatCode>0</c:formatCode>
                <c:ptCount val="12"/>
                <c:pt idx="0">
                  <c:v>2</c:v>
                </c:pt>
                <c:pt idx="1">
                  <c:v>11</c:v>
                </c:pt>
                <c:pt idx="2">
                  <c:v>2</c:v>
                </c:pt>
                <c:pt idx="3">
                  <c:v>6</c:v>
                </c:pt>
                <c:pt idx="4">
                  <c:v>4</c:v>
                </c:pt>
                <c:pt idx="5">
                  <c:v>11</c:v>
                </c:pt>
                <c:pt idx="6">
                  <c:v>0</c:v>
                </c:pt>
                <c:pt idx="7">
                  <c:v>5</c:v>
                </c:pt>
                <c:pt idx="8">
                  <c:v>9</c:v>
                </c:pt>
                <c:pt idx="9">
                  <c:v>8</c:v>
                </c:pt>
                <c:pt idx="10">
                  <c:v>14</c:v>
                </c:pt>
                <c:pt idx="11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651-40BE-9A1E-5B6943FE144C}"/>
            </c:ext>
          </c:extLst>
        </c:ser>
        <c:ser>
          <c:idx val="9"/>
          <c:order val="9"/>
          <c:tx>
            <c:strRef>
              <c:f>'22.07 Ndeeba-Nateete'!$AB$9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'22.07 Ndeeba-Nateete'!$AB$10:$AB$21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5</c:v>
                </c:pt>
                <c:pt idx="6">
                  <c:v>0</c:v>
                </c:pt>
                <c:pt idx="7">
                  <c:v>3</c:v>
                </c:pt>
                <c:pt idx="8">
                  <c:v>2</c:v>
                </c:pt>
                <c:pt idx="9">
                  <c:v>7</c:v>
                </c:pt>
                <c:pt idx="10">
                  <c:v>4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651-40BE-9A1E-5B6943FE144C}"/>
            </c:ext>
          </c:extLst>
        </c:ser>
        <c:ser>
          <c:idx val="10"/>
          <c:order val="10"/>
          <c:tx>
            <c:strRef>
              <c:f>'22.07 Ndeeba-Nateete'!$AC$9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'22.07 Ndeeba-Nateete'!$AC$10:$AC$21</c:f>
              <c:numCache>
                <c:formatCode>0</c:formatCode>
                <c:ptCount val="12"/>
                <c:pt idx="0">
                  <c:v>467</c:v>
                </c:pt>
                <c:pt idx="1">
                  <c:v>715</c:v>
                </c:pt>
                <c:pt idx="2">
                  <c:v>868</c:v>
                </c:pt>
                <c:pt idx="3">
                  <c:v>677</c:v>
                </c:pt>
                <c:pt idx="4">
                  <c:v>543</c:v>
                </c:pt>
                <c:pt idx="5">
                  <c:v>595</c:v>
                </c:pt>
                <c:pt idx="6">
                  <c:v>730</c:v>
                </c:pt>
                <c:pt idx="7">
                  <c:v>570</c:v>
                </c:pt>
                <c:pt idx="8">
                  <c:v>335</c:v>
                </c:pt>
                <c:pt idx="9">
                  <c:v>549</c:v>
                </c:pt>
                <c:pt idx="10">
                  <c:v>570</c:v>
                </c:pt>
                <c:pt idx="11">
                  <c:v>455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651-40BE-9A1E-5B6943FE144C}"/>
            </c:ext>
          </c:extLst>
        </c:ser>
        <c:ser>
          <c:idx val="11"/>
          <c:order val="11"/>
          <c:tx>
            <c:strRef>
              <c:f>'22.07 Ndeeba-Nateete'!$AD$9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'22.07 Ndeeba-Nateete'!$AD$10:$AD$21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651-40BE-9A1E-5B6943FE14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3255904"/>
        <c:axId val="613256448"/>
      </c:lineChart>
      <c:catAx>
        <c:axId val="613255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256448"/>
        <c:crosses val="autoZero"/>
        <c:auto val="1"/>
        <c:lblAlgn val="ctr"/>
        <c:lblOffset val="100"/>
        <c:noMultiLvlLbl val="0"/>
      </c:catAx>
      <c:valAx>
        <c:axId val="613256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255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F2F-4319-A1B1-A94A163849D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F2F-4319-A1B1-A94A163849D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F2F-4319-A1B1-A94A163849D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F2F-4319-A1B1-A94A163849D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F2F-4319-A1B1-A94A163849D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F2F-4319-A1B1-A94A163849D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F2F-4319-A1B1-A94A163849D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F2F-4319-A1B1-A94A163849D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F2F-4319-A1B1-A94A163849D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F2F-4319-A1B1-A94A163849D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F2F-4319-A1B1-A94A163849D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F2F-4319-A1B1-A94A163849D9}"/>
              </c:ext>
            </c:extLst>
          </c:dPt>
          <c:dLbls>
            <c:dLbl>
              <c:idx val="10"/>
              <c:layout>
                <c:manualLayout>
                  <c:x val="-2.6175304576939715E-2"/>
                  <c:y val="-3.243408000329516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F2F-4319-A1B1-A94A163849D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'22.07 Ndeeba-Nateete'!$C$9:$N$9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'22.07 Ndeeba-Nateete'!$C$60:$N$60</c:f>
              <c:numCache>
                <c:formatCode>0.00%</c:formatCode>
                <c:ptCount val="12"/>
                <c:pt idx="0">
                  <c:v>0.2586494372655273</c:v>
                </c:pt>
                <c:pt idx="1">
                  <c:v>7.8782826177573984E-2</c:v>
                </c:pt>
                <c:pt idx="2">
                  <c:v>2.7511463109629011E-2</c:v>
                </c:pt>
                <c:pt idx="3">
                  <c:v>0.42601083784910382</c:v>
                </c:pt>
                <c:pt idx="4">
                  <c:v>6.4610254272613587E-3</c:v>
                </c:pt>
                <c:pt idx="5">
                  <c:v>3.751563151313047E-3</c:v>
                </c:pt>
                <c:pt idx="6">
                  <c:v>0.12609420591913298</c:v>
                </c:pt>
                <c:pt idx="7">
                  <c:v>5.0646102542726133E-2</c:v>
                </c:pt>
                <c:pt idx="8">
                  <c:v>1.6465193830762819E-2</c:v>
                </c:pt>
                <c:pt idx="9">
                  <c:v>5.4189245518966233E-3</c:v>
                </c:pt>
                <c:pt idx="11">
                  <c:v>2.0842017507294707E-4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F2F-4319-A1B1-A94A163849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15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'23.07 Nateete-Ndeeba'!$AE$9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'23.07 Nateete-Ndeeba'!$R$10:$R$21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'23.07 Nateete-Ndeeba'!$AE$10:$AE$21</c:f>
              <c:numCache>
                <c:formatCode>0</c:formatCode>
                <c:ptCount val="12"/>
                <c:pt idx="0">
                  <c:v>205</c:v>
                </c:pt>
                <c:pt idx="1">
                  <c:v>318</c:v>
                </c:pt>
                <c:pt idx="2">
                  <c:v>409</c:v>
                </c:pt>
                <c:pt idx="3">
                  <c:v>340</c:v>
                </c:pt>
                <c:pt idx="4">
                  <c:v>580</c:v>
                </c:pt>
                <c:pt idx="5">
                  <c:v>376</c:v>
                </c:pt>
                <c:pt idx="6">
                  <c:v>482</c:v>
                </c:pt>
                <c:pt idx="7">
                  <c:v>346</c:v>
                </c:pt>
                <c:pt idx="8">
                  <c:v>367</c:v>
                </c:pt>
                <c:pt idx="9">
                  <c:v>378</c:v>
                </c:pt>
                <c:pt idx="10">
                  <c:v>345</c:v>
                </c:pt>
                <c:pt idx="11">
                  <c:v>490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6D6-4B77-8026-30DBF41B753F}"/>
            </c:ext>
          </c:extLst>
        </c:ser>
        <c:ser>
          <c:idx val="1"/>
          <c:order val="1"/>
          <c:tx>
            <c:strRef>
              <c:f>'23.07 Nateete-Ndeeba'!$AF$9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'23.07 Nateete-Ndeeba'!$R$10:$R$21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'23.07 Nateete-Ndeeba'!$AF$10:$AF$21</c:f>
              <c:numCache>
                <c:formatCode>0</c:formatCode>
                <c:ptCount val="12"/>
                <c:pt idx="0">
                  <c:v>797</c:v>
                </c:pt>
                <c:pt idx="1">
                  <c:v>1127</c:v>
                </c:pt>
                <c:pt idx="2">
                  <c:v>1142</c:v>
                </c:pt>
                <c:pt idx="3">
                  <c:v>1153</c:v>
                </c:pt>
                <c:pt idx="4">
                  <c:v>1400</c:v>
                </c:pt>
                <c:pt idx="5">
                  <c:v>973</c:v>
                </c:pt>
                <c:pt idx="6">
                  <c:v>939</c:v>
                </c:pt>
                <c:pt idx="7">
                  <c:v>939</c:v>
                </c:pt>
                <c:pt idx="8">
                  <c:v>990</c:v>
                </c:pt>
                <c:pt idx="9">
                  <c:v>1126</c:v>
                </c:pt>
                <c:pt idx="10">
                  <c:v>1141</c:v>
                </c:pt>
                <c:pt idx="11">
                  <c:v>1356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6D6-4B77-8026-30DBF41B75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3246112"/>
        <c:axId val="613246656"/>
      </c:lineChart>
      <c:catAx>
        <c:axId val="61324611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246656"/>
        <c:crosses val="autoZero"/>
        <c:auto val="1"/>
        <c:lblAlgn val="ctr"/>
        <c:lblOffset val="100"/>
        <c:noMultiLvlLbl val="0"/>
      </c:catAx>
      <c:valAx>
        <c:axId val="6132466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246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5BA-447C-A3CB-236E1F2B31F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5BA-447C-A3CB-236E1F2B31F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5BA-447C-A3CB-236E1F2B31F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5BA-447C-A3CB-236E1F2B31F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5BA-447C-A3CB-236E1F2B31F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5BA-447C-A3CB-236E1F2B31F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5BA-447C-A3CB-236E1F2B31F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5BA-447C-A3CB-236E1F2B31F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5BA-447C-A3CB-236E1F2B31F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5BA-447C-A3CB-236E1F2B31F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F5BA-447C-A3CB-236E1F2B31F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F5BA-447C-A3CB-236E1F2B31F3}"/>
              </c:ext>
            </c:extLst>
          </c:dPt>
          <c:dLbls>
            <c:dLbl>
              <c:idx val="10"/>
              <c:layout>
                <c:manualLayout>
                  <c:x val="-2.6175304576939715E-2"/>
                  <c:y val="-3.243408000329516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5BA-447C-A3CB-236E1F2B31F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'23.07 Nateete-Ndeeba'!$C$9:$N$9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'23.07 Nateete-Ndeeba'!$C$59:$N$59</c:f>
              <c:numCache>
                <c:formatCode>0.0%</c:formatCode>
                <c:ptCount val="12"/>
                <c:pt idx="0">
                  <c:v>8.5377971413284418E-2</c:v>
                </c:pt>
                <c:pt idx="1">
                  <c:v>3.2408469005579761E-2</c:v>
                </c:pt>
                <c:pt idx="2">
                  <c:v>1.7656500802568219E-2</c:v>
                </c:pt>
                <c:pt idx="3">
                  <c:v>0.12328976534433998</c:v>
                </c:pt>
                <c:pt idx="4">
                  <c:v>1.8344416418252694E-3</c:v>
                </c:pt>
                <c:pt idx="5">
                  <c:v>6.114805472750898E-4</c:v>
                </c:pt>
                <c:pt idx="6">
                  <c:v>5.2510891997248337E-2</c:v>
                </c:pt>
                <c:pt idx="7">
                  <c:v>2.5911488190781932E-2</c:v>
                </c:pt>
                <c:pt idx="8">
                  <c:v>6.8791561568447603E-3</c:v>
                </c:pt>
                <c:pt idx="9">
                  <c:v>7.7199419093480085E-3</c:v>
                </c:pt>
                <c:pt idx="10">
                  <c:v>0.64564702285408548</c:v>
                </c:pt>
                <c:pt idx="11">
                  <c:v>1.5287013681877245E-4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5BA-447C-A3CB-236E1F2B3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76"/>
          <c:y val="2.2960226637323739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'23.07 Nateete-Ndeeba'!$S$9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'23.07 Nateete-Ndeeba'!$R$10:$R$21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'23.07 Nateete-Ndeeba'!$S$10:$S$21</c:f>
              <c:numCache>
                <c:formatCode>0</c:formatCode>
                <c:ptCount val="12"/>
                <c:pt idx="0">
                  <c:v>49</c:v>
                </c:pt>
                <c:pt idx="1">
                  <c:v>36</c:v>
                </c:pt>
                <c:pt idx="2">
                  <c:v>59</c:v>
                </c:pt>
                <c:pt idx="3">
                  <c:v>45</c:v>
                </c:pt>
                <c:pt idx="4">
                  <c:v>132</c:v>
                </c:pt>
                <c:pt idx="5">
                  <c:v>129</c:v>
                </c:pt>
                <c:pt idx="6">
                  <c:v>162</c:v>
                </c:pt>
                <c:pt idx="7">
                  <c:v>85</c:v>
                </c:pt>
                <c:pt idx="8">
                  <c:v>95</c:v>
                </c:pt>
                <c:pt idx="9">
                  <c:v>106</c:v>
                </c:pt>
                <c:pt idx="10">
                  <c:v>84</c:v>
                </c:pt>
                <c:pt idx="11">
                  <c:v>135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D54-447E-B68D-E1368766DED9}"/>
            </c:ext>
          </c:extLst>
        </c:ser>
        <c:ser>
          <c:idx val="1"/>
          <c:order val="1"/>
          <c:tx>
            <c:strRef>
              <c:f>'23.07 Nateete-Ndeeba'!$T$9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'23.07 Nateete-Ndeeba'!$R$10:$R$21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'23.07 Nateete-Ndeeba'!$T$10:$T$21</c:f>
              <c:numCache>
                <c:formatCode>0</c:formatCode>
                <c:ptCount val="12"/>
                <c:pt idx="0">
                  <c:v>15</c:v>
                </c:pt>
                <c:pt idx="1">
                  <c:v>63</c:v>
                </c:pt>
                <c:pt idx="2">
                  <c:v>36</c:v>
                </c:pt>
                <c:pt idx="3">
                  <c:v>38</c:v>
                </c:pt>
                <c:pt idx="4">
                  <c:v>82</c:v>
                </c:pt>
                <c:pt idx="5">
                  <c:v>24</c:v>
                </c:pt>
                <c:pt idx="6">
                  <c:v>29</c:v>
                </c:pt>
                <c:pt idx="7">
                  <c:v>22</c:v>
                </c:pt>
                <c:pt idx="8">
                  <c:v>27</c:v>
                </c:pt>
                <c:pt idx="9">
                  <c:v>23</c:v>
                </c:pt>
                <c:pt idx="10">
                  <c:v>21</c:v>
                </c:pt>
                <c:pt idx="11">
                  <c:v>44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D54-447E-B68D-E1368766DED9}"/>
            </c:ext>
          </c:extLst>
        </c:ser>
        <c:ser>
          <c:idx val="2"/>
          <c:order val="2"/>
          <c:tx>
            <c:strRef>
              <c:f>'23.07 Nateete-Ndeeba'!$U$9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'23.07 Nateete-Ndeeba'!$U$10:$U$21</c:f>
              <c:numCache>
                <c:formatCode>0</c:formatCode>
                <c:ptCount val="12"/>
                <c:pt idx="0">
                  <c:v>5</c:v>
                </c:pt>
                <c:pt idx="1">
                  <c:v>13</c:v>
                </c:pt>
                <c:pt idx="2">
                  <c:v>11</c:v>
                </c:pt>
                <c:pt idx="3">
                  <c:v>25</c:v>
                </c:pt>
                <c:pt idx="4">
                  <c:v>19</c:v>
                </c:pt>
                <c:pt idx="5">
                  <c:v>12</c:v>
                </c:pt>
                <c:pt idx="6">
                  <c:v>17</c:v>
                </c:pt>
                <c:pt idx="7">
                  <c:v>24</c:v>
                </c:pt>
                <c:pt idx="8">
                  <c:v>25</c:v>
                </c:pt>
                <c:pt idx="9">
                  <c:v>31</c:v>
                </c:pt>
                <c:pt idx="10">
                  <c:v>24</c:v>
                </c:pt>
                <c:pt idx="11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54-447E-B68D-E1368766DED9}"/>
            </c:ext>
          </c:extLst>
        </c:ser>
        <c:ser>
          <c:idx val="3"/>
          <c:order val="3"/>
          <c:tx>
            <c:strRef>
              <c:f>'23.07 Nateete-Ndeeba'!$V$9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'23.07 Nateete-Ndeeba'!$V$10:$V$21</c:f>
              <c:numCache>
                <c:formatCode>0</c:formatCode>
                <c:ptCount val="12"/>
                <c:pt idx="0">
                  <c:v>84</c:v>
                </c:pt>
                <c:pt idx="1">
                  <c:v>160</c:v>
                </c:pt>
                <c:pt idx="2">
                  <c:v>215</c:v>
                </c:pt>
                <c:pt idx="3">
                  <c:v>130</c:v>
                </c:pt>
                <c:pt idx="4">
                  <c:v>209</c:v>
                </c:pt>
                <c:pt idx="5">
                  <c:v>100</c:v>
                </c:pt>
                <c:pt idx="6">
                  <c:v>135</c:v>
                </c:pt>
                <c:pt idx="7">
                  <c:v>112</c:v>
                </c:pt>
                <c:pt idx="8">
                  <c:v>108</c:v>
                </c:pt>
                <c:pt idx="9">
                  <c:v>95</c:v>
                </c:pt>
                <c:pt idx="10">
                  <c:v>121</c:v>
                </c:pt>
                <c:pt idx="11">
                  <c:v>144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D54-447E-B68D-E1368766DED9}"/>
            </c:ext>
          </c:extLst>
        </c:ser>
        <c:ser>
          <c:idx val="4"/>
          <c:order val="4"/>
          <c:tx>
            <c:strRef>
              <c:f>'23.07 Nateete-Ndeeba'!$W$9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'23.07 Nateete-Ndeeba'!$W$10:$W$21</c:f>
              <c:numCache>
                <c:formatCode>0</c:formatCode>
                <c:ptCount val="12"/>
                <c:pt idx="0">
                  <c:v>1</c:v>
                </c:pt>
                <c:pt idx="1">
                  <c:v>4</c:v>
                </c:pt>
                <c:pt idx="2">
                  <c:v>1</c:v>
                </c:pt>
                <c:pt idx="3">
                  <c:v>2</c:v>
                </c:pt>
                <c:pt idx="4">
                  <c:v>5</c:v>
                </c:pt>
                <c:pt idx="5">
                  <c:v>0</c:v>
                </c:pt>
                <c:pt idx="6">
                  <c:v>2</c:v>
                </c:pt>
                <c:pt idx="7">
                  <c:v>7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D54-447E-B68D-E1368766DED9}"/>
            </c:ext>
          </c:extLst>
        </c:ser>
        <c:ser>
          <c:idx val="5"/>
          <c:order val="5"/>
          <c:tx>
            <c:strRef>
              <c:f>'23.07 Nateete-Ndeeba'!$X$9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'23.07 Nateete-Ndeeba'!$X$10:$X$21</c:f>
              <c:numCache>
                <c:formatCode>0</c:formatCode>
                <c:ptCount val="12"/>
                <c:pt idx="0">
                  <c:v>1</c:v>
                </c:pt>
                <c:pt idx="1">
                  <c:v>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D54-447E-B68D-E1368766DED9}"/>
            </c:ext>
          </c:extLst>
        </c:ser>
        <c:ser>
          <c:idx val="6"/>
          <c:order val="6"/>
          <c:tx>
            <c:strRef>
              <c:f>'23.07 Nateete-Ndeeba'!$Y$9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'23.07 Nateete-Ndeeba'!$Y$10:$Y$21</c:f>
              <c:numCache>
                <c:formatCode>0</c:formatCode>
                <c:ptCount val="12"/>
                <c:pt idx="0">
                  <c:v>37</c:v>
                </c:pt>
                <c:pt idx="1">
                  <c:v>28</c:v>
                </c:pt>
                <c:pt idx="2">
                  <c:v>62</c:v>
                </c:pt>
                <c:pt idx="3">
                  <c:v>44</c:v>
                </c:pt>
                <c:pt idx="4">
                  <c:v>81</c:v>
                </c:pt>
                <c:pt idx="5">
                  <c:v>57</c:v>
                </c:pt>
                <c:pt idx="6">
                  <c:v>97</c:v>
                </c:pt>
                <c:pt idx="7">
                  <c:v>57</c:v>
                </c:pt>
                <c:pt idx="8">
                  <c:v>63</c:v>
                </c:pt>
                <c:pt idx="9">
                  <c:v>55</c:v>
                </c:pt>
                <c:pt idx="10">
                  <c:v>48</c:v>
                </c:pt>
                <c:pt idx="11">
                  <c:v>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D54-447E-B68D-E1368766DED9}"/>
            </c:ext>
          </c:extLst>
        </c:ser>
        <c:ser>
          <c:idx val="7"/>
          <c:order val="7"/>
          <c:tx>
            <c:strRef>
              <c:f>'23.07 Nateete-Ndeeba'!$Z$9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'23.07 Nateete-Ndeeba'!$Z$10:$Z$21</c:f>
              <c:numCache>
                <c:formatCode>0</c:formatCode>
                <c:ptCount val="12"/>
                <c:pt idx="0">
                  <c:v>5</c:v>
                </c:pt>
                <c:pt idx="1">
                  <c:v>6</c:v>
                </c:pt>
                <c:pt idx="2">
                  <c:v>17</c:v>
                </c:pt>
                <c:pt idx="3">
                  <c:v>36</c:v>
                </c:pt>
                <c:pt idx="4">
                  <c:v>32</c:v>
                </c:pt>
                <c:pt idx="5">
                  <c:v>24</c:v>
                </c:pt>
                <c:pt idx="6">
                  <c:v>25</c:v>
                </c:pt>
                <c:pt idx="7">
                  <c:v>22</c:v>
                </c:pt>
                <c:pt idx="8">
                  <c:v>29</c:v>
                </c:pt>
                <c:pt idx="9">
                  <c:v>59</c:v>
                </c:pt>
                <c:pt idx="10">
                  <c:v>39</c:v>
                </c:pt>
                <c:pt idx="11">
                  <c:v>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D54-447E-B68D-E1368766DED9}"/>
            </c:ext>
          </c:extLst>
        </c:ser>
        <c:ser>
          <c:idx val="8"/>
          <c:order val="8"/>
          <c:tx>
            <c:strRef>
              <c:f>'23.07 Nateete-Ndeeba'!$AA$9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'23.07 Nateete-Ndeeba'!$AA$10:$AA$21</c:f>
              <c:numCache>
                <c:formatCode>0</c:formatCode>
                <c:ptCount val="12"/>
                <c:pt idx="0">
                  <c:v>4</c:v>
                </c:pt>
                <c:pt idx="1">
                  <c:v>3</c:v>
                </c:pt>
                <c:pt idx="2">
                  <c:v>6</c:v>
                </c:pt>
                <c:pt idx="3">
                  <c:v>6</c:v>
                </c:pt>
                <c:pt idx="4">
                  <c:v>8</c:v>
                </c:pt>
                <c:pt idx="5">
                  <c:v>13</c:v>
                </c:pt>
                <c:pt idx="6">
                  <c:v>5</c:v>
                </c:pt>
                <c:pt idx="7">
                  <c:v>11</c:v>
                </c:pt>
                <c:pt idx="8">
                  <c:v>2</c:v>
                </c:pt>
                <c:pt idx="9">
                  <c:v>5</c:v>
                </c:pt>
                <c:pt idx="10">
                  <c:v>2</c:v>
                </c:pt>
                <c:pt idx="11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D54-447E-B68D-E1368766DED9}"/>
            </c:ext>
          </c:extLst>
        </c:ser>
        <c:ser>
          <c:idx val="9"/>
          <c:order val="9"/>
          <c:tx>
            <c:strRef>
              <c:f>'23.07 Nateete-Ndeeba'!$AB$9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'23.07 Nateete-Ndeeba'!$AB$10:$AB$21</c:f>
              <c:numCache>
                <c:formatCode>0</c:formatCode>
                <c:ptCount val="12"/>
                <c:pt idx="0">
                  <c:v>4</c:v>
                </c:pt>
                <c:pt idx="1">
                  <c:v>2</c:v>
                </c:pt>
                <c:pt idx="2">
                  <c:v>2</c:v>
                </c:pt>
                <c:pt idx="3">
                  <c:v>12</c:v>
                </c:pt>
                <c:pt idx="4">
                  <c:v>12</c:v>
                </c:pt>
                <c:pt idx="5">
                  <c:v>17</c:v>
                </c:pt>
                <c:pt idx="6">
                  <c:v>10</c:v>
                </c:pt>
                <c:pt idx="7">
                  <c:v>6</c:v>
                </c:pt>
                <c:pt idx="8">
                  <c:v>14</c:v>
                </c:pt>
                <c:pt idx="9">
                  <c:v>4</c:v>
                </c:pt>
                <c:pt idx="10">
                  <c:v>6</c:v>
                </c:pt>
                <c:pt idx="11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D54-447E-B68D-E1368766DED9}"/>
            </c:ext>
          </c:extLst>
        </c:ser>
        <c:ser>
          <c:idx val="10"/>
          <c:order val="10"/>
          <c:tx>
            <c:strRef>
              <c:f>'23.07 Nateete-Ndeeba'!$AC$9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'23.07 Nateete-Ndeeba'!$AC$10:$AC$21</c:f>
              <c:numCache>
                <c:formatCode>0</c:formatCode>
                <c:ptCount val="12"/>
                <c:pt idx="0">
                  <c:v>592</c:v>
                </c:pt>
                <c:pt idx="1">
                  <c:v>809</c:v>
                </c:pt>
                <c:pt idx="2">
                  <c:v>733</c:v>
                </c:pt>
                <c:pt idx="3">
                  <c:v>813</c:v>
                </c:pt>
                <c:pt idx="4">
                  <c:v>820</c:v>
                </c:pt>
                <c:pt idx="5">
                  <c:v>597</c:v>
                </c:pt>
                <c:pt idx="6">
                  <c:v>457</c:v>
                </c:pt>
                <c:pt idx="7">
                  <c:v>593</c:v>
                </c:pt>
                <c:pt idx="8">
                  <c:v>623</c:v>
                </c:pt>
                <c:pt idx="9">
                  <c:v>748</c:v>
                </c:pt>
                <c:pt idx="10">
                  <c:v>796</c:v>
                </c:pt>
                <c:pt idx="11">
                  <c:v>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D54-447E-B68D-E1368766DED9}"/>
            </c:ext>
          </c:extLst>
        </c:ser>
        <c:ser>
          <c:idx val="11"/>
          <c:order val="11"/>
          <c:tx>
            <c:strRef>
              <c:f>'23.07 Nateete-Ndeeba'!$AD$9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'23.07 Nateete-Ndeeba'!$AD$10:$AD$21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D54-447E-B68D-E1368766DE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2460032"/>
        <c:axId val="672451328"/>
      </c:lineChart>
      <c:catAx>
        <c:axId val="672460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72451328"/>
        <c:crosses val="autoZero"/>
        <c:auto val="1"/>
        <c:lblAlgn val="ctr"/>
        <c:lblOffset val="100"/>
        <c:noMultiLvlLbl val="0"/>
      </c:catAx>
      <c:valAx>
        <c:axId val="67245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72460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B73-46DF-8DE2-8B27C2F90D1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B73-46DF-8DE2-8B27C2F90D1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B73-46DF-8DE2-8B27C2F90D1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B73-46DF-8DE2-8B27C2F90D1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B73-46DF-8DE2-8B27C2F90D1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B73-46DF-8DE2-8B27C2F90D1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B73-46DF-8DE2-8B27C2F90D1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B73-46DF-8DE2-8B27C2F90D1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B73-46DF-8DE2-8B27C2F90D1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B73-46DF-8DE2-8B27C2F90D1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B73-46DF-8DE2-8B27C2F90D1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B73-46DF-8DE2-8B27C2F90D10}"/>
              </c:ext>
            </c:extLst>
          </c:dPt>
          <c:dLbls>
            <c:dLbl>
              <c:idx val="10"/>
              <c:layout>
                <c:manualLayout>
                  <c:x val="-2.6175304576939715E-2"/>
                  <c:y val="-3.243408000329516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B73-46DF-8DE2-8B27C2F90D1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'23.07 Nateete-Ndeeba'!$C$9:$N$9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'23.07 Nateete-Ndeeba'!$C$60:$N$60</c:f>
              <c:numCache>
                <c:formatCode>0.00%</c:formatCode>
                <c:ptCount val="12"/>
                <c:pt idx="0">
                  <c:v>0.24094046591889559</c:v>
                </c:pt>
                <c:pt idx="1">
                  <c:v>9.1458153580672996E-2</c:v>
                </c:pt>
                <c:pt idx="2">
                  <c:v>4.9827437446074201E-2</c:v>
                </c:pt>
                <c:pt idx="3">
                  <c:v>0.34792924935289044</c:v>
                </c:pt>
                <c:pt idx="4">
                  <c:v>5.1768766177739426E-3</c:v>
                </c:pt>
                <c:pt idx="5">
                  <c:v>1.7256255392579811E-3</c:v>
                </c:pt>
                <c:pt idx="6">
                  <c:v>0.14818809318377912</c:v>
                </c:pt>
                <c:pt idx="7">
                  <c:v>7.3123382226056952E-2</c:v>
                </c:pt>
                <c:pt idx="8">
                  <c:v>1.9413287316652286E-2</c:v>
                </c:pt>
                <c:pt idx="9">
                  <c:v>2.1786022433132012E-2</c:v>
                </c:pt>
                <c:pt idx="11">
                  <c:v>4.3140638481449527E-4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B73-46DF-8DE2-8B27C2F90D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15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'23.07 Ndeeba-Nateete'!$AE$9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'23.07 Ndeeba-Nateete'!$R$10:$R$21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'23.07 Ndeeba-Nateete'!$AE$10:$AE$21</c:f>
              <c:numCache>
                <c:formatCode>0</c:formatCode>
                <c:ptCount val="12"/>
                <c:pt idx="0">
                  <c:v>396</c:v>
                </c:pt>
                <c:pt idx="1">
                  <c:v>448</c:v>
                </c:pt>
                <c:pt idx="2">
                  <c:v>432</c:v>
                </c:pt>
                <c:pt idx="3">
                  <c:v>459</c:v>
                </c:pt>
                <c:pt idx="4">
                  <c:v>424</c:v>
                </c:pt>
                <c:pt idx="5">
                  <c:v>446</c:v>
                </c:pt>
                <c:pt idx="6">
                  <c:v>369</c:v>
                </c:pt>
                <c:pt idx="7">
                  <c:v>413</c:v>
                </c:pt>
                <c:pt idx="8">
                  <c:v>441</c:v>
                </c:pt>
                <c:pt idx="9">
                  <c:v>447</c:v>
                </c:pt>
                <c:pt idx="10">
                  <c:v>428</c:v>
                </c:pt>
                <c:pt idx="11">
                  <c:v>374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D5F-499C-8247-FFF3D6EFDA44}"/>
            </c:ext>
          </c:extLst>
        </c:ser>
        <c:ser>
          <c:idx val="1"/>
          <c:order val="1"/>
          <c:tx>
            <c:strRef>
              <c:f>'23.07 Ndeeba-Nateete'!$AF$9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'23.07 Ndeeba-Nateete'!$R$10:$R$21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'23.07 Ndeeba-Nateete'!$AF$10:$AF$21</c:f>
              <c:numCache>
                <c:formatCode>0</c:formatCode>
                <c:ptCount val="12"/>
                <c:pt idx="0">
                  <c:v>1416</c:v>
                </c:pt>
                <c:pt idx="1">
                  <c:v>1368</c:v>
                </c:pt>
                <c:pt idx="2">
                  <c:v>1427</c:v>
                </c:pt>
                <c:pt idx="3">
                  <c:v>1374</c:v>
                </c:pt>
                <c:pt idx="4">
                  <c:v>1434</c:v>
                </c:pt>
                <c:pt idx="5">
                  <c:v>1231</c:v>
                </c:pt>
                <c:pt idx="6">
                  <c:v>1154</c:v>
                </c:pt>
                <c:pt idx="7">
                  <c:v>1238</c:v>
                </c:pt>
                <c:pt idx="8">
                  <c:v>1241</c:v>
                </c:pt>
                <c:pt idx="9">
                  <c:v>1087</c:v>
                </c:pt>
                <c:pt idx="10">
                  <c:v>1173</c:v>
                </c:pt>
                <c:pt idx="11">
                  <c:v>1329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D5F-499C-8247-FFF3D6EFDA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72457856"/>
        <c:axId val="672454048"/>
      </c:lineChart>
      <c:catAx>
        <c:axId val="67245785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72454048"/>
        <c:crosses val="autoZero"/>
        <c:auto val="1"/>
        <c:lblAlgn val="ctr"/>
        <c:lblOffset val="100"/>
        <c:noMultiLvlLbl val="0"/>
      </c:catAx>
      <c:valAx>
        <c:axId val="67245404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72457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AD9-43D2-B994-F66788B4CE1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AD9-43D2-B994-F66788B4CE1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AD9-43D2-B994-F66788B4CE1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AD9-43D2-B994-F66788B4CE1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AD9-43D2-B994-F66788B4CE1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AD9-43D2-B994-F66788B4CE1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AD9-43D2-B994-F66788B4CE1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AD9-43D2-B994-F66788B4CE1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AD9-43D2-B994-F66788B4CE1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AD9-43D2-B994-F66788B4CE1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AD9-43D2-B994-F66788B4CE1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AD9-43D2-B994-F66788B4CE12}"/>
              </c:ext>
            </c:extLst>
          </c:dPt>
          <c:dLbls>
            <c:dLbl>
              <c:idx val="10"/>
              <c:layout>
                <c:manualLayout>
                  <c:x val="-2.6175304576939715E-2"/>
                  <c:y val="-3.243408000329516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AD9-43D2-B994-F66788B4CE1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'23.07 Ndeeba-Nateete'!$C$9:$N$9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'23.07 Ndeeba-Nateete'!$C$59:$N$59</c:f>
              <c:numCache>
                <c:formatCode>0.0%</c:formatCode>
                <c:ptCount val="12"/>
                <c:pt idx="0">
                  <c:v>0.1265511892450879</c:v>
                </c:pt>
                <c:pt idx="1">
                  <c:v>1.9002068252326785E-2</c:v>
                </c:pt>
                <c:pt idx="2">
                  <c:v>1.2861944157187177E-2</c:v>
                </c:pt>
                <c:pt idx="3">
                  <c:v>0.10334798345398138</c:v>
                </c:pt>
                <c:pt idx="4">
                  <c:v>3.5548086866597725E-3</c:v>
                </c:pt>
                <c:pt idx="5">
                  <c:v>5.1706308169596695E-4</c:v>
                </c:pt>
                <c:pt idx="6">
                  <c:v>1.9454498448810757E-2</c:v>
                </c:pt>
                <c:pt idx="7">
                  <c:v>3.4190796277145809E-2</c:v>
                </c:pt>
                <c:pt idx="8">
                  <c:v>7.2388831437435368E-3</c:v>
                </c:pt>
                <c:pt idx="9">
                  <c:v>1.4219234746639089E-3</c:v>
                </c:pt>
                <c:pt idx="10">
                  <c:v>0.67185884177869704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AD9-43D2-B994-F66788B4CE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76"/>
          <c:y val="2.2960226637323739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'23.07 Ndeeba-Nateete'!$S$9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'23.07 Ndeeba-Nateete'!$R$10:$R$21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'23.07 Ndeeba-Nateete'!$S$10:$S$21</c:f>
              <c:numCache>
                <c:formatCode>0</c:formatCode>
                <c:ptCount val="12"/>
                <c:pt idx="0">
                  <c:v>173</c:v>
                </c:pt>
                <c:pt idx="1">
                  <c:v>164</c:v>
                </c:pt>
                <c:pt idx="2">
                  <c:v>153</c:v>
                </c:pt>
                <c:pt idx="3">
                  <c:v>212</c:v>
                </c:pt>
                <c:pt idx="4">
                  <c:v>156</c:v>
                </c:pt>
                <c:pt idx="5">
                  <c:v>177</c:v>
                </c:pt>
                <c:pt idx="6">
                  <c:v>110</c:v>
                </c:pt>
                <c:pt idx="7">
                  <c:v>173</c:v>
                </c:pt>
                <c:pt idx="8">
                  <c:v>185</c:v>
                </c:pt>
                <c:pt idx="9">
                  <c:v>179</c:v>
                </c:pt>
                <c:pt idx="10">
                  <c:v>165</c:v>
                </c:pt>
                <c:pt idx="11">
                  <c:v>111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232-4340-AED5-CD3F6DAF145D}"/>
            </c:ext>
          </c:extLst>
        </c:ser>
        <c:ser>
          <c:idx val="1"/>
          <c:order val="1"/>
          <c:tx>
            <c:strRef>
              <c:f>'23.07 Ndeeba-Nateete'!$T$9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'23.07 Ndeeba-Nateete'!$R$10:$R$21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'23.07 Ndeeba-Nateete'!$T$10:$T$21</c:f>
              <c:numCache>
                <c:formatCode>0</c:formatCode>
                <c:ptCount val="12"/>
                <c:pt idx="0">
                  <c:v>25</c:v>
                </c:pt>
                <c:pt idx="1">
                  <c:v>17</c:v>
                </c:pt>
                <c:pt idx="2">
                  <c:v>32</c:v>
                </c:pt>
                <c:pt idx="3">
                  <c:v>19</c:v>
                </c:pt>
                <c:pt idx="4">
                  <c:v>24</c:v>
                </c:pt>
                <c:pt idx="5">
                  <c:v>25</c:v>
                </c:pt>
                <c:pt idx="6">
                  <c:v>25</c:v>
                </c:pt>
                <c:pt idx="7">
                  <c:v>22</c:v>
                </c:pt>
                <c:pt idx="8">
                  <c:v>20</c:v>
                </c:pt>
                <c:pt idx="9">
                  <c:v>24</c:v>
                </c:pt>
                <c:pt idx="10">
                  <c:v>19</c:v>
                </c:pt>
                <c:pt idx="11">
                  <c:v>42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232-4340-AED5-CD3F6DAF145D}"/>
            </c:ext>
          </c:extLst>
        </c:ser>
        <c:ser>
          <c:idx val="2"/>
          <c:order val="2"/>
          <c:tx>
            <c:strRef>
              <c:f>'23.07 Ndeeba-Nateete'!$U$9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'23.07 Ndeeba-Nateete'!$U$10:$U$21</c:f>
              <c:numCache>
                <c:formatCode>0</c:formatCode>
                <c:ptCount val="12"/>
                <c:pt idx="0">
                  <c:v>15</c:v>
                </c:pt>
                <c:pt idx="1">
                  <c:v>23</c:v>
                </c:pt>
                <c:pt idx="2">
                  <c:v>15</c:v>
                </c:pt>
                <c:pt idx="3">
                  <c:v>22</c:v>
                </c:pt>
                <c:pt idx="4">
                  <c:v>16</c:v>
                </c:pt>
                <c:pt idx="5">
                  <c:v>16</c:v>
                </c:pt>
                <c:pt idx="6">
                  <c:v>10</c:v>
                </c:pt>
                <c:pt idx="7">
                  <c:v>14</c:v>
                </c:pt>
                <c:pt idx="8">
                  <c:v>15</c:v>
                </c:pt>
                <c:pt idx="9">
                  <c:v>17</c:v>
                </c:pt>
                <c:pt idx="10">
                  <c:v>17</c:v>
                </c:pt>
                <c:pt idx="11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32-4340-AED5-CD3F6DAF145D}"/>
            </c:ext>
          </c:extLst>
        </c:ser>
        <c:ser>
          <c:idx val="3"/>
          <c:order val="3"/>
          <c:tx>
            <c:strRef>
              <c:f>'23.07 Ndeeba-Nateete'!$V$9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'23.07 Ndeeba-Nateete'!$V$10:$V$21</c:f>
              <c:numCache>
                <c:formatCode>0</c:formatCode>
                <c:ptCount val="12"/>
                <c:pt idx="0">
                  <c:v>111</c:v>
                </c:pt>
                <c:pt idx="1">
                  <c:v>160</c:v>
                </c:pt>
                <c:pt idx="2">
                  <c:v>160</c:v>
                </c:pt>
                <c:pt idx="3">
                  <c:v>132</c:v>
                </c:pt>
                <c:pt idx="4">
                  <c:v>133</c:v>
                </c:pt>
                <c:pt idx="5">
                  <c:v>138</c:v>
                </c:pt>
                <c:pt idx="6">
                  <c:v>137</c:v>
                </c:pt>
                <c:pt idx="7">
                  <c:v>124</c:v>
                </c:pt>
                <c:pt idx="8">
                  <c:v>127</c:v>
                </c:pt>
                <c:pt idx="9">
                  <c:v>141</c:v>
                </c:pt>
                <c:pt idx="10">
                  <c:v>138</c:v>
                </c:pt>
                <c:pt idx="11">
                  <c:v>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232-4340-AED5-CD3F6DAF145D}"/>
            </c:ext>
          </c:extLst>
        </c:ser>
        <c:ser>
          <c:idx val="4"/>
          <c:order val="4"/>
          <c:tx>
            <c:strRef>
              <c:f>'23.07 Ndeeba-Nateete'!$W$9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'23.07 Ndeeba-Nateete'!$W$10:$W$21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4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5</c:v>
                </c:pt>
                <c:pt idx="10">
                  <c:v>4</c:v>
                </c:pt>
                <c:pt idx="11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232-4340-AED5-CD3F6DAF145D}"/>
            </c:ext>
          </c:extLst>
        </c:ser>
        <c:ser>
          <c:idx val="5"/>
          <c:order val="5"/>
          <c:tx>
            <c:strRef>
              <c:f>'23.07 Ndeeba-Nateete'!$X$9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'23.07 Ndeeba-Nateete'!$X$10:$X$21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3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232-4340-AED5-CD3F6DAF145D}"/>
            </c:ext>
          </c:extLst>
        </c:ser>
        <c:ser>
          <c:idx val="6"/>
          <c:order val="6"/>
          <c:tx>
            <c:strRef>
              <c:f>'23.07 Ndeeba-Nateete'!$Y$9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'23.07 Ndeeba-Nateete'!$Y$10:$Y$21</c:f>
              <c:numCache>
                <c:formatCode>0</c:formatCode>
                <c:ptCount val="12"/>
                <c:pt idx="0">
                  <c:v>28</c:v>
                </c:pt>
                <c:pt idx="1">
                  <c:v>29</c:v>
                </c:pt>
                <c:pt idx="2">
                  <c:v>24</c:v>
                </c:pt>
                <c:pt idx="3">
                  <c:v>26</c:v>
                </c:pt>
                <c:pt idx="4">
                  <c:v>25</c:v>
                </c:pt>
                <c:pt idx="5">
                  <c:v>27</c:v>
                </c:pt>
                <c:pt idx="6">
                  <c:v>41</c:v>
                </c:pt>
                <c:pt idx="7">
                  <c:v>19</c:v>
                </c:pt>
                <c:pt idx="8">
                  <c:v>27</c:v>
                </c:pt>
                <c:pt idx="9">
                  <c:v>23</c:v>
                </c:pt>
                <c:pt idx="10">
                  <c:v>16</c:v>
                </c:pt>
                <c:pt idx="11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232-4340-AED5-CD3F6DAF145D}"/>
            </c:ext>
          </c:extLst>
        </c:ser>
        <c:ser>
          <c:idx val="7"/>
          <c:order val="7"/>
          <c:tx>
            <c:strRef>
              <c:f>'23.07 Ndeeba-Nateete'!$Z$9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'23.07 Ndeeba-Nateete'!$Z$10:$Z$21</c:f>
              <c:numCache>
                <c:formatCode>0</c:formatCode>
                <c:ptCount val="12"/>
                <c:pt idx="0">
                  <c:v>34</c:v>
                </c:pt>
                <c:pt idx="1">
                  <c:v>48</c:v>
                </c:pt>
                <c:pt idx="2">
                  <c:v>39</c:v>
                </c:pt>
                <c:pt idx="3">
                  <c:v>37</c:v>
                </c:pt>
                <c:pt idx="4">
                  <c:v>54</c:v>
                </c:pt>
                <c:pt idx="5">
                  <c:v>51</c:v>
                </c:pt>
                <c:pt idx="6">
                  <c:v>31</c:v>
                </c:pt>
                <c:pt idx="7">
                  <c:v>39</c:v>
                </c:pt>
                <c:pt idx="8">
                  <c:v>50</c:v>
                </c:pt>
                <c:pt idx="9">
                  <c:v>48</c:v>
                </c:pt>
                <c:pt idx="10">
                  <c:v>57</c:v>
                </c:pt>
                <c:pt idx="11">
                  <c:v>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232-4340-AED5-CD3F6DAF145D}"/>
            </c:ext>
          </c:extLst>
        </c:ser>
        <c:ser>
          <c:idx val="8"/>
          <c:order val="8"/>
          <c:tx>
            <c:strRef>
              <c:f>'23.07 Ndeeba-Nateete'!$AA$9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'23.07 Ndeeba-Nateete'!$AA$10:$AA$21</c:f>
              <c:numCache>
                <c:formatCode>0</c:formatCode>
                <c:ptCount val="12"/>
                <c:pt idx="0">
                  <c:v>8</c:v>
                </c:pt>
                <c:pt idx="1">
                  <c:v>4</c:v>
                </c:pt>
                <c:pt idx="2">
                  <c:v>5</c:v>
                </c:pt>
                <c:pt idx="3">
                  <c:v>10</c:v>
                </c:pt>
                <c:pt idx="4">
                  <c:v>11</c:v>
                </c:pt>
                <c:pt idx="5">
                  <c:v>9</c:v>
                </c:pt>
                <c:pt idx="6">
                  <c:v>11</c:v>
                </c:pt>
                <c:pt idx="7">
                  <c:v>17</c:v>
                </c:pt>
                <c:pt idx="8">
                  <c:v>14</c:v>
                </c:pt>
                <c:pt idx="9">
                  <c:v>9</c:v>
                </c:pt>
                <c:pt idx="10">
                  <c:v>8</c:v>
                </c:pt>
                <c:pt idx="1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232-4340-AED5-CD3F6DAF145D}"/>
            </c:ext>
          </c:extLst>
        </c:ser>
        <c:ser>
          <c:idx val="9"/>
          <c:order val="9"/>
          <c:tx>
            <c:strRef>
              <c:f>'23.07 Ndeeba-Nateete'!$AB$9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'23.07 Ndeeba-Nateete'!$AB$10:$AB$21</c:f>
              <c:numCache>
                <c:formatCode>0</c:formatCode>
                <c:ptCount val="12"/>
                <c:pt idx="0">
                  <c:v>2</c:v>
                </c:pt>
                <c:pt idx="1">
                  <c:v>1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3</c:v>
                </c:pt>
                <c:pt idx="6">
                  <c:v>3</c:v>
                </c:pt>
                <c:pt idx="7">
                  <c:v>4</c:v>
                </c:pt>
                <c:pt idx="8">
                  <c:v>3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232-4340-AED5-CD3F6DAF145D}"/>
            </c:ext>
          </c:extLst>
        </c:ser>
        <c:ser>
          <c:idx val="10"/>
          <c:order val="10"/>
          <c:tx>
            <c:strRef>
              <c:f>'23.07 Ndeeba-Nateete'!$AC$9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'23.07 Ndeeba-Nateete'!$AC$10:$AC$21</c:f>
              <c:numCache>
                <c:formatCode>0</c:formatCode>
                <c:ptCount val="12"/>
                <c:pt idx="0">
                  <c:v>1020</c:v>
                </c:pt>
                <c:pt idx="1">
                  <c:v>920</c:v>
                </c:pt>
                <c:pt idx="2">
                  <c:v>995</c:v>
                </c:pt>
                <c:pt idx="3">
                  <c:v>915</c:v>
                </c:pt>
                <c:pt idx="4">
                  <c:v>1010</c:v>
                </c:pt>
                <c:pt idx="5">
                  <c:v>785</c:v>
                </c:pt>
                <c:pt idx="6">
                  <c:v>785</c:v>
                </c:pt>
                <c:pt idx="7">
                  <c:v>825</c:v>
                </c:pt>
                <c:pt idx="8">
                  <c:v>800</c:v>
                </c:pt>
                <c:pt idx="9">
                  <c:v>640</c:v>
                </c:pt>
                <c:pt idx="10">
                  <c:v>745</c:v>
                </c:pt>
                <c:pt idx="11">
                  <c:v>955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232-4340-AED5-CD3F6DAF145D}"/>
            </c:ext>
          </c:extLst>
        </c:ser>
        <c:ser>
          <c:idx val="11"/>
          <c:order val="11"/>
          <c:tx>
            <c:strRef>
              <c:f>'23.07 Ndeeba-Nateete'!$AD$9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'23.07 Ndeeba-Nateete'!$AD$10:$AD$21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232-4340-AED5-CD3F6DAF14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2458400"/>
        <c:axId val="672461664"/>
      </c:lineChart>
      <c:catAx>
        <c:axId val="672458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72461664"/>
        <c:crosses val="autoZero"/>
        <c:auto val="1"/>
        <c:lblAlgn val="ctr"/>
        <c:lblOffset val="100"/>
        <c:noMultiLvlLbl val="0"/>
      </c:catAx>
      <c:valAx>
        <c:axId val="672461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72458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496-4C9C-BA89-19C872160E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496-4C9C-BA89-19C872160E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496-4C9C-BA89-19C872160E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496-4C9C-BA89-19C872160E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496-4C9C-BA89-19C872160E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496-4C9C-BA89-19C872160E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496-4C9C-BA89-19C872160E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496-4C9C-BA89-19C872160E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496-4C9C-BA89-19C872160E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496-4C9C-BA89-19C872160E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496-4C9C-BA89-19C872160E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496-4C9C-BA89-19C872160E0D}"/>
              </c:ext>
            </c:extLst>
          </c:dPt>
          <c:dLbls>
            <c:dLbl>
              <c:idx val="10"/>
              <c:layout>
                <c:manualLayout>
                  <c:x val="-2.6175304576939715E-2"/>
                  <c:y val="-3.243408000329516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496-4C9C-BA89-19C872160E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'23.07 Ndeeba-Nateete'!$C$9:$N$9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'23.07 Ndeeba-Nateete'!$C$60:$N$60</c:f>
              <c:numCache>
                <c:formatCode>0.00%</c:formatCode>
                <c:ptCount val="12"/>
                <c:pt idx="0">
                  <c:v>0.38566082332085877</c:v>
                </c:pt>
                <c:pt idx="1">
                  <c:v>5.7908213511916488E-2</c:v>
                </c:pt>
                <c:pt idx="2">
                  <c:v>3.9196375812487687E-2</c:v>
                </c:pt>
                <c:pt idx="3">
                  <c:v>0.31494977348828046</c:v>
                </c:pt>
                <c:pt idx="4">
                  <c:v>1.0833169194406146E-2</c:v>
                </c:pt>
                <c:pt idx="5">
                  <c:v>1.5757337010045302E-3</c:v>
                </c:pt>
                <c:pt idx="6">
                  <c:v>5.9286980500295447E-2</c:v>
                </c:pt>
                <c:pt idx="7">
                  <c:v>0.10419539097892457</c:v>
                </c:pt>
                <c:pt idx="8">
                  <c:v>2.2060271814063424E-2</c:v>
                </c:pt>
                <c:pt idx="9">
                  <c:v>4.3332676777624582E-3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496-4C9C-BA89-19C872160E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15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'24.07 Nateete-Ndeeba'!$AE$9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'24.07 Nateete-Ndeeba'!$R$10:$R$21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'24.07 Nateete-Ndeeba'!$AE$10:$AE$21</c:f>
              <c:numCache>
                <c:formatCode>0</c:formatCode>
                <c:ptCount val="12"/>
                <c:pt idx="0">
                  <c:v>420</c:v>
                </c:pt>
                <c:pt idx="1">
                  <c:v>656</c:v>
                </c:pt>
                <c:pt idx="2">
                  <c:v>489</c:v>
                </c:pt>
                <c:pt idx="3">
                  <c:v>494</c:v>
                </c:pt>
                <c:pt idx="4">
                  <c:v>494</c:v>
                </c:pt>
                <c:pt idx="5">
                  <c:v>529</c:v>
                </c:pt>
                <c:pt idx="6">
                  <c:v>409</c:v>
                </c:pt>
                <c:pt idx="7">
                  <c:v>402</c:v>
                </c:pt>
                <c:pt idx="8">
                  <c:v>386</c:v>
                </c:pt>
                <c:pt idx="9">
                  <c:v>421</c:v>
                </c:pt>
                <c:pt idx="10">
                  <c:v>400</c:v>
                </c:pt>
                <c:pt idx="11">
                  <c:v>445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6D8-486C-94F6-6CD386BE52F0}"/>
            </c:ext>
          </c:extLst>
        </c:ser>
        <c:ser>
          <c:idx val="1"/>
          <c:order val="1"/>
          <c:tx>
            <c:strRef>
              <c:f>'24.07 Nateete-Ndeeba'!$AF$9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'24.07 Nateete-Ndeeba'!$R$10:$R$21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'24.07 Nateete-Ndeeba'!$AF$10:$AF$21</c:f>
              <c:numCache>
                <c:formatCode>0</c:formatCode>
                <c:ptCount val="12"/>
                <c:pt idx="0">
                  <c:v>835</c:v>
                </c:pt>
                <c:pt idx="1">
                  <c:v>1366</c:v>
                </c:pt>
                <c:pt idx="2">
                  <c:v>1209</c:v>
                </c:pt>
                <c:pt idx="3">
                  <c:v>1269</c:v>
                </c:pt>
                <c:pt idx="4">
                  <c:v>1229</c:v>
                </c:pt>
                <c:pt idx="5">
                  <c:v>1359</c:v>
                </c:pt>
                <c:pt idx="6">
                  <c:v>1164</c:v>
                </c:pt>
                <c:pt idx="7">
                  <c:v>1167</c:v>
                </c:pt>
                <c:pt idx="8">
                  <c:v>1166</c:v>
                </c:pt>
                <c:pt idx="9">
                  <c:v>1136</c:v>
                </c:pt>
                <c:pt idx="10">
                  <c:v>1065</c:v>
                </c:pt>
                <c:pt idx="11">
                  <c:v>1080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6D8-486C-94F6-6CD386BE52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72463296"/>
        <c:axId val="672449696"/>
      </c:lineChart>
      <c:catAx>
        <c:axId val="67246329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72449696"/>
        <c:crosses val="autoZero"/>
        <c:auto val="1"/>
        <c:lblAlgn val="ctr"/>
        <c:lblOffset val="100"/>
        <c:noMultiLvlLbl val="0"/>
      </c:catAx>
      <c:valAx>
        <c:axId val="67244969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72463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B3F-4B31-952A-3E8EFBAD12A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B3F-4B31-952A-3E8EFBAD12A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B3F-4B31-952A-3E8EFBAD12A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7B3F-4B31-952A-3E8EFBAD12A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7B3F-4B31-952A-3E8EFBAD12A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7B3F-4B31-952A-3E8EFBAD12A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7B3F-4B31-952A-3E8EFBAD12A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7B3F-4B31-952A-3E8EFBAD12A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7B3F-4B31-952A-3E8EFBAD12A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7B3F-4B31-952A-3E8EFBAD12A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7B3F-4B31-952A-3E8EFBAD12A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7B3F-4B31-952A-3E8EFBAD12A4}"/>
              </c:ext>
            </c:extLst>
          </c:dPt>
          <c:dLbls>
            <c:dLbl>
              <c:idx val="10"/>
              <c:layout>
                <c:manualLayout>
                  <c:x val="-2.6175304576939715E-2"/>
                  <c:y val="-3.243408000329516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7B3F-4B31-952A-3E8EFBAD12A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'24.07 Nateete-Ndeeba'!$C$9:$N$9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'24.07 Nateete-Ndeeba'!$C$59:$N$59</c:f>
              <c:numCache>
                <c:formatCode>0.0%</c:formatCode>
                <c:ptCount val="12"/>
                <c:pt idx="0">
                  <c:v>0.16169455322178711</c:v>
                </c:pt>
                <c:pt idx="1">
                  <c:v>1.673193307226771E-2</c:v>
                </c:pt>
                <c:pt idx="2">
                  <c:v>1.2673549305802776E-2</c:v>
                </c:pt>
                <c:pt idx="3">
                  <c:v>0.11605553577785689</c:v>
                </c:pt>
                <c:pt idx="4">
                  <c:v>2.0647917408330367E-3</c:v>
                </c:pt>
                <c:pt idx="5">
                  <c:v>1.2103951584193663E-3</c:v>
                </c:pt>
                <c:pt idx="6">
                  <c:v>2.1075115699537201E-2</c:v>
                </c:pt>
                <c:pt idx="7">
                  <c:v>5.1406194375222501E-2</c:v>
                </c:pt>
                <c:pt idx="8">
                  <c:v>7.6895692417230333E-3</c:v>
                </c:pt>
                <c:pt idx="9">
                  <c:v>4.1295834816660734E-3</c:v>
                </c:pt>
                <c:pt idx="10">
                  <c:v>0.6051975792096832</c:v>
                </c:pt>
                <c:pt idx="11">
                  <c:v>7.1199715201139191E-5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7B3F-4B31-952A-3E8EFBAD12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76"/>
          <c:y val="2.2960226637323739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'24.07 Nateete-Ndeeba'!$S$9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'24.07 Nateete-Ndeeba'!$R$10:$R$21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'24.07 Nateete-Ndeeba'!$S$10:$S$21</c:f>
              <c:numCache>
                <c:formatCode>0</c:formatCode>
                <c:ptCount val="12"/>
                <c:pt idx="0">
                  <c:v>186</c:v>
                </c:pt>
                <c:pt idx="1">
                  <c:v>238</c:v>
                </c:pt>
                <c:pt idx="2">
                  <c:v>197</c:v>
                </c:pt>
                <c:pt idx="3">
                  <c:v>205</c:v>
                </c:pt>
                <c:pt idx="4">
                  <c:v>204</c:v>
                </c:pt>
                <c:pt idx="5">
                  <c:v>220</c:v>
                </c:pt>
                <c:pt idx="6">
                  <c:v>172</c:v>
                </c:pt>
                <c:pt idx="7">
                  <c:v>171</c:v>
                </c:pt>
                <c:pt idx="8">
                  <c:v>163</c:v>
                </c:pt>
                <c:pt idx="9">
                  <c:v>189</c:v>
                </c:pt>
                <c:pt idx="10">
                  <c:v>170</c:v>
                </c:pt>
                <c:pt idx="11">
                  <c:v>156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EE7-484C-BD81-92E397547986}"/>
            </c:ext>
          </c:extLst>
        </c:ser>
        <c:ser>
          <c:idx val="1"/>
          <c:order val="1"/>
          <c:tx>
            <c:strRef>
              <c:f>'24.07 Nateete-Ndeeba'!$T$9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'24.07 Nateete-Ndeeba'!$R$10:$R$21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'24.07 Nateete-Ndeeba'!$T$10:$T$21</c:f>
              <c:numCache>
                <c:formatCode>0</c:formatCode>
                <c:ptCount val="12"/>
                <c:pt idx="0">
                  <c:v>13</c:v>
                </c:pt>
                <c:pt idx="1">
                  <c:v>15</c:v>
                </c:pt>
                <c:pt idx="2">
                  <c:v>27</c:v>
                </c:pt>
                <c:pt idx="3">
                  <c:v>19</c:v>
                </c:pt>
                <c:pt idx="4">
                  <c:v>25</c:v>
                </c:pt>
                <c:pt idx="5">
                  <c:v>22</c:v>
                </c:pt>
                <c:pt idx="6">
                  <c:v>22</c:v>
                </c:pt>
                <c:pt idx="7">
                  <c:v>21</c:v>
                </c:pt>
                <c:pt idx="8">
                  <c:v>18</c:v>
                </c:pt>
                <c:pt idx="9">
                  <c:v>22</c:v>
                </c:pt>
                <c:pt idx="10">
                  <c:v>12</c:v>
                </c:pt>
                <c:pt idx="11">
                  <c:v>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EE7-484C-BD81-92E397547986}"/>
            </c:ext>
          </c:extLst>
        </c:ser>
        <c:ser>
          <c:idx val="2"/>
          <c:order val="2"/>
          <c:tx>
            <c:strRef>
              <c:f>'24.07 Nateete-Ndeeba'!$U$9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'24.07 Nateete-Ndeeba'!$U$10:$U$21</c:f>
              <c:numCache>
                <c:formatCode>0</c:formatCode>
                <c:ptCount val="12"/>
                <c:pt idx="0">
                  <c:v>15</c:v>
                </c:pt>
                <c:pt idx="1">
                  <c:v>8</c:v>
                </c:pt>
                <c:pt idx="2">
                  <c:v>21</c:v>
                </c:pt>
                <c:pt idx="3">
                  <c:v>22</c:v>
                </c:pt>
                <c:pt idx="4">
                  <c:v>15</c:v>
                </c:pt>
                <c:pt idx="5">
                  <c:v>14</c:v>
                </c:pt>
                <c:pt idx="6">
                  <c:v>15</c:v>
                </c:pt>
                <c:pt idx="7">
                  <c:v>13</c:v>
                </c:pt>
                <c:pt idx="8">
                  <c:v>13</c:v>
                </c:pt>
                <c:pt idx="9">
                  <c:v>24</c:v>
                </c:pt>
                <c:pt idx="10">
                  <c:v>7</c:v>
                </c:pt>
                <c:pt idx="11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EE7-484C-BD81-92E397547986}"/>
            </c:ext>
          </c:extLst>
        </c:ser>
        <c:ser>
          <c:idx val="3"/>
          <c:order val="3"/>
          <c:tx>
            <c:strRef>
              <c:f>'24.07 Nateete-Ndeeba'!$V$9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'24.07 Nateete-Ndeeba'!$V$10:$V$21</c:f>
              <c:numCache>
                <c:formatCode>0</c:formatCode>
                <c:ptCount val="12"/>
                <c:pt idx="0">
                  <c:v>117</c:v>
                </c:pt>
                <c:pt idx="1">
                  <c:v>227</c:v>
                </c:pt>
                <c:pt idx="2">
                  <c:v>139</c:v>
                </c:pt>
                <c:pt idx="3">
                  <c:v>134</c:v>
                </c:pt>
                <c:pt idx="4">
                  <c:v>127</c:v>
                </c:pt>
                <c:pt idx="5">
                  <c:v>147</c:v>
                </c:pt>
                <c:pt idx="6">
                  <c:v>100</c:v>
                </c:pt>
                <c:pt idx="7">
                  <c:v>108</c:v>
                </c:pt>
                <c:pt idx="8">
                  <c:v>122</c:v>
                </c:pt>
                <c:pt idx="9">
                  <c:v>109</c:v>
                </c:pt>
                <c:pt idx="10">
                  <c:v>132</c:v>
                </c:pt>
                <c:pt idx="11">
                  <c:v>168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EE7-484C-BD81-92E397547986}"/>
            </c:ext>
          </c:extLst>
        </c:ser>
        <c:ser>
          <c:idx val="4"/>
          <c:order val="4"/>
          <c:tx>
            <c:strRef>
              <c:f>'24.07 Nateete-Ndeeba'!$W$9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'24.07 Nateete-Ndeeba'!$W$10:$W$21</c:f>
              <c:numCache>
                <c:formatCode>0</c:formatCode>
                <c:ptCount val="12"/>
                <c:pt idx="0">
                  <c:v>1</c:v>
                </c:pt>
                <c:pt idx="1">
                  <c:v>4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5</c:v>
                </c:pt>
                <c:pt idx="6">
                  <c:v>0</c:v>
                </c:pt>
                <c:pt idx="7">
                  <c:v>2</c:v>
                </c:pt>
                <c:pt idx="8">
                  <c:v>1</c:v>
                </c:pt>
                <c:pt idx="9">
                  <c:v>2</c:v>
                </c:pt>
                <c:pt idx="10">
                  <c:v>0</c:v>
                </c:pt>
                <c:pt idx="11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EE7-484C-BD81-92E397547986}"/>
            </c:ext>
          </c:extLst>
        </c:ser>
        <c:ser>
          <c:idx val="5"/>
          <c:order val="5"/>
          <c:tx>
            <c:strRef>
              <c:f>'24.07 Nateete-Ndeeba'!$X$9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'24.07 Nateete-Ndeeba'!$X$10:$X$21</c:f>
              <c:numCache>
                <c:formatCode>0</c:formatCode>
                <c:ptCount val="12"/>
                <c:pt idx="0">
                  <c:v>1</c:v>
                </c:pt>
                <c:pt idx="1">
                  <c:v>3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3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EE7-484C-BD81-92E397547986}"/>
            </c:ext>
          </c:extLst>
        </c:ser>
        <c:ser>
          <c:idx val="6"/>
          <c:order val="6"/>
          <c:tx>
            <c:strRef>
              <c:f>'24.07 Nateete-Ndeeba'!$Y$9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'24.07 Nateete-Ndeeba'!$Y$10:$Y$21</c:f>
              <c:numCache>
                <c:formatCode>0</c:formatCode>
                <c:ptCount val="12"/>
                <c:pt idx="0">
                  <c:v>34</c:v>
                </c:pt>
                <c:pt idx="1">
                  <c:v>49</c:v>
                </c:pt>
                <c:pt idx="2">
                  <c:v>27</c:v>
                </c:pt>
                <c:pt idx="3">
                  <c:v>28</c:v>
                </c:pt>
                <c:pt idx="4">
                  <c:v>26</c:v>
                </c:pt>
                <c:pt idx="5">
                  <c:v>29</c:v>
                </c:pt>
                <c:pt idx="6">
                  <c:v>25</c:v>
                </c:pt>
                <c:pt idx="7">
                  <c:v>17</c:v>
                </c:pt>
                <c:pt idx="8">
                  <c:v>17</c:v>
                </c:pt>
                <c:pt idx="9">
                  <c:v>13</c:v>
                </c:pt>
                <c:pt idx="10">
                  <c:v>11</c:v>
                </c:pt>
                <c:pt idx="11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EE7-484C-BD81-92E397547986}"/>
            </c:ext>
          </c:extLst>
        </c:ser>
        <c:ser>
          <c:idx val="7"/>
          <c:order val="7"/>
          <c:tx>
            <c:strRef>
              <c:f>'24.07 Nateete-Ndeeba'!$Z$9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'24.07 Nateete-Ndeeba'!$Z$10:$Z$21</c:f>
              <c:numCache>
                <c:formatCode>0</c:formatCode>
                <c:ptCount val="12"/>
                <c:pt idx="0">
                  <c:v>45</c:v>
                </c:pt>
                <c:pt idx="1">
                  <c:v>79</c:v>
                </c:pt>
                <c:pt idx="2">
                  <c:v>68</c:v>
                </c:pt>
                <c:pt idx="3">
                  <c:v>67</c:v>
                </c:pt>
                <c:pt idx="4">
                  <c:v>70</c:v>
                </c:pt>
                <c:pt idx="5">
                  <c:v>82</c:v>
                </c:pt>
                <c:pt idx="6">
                  <c:v>57</c:v>
                </c:pt>
                <c:pt idx="7">
                  <c:v>55</c:v>
                </c:pt>
                <c:pt idx="8">
                  <c:v>41</c:v>
                </c:pt>
                <c:pt idx="9">
                  <c:v>58</c:v>
                </c:pt>
                <c:pt idx="10">
                  <c:v>50</c:v>
                </c:pt>
                <c:pt idx="11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EE7-484C-BD81-92E397547986}"/>
            </c:ext>
          </c:extLst>
        </c:ser>
        <c:ser>
          <c:idx val="8"/>
          <c:order val="8"/>
          <c:tx>
            <c:strRef>
              <c:f>'24.07 Nateete-Ndeeba'!$AA$9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'24.07 Nateete-Ndeeba'!$AA$10:$AA$21</c:f>
              <c:numCache>
                <c:formatCode>0</c:formatCode>
                <c:ptCount val="12"/>
                <c:pt idx="0">
                  <c:v>3</c:v>
                </c:pt>
                <c:pt idx="1">
                  <c:v>6</c:v>
                </c:pt>
                <c:pt idx="2">
                  <c:v>5</c:v>
                </c:pt>
                <c:pt idx="3">
                  <c:v>10</c:v>
                </c:pt>
                <c:pt idx="4">
                  <c:v>13</c:v>
                </c:pt>
                <c:pt idx="5">
                  <c:v>8</c:v>
                </c:pt>
                <c:pt idx="6">
                  <c:v>15</c:v>
                </c:pt>
                <c:pt idx="7">
                  <c:v>13</c:v>
                </c:pt>
                <c:pt idx="8">
                  <c:v>11</c:v>
                </c:pt>
                <c:pt idx="9">
                  <c:v>4</c:v>
                </c:pt>
                <c:pt idx="10">
                  <c:v>15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EE7-484C-BD81-92E397547986}"/>
            </c:ext>
          </c:extLst>
        </c:ser>
        <c:ser>
          <c:idx val="9"/>
          <c:order val="9"/>
          <c:tx>
            <c:strRef>
              <c:f>'24.07 Nateete-Ndeeba'!$AB$9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'24.07 Nateete-Ndeeba'!$AB$10:$AB$21</c:f>
              <c:numCache>
                <c:formatCode>0</c:formatCode>
                <c:ptCount val="12"/>
                <c:pt idx="0">
                  <c:v>5</c:v>
                </c:pt>
                <c:pt idx="1">
                  <c:v>26</c:v>
                </c:pt>
                <c:pt idx="2">
                  <c:v>2</c:v>
                </c:pt>
                <c:pt idx="3">
                  <c:v>5</c:v>
                </c:pt>
                <c:pt idx="4">
                  <c:v>9</c:v>
                </c:pt>
                <c:pt idx="5">
                  <c:v>2</c:v>
                </c:pt>
                <c:pt idx="6">
                  <c:v>3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EE7-484C-BD81-92E397547986}"/>
            </c:ext>
          </c:extLst>
        </c:ser>
        <c:ser>
          <c:idx val="10"/>
          <c:order val="10"/>
          <c:tx>
            <c:strRef>
              <c:f>'24.07 Nateete-Ndeeba'!$AC$9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'24.07 Nateete-Ndeeba'!$AC$10:$AC$21</c:f>
              <c:numCache>
                <c:formatCode>0</c:formatCode>
                <c:ptCount val="12"/>
                <c:pt idx="0">
                  <c:v>415</c:v>
                </c:pt>
                <c:pt idx="1">
                  <c:v>710</c:v>
                </c:pt>
                <c:pt idx="2">
                  <c:v>720</c:v>
                </c:pt>
                <c:pt idx="3">
                  <c:v>775</c:v>
                </c:pt>
                <c:pt idx="4">
                  <c:v>735</c:v>
                </c:pt>
                <c:pt idx="5">
                  <c:v>830</c:v>
                </c:pt>
                <c:pt idx="6">
                  <c:v>755</c:v>
                </c:pt>
                <c:pt idx="7">
                  <c:v>765</c:v>
                </c:pt>
                <c:pt idx="8">
                  <c:v>780</c:v>
                </c:pt>
                <c:pt idx="9">
                  <c:v>715</c:v>
                </c:pt>
                <c:pt idx="10">
                  <c:v>665</c:v>
                </c:pt>
                <c:pt idx="11">
                  <c:v>635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EE7-484C-BD81-92E397547986}"/>
            </c:ext>
          </c:extLst>
        </c:ser>
        <c:ser>
          <c:idx val="11"/>
          <c:order val="11"/>
          <c:tx>
            <c:strRef>
              <c:f>'24.07 Nateete-Ndeeba'!$AD$9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'24.07 Nateete-Ndeeba'!$AD$10:$AD$21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EE7-484C-BD81-92E3975479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2456768"/>
        <c:axId val="404556512"/>
      </c:lineChart>
      <c:catAx>
        <c:axId val="672456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04556512"/>
        <c:crosses val="autoZero"/>
        <c:auto val="1"/>
        <c:lblAlgn val="ctr"/>
        <c:lblOffset val="100"/>
        <c:noMultiLvlLbl val="0"/>
      </c:catAx>
      <c:valAx>
        <c:axId val="404556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72456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13E-4D2A-8551-63DD0883CC0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13E-4D2A-8551-63DD0883CC0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13E-4D2A-8551-63DD0883CC0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13E-4D2A-8551-63DD0883CC0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13E-4D2A-8551-63DD0883CC0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13E-4D2A-8551-63DD0883CC0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13E-4D2A-8551-63DD0883CC0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13E-4D2A-8551-63DD0883CC0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13E-4D2A-8551-63DD0883CC0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13E-4D2A-8551-63DD0883CC0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13E-4D2A-8551-63DD0883CC0B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13E-4D2A-8551-63DD0883CC0B}"/>
              </c:ext>
            </c:extLst>
          </c:dPt>
          <c:dLbls>
            <c:dLbl>
              <c:idx val="10"/>
              <c:layout>
                <c:manualLayout>
                  <c:x val="-2.6175304576939715E-2"/>
                  <c:y val="-3.243408000329516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13E-4D2A-8551-63DD0883CC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'24.07 Nateete-Ndeeba'!$C$9:$N$9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'24.07 Nateete-Ndeeba'!$C$60:$N$60</c:f>
              <c:numCache>
                <c:formatCode>0.00%</c:formatCode>
                <c:ptCount val="12"/>
                <c:pt idx="0">
                  <c:v>0.40955816050495941</c:v>
                </c:pt>
                <c:pt idx="1">
                  <c:v>4.2380522993688011E-2</c:v>
                </c:pt>
                <c:pt idx="2">
                  <c:v>3.2100991884580703E-2</c:v>
                </c:pt>
                <c:pt idx="3">
                  <c:v>0.2939585211902615</c:v>
                </c:pt>
                <c:pt idx="4">
                  <c:v>5.2299368800721368E-3</c:v>
                </c:pt>
                <c:pt idx="5">
                  <c:v>3.0658250676284943E-3</c:v>
                </c:pt>
                <c:pt idx="6">
                  <c:v>5.3381424706943195E-2</c:v>
                </c:pt>
                <c:pt idx="7">
                  <c:v>0.13020739404869253</c:v>
                </c:pt>
                <c:pt idx="8">
                  <c:v>1.9477006311992787E-2</c:v>
                </c:pt>
                <c:pt idx="9">
                  <c:v>1.0459873760144274E-2</c:v>
                </c:pt>
                <c:pt idx="11">
                  <c:v>1.8034265103697024E-4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13E-4D2A-8551-63DD0883C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15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'24.07 Ndeeba-Nateete'!$AE$9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'24.07 Ndeeba-Nateete'!$R$10:$R$21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'24.07 Ndeeba-Nateete'!$AE$10:$AE$21</c:f>
              <c:numCache>
                <c:formatCode>0</c:formatCode>
                <c:ptCount val="12"/>
                <c:pt idx="0">
                  <c:v>188</c:v>
                </c:pt>
                <c:pt idx="1">
                  <c:v>298</c:v>
                </c:pt>
                <c:pt idx="2">
                  <c:v>602</c:v>
                </c:pt>
                <c:pt idx="3">
                  <c:v>458</c:v>
                </c:pt>
                <c:pt idx="4">
                  <c:v>395</c:v>
                </c:pt>
                <c:pt idx="5">
                  <c:v>507</c:v>
                </c:pt>
                <c:pt idx="6">
                  <c:v>369</c:v>
                </c:pt>
                <c:pt idx="7">
                  <c:v>382</c:v>
                </c:pt>
                <c:pt idx="8">
                  <c:v>305</c:v>
                </c:pt>
                <c:pt idx="9">
                  <c:v>424</c:v>
                </c:pt>
                <c:pt idx="10">
                  <c:v>449</c:v>
                </c:pt>
                <c:pt idx="11">
                  <c:v>491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E57-4E01-B444-33D7FA1808CD}"/>
            </c:ext>
          </c:extLst>
        </c:ser>
        <c:ser>
          <c:idx val="1"/>
          <c:order val="1"/>
          <c:tx>
            <c:strRef>
              <c:f>'24.07 Ndeeba-Nateete'!$AF$9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'24.07 Ndeeba-Nateete'!$R$10:$R$21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'24.07 Ndeeba-Nateete'!$AF$10:$AF$21</c:f>
              <c:numCache>
                <c:formatCode>0</c:formatCode>
                <c:ptCount val="12"/>
                <c:pt idx="0">
                  <c:v>664</c:v>
                </c:pt>
                <c:pt idx="1">
                  <c:v>1169</c:v>
                </c:pt>
                <c:pt idx="2">
                  <c:v>1444</c:v>
                </c:pt>
                <c:pt idx="3">
                  <c:v>1197</c:v>
                </c:pt>
                <c:pt idx="4">
                  <c:v>1015</c:v>
                </c:pt>
                <c:pt idx="5">
                  <c:v>1284</c:v>
                </c:pt>
                <c:pt idx="6">
                  <c:v>1019</c:v>
                </c:pt>
                <c:pt idx="7">
                  <c:v>642</c:v>
                </c:pt>
                <c:pt idx="8">
                  <c:v>919</c:v>
                </c:pt>
                <c:pt idx="9">
                  <c:v>1010</c:v>
                </c:pt>
                <c:pt idx="10">
                  <c:v>975</c:v>
                </c:pt>
                <c:pt idx="11">
                  <c:v>1099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E57-4E01-B444-33D7FA1808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4561952"/>
        <c:axId val="404562496"/>
      </c:lineChart>
      <c:catAx>
        <c:axId val="40456195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04562496"/>
        <c:crosses val="autoZero"/>
        <c:auto val="1"/>
        <c:lblAlgn val="ctr"/>
        <c:lblOffset val="100"/>
        <c:noMultiLvlLbl val="0"/>
      </c:catAx>
      <c:valAx>
        <c:axId val="40456249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04561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161-4E7D-9CEC-CABF73E743E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161-4E7D-9CEC-CABF73E743E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161-4E7D-9CEC-CABF73E743E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161-4E7D-9CEC-CABF73E743E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161-4E7D-9CEC-CABF73E743E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161-4E7D-9CEC-CABF73E743E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161-4E7D-9CEC-CABF73E743E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161-4E7D-9CEC-CABF73E743E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161-4E7D-9CEC-CABF73E743E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161-4E7D-9CEC-CABF73E743E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161-4E7D-9CEC-CABF73E743E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161-4E7D-9CEC-CABF73E743EC}"/>
              </c:ext>
            </c:extLst>
          </c:dPt>
          <c:dLbls>
            <c:dLbl>
              <c:idx val="10"/>
              <c:layout>
                <c:manualLayout>
                  <c:x val="-2.6175304576939715E-2"/>
                  <c:y val="-3.243408000329516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161-4E7D-9CEC-CABF73E743E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'24.07 Ndeeba-Nateete'!$C$9:$N$9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'24.07 Ndeeba-Nateete'!$C$59:$N$59</c:f>
              <c:numCache>
                <c:formatCode>0.0%</c:formatCode>
                <c:ptCount val="12"/>
                <c:pt idx="0">
                  <c:v>0.10026533729999196</c:v>
                </c:pt>
                <c:pt idx="1">
                  <c:v>3.9157353059419475E-2</c:v>
                </c:pt>
                <c:pt idx="2">
                  <c:v>1.3106054514754361E-2</c:v>
                </c:pt>
                <c:pt idx="3">
                  <c:v>0.13676931735949183</c:v>
                </c:pt>
                <c:pt idx="4">
                  <c:v>3.9398568786684889E-3</c:v>
                </c:pt>
                <c:pt idx="5">
                  <c:v>1.3668891211707002E-3</c:v>
                </c:pt>
                <c:pt idx="6">
                  <c:v>5.4916780574093431E-2</c:v>
                </c:pt>
                <c:pt idx="7">
                  <c:v>2.8302645332475677E-2</c:v>
                </c:pt>
                <c:pt idx="8">
                  <c:v>7.8797137573369778E-3</c:v>
                </c:pt>
                <c:pt idx="9">
                  <c:v>5.7087722119482194E-3</c:v>
                </c:pt>
                <c:pt idx="10">
                  <c:v>0.60858727989064887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161-4E7D-9CEC-CABF73E743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E42-4CDD-86E3-A4C2F2E44AF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E42-4CDD-86E3-A4C2F2E44AF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E42-4CDD-86E3-A4C2F2E44AF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E42-4CDD-86E3-A4C2F2E44AF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E42-4CDD-86E3-A4C2F2E44AF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E42-4CDD-86E3-A4C2F2E44AF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E42-4CDD-86E3-A4C2F2E44AF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E42-4CDD-86E3-A4C2F2E44AF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E42-4CDD-86E3-A4C2F2E44AF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E42-4CDD-86E3-A4C2F2E44AF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E42-4CDD-86E3-A4C2F2E44AF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6E42-4CDD-86E3-A4C2F2E44AF9}"/>
              </c:ext>
            </c:extLst>
          </c:dPt>
          <c:dLbls>
            <c:dLbl>
              <c:idx val="10"/>
              <c:layout>
                <c:manualLayout>
                  <c:x val="-2.6175304576939715E-2"/>
                  <c:y val="-3.243408000329516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E42-4CDD-86E3-A4C2F2E44AF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'24.07 Ndeeba-Nateete'!$C$9:$N$9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'24.07 Ndeeba-Nateete'!$C$60:$N$60</c:f>
              <c:numCache>
                <c:formatCode>0.00%</c:formatCode>
                <c:ptCount val="12"/>
                <c:pt idx="0">
                  <c:v>0.25616269515201312</c:v>
                </c:pt>
                <c:pt idx="1">
                  <c:v>0.10004108463434676</c:v>
                </c:pt>
                <c:pt idx="2">
                  <c:v>3.3483976992604768E-2</c:v>
                </c:pt>
                <c:pt idx="3">
                  <c:v>0.34942481511914542</c:v>
                </c:pt>
                <c:pt idx="4">
                  <c:v>1.0065735414954808E-2</c:v>
                </c:pt>
                <c:pt idx="5">
                  <c:v>3.4921939194741168E-3</c:v>
                </c:pt>
                <c:pt idx="6">
                  <c:v>0.140304026294166</c:v>
                </c:pt>
                <c:pt idx="7">
                  <c:v>7.2308956450287593E-2</c:v>
                </c:pt>
                <c:pt idx="8">
                  <c:v>2.0131470829909615E-2</c:v>
                </c:pt>
                <c:pt idx="9">
                  <c:v>1.4585045193097782E-2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E42-4CDD-86E3-A4C2F2E44A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15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'25.07 Nateete-Ndeeba'!$AE$9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'25.07 Nateete-Ndeeba'!$R$10:$R$21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'25.07 Nateete-Ndeeba'!$AE$10:$AE$21</c:f>
              <c:numCache>
                <c:formatCode>0</c:formatCode>
                <c:ptCount val="12"/>
                <c:pt idx="0">
                  <c:v>481</c:v>
                </c:pt>
                <c:pt idx="1">
                  <c:v>385</c:v>
                </c:pt>
                <c:pt idx="2">
                  <c:v>432</c:v>
                </c:pt>
                <c:pt idx="3">
                  <c:v>375</c:v>
                </c:pt>
                <c:pt idx="4">
                  <c:v>336</c:v>
                </c:pt>
                <c:pt idx="5">
                  <c:v>352</c:v>
                </c:pt>
                <c:pt idx="6">
                  <c:v>334</c:v>
                </c:pt>
                <c:pt idx="7">
                  <c:v>355</c:v>
                </c:pt>
                <c:pt idx="8">
                  <c:v>394</c:v>
                </c:pt>
                <c:pt idx="9">
                  <c:v>440</c:v>
                </c:pt>
                <c:pt idx="10">
                  <c:v>435</c:v>
                </c:pt>
                <c:pt idx="11">
                  <c:v>389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C61-4EFF-B3FE-B7ED65A6BB38}"/>
            </c:ext>
          </c:extLst>
        </c:ser>
        <c:ser>
          <c:idx val="1"/>
          <c:order val="1"/>
          <c:tx>
            <c:strRef>
              <c:f>'25.07 Nateete-Ndeeba'!$AF$9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'25.07 Nateete-Ndeeba'!$R$10:$R$21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'25.07 Nateete-Ndeeba'!$AF$10:$AF$21</c:f>
              <c:numCache>
                <c:formatCode>0</c:formatCode>
                <c:ptCount val="12"/>
                <c:pt idx="0">
                  <c:v>1046</c:v>
                </c:pt>
                <c:pt idx="1">
                  <c:v>1320</c:v>
                </c:pt>
                <c:pt idx="2">
                  <c:v>1287</c:v>
                </c:pt>
                <c:pt idx="3">
                  <c:v>1155</c:v>
                </c:pt>
                <c:pt idx="4">
                  <c:v>1161</c:v>
                </c:pt>
                <c:pt idx="5">
                  <c:v>1102</c:v>
                </c:pt>
                <c:pt idx="6">
                  <c:v>1137</c:v>
                </c:pt>
                <c:pt idx="7">
                  <c:v>1080</c:v>
                </c:pt>
                <c:pt idx="8">
                  <c:v>1259</c:v>
                </c:pt>
                <c:pt idx="9">
                  <c:v>1280</c:v>
                </c:pt>
                <c:pt idx="10">
                  <c:v>1210</c:v>
                </c:pt>
                <c:pt idx="11">
                  <c:v>1109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C61-4EFF-B3FE-B7ED65A6BB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4554336"/>
        <c:axId val="404549440"/>
      </c:lineChart>
      <c:catAx>
        <c:axId val="40455433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04549440"/>
        <c:crosses val="autoZero"/>
        <c:auto val="1"/>
        <c:lblAlgn val="ctr"/>
        <c:lblOffset val="100"/>
        <c:noMultiLvlLbl val="0"/>
      </c:catAx>
      <c:valAx>
        <c:axId val="40454944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04554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385-42DE-9260-DCACDBA6D28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385-42DE-9260-DCACDBA6D28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385-42DE-9260-DCACDBA6D28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385-42DE-9260-DCACDBA6D28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385-42DE-9260-DCACDBA6D28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385-42DE-9260-DCACDBA6D28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385-42DE-9260-DCACDBA6D28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385-42DE-9260-DCACDBA6D28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385-42DE-9260-DCACDBA6D28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385-42DE-9260-DCACDBA6D28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385-42DE-9260-DCACDBA6D28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385-42DE-9260-DCACDBA6D289}"/>
              </c:ext>
            </c:extLst>
          </c:dPt>
          <c:dLbls>
            <c:dLbl>
              <c:idx val="10"/>
              <c:layout>
                <c:manualLayout>
                  <c:x val="-2.6175304576939715E-2"/>
                  <c:y val="-3.243408000329516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385-42DE-9260-DCACDBA6D28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'25.07 Nateete-Ndeeba'!$C$9:$N$9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'25.07 Nateete-Ndeeba'!$C$59:$N$59</c:f>
              <c:numCache>
                <c:formatCode>0.0%</c:formatCode>
                <c:ptCount val="12"/>
                <c:pt idx="0">
                  <c:v>0.14088788350063622</c:v>
                </c:pt>
                <c:pt idx="1">
                  <c:v>1.8096988547999435E-2</c:v>
                </c:pt>
                <c:pt idx="2">
                  <c:v>1.1805457373109006E-2</c:v>
                </c:pt>
                <c:pt idx="3">
                  <c:v>9.2322918139403368E-2</c:v>
                </c:pt>
                <c:pt idx="4">
                  <c:v>2.7569630991092888E-3</c:v>
                </c:pt>
                <c:pt idx="5">
                  <c:v>4.9483953060935957E-4</c:v>
                </c:pt>
                <c:pt idx="6">
                  <c:v>1.4633111833733918E-2</c:v>
                </c:pt>
                <c:pt idx="7">
                  <c:v>4.2768273716951785E-2</c:v>
                </c:pt>
                <c:pt idx="8">
                  <c:v>7.9881238512653756E-3</c:v>
                </c:pt>
                <c:pt idx="9">
                  <c:v>1.0603704227343418E-3</c:v>
                </c:pt>
                <c:pt idx="10">
                  <c:v>0.66718506998444793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385-42DE-9260-DCACDBA6D2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76"/>
          <c:y val="2.2960226637323739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'25.07 Nateete-Ndeeba'!$S$9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'25.07 Nateete-Ndeeba'!$R$10:$R$21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'25.07 Nateete-Ndeeba'!$S$10:$S$21</c:f>
              <c:numCache>
                <c:formatCode>0</c:formatCode>
                <c:ptCount val="12"/>
                <c:pt idx="0">
                  <c:v>231</c:v>
                </c:pt>
                <c:pt idx="1">
                  <c:v>164</c:v>
                </c:pt>
                <c:pt idx="2">
                  <c:v>177</c:v>
                </c:pt>
                <c:pt idx="3">
                  <c:v>151</c:v>
                </c:pt>
                <c:pt idx="4">
                  <c:v>153</c:v>
                </c:pt>
                <c:pt idx="5">
                  <c:v>156</c:v>
                </c:pt>
                <c:pt idx="6">
                  <c:v>135</c:v>
                </c:pt>
                <c:pt idx="7">
                  <c:v>155</c:v>
                </c:pt>
                <c:pt idx="8">
                  <c:v>150</c:v>
                </c:pt>
                <c:pt idx="9">
                  <c:v>188</c:v>
                </c:pt>
                <c:pt idx="10">
                  <c:v>189</c:v>
                </c:pt>
                <c:pt idx="11">
                  <c:v>144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565-49B4-8ABB-8A67B7CF0463}"/>
            </c:ext>
          </c:extLst>
        </c:ser>
        <c:ser>
          <c:idx val="1"/>
          <c:order val="1"/>
          <c:tx>
            <c:strRef>
              <c:f>'25.07 Nateete-Ndeeba'!$T$9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'25.07 Nateete-Ndeeba'!$R$10:$R$21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'25.07 Nateete-Ndeeba'!$T$10:$T$21</c:f>
              <c:numCache>
                <c:formatCode>0</c:formatCode>
                <c:ptCount val="12"/>
                <c:pt idx="0">
                  <c:v>26</c:v>
                </c:pt>
                <c:pt idx="1">
                  <c:v>20</c:v>
                </c:pt>
                <c:pt idx="2">
                  <c:v>22</c:v>
                </c:pt>
                <c:pt idx="3">
                  <c:v>9</c:v>
                </c:pt>
                <c:pt idx="4">
                  <c:v>18</c:v>
                </c:pt>
                <c:pt idx="5">
                  <c:v>14</c:v>
                </c:pt>
                <c:pt idx="6">
                  <c:v>23</c:v>
                </c:pt>
                <c:pt idx="7">
                  <c:v>16</c:v>
                </c:pt>
                <c:pt idx="8">
                  <c:v>32</c:v>
                </c:pt>
                <c:pt idx="9">
                  <c:v>29</c:v>
                </c:pt>
                <c:pt idx="10">
                  <c:v>18</c:v>
                </c:pt>
                <c:pt idx="11">
                  <c:v>29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565-49B4-8ABB-8A67B7CF0463}"/>
            </c:ext>
          </c:extLst>
        </c:ser>
        <c:ser>
          <c:idx val="2"/>
          <c:order val="2"/>
          <c:tx>
            <c:strRef>
              <c:f>'25.07 Nateete-Ndeeba'!$U$9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'25.07 Nateete-Ndeeba'!$U$10:$U$21</c:f>
              <c:numCache>
                <c:formatCode>0</c:formatCode>
                <c:ptCount val="12"/>
                <c:pt idx="0">
                  <c:v>22</c:v>
                </c:pt>
                <c:pt idx="1">
                  <c:v>11</c:v>
                </c:pt>
                <c:pt idx="2">
                  <c:v>20</c:v>
                </c:pt>
                <c:pt idx="3">
                  <c:v>10</c:v>
                </c:pt>
                <c:pt idx="4">
                  <c:v>7</c:v>
                </c:pt>
                <c:pt idx="5">
                  <c:v>9</c:v>
                </c:pt>
                <c:pt idx="6">
                  <c:v>12</c:v>
                </c:pt>
                <c:pt idx="7">
                  <c:v>12</c:v>
                </c:pt>
                <c:pt idx="8">
                  <c:v>21</c:v>
                </c:pt>
                <c:pt idx="9">
                  <c:v>16</c:v>
                </c:pt>
                <c:pt idx="10">
                  <c:v>11</c:v>
                </c:pt>
                <c:pt idx="11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565-49B4-8ABB-8A67B7CF0463}"/>
            </c:ext>
          </c:extLst>
        </c:ser>
        <c:ser>
          <c:idx val="3"/>
          <c:order val="3"/>
          <c:tx>
            <c:strRef>
              <c:f>'25.07 Nateete-Ndeeba'!$V$9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'25.07 Nateete-Ndeeba'!$V$10:$V$21</c:f>
              <c:numCache>
                <c:formatCode>0</c:formatCode>
                <c:ptCount val="12"/>
                <c:pt idx="0">
                  <c:v>110</c:v>
                </c:pt>
                <c:pt idx="1">
                  <c:v>95</c:v>
                </c:pt>
                <c:pt idx="2">
                  <c:v>111</c:v>
                </c:pt>
                <c:pt idx="3">
                  <c:v>124</c:v>
                </c:pt>
                <c:pt idx="4">
                  <c:v>92</c:v>
                </c:pt>
                <c:pt idx="5">
                  <c:v>111</c:v>
                </c:pt>
                <c:pt idx="6">
                  <c:v>85</c:v>
                </c:pt>
                <c:pt idx="7">
                  <c:v>89</c:v>
                </c:pt>
                <c:pt idx="8">
                  <c:v>112</c:v>
                </c:pt>
                <c:pt idx="9">
                  <c:v>129</c:v>
                </c:pt>
                <c:pt idx="10">
                  <c:v>123</c:v>
                </c:pt>
                <c:pt idx="11">
                  <c:v>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565-49B4-8ABB-8A67B7CF0463}"/>
            </c:ext>
          </c:extLst>
        </c:ser>
        <c:ser>
          <c:idx val="4"/>
          <c:order val="4"/>
          <c:tx>
            <c:strRef>
              <c:f>'25.07 Nateete-Ndeeba'!$W$9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'25.07 Nateete-Ndeeba'!$W$10:$W$21</c:f>
              <c:numCache>
                <c:formatCode>0</c:formatCode>
                <c:ptCount val="12"/>
                <c:pt idx="0">
                  <c:v>2</c:v>
                </c:pt>
                <c:pt idx="1">
                  <c:v>2</c:v>
                </c:pt>
                <c:pt idx="2">
                  <c:v>5</c:v>
                </c:pt>
                <c:pt idx="3">
                  <c:v>3</c:v>
                </c:pt>
                <c:pt idx="4">
                  <c:v>0</c:v>
                </c:pt>
                <c:pt idx="5">
                  <c:v>2</c:v>
                </c:pt>
                <c:pt idx="6">
                  <c:v>20</c:v>
                </c:pt>
                <c:pt idx="7">
                  <c:v>0</c:v>
                </c:pt>
                <c:pt idx="8">
                  <c:v>0</c:v>
                </c:pt>
                <c:pt idx="9">
                  <c:v>2</c:v>
                </c:pt>
                <c:pt idx="10">
                  <c:v>0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565-49B4-8ABB-8A67B7CF0463}"/>
            </c:ext>
          </c:extLst>
        </c:ser>
        <c:ser>
          <c:idx val="5"/>
          <c:order val="5"/>
          <c:tx>
            <c:strRef>
              <c:f>'25.07 Nateete-Ndeeba'!$X$9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'25.07 Nateete-Ndeeba'!$X$10:$X$21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565-49B4-8ABB-8A67B7CF0463}"/>
            </c:ext>
          </c:extLst>
        </c:ser>
        <c:ser>
          <c:idx val="6"/>
          <c:order val="6"/>
          <c:tx>
            <c:strRef>
              <c:f>'25.07 Nateete-Ndeeba'!$Y$9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'25.07 Nateete-Ndeeba'!$Y$10:$Y$21</c:f>
              <c:numCache>
                <c:formatCode>0</c:formatCode>
                <c:ptCount val="12"/>
                <c:pt idx="0">
                  <c:v>51</c:v>
                </c:pt>
                <c:pt idx="1">
                  <c:v>24</c:v>
                </c:pt>
                <c:pt idx="2">
                  <c:v>23</c:v>
                </c:pt>
                <c:pt idx="3">
                  <c:v>11</c:v>
                </c:pt>
                <c:pt idx="4">
                  <c:v>9</c:v>
                </c:pt>
                <c:pt idx="5">
                  <c:v>12</c:v>
                </c:pt>
                <c:pt idx="6">
                  <c:v>6</c:v>
                </c:pt>
                <c:pt idx="7">
                  <c:v>11</c:v>
                </c:pt>
                <c:pt idx="8">
                  <c:v>13</c:v>
                </c:pt>
                <c:pt idx="9">
                  <c:v>10</c:v>
                </c:pt>
                <c:pt idx="10">
                  <c:v>22</c:v>
                </c:pt>
                <c:pt idx="11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565-49B4-8ABB-8A67B7CF0463}"/>
            </c:ext>
          </c:extLst>
        </c:ser>
        <c:ser>
          <c:idx val="7"/>
          <c:order val="7"/>
          <c:tx>
            <c:strRef>
              <c:f>'25.07 Nateete-Ndeeba'!$Z$9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'25.07 Nateete-Ndeeba'!$Z$10:$Z$21</c:f>
              <c:numCache>
                <c:formatCode>0</c:formatCode>
                <c:ptCount val="12"/>
                <c:pt idx="0">
                  <c:v>33</c:v>
                </c:pt>
                <c:pt idx="1">
                  <c:v>60</c:v>
                </c:pt>
                <c:pt idx="2">
                  <c:v>60</c:v>
                </c:pt>
                <c:pt idx="3">
                  <c:v>63</c:v>
                </c:pt>
                <c:pt idx="4">
                  <c:v>45</c:v>
                </c:pt>
                <c:pt idx="5">
                  <c:v>40</c:v>
                </c:pt>
                <c:pt idx="6">
                  <c:v>40</c:v>
                </c:pt>
                <c:pt idx="7">
                  <c:v>53</c:v>
                </c:pt>
                <c:pt idx="8">
                  <c:v>60</c:v>
                </c:pt>
                <c:pt idx="9">
                  <c:v>55</c:v>
                </c:pt>
                <c:pt idx="10">
                  <c:v>52</c:v>
                </c:pt>
                <c:pt idx="11">
                  <c:v>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565-49B4-8ABB-8A67B7CF0463}"/>
            </c:ext>
          </c:extLst>
        </c:ser>
        <c:ser>
          <c:idx val="8"/>
          <c:order val="8"/>
          <c:tx>
            <c:strRef>
              <c:f>'25.07 Nateete-Ndeeba'!$AA$9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'25.07 Nateete-Ndeeba'!$AA$10:$AA$21</c:f>
              <c:numCache>
                <c:formatCode>0</c:formatCode>
                <c:ptCount val="12"/>
                <c:pt idx="0">
                  <c:v>4</c:v>
                </c:pt>
                <c:pt idx="1">
                  <c:v>5</c:v>
                </c:pt>
                <c:pt idx="2">
                  <c:v>13</c:v>
                </c:pt>
                <c:pt idx="3">
                  <c:v>4</c:v>
                </c:pt>
                <c:pt idx="4">
                  <c:v>12</c:v>
                </c:pt>
                <c:pt idx="5">
                  <c:v>6</c:v>
                </c:pt>
                <c:pt idx="6">
                  <c:v>10</c:v>
                </c:pt>
                <c:pt idx="7">
                  <c:v>15</c:v>
                </c:pt>
                <c:pt idx="8">
                  <c:v>6</c:v>
                </c:pt>
                <c:pt idx="9">
                  <c:v>10</c:v>
                </c:pt>
                <c:pt idx="10">
                  <c:v>18</c:v>
                </c:pt>
                <c:pt idx="11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565-49B4-8ABB-8A67B7CF0463}"/>
            </c:ext>
          </c:extLst>
        </c:ser>
        <c:ser>
          <c:idx val="9"/>
          <c:order val="9"/>
          <c:tx>
            <c:strRef>
              <c:f>'25.07 Nateete-Ndeeba'!$AB$9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'25.07 Nateete-Ndeeba'!$AB$10:$AB$21</c:f>
              <c:numCache>
                <c:formatCode>0</c:formatCode>
                <c:ptCount val="12"/>
                <c:pt idx="0">
                  <c:v>2</c:v>
                </c:pt>
                <c:pt idx="1">
                  <c:v>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</c:v>
                </c:pt>
                <c:pt idx="7">
                  <c:v>3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565-49B4-8ABB-8A67B7CF0463}"/>
            </c:ext>
          </c:extLst>
        </c:ser>
        <c:ser>
          <c:idx val="10"/>
          <c:order val="10"/>
          <c:tx>
            <c:strRef>
              <c:f>'25.07 Nateete-Ndeeba'!$AC$9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'25.07 Nateete-Ndeeba'!$AC$10:$AC$21</c:f>
              <c:numCache>
                <c:formatCode>0</c:formatCode>
                <c:ptCount val="12"/>
                <c:pt idx="0">
                  <c:v>565</c:v>
                </c:pt>
                <c:pt idx="1">
                  <c:v>935</c:v>
                </c:pt>
                <c:pt idx="2">
                  <c:v>855</c:v>
                </c:pt>
                <c:pt idx="3">
                  <c:v>780</c:v>
                </c:pt>
                <c:pt idx="4">
                  <c:v>825</c:v>
                </c:pt>
                <c:pt idx="5">
                  <c:v>750</c:v>
                </c:pt>
                <c:pt idx="6">
                  <c:v>803</c:v>
                </c:pt>
                <c:pt idx="7">
                  <c:v>725</c:v>
                </c:pt>
                <c:pt idx="8">
                  <c:v>865</c:v>
                </c:pt>
                <c:pt idx="9">
                  <c:v>840</c:v>
                </c:pt>
                <c:pt idx="10">
                  <c:v>775</c:v>
                </c:pt>
                <c:pt idx="11">
                  <c:v>720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565-49B4-8ABB-8A67B7CF0463}"/>
            </c:ext>
          </c:extLst>
        </c:ser>
        <c:ser>
          <c:idx val="11"/>
          <c:order val="11"/>
          <c:tx>
            <c:strRef>
              <c:f>'25.07 Nateete-Ndeeba'!$AD$9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'25.07 Nateete-Ndeeba'!$AD$10:$AD$21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565-49B4-8ABB-8A67B7CF04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4551616"/>
        <c:axId val="404552160"/>
      </c:lineChart>
      <c:catAx>
        <c:axId val="404551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04552160"/>
        <c:crosses val="autoZero"/>
        <c:auto val="1"/>
        <c:lblAlgn val="ctr"/>
        <c:lblOffset val="100"/>
        <c:noMultiLvlLbl val="0"/>
      </c:catAx>
      <c:valAx>
        <c:axId val="404552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04551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7C5-4DCE-BEC7-0690C330694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7C5-4DCE-BEC7-0690C330694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7C5-4DCE-BEC7-0690C330694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7C5-4DCE-BEC7-0690C330694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7C5-4DCE-BEC7-0690C330694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7C5-4DCE-BEC7-0690C330694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7C5-4DCE-BEC7-0690C330694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7C5-4DCE-BEC7-0690C330694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7C5-4DCE-BEC7-0690C330694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7C5-4DCE-BEC7-0690C330694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F7C5-4DCE-BEC7-0690C330694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F7C5-4DCE-BEC7-0690C330694A}"/>
              </c:ext>
            </c:extLst>
          </c:dPt>
          <c:dLbls>
            <c:dLbl>
              <c:idx val="10"/>
              <c:layout>
                <c:manualLayout>
                  <c:x val="-2.6175304576939715E-2"/>
                  <c:y val="-3.243408000329516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7C5-4DCE-BEC7-0690C330694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'25.07 Nateete-Ndeeba'!$C$9:$N$9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'25.07 Nateete-Ndeeba'!$C$60:$N$60</c:f>
              <c:numCache>
                <c:formatCode>0.00%</c:formatCode>
                <c:ptCount val="12"/>
                <c:pt idx="0">
                  <c:v>0.42332200509770601</c:v>
                </c:pt>
                <c:pt idx="1">
                  <c:v>5.4375531011045031E-2</c:v>
                </c:pt>
                <c:pt idx="2">
                  <c:v>3.5471537807986404E-2</c:v>
                </c:pt>
                <c:pt idx="3">
                  <c:v>0.27740016992353439</c:v>
                </c:pt>
                <c:pt idx="4">
                  <c:v>8.2837723024638907E-3</c:v>
                </c:pt>
                <c:pt idx="5">
                  <c:v>1.4868309260832626E-3</c:v>
                </c:pt>
                <c:pt idx="6">
                  <c:v>4.3967714528462189E-2</c:v>
                </c:pt>
                <c:pt idx="7">
                  <c:v>0.12850467289719625</c:v>
                </c:pt>
                <c:pt idx="8">
                  <c:v>2.4001699235344096E-2</c:v>
                </c:pt>
                <c:pt idx="9">
                  <c:v>3.1860662701784196E-3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7C5-4DCE-BEC7-0690C33069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15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'25.07 Ndeeba-Nateete'!$AE$9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'25.07 Ndeeba-Nateete'!$R$10:$R$21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'25.07 Ndeeba-Nateete'!$AE$10:$AE$21</c:f>
              <c:numCache>
                <c:formatCode>0</c:formatCode>
                <c:ptCount val="12"/>
                <c:pt idx="0">
                  <c:v>483</c:v>
                </c:pt>
                <c:pt idx="1">
                  <c:v>258</c:v>
                </c:pt>
                <c:pt idx="2">
                  <c:v>296</c:v>
                </c:pt>
                <c:pt idx="3">
                  <c:v>240</c:v>
                </c:pt>
                <c:pt idx="4">
                  <c:v>251</c:v>
                </c:pt>
                <c:pt idx="5">
                  <c:v>312</c:v>
                </c:pt>
                <c:pt idx="6">
                  <c:v>269</c:v>
                </c:pt>
                <c:pt idx="7">
                  <c:v>242</c:v>
                </c:pt>
                <c:pt idx="8">
                  <c:v>226</c:v>
                </c:pt>
                <c:pt idx="9">
                  <c:v>286</c:v>
                </c:pt>
                <c:pt idx="10">
                  <c:v>250</c:v>
                </c:pt>
                <c:pt idx="11">
                  <c:v>428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463-4278-A5CC-74015684B17F}"/>
            </c:ext>
          </c:extLst>
        </c:ser>
        <c:ser>
          <c:idx val="1"/>
          <c:order val="1"/>
          <c:tx>
            <c:strRef>
              <c:f>'25.07 Ndeeba-Nateete'!$AF$9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'25.07 Ndeeba-Nateete'!$R$10:$R$21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'25.07 Ndeeba-Nateete'!$AF$10:$AF$21</c:f>
              <c:numCache>
                <c:formatCode>0</c:formatCode>
                <c:ptCount val="12"/>
                <c:pt idx="0">
                  <c:v>1325</c:v>
                </c:pt>
                <c:pt idx="1">
                  <c:v>911</c:v>
                </c:pt>
                <c:pt idx="2">
                  <c:v>1055</c:v>
                </c:pt>
                <c:pt idx="3">
                  <c:v>674</c:v>
                </c:pt>
                <c:pt idx="4">
                  <c:v>892</c:v>
                </c:pt>
                <c:pt idx="5">
                  <c:v>854</c:v>
                </c:pt>
                <c:pt idx="6">
                  <c:v>866</c:v>
                </c:pt>
                <c:pt idx="7">
                  <c:v>743</c:v>
                </c:pt>
                <c:pt idx="8">
                  <c:v>568</c:v>
                </c:pt>
                <c:pt idx="9">
                  <c:v>825</c:v>
                </c:pt>
                <c:pt idx="10">
                  <c:v>892</c:v>
                </c:pt>
                <c:pt idx="11">
                  <c:v>1095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463-4278-A5CC-74015684B1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4560320"/>
        <c:axId val="404561408"/>
      </c:lineChart>
      <c:catAx>
        <c:axId val="40456032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04561408"/>
        <c:crosses val="autoZero"/>
        <c:auto val="1"/>
        <c:lblAlgn val="ctr"/>
        <c:lblOffset val="100"/>
        <c:noMultiLvlLbl val="0"/>
      </c:catAx>
      <c:valAx>
        <c:axId val="40456140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04560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838-4AD2-B02D-63FE1AB93A1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838-4AD2-B02D-63FE1AB93A1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838-4AD2-B02D-63FE1AB93A1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838-4AD2-B02D-63FE1AB93A1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838-4AD2-B02D-63FE1AB93A1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838-4AD2-B02D-63FE1AB93A1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838-4AD2-B02D-63FE1AB93A1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838-4AD2-B02D-63FE1AB93A1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838-4AD2-B02D-63FE1AB93A1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838-4AD2-B02D-63FE1AB93A1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838-4AD2-B02D-63FE1AB93A1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838-4AD2-B02D-63FE1AB93A14}"/>
              </c:ext>
            </c:extLst>
          </c:dPt>
          <c:dLbls>
            <c:dLbl>
              <c:idx val="10"/>
              <c:layout>
                <c:manualLayout>
                  <c:x val="-2.6175304576939715E-2"/>
                  <c:y val="-3.243408000329516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838-4AD2-B02D-63FE1AB93A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'25.07 Ndeeba-Nateete'!$C$9:$N$9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'25.07 Ndeeba-Nateete'!$C$59:$N$59</c:f>
              <c:numCache>
                <c:formatCode>0.0%</c:formatCode>
                <c:ptCount val="12"/>
                <c:pt idx="0">
                  <c:v>7.4205607476635516E-2</c:v>
                </c:pt>
                <c:pt idx="1">
                  <c:v>3.570093457943925E-2</c:v>
                </c:pt>
                <c:pt idx="2">
                  <c:v>1.8037383177570095E-2</c:v>
                </c:pt>
                <c:pt idx="3">
                  <c:v>0.11467289719626168</c:v>
                </c:pt>
                <c:pt idx="4">
                  <c:v>3.4579439252336447E-3</c:v>
                </c:pt>
                <c:pt idx="5">
                  <c:v>1.3084112149532711E-3</c:v>
                </c:pt>
                <c:pt idx="6">
                  <c:v>4.4953271028037381E-2</c:v>
                </c:pt>
                <c:pt idx="7">
                  <c:v>2.7102803738317756E-2</c:v>
                </c:pt>
                <c:pt idx="8">
                  <c:v>6.6355140186915886E-3</c:v>
                </c:pt>
                <c:pt idx="9">
                  <c:v>4.8598130841121497E-3</c:v>
                </c:pt>
                <c:pt idx="10">
                  <c:v>0.66906542056074769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838-4AD2-B02D-63FE1AB93A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76"/>
          <c:y val="2.2960226637323739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'25.07 Ndeeba-Nateete'!$S$9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'25.07 Ndeeba-Nateete'!$R$10:$R$21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'25.07 Ndeeba-Nateete'!$S$10:$S$21</c:f>
              <c:numCache>
                <c:formatCode>0</c:formatCode>
                <c:ptCount val="12"/>
                <c:pt idx="0">
                  <c:v>130</c:v>
                </c:pt>
                <c:pt idx="1">
                  <c:v>67</c:v>
                </c:pt>
                <c:pt idx="2">
                  <c:v>54</c:v>
                </c:pt>
                <c:pt idx="3">
                  <c:v>53</c:v>
                </c:pt>
                <c:pt idx="4">
                  <c:v>49</c:v>
                </c:pt>
                <c:pt idx="5">
                  <c:v>54</c:v>
                </c:pt>
                <c:pt idx="6">
                  <c:v>59</c:v>
                </c:pt>
                <c:pt idx="7">
                  <c:v>46</c:v>
                </c:pt>
                <c:pt idx="8">
                  <c:v>52</c:v>
                </c:pt>
                <c:pt idx="9">
                  <c:v>66</c:v>
                </c:pt>
                <c:pt idx="10">
                  <c:v>53</c:v>
                </c:pt>
                <c:pt idx="11">
                  <c:v>111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ACD-4E4E-9939-9E943A18B54F}"/>
            </c:ext>
          </c:extLst>
        </c:ser>
        <c:ser>
          <c:idx val="1"/>
          <c:order val="1"/>
          <c:tx>
            <c:strRef>
              <c:f>'25.07 Ndeeba-Nateete'!$T$9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'25.07 Ndeeba-Nateete'!$R$10:$R$21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'25.07 Ndeeba-Nateete'!$T$10:$T$21</c:f>
              <c:numCache>
                <c:formatCode>0</c:formatCode>
                <c:ptCount val="12"/>
                <c:pt idx="0">
                  <c:v>27</c:v>
                </c:pt>
                <c:pt idx="1">
                  <c:v>30</c:v>
                </c:pt>
                <c:pt idx="2">
                  <c:v>35</c:v>
                </c:pt>
                <c:pt idx="3">
                  <c:v>27</c:v>
                </c:pt>
                <c:pt idx="4">
                  <c:v>30</c:v>
                </c:pt>
                <c:pt idx="5">
                  <c:v>41</c:v>
                </c:pt>
                <c:pt idx="6">
                  <c:v>29</c:v>
                </c:pt>
                <c:pt idx="7">
                  <c:v>27</c:v>
                </c:pt>
                <c:pt idx="8">
                  <c:v>24</c:v>
                </c:pt>
                <c:pt idx="9">
                  <c:v>32</c:v>
                </c:pt>
                <c:pt idx="10">
                  <c:v>29</c:v>
                </c:pt>
                <c:pt idx="11">
                  <c:v>51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ACD-4E4E-9939-9E943A18B54F}"/>
            </c:ext>
          </c:extLst>
        </c:ser>
        <c:ser>
          <c:idx val="2"/>
          <c:order val="2"/>
          <c:tx>
            <c:strRef>
              <c:f>'25.07 Ndeeba-Nateete'!$U$9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'25.07 Ndeeba-Nateete'!$U$10:$U$21</c:f>
              <c:numCache>
                <c:formatCode>0</c:formatCode>
                <c:ptCount val="12"/>
                <c:pt idx="0">
                  <c:v>32</c:v>
                </c:pt>
                <c:pt idx="1">
                  <c:v>12</c:v>
                </c:pt>
                <c:pt idx="2">
                  <c:v>8</c:v>
                </c:pt>
                <c:pt idx="3">
                  <c:v>14</c:v>
                </c:pt>
                <c:pt idx="4">
                  <c:v>7</c:v>
                </c:pt>
                <c:pt idx="5">
                  <c:v>24</c:v>
                </c:pt>
                <c:pt idx="6">
                  <c:v>8</c:v>
                </c:pt>
                <c:pt idx="7">
                  <c:v>20</c:v>
                </c:pt>
                <c:pt idx="8">
                  <c:v>17</c:v>
                </c:pt>
                <c:pt idx="9">
                  <c:v>14</c:v>
                </c:pt>
                <c:pt idx="10">
                  <c:v>12</c:v>
                </c:pt>
                <c:pt idx="11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ACD-4E4E-9939-9E943A18B54F}"/>
            </c:ext>
          </c:extLst>
        </c:ser>
        <c:ser>
          <c:idx val="3"/>
          <c:order val="3"/>
          <c:tx>
            <c:strRef>
              <c:f>'25.07 Ndeeba-Nateete'!$V$9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'25.07 Ndeeba-Nateete'!$V$10:$V$21</c:f>
              <c:numCache>
                <c:formatCode>0</c:formatCode>
                <c:ptCount val="12"/>
                <c:pt idx="0">
                  <c:v>234</c:v>
                </c:pt>
                <c:pt idx="1">
                  <c:v>98</c:v>
                </c:pt>
                <c:pt idx="2">
                  <c:v>120</c:v>
                </c:pt>
                <c:pt idx="3">
                  <c:v>53</c:v>
                </c:pt>
                <c:pt idx="4">
                  <c:v>115</c:v>
                </c:pt>
                <c:pt idx="5">
                  <c:v>105</c:v>
                </c:pt>
                <c:pt idx="6">
                  <c:v>101</c:v>
                </c:pt>
                <c:pt idx="7">
                  <c:v>49</c:v>
                </c:pt>
                <c:pt idx="8">
                  <c:v>62</c:v>
                </c:pt>
                <c:pt idx="9">
                  <c:v>84</c:v>
                </c:pt>
                <c:pt idx="10">
                  <c:v>93</c:v>
                </c:pt>
                <c:pt idx="11">
                  <c:v>113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ACD-4E4E-9939-9E943A18B54F}"/>
            </c:ext>
          </c:extLst>
        </c:ser>
        <c:ser>
          <c:idx val="4"/>
          <c:order val="4"/>
          <c:tx>
            <c:strRef>
              <c:f>'25.07 Ndeeba-Nateete'!$W$9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'25.07 Ndeeba-Nateete'!$W$10:$W$21</c:f>
              <c:numCache>
                <c:formatCode>0</c:formatCode>
                <c:ptCount val="12"/>
                <c:pt idx="0">
                  <c:v>9</c:v>
                </c:pt>
                <c:pt idx="1">
                  <c:v>8</c:v>
                </c:pt>
                <c:pt idx="2">
                  <c:v>4</c:v>
                </c:pt>
                <c:pt idx="3">
                  <c:v>7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0</c:v>
                </c:pt>
                <c:pt idx="8">
                  <c:v>1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ACD-4E4E-9939-9E943A18B54F}"/>
            </c:ext>
          </c:extLst>
        </c:ser>
        <c:ser>
          <c:idx val="5"/>
          <c:order val="5"/>
          <c:tx>
            <c:strRef>
              <c:f>'25.07 Ndeeba-Nateete'!$X$9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'25.07 Ndeeba-Nateete'!$X$10:$X$21</c:f>
              <c:numCache>
                <c:formatCode>0</c:formatCode>
                <c:ptCount val="12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3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3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ACD-4E4E-9939-9E943A18B54F}"/>
            </c:ext>
          </c:extLst>
        </c:ser>
        <c:ser>
          <c:idx val="6"/>
          <c:order val="6"/>
          <c:tx>
            <c:strRef>
              <c:f>'25.07 Ndeeba-Nateete'!$Y$9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'25.07 Ndeeba-Nateete'!$Y$10:$Y$21</c:f>
              <c:numCache>
                <c:formatCode>0</c:formatCode>
                <c:ptCount val="12"/>
                <c:pt idx="0">
                  <c:v>8</c:v>
                </c:pt>
                <c:pt idx="1">
                  <c:v>34</c:v>
                </c:pt>
                <c:pt idx="2">
                  <c:v>48</c:v>
                </c:pt>
                <c:pt idx="3">
                  <c:v>43</c:v>
                </c:pt>
                <c:pt idx="4">
                  <c:v>30</c:v>
                </c:pt>
                <c:pt idx="5">
                  <c:v>47</c:v>
                </c:pt>
                <c:pt idx="6">
                  <c:v>38</c:v>
                </c:pt>
                <c:pt idx="7">
                  <c:v>58</c:v>
                </c:pt>
                <c:pt idx="8">
                  <c:v>34</c:v>
                </c:pt>
                <c:pt idx="9">
                  <c:v>40</c:v>
                </c:pt>
                <c:pt idx="10">
                  <c:v>33</c:v>
                </c:pt>
                <c:pt idx="11">
                  <c:v>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ACD-4E4E-9939-9E943A18B54F}"/>
            </c:ext>
          </c:extLst>
        </c:ser>
        <c:ser>
          <c:idx val="7"/>
          <c:order val="7"/>
          <c:tx>
            <c:strRef>
              <c:f>'25.07 Ndeeba-Nateete'!$Z$9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'25.07 Ndeeba-Nateete'!$Z$10:$Z$21</c:f>
              <c:numCache>
                <c:formatCode>0</c:formatCode>
                <c:ptCount val="12"/>
                <c:pt idx="0">
                  <c:v>18</c:v>
                </c:pt>
                <c:pt idx="1">
                  <c:v>8</c:v>
                </c:pt>
                <c:pt idx="2">
                  <c:v>20</c:v>
                </c:pt>
                <c:pt idx="3">
                  <c:v>37</c:v>
                </c:pt>
                <c:pt idx="4">
                  <c:v>8</c:v>
                </c:pt>
                <c:pt idx="5">
                  <c:v>25</c:v>
                </c:pt>
                <c:pt idx="6">
                  <c:v>22</c:v>
                </c:pt>
                <c:pt idx="7">
                  <c:v>27</c:v>
                </c:pt>
                <c:pt idx="8">
                  <c:v>22</c:v>
                </c:pt>
                <c:pt idx="9">
                  <c:v>36</c:v>
                </c:pt>
                <c:pt idx="10">
                  <c:v>18</c:v>
                </c:pt>
                <c:pt idx="11">
                  <c:v>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ACD-4E4E-9939-9E943A18B54F}"/>
            </c:ext>
          </c:extLst>
        </c:ser>
        <c:ser>
          <c:idx val="8"/>
          <c:order val="8"/>
          <c:tx>
            <c:strRef>
              <c:f>'25.07 Ndeeba-Nateete'!$AA$9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'25.07 Ndeeba-Nateete'!$AA$10:$AA$21</c:f>
              <c:numCache>
                <c:formatCode>0</c:formatCode>
                <c:ptCount val="12"/>
                <c:pt idx="0">
                  <c:v>10</c:v>
                </c:pt>
                <c:pt idx="1">
                  <c:v>0</c:v>
                </c:pt>
                <c:pt idx="2">
                  <c:v>5</c:v>
                </c:pt>
                <c:pt idx="3">
                  <c:v>4</c:v>
                </c:pt>
                <c:pt idx="4">
                  <c:v>3</c:v>
                </c:pt>
                <c:pt idx="5">
                  <c:v>8</c:v>
                </c:pt>
                <c:pt idx="6">
                  <c:v>4</c:v>
                </c:pt>
                <c:pt idx="7">
                  <c:v>8</c:v>
                </c:pt>
                <c:pt idx="8">
                  <c:v>12</c:v>
                </c:pt>
                <c:pt idx="9">
                  <c:v>7</c:v>
                </c:pt>
                <c:pt idx="10">
                  <c:v>3</c:v>
                </c:pt>
                <c:pt idx="11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ACD-4E4E-9939-9E943A18B54F}"/>
            </c:ext>
          </c:extLst>
        </c:ser>
        <c:ser>
          <c:idx val="9"/>
          <c:order val="9"/>
          <c:tx>
            <c:strRef>
              <c:f>'25.07 Ndeeba-Nateete'!$AB$9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'25.07 Ndeeba-Nateete'!$AB$10:$AB$21</c:f>
              <c:numCache>
                <c:formatCode>0</c:formatCode>
                <c:ptCount val="12"/>
                <c:pt idx="0">
                  <c:v>11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8</c:v>
                </c:pt>
                <c:pt idx="5">
                  <c:v>6</c:v>
                </c:pt>
                <c:pt idx="6">
                  <c:v>3</c:v>
                </c:pt>
                <c:pt idx="7">
                  <c:v>7</c:v>
                </c:pt>
                <c:pt idx="8">
                  <c:v>2</c:v>
                </c:pt>
                <c:pt idx="9">
                  <c:v>4</c:v>
                </c:pt>
                <c:pt idx="10">
                  <c:v>5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ACD-4E4E-9939-9E943A18B54F}"/>
            </c:ext>
          </c:extLst>
        </c:ser>
        <c:ser>
          <c:idx val="10"/>
          <c:order val="10"/>
          <c:tx>
            <c:strRef>
              <c:f>'25.07 Ndeeba-Nateete'!$AC$9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'25.07 Ndeeba-Nateete'!$AC$10:$AC$21</c:f>
              <c:numCache>
                <c:formatCode>0</c:formatCode>
                <c:ptCount val="12"/>
                <c:pt idx="0">
                  <c:v>842</c:v>
                </c:pt>
                <c:pt idx="1">
                  <c:v>653</c:v>
                </c:pt>
                <c:pt idx="2">
                  <c:v>759</c:v>
                </c:pt>
                <c:pt idx="3">
                  <c:v>434</c:v>
                </c:pt>
                <c:pt idx="4">
                  <c:v>641</c:v>
                </c:pt>
                <c:pt idx="5">
                  <c:v>542</c:v>
                </c:pt>
                <c:pt idx="6">
                  <c:v>597</c:v>
                </c:pt>
                <c:pt idx="7">
                  <c:v>501</c:v>
                </c:pt>
                <c:pt idx="8">
                  <c:v>342</c:v>
                </c:pt>
                <c:pt idx="9">
                  <c:v>539</c:v>
                </c:pt>
                <c:pt idx="10">
                  <c:v>642</c:v>
                </c:pt>
                <c:pt idx="11">
                  <c:v>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ACD-4E4E-9939-9E943A18B54F}"/>
            </c:ext>
          </c:extLst>
        </c:ser>
        <c:ser>
          <c:idx val="11"/>
          <c:order val="11"/>
          <c:tx>
            <c:strRef>
              <c:f>'25.07 Ndeeba-Nateete'!$AD$9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'25.07 Ndeeba-Nateete'!$AD$10:$AD$21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ACD-4E4E-9939-9E943A18B5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5904304"/>
        <c:axId val="265891792"/>
      </c:lineChart>
      <c:catAx>
        <c:axId val="265904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65891792"/>
        <c:crosses val="autoZero"/>
        <c:auto val="1"/>
        <c:lblAlgn val="ctr"/>
        <c:lblOffset val="100"/>
        <c:noMultiLvlLbl val="0"/>
      </c:catAx>
      <c:valAx>
        <c:axId val="265891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65904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B51-4D84-891B-06C3FCEF433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B51-4D84-891B-06C3FCEF433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B51-4D84-891B-06C3FCEF433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B51-4D84-891B-06C3FCEF433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B51-4D84-891B-06C3FCEF433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B51-4D84-891B-06C3FCEF433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B51-4D84-891B-06C3FCEF433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B51-4D84-891B-06C3FCEF433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B51-4D84-891B-06C3FCEF433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B51-4D84-891B-06C3FCEF433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B51-4D84-891B-06C3FCEF433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B51-4D84-891B-06C3FCEF4330}"/>
              </c:ext>
            </c:extLst>
          </c:dPt>
          <c:dLbls>
            <c:dLbl>
              <c:idx val="10"/>
              <c:layout>
                <c:manualLayout>
                  <c:x val="-2.6175304576939715E-2"/>
                  <c:y val="-3.243408000329516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B51-4D84-891B-06C3FCEF433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'25.07 Ndeeba-Nateete'!$C$9:$N$9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'25.07 Ndeeba-Nateete'!$C$60:$N$60</c:f>
              <c:numCache>
                <c:formatCode>0.00%</c:formatCode>
                <c:ptCount val="12"/>
                <c:pt idx="0">
                  <c:v>0.22423044337757694</c:v>
                </c:pt>
                <c:pt idx="1">
                  <c:v>0.10787913018921208</c:v>
                </c:pt>
                <c:pt idx="2">
                  <c:v>5.4504377294549565E-2</c:v>
                </c:pt>
                <c:pt idx="3">
                  <c:v>0.34651228466534878</c:v>
                </c:pt>
                <c:pt idx="4">
                  <c:v>1.0449025698955098E-2</c:v>
                </c:pt>
                <c:pt idx="5">
                  <c:v>3.9536853996046317E-3</c:v>
                </c:pt>
                <c:pt idx="6">
                  <c:v>0.13583733408641627</c:v>
                </c:pt>
                <c:pt idx="7">
                  <c:v>8.1897768991810227E-2</c:v>
                </c:pt>
                <c:pt idx="8">
                  <c:v>2.0050833097994918E-2</c:v>
                </c:pt>
                <c:pt idx="9">
                  <c:v>1.4685117198531489E-2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B51-4D84-891B-06C3FCEF43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'26.07 Nateete-Ndeeba-24h'!$AE$9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'26.07 Nateete-Ndeeba-24h'!$R$10:$R$33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'26.07 Nateete-Ndeeba-24h'!$AE$10:$AE$33</c:f>
              <c:numCache>
                <c:formatCode>0</c:formatCode>
                <c:ptCount val="24"/>
                <c:pt idx="0">
                  <c:v>332</c:v>
                </c:pt>
                <c:pt idx="1">
                  <c:v>405</c:v>
                </c:pt>
                <c:pt idx="2">
                  <c:v>430</c:v>
                </c:pt>
                <c:pt idx="3">
                  <c:v>377</c:v>
                </c:pt>
                <c:pt idx="4">
                  <c:v>418</c:v>
                </c:pt>
                <c:pt idx="5">
                  <c:v>445</c:v>
                </c:pt>
                <c:pt idx="6">
                  <c:v>393</c:v>
                </c:pt>
                <c:pt idx="7">
                  <c:v>429</c:v>
                </c:pt>
                <c:pt idx="8">
                  <c:v>411</c:v>
                </c:pt>
                <c:pt idx="9">
                  <c:v>370</c:v>
                </c:pt>
                <c:pt idx="10">
                  <c:v>427</c:v>
                </c:pt>
                <c:pt idx="11">
                  <c:v>359</c:v>
                </c:pt>
                <c:pt idx="12">
                  <c:v>323</c:v>
                </c:pt>
                <c:pt idx="13">
                  <c:v>298</c:v>
                </c:pt>
                <c:pt idx="14">
                  <c:v>313</c:v>
                </c:pt>
                <c:pt idx="15">
                  <c:v>370</c:v>
                </c:pt>
                <c:pt idx="16">
                  <c:v>376</c:v>
                </c:pt>
                <c:pt idx="17">
                  <c:v>223</c:v>
                </c:pt>
                <c:pt idx="18">
                  <c:v>162</c:v>
                </c:pt>
                <c:pt idx="19">
                  <c:v>150</c:v>
                </c:pt>
                <c:pt idx="20">
                  <c:v>136</c:v>
                </c:pt>
                <c:pt idx="21">
                  <c:v>100</c:v>
                </c:pt>
                <c:pt idx="22">
                  <c:v>195</c:v>
                </c:pt>
                <c:pt idx="23">
                  <c:v>296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FC2-4A7B-9B5C-FEA0112544F4}"/>
            </c:ext>
          </c:extLst>
        </c:ser>
        <c:ser>
          <c:idx val="1"/>
          <c:order val="1"/>
          <c:tx>
            <c:strRef>
              <c:f>'26.07 Nateete-Ndeeba-24h'!$AF$9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'26.07 Nateete-Ndeeba-24h'!$R$10:$R$33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'26.07 Nateete-Ndeeba-24h'!$AF$10:$AF$33</c:f>
              <c:numCache>
                <c:formatCode>0</c:formatCode>
                <c:ptCount val="24"/>
                <c:pt idx="0">
                  <c:v>882</c:v>
                </c:pt>
                <c:pt idx="1">
                  <c:v>1240</c:v>
                </c:pt>
                <c:pt idx="2">
                  <c:v>1210</c:v>
                </c:pt>
                <c:pt idx="3">
                  <c:v>1262</c:v>
                </c:pt>
                <c:pt idx="4">
                  <c:v>1303</c:v>
                </c:pt>
                <c:pt idx="5">
                  <c:v>1040</c:v>
                </c:pt>
                <c:pt idx="6">
                  <c:v>1013</c:v>
                </c:pt>
                <c:pt idx="7">
                  <c:v>1089</c:v>
                </c:pt>
                <c:pt idx="8">
                  <c:v>937</c:v>
                </c:pt>
                <c:pt idx="9">
                  <c:v>925</c:v>
                </c:pt>
                <c:pt idx="10">
                  <c:v>1327</c:v>
                </c:pt>
                <c:pt idx="11">
                  <c:v>1074</c:v>
                </c:pt>
                <c:pt idx="12">
                  <c:v>1125</c:v>
                </c:pt>
                <c:pt idx="13">
                  <c:v>1228</c:v>
                </c:pt>
                <c:pt idx="14">
                  <c:v>782</c:v>
                </c:pt>
                <c:pt idx="15">
                  <c:v>702</c:v>
                </c:pt>
                <c:pt idx="16">
                  <c:v>710</c:v>
                </c:pt>
                <c:pt idx="17">
                  <c:v>566</c:v>
                </c:pt>
                <c:pt idx="18">
                  <c:v>471</c:v>
                </c:pt>
                <c:pt idx="19">
                  <c:v>406</c:v>
                </c:pt>
                <c:pt idx="20">
                  <c:v>326</c:v>
                </c:pt>
                <c:pt idx="21">
                  <c:v>212</c:v>
                </c:pt>
                <c:pt idx="22">
                  <c:v>396</c:v>
                </c:pt>
                <c:pt idx="23">
                  <c:v>638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FC2-4A7B-9B5C-FEA0112544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5899408"/>
        <c:axId val="265894512"/>
      </c:lineChart>
      <c:catAx>
        <c:axId val="26589940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65894512"/>
        <c:crosses val="autoZero"/>
        <c:auto val="1"/>
        <c:lblAlgn val="ctr"/>
        <c:lblOffset val="100"/>
        <c:noMultiLvlLbl val="0"/>
      </c:catAx>
      <c:valAx>
        <c:axId val="26589451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65899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43B-4B95-BFC1-AB46B6A1DAB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43B-4B95-BFC1-AB46B6A1DAB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43B-4B95-BFC1-AB46B6A1DAB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43B-4B95-BFC1-AB46B6A1DAB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43B-4B95-BFC1-AB46B6A1DAB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43B-4B95-BFC1-AB46B6A1DAB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43B-4B95-BFC1-AB46B6A1DAB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43B-4B95-BFC1-AB46B6A1DAB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43B-4B95-BFC1-AB46B6A1DAB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43B-4B95-BFC1-AB46B6A1DAB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43B-4B95-BFC1-AB46B6A1DAB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43B-4B95-BFC1-AB46B6A1DAB2}"/>
              </c:ext>
            </c:extLst>
          </c:dPt>
          <c:dLbls>
            <c:dLbl>
              <c:idx val="10"/>
              <c:layout>
                <c:manualLayout>
                  <c:x val="-2.6175304576939715E-2"/>
                  <c:y val="-3.243408000329516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43B-4B95-BFC1-AB46B6A1DAB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'26.07 Nateete-Ndeeba-24h'!$C$9:$N$9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'26.07 Nateete-Ndeeba-24h'!$C$107:$N$107</c:f>
              <c:numCache>
                <c:formatCode>0.0%</c:formatCode>
                <c:ptCount val="12"/>
                <c:pt idx="0">
                  <c:v>0.14287768404907975</c:v>
                </c:pt>
                <c:pt idx="1">
                  <c:v>2.0274156441717792E-2</c:v>
                </c:pt>
                <c:pt idx="2">
                  <c:v>1.7062883435582821E-2</c:v>
                </c:pt>
                <c:pt idx="3">
                  <c:v>9.9789110429447853E-2</c:v>
                </c:pt>
                <c:pt idx="4">
                  <c:v>2.7799079754601227E-3</c:v>
                </c:pt>
                <c:pt idx="5">
                  <c:v>5.5598159509202454E-3</c:v>
                </c:pt>
                <c:pt idx="6">
                  <c:v>2.276648773006135E-2</c:v>
                </c:pt>
                <c:pt idx="7">
                  <c:v>4.5676763803680985E-2</c:v>
                </c:pt>
                <c:pt idx="8">
                  <c:v>9.8255368098159514E-3</c:v>
                </c:pt>
                <c:pt idx="9">
                  <c:v>4.1698619631901843E-3</c:v>
                </c:pt>
                <c:pt idx="10">
                  <c:v>0.62912193251533743</c:v>
                </c:pt>
                <c:pt idx="11">
                  <c:v>9.5858895705521475E-5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43B-4B95-BFC1-AB46B6A1DA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889-4F07-A028-107AA614C72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889-4F07-A028-107AA614C72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889-4F07-A028-107AA614C72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889-4F07-A028-107AA614C72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889-4F07-A028-107AA614C72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889-4F07-A028-107AA614C72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889-4F07-A028-107AA614C72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889-4F07-A028-107AA614C72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889-4F07-A028-107AA614C72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889-4F07-A028-107AA614C72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889-4F07-A028-107AA614C72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889-4F07-A028-107AA614C720}"/>
              </c:ext>
            </c:extLst>
          </c:dPt>
          <c:dLbls>
            <c:dLbl>
              <c:idx val="10"/>
              <c:layout>
                <c:manualLayout>
                  <c:x val="-2.6175304576939715E-2"/>
                  <c:y val="-3.243408000329516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889-4F07-A028-107AA614C72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'26.07 Nateete-Ndeeba-24h'!$C$9:$N$9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'26.07 Nateete-Ndeeba-24h'!$C$108:$N$108</c:f>
              <c:numCache>
                <c:formatCode>0.00%</c:formatCode>
                <c:ptCount val="12"/>
                <c:pt idx="0">
                  <c:v>0.38524166451279401</c:v>
                </c:pt>
                <c:pt idx="1">
                  <c:v>5.4665288188162318E-2</c:v>
                </c:pt>
                <c:pt idx="2">
                  <c:v>4.6006720082708709E-2</c:v>
                </c:pt>
                <c:pt idx="3">
                  <c:v>0.26906177306797624</c:v>
                </c:pt>
                <c:pt idx="4">
                  <c:v>7.4954768674075989E-3</c:v>
                </c:pt>
                <c:pt idx="5">
                  <c:v>1.4990953734815198E-2</c:v>
                </c:pt>
                <c:pt idx="6">
                  <c:v>6.1385370896872578E-2</c:v>
                </c:pt>
                <c:pt idx="7">
                  <c:v>0.12315843887309383</c:v>
                </c:pt>
                <c:pt idx="8">
                  <c:v>2.6492633755492375E-2</c:v>
                </c:pt>
                <c:pt idx="9">
                  <c:v>1.1243215301111399E-2</c:v>
                </c:pt>
                <c:pt idx="11">
                  <c:v>2.5846471956577927E-4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889-4F07-A028-107AA614C7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'26.07 Ndeeba-Nateete-24h'!$AE$9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'26.07 Ndeeba-Nateete-24h'!$R$10:$R$33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'26.07 Ndeeba-Nateete-24h'!$AE$10:$AE$33</c:f>
              <c:numCache>
                <c:formatCode>0</c:formatCode>
                <c:ptCount val="24"/>
                <c:pt idx="0">
                  <c:v>220</c:v>
                </c:pt>
                <c:pt idx="1">
                  <c:v>490</c:v>
                </c:pt>
                <c:pt idx="2">
                  <c:v>456</c:v>
                </c:pt>
                <c:pt idx="3">
                  <c:v>309</c:v>
                </c:pt>
                <c:pt idx="4">
                  <c:v>298</c:v>
                </c:pt>
                <c:pt idx="5">
                  <c:v>338</c:v>
                </c:pt>
                <c:pt idx="6">
                  <c:v>211</c:v>
                </c:pt>
                <c:pt idx="7">
                  <c:v>290</c:v>
                </c:pt>
                <c:pt idx="8">
                  <c:v>187</c:v>
                </c:pt>
                <c:pt idx="9">
                  <c:v>171</c:v>
                </c:pt>
                <c:pt idx="10">
                  <c:v>294</c:v>
                </c:pt>
                <c:pt idx="11">
                  <c:v>393</c:v>
                </c:pt>
                <c:pt idx="12">
                  <c:v>268</c:v>
                </c:pt>
                <c:pt idx="13">
                  <c:v>237</c:v>
                </c:pt>
                <c:pt idx="14">
                  <c:v>293</c:v>
                </c:pt>
                <c:pt idx="15">
                  <c:v>292</c:v>
                </c:pt>
                <c:pt idx="16">
                  <c:v>327</c:v>
                </c:pt>
                <c:pt idx="17">
                  <c:v>186</c:v>
                </c:pt>
                <c:pt idx="18">
                  <c:v>103</c:v>
                </c:pt>
                <c:pt idx="19">
                  <c:v>95</c:v>
                </c:pt>
                <c:pt idx="20">
                  <c:v>44</c:v>
                </c:pt>
                <c:pt idx="21">
                  <c:v>141</c:v>
                </c:pt>
                <c:pt idx="22">
                  <c:v>179</c:v>
                </c:pt>
                <c:pt idx="23">
                  <c:v>240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D7C-43E4-8D98-AF01AC8ABB92}"/>
            </c:ext>
          </c:extLst>
        </c:ser>
        <c:ser>
          <c:idx val="1"/>
          <c:order val="1"/>
          <c:tx>
            <c:strRef>
              <c:f>'26.07 Ndeeba-Nateete-24h'!$AF$9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'26.07 Ndeeba-Nateete-24h'!$R$10:$R$33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'26.07 Ndeeba-Nateete-24h'!$AF$10:$AF$33</c:f>
              <c:numCache>
                <c:formatCode>0</c:formatCode>
                <c:ptCount val="24"/>
                <c:pt idx="0">
                  <c:v>801</c:v>
                </c:pt>
                <c:pt idx="1">
                  <c:v>1425</c:v>
                </c:pt>
                <c:pt idx="2">
                  <c:v>1306</c:v>
                </c:pt>
                <c:pt idx="3">
                  <c:v>857</c:v>
                </c:pt>
                <c:pt idx="4">
                  <c:v>975</c:v>
                </c:pt>
                <c:pt idx="5">
                  <c:v>1019</c:v>
                </c:pt>
                <c:pt idx="6">
                  <c:v>694</c:v>
                </c:pt>
                <c:pt idx="7">
                  <c:v>768</c:v>
                </c:pt>
                <c:pt idx="8">
                  <c:v>440</c:v>
                </c:pt>
                <c:pt idx="9">
                  <c:v>456</c:v>
                </c:pt>
                <c:pt idx="10">
                  <c:v>1035</c:v>
                </c:pt>
                <c:pt idx="11">
                  <c:v>962</c:v>
                </c:pt>
                <c:pt idx="12">
                  <c:v>858</c:v>
                </c:pt>
                <c:pt idx="13">
                  <c:v>789</c:v>
                </c:pt>
                <c:pt idx="14">
                  <c:v>963</c:v>
                </c:pt>
                <c:pt idx="15">
                  <c:v>721</c:v>
                </c:pt>
                <c:pt idx="16">
                  <c:v>806</c:v>
                </c:pt>
                <c:pt idx="17">
                  <c:v>710</c:v>
                </c:pt>
                <c:pt idx="18">
                  <c:v>310</c:v>
                </c:pt>
                <c:pt idx="19">
                  <c:v>361</c:v>
                </c:pt>
                <c:pt idx="20">
                  <c:v>176</c:v>
                </c:pt>
                <c:pt idx="21">
                  <c:v>141</c:v>
                </c:pt>
                <c:pt idx="22">
                  <c:v>433</c:v>
                </c:pt>
                <c:pt idx="23">
                  <c:v>606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D7C-43E4-8D98-AF01AC8ABB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5899952"/>
        <c:axId val="265901040"/>
      </c:lineChart>
      <c:catAx>
        <c:axId val="26589995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65901040"/>
        <c:crosses val="autoZero"/>
        <c:auto val="1"/>
        <c:lblAlgn val="ctr"/>
        <c:lblOffset val="100"/>
        <c:noMultiLvlLbl val="0"/>
      </c:catAx>
      <c:valAx>
        <c:axId val="26590104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65899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533-467E-9052-E80B684A022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533-467E-9052-E80B684A022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533-467E-9052-E80B684A022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B533-467E-9052-E80B684A022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B533-467E-9052-E80B684A022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B533-467E-9052-E80B684A022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B533-467E-9052-E80B684A022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B533-467E-9052-E80B684A022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B533-467E-9052-E80B684A022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B533-467E-9052-E80B684A022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B533-467E-9052-E80B684A022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B533-467E-9052-E80B684A022A}"/>
              </c:ext>
            </c:extLst>
          </c:dPt>
          <c:dLbls>
            <c:dLbl>
              <c:idx val="10"/>
              <c:layout>
                <c:manualLayout>
                  <c:x val="-2.6175304576939715E-2"/>
                  <c:y val="-3.243408000329516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B533-467E-9052-E80B684A022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'26.07 Ndeeba-Nateete-24h'!$C$9:$N$9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'26.07 Ndeeba-Nateete-24h'!$C$107:$N$107</c:f>
              <c:numCache>
                <c:formatCode>0.0%</c:formatCode>
                <c:ptCount val="12"/>
                <c:pt idx="0">
                  <c:v>0.1016920281626164</c:v>
                </c:pt>
                <c:pt idx="1">
                  <c:v>3.0377015671133319E-2</c:v>
                </c:pt>
                <c:pt idx="2">
                  <c:v>1.3456734044969339E-2</c:v>
                </c:pt>
                <c:pt idx="3">
                  <c:v>0.11418351124233478</c:v>
                </c:pt>
                <c:pt idx="4">
                  <c:v>2.8389734272087214E-3</c:v>
                </c:pt>
                <c:pt idx="5">
                  <c:v>3.1228707699295934E-3</c:v>
                </c:pt>
                <c:pt idx="6">
                  <c:v>4.5707472178060413E-2</c:v>
                </c:pt>
                <c:pt idx="7">
                  <c:v>1.936179877356348E-2</c:v>
                </c:pt>
                <c:pt idx="8">
                  <c:v>4.5991369520781283E-3</c:v>
                </c:pt>
                <c:pt idx="9">
                  <c:v>3.7474449239155122E-3</c:v>
                </c:pt>
                <c:pt idx="10">
                  <c:v>0.65580286168521462</c:v>
                </c:pt>
                <c:pt idx="11">
                  <c:v>5.1101521689756986E-3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B533-467E-9052-E80B684A02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529-4064-B18B-726F86F6119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529-4064-B18B-726F86F6119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529-4064-B18B-726F86F6119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529-4064-B18B-726F86F6119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529-4064-B18B-726F86F6119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529-4064-B18B-726F86F6119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529-4064-B18B-726F86F6119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529-4064-B18B-726F86F6119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529-4064-B18B-726F86F6119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529-4064-B18B-726F86F6119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529-4064-B18B-726F86F6119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529-4064-B18B-726F86F6119F}"/>
              </c:ext>
            </c:extLst>
          </c:dPt>
          <c:dLbls>
            <c:dLbl>
              <c:idx val="10"/>
              <c:layout>
                <c:manualLayout>
                  <c:x val="-2.6175304576939715E-2"/>
                  <c:y val="-3.243408000329516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529-4064-B18B-726F86F6119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'26.07 Ndeeba-Nateete-24h'!$C$9:$N$9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'26.07 Ndeeba-Nateete-24h'!$C$108:$N$108</c:f>
              <c:numCache>
                <c:formatCode>0.00%</c:formatCode>
                <c:ptCount val="12"/>
                <c:pt idx="0">
                  <c:v>0.29544704717914877</c:v>
                </c:pt>
                <c:pt idx="1">
                  <c:v>8.8254701418673712E-2</c:v>
                </c:pt>
                <c:pt idx="2">
                  <c:v>3.909600791817882E-2</c:v>
                </c:pt>
                <c:pt idx="3">
                  <c:v>0.33173870009897721</c:v>
                </c:pt>
                <c:pt idx="4">
                  <c:v>8.2481029363246448E-3</c:v>
                </c:pt>
                <c:pt idx="5">
                  <c:v>9.0729132299571091E-3</c:v>
                </c:pt>
                <c:pt idx="6">
                  <c:v>0.13279445727482678</c:v>
                </c:pt>
                <c:pt idx="7">
                  <c:v>5.625206202573408E-2</c:v>
                </c:pt>
                <c:pt idx="8">
                  <c:v>1.3361926756845926E-2</c:v>
                </c:pt>
                <c:pt idx="9">
                  <c:v>1.0887495875948531E-2</c:v>
                </c:pt>
                <c:pt idx="11">
                  <c:v>1.4846585285384361E-2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529-4064-B18B-726F86F611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'27.07 Nateete-Ndeeba-24h'!$AE$9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'27.07 Nateete-Ndeeba-24h'!$R$10:$R$33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'27.07 Nateete-Ndeeba-24h'!$AE$10:$AE$33</c:f>
              <c:numCache>
                <c:formatCode>0</c:formatCode>
                <c:ptCount val="24"/>
                <c:pt idx="0">
                  <c:v>305</c:v>
                </c:pt>
                <c:pt idx="1">
                  <c:v>347</c:v>
                </c:pt>
                <c:pt idx="2">
                  <c:v>420</c:v>
                </c:pt>
                <c:pt idx="3">
                  <c:v>304</c:v>
                </c:pt>
                <c:pt idx="4">
                  <c:v>460</c:v>
                </c:pt>
                <c:pt idx="5">
                  <c:v>436</c:v>
                </c:pt>
                <c:pt idx="6">
                  <c:v>417</c:v>
                </c:pt>
                <c:pt idx="7">
                  <c:v>381</c:v>
                </c:pt>
                <c:pt idx="8">
                  <c:v>348</c:v>
                </c:pt>
                <c:pt idx="9">
                  <c:v>382</c:v>
                </c:pt>
                <c:pt idx="10">
                  <c:v>446</c:v>
                </c:pt>
                <c:pt idx="11">
                  <c:v>329</c:v>
                </c:pt>
                <c:pt idx="12">
                  <c:v>386</c:v>
                </c:pt>
                <c:pt idx="13">
                  <c:v>415</c:v>
                </c:pt>
                <c:pt idx="14">
                  <c:v>369</c:v>
                </c:pt>
                <c:pt idx="15">
                  <c:v>263</c:v>
                </c:pt>
                <c:pt idx="16">
                  <c:v>214</c:v>
                </c:pt>
                <c:pt idx="17">
                  <c:v>198</c:v>
                </c:pt>
                <c:pt idx="18">
                  <c:v>320</c:v>
                </c:pt>
                <c:pt idx="19">
                  <c:v>165</c:v>
                </c:pt>
                <c:pt idx="20">
                  <c:v>163</c:v>
                </c:pt>
                <c:pt idx="21">
                  <c:v>81</c:v>
                </c:pt>
                <c:pt idx="22">
                  <c:v>237</c:v>
                </c:pt>
                <c:pt idx="23">
                  <c:v>212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B9B-4793-84FD-99A5405B7AD3}"/>
            </c:ext>
          </c:extLst>
        </c:ser>
        <c:ser>
          <c:idx val="1"/>
          <c:order val="1"/>
          <c:tx>
            <c:strRef>
              <c:f>'27.07 Nateete-Ndeeba-24h'!$AF$9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'27.07 Nateete-Ndeeba-24h'!$R$10:$R$33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'27.07 Nateete-Ndeeba-24h'!$AF$10:$AF$33</c:f>
              <c:numCache>
                <c:formatCode>0</c:formatCode>
                <c:ptCount val="24"/>
                <c:pt idx="0">
                  <c:v>730</c:v>
                </c:pt>
                <c:pt idx="1">
                  <c:v>912</c:v>
                </c:pt>
                <c:pt idx="2">
                  <c:v>1200</c:v>
                </c:pt>
                <c:pt idx="3">
                  <c:v>974</c:v>
                </c:pt>
                <c:pt idx="4">
                  <c:v>1175</c:v>
                </c:pt>
                <c:pt idx="5">
                  <c:v>1111</c:v>
                </c:pt>
                <c:pt idx="6">
                  <c:v>1172</c:v>
                </c:pt>
                <c:pt idx="7">
                  <c:v>1091</c:v>
                </c:pt>
                <c:pt idx="8">
                  <c:v>993</c:v>
                </c:pt>
                <c:pt idx="9">
                  <c:v>1037</c:v>
                </c:pt>
                <c:pt idx="10">
                  <c:v>1136</c:v>
                </c:pt>
                <c:pt idx="11">
                  <c:v>834</c:v>
                </c:pt>
                <c:pt idx="12">
                  <c:v>995</c:v>
                </c:pt>
                <c:pt idx="13">
                  <c:v>959</c:v>
                </c:pt>
                <c:pt idx="14">
                  <c:v>786</c:v>
                </c:pt>
                <c:pt idx="15">
                  <c:v>594</c:v>
                </c:pt>
                <c:pt idx="16">
                  <c:v>460</c:v>
                </c:pt>
                <c:pt idx="17">
                  <c:v>483</c:v>
                </c:pt>
                <c:pt idx="18">
                  <c:v>509</c:v>
                </c:pt>
                <c:pt idx="19">
                  <c:v>347</c:v>
                </c:pt>
                <c:pt idx="20">
                  <c:v>335</c:v>
                </c:pt>
                <c:pt idx="21">
                  <c:v>234</c:v>
                </c:pt>
                <c:pt idx="22">
                  <c:v>503</c:v>
                </c:pt>
                <c:pt idx="23">
                  <c:v>617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B9B-4793-84FD-99A5405B7A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2132064"/>
        <c:axId val="502137504"/>
      </c:lineChart>
      <c:catAx>
        <c:axId val="50213206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02137504"/>
        <c:crosses val="autoZero"/>
        <c:auto val="1"/>
        <c:lblAlgn val="ctr"/>
        <c:lblOffset val="100"/>
        <c:noMultiLvlLbl val="0"/>
      </c:catAx>
      <c:valAx>
        <c:axId val="50213750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02132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C19-40B6-88F6-F149CBCFBC0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C19-40B6-88F6-F149CBCFBC0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C19-40B6-88F6-F149CBCFBC0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C19-40B6-88F6-F149CBCFBC0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C19-40B6-88F6-F149CBCFBC0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C19-40B6-88F6-F149CBCFBC0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C19-40B6-88F6-F149CBCFBC0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C19-40B6-88F6-F149CBCFBC0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C19-40B6-88F6-F149CBCFBC0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C19-40B6-88F6-F149CBCFBC0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C19-40B6-88F6-F149CBCFBC0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C19-40B6-88F6-F149CBCFBC0F}"/>
              </c:ext>
            </c:extLst>
          </c:dPt>
          <c:dLbls>
            <c:dLbl>
              <c:idx val="10"/>
              <c:layout>
                <c:manualLayout>
                  <c:x val="-2.6175304576939715E-2"/>
                  <c:y val="-3.243408000329516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C19-40B6-88F6-F149CBCFBC0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'27.07 Nateete-Ndeeba-24h'!$C$9:$N$9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'27.07 Nateete-Ndeeba-24h'!$C$107:$N$107</c:f>
              <c:numCache>
                <c:formatCode>0.0%</c:formatCode>
                <c:ptCount val="12"/>
                <c:pt idx="0">
                  <c:v>0.17386772293740554</c:v>
                </c:pt>
                <c:pt idx="1">
                  <c:v>2.0847448793453901E-2</c:v>
                </c:pt>
                <c:pt idx="2">
                  <c:v>1.6677959034763122E-2</c:v>
                </c:pt>
                <c:pt idx="3">
                  <c:v>0.105592328138844</c:v>
                </c:pt>
                <c:pt idx="4">
                  <c:v>2.553812477198103E-3</c:v>
                </c:pt>
                <c:pt idx="5">
                  <c:v>2.501693855214468E-3</c:v>
                </c:pt>
                <c:pt idx="6">
                  <c:v>1.9544483243863032E-2</c:v>
                </c:pt>
                <c:pt idx="7">
                  <c:v>4.2216083806744152E-2</c:v>
                </c:pt>
                <c:pt idx="8">
                  <c:v>8.338979517381561E-3</c:v>
                </c:pt>
                <c:pt idx="9">
                  <c:v>3.8567780267889716E-3</c:v>
                </c:pt>
                <c:pt idx="10">
                  <c:v>0.60400271016834317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C19-40B6-88F6-F149CBCFBC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F34-448D-935B-A3D0702D351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F34-448D-935B-A3D0702D351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F34-448D-935B-A3D0702D351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F34-448D-935B-A3D0702D351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F34-448D-935B-A3D0702D351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F34-448D-935B-A3D0702D351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F34-448D-935B-A3D0702D351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F34-448D-935B-A3D0702D351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F34-448D-935B-A3D0702D351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F34-448D-935B-A3D0702D3518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F34-448D-935B-A3D0702D3518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6F34-448D-935B-A3D0702D3518}"/>
              </c:ext>
            </c:extLst>
          </c:dPt>
          <c:dLbls>
            <c:dLbl>
              <c:idx val="10"/>
              <c:layout>
                <c:manualLayout>
                  <c:x val="-2.6175304576939715E-2"/>
                  <c:y val="-3.243408000329516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F34-448D-935B-A3D0702D351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'27.07 Nateete-Ndeeba-24h'!$C$9:$N$9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'27.07 Nateete-Ndeeba-24h'!$C$108:$N$108</c:f>
              <c:numCache>
                <c:formatCode>0.00%</c:formatCode>
                <c:ptCount val="12"/>
                <c:pt idx="0">
                  <c:v>0.4390629112924454</c:v>
                </c:pt>
                <c:pt idx="1">
                  <c:v>5.2645433008686494E-2</c:v>
                </c:pt>
                <c:pt idx="2">
                  <c:v>4.2116346406949196E-2</c:v>
                </c:pt>
                <c:pt idx="3">
                  <c:v>0.26664911818899711</c:v>
                </c:pt>
                <c:pt idx="4">
                  <c:v>6.449065543564096E-3</c:v>
                </c:pt>
                <c:pt idx="5">
                  <c:v>6.3174519610423793E-3</c:v>
                </c:pt>
                <c:pt idx="6">
                  <c:v>4.9355093445643587E-2</c:v>
                </c:pt>
                <c:pt idx="7">
                  <c:v>0.10660700184259016</c:v>
                </c:pt>
                <c:pt idx="8">
                  <c:v>2.1058173203474598E-2</c:v>
                </c:pt>
                <c:pt idx="9">
                  <c:v>9.7394051066070023E-3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F34-448D-935B-A3D0702D35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'27.07 Ndeeba-Nateete-24h'!$AE$9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'27.07 Ndeeba-Nateete-24h'!$R$10:$R$33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'27.07 Ndeeba-Nateete-24h'!$AE$10:$AE$33</c:f>
              <c:numCache>
                <c:formatCode>0</c:formatCode>
                <c:ptCount val="24"/>
                <c:pt idx="0">
                  <c:v>282</c:v>
                </c:pt>
                <c:pt idx="1">
                  <c:v>315</c:v>
                </c:pt>
                <c:pt idx="2">
                  <c:v>326</c:v>
                </c:pt>
                <c:pt idx="3">
                  <c:v>245</c:v>
                </c:pt>
                <c:pt idx="4">
                  <c:v>299</c:v>
                </c:pt>
                <c:pt idx="5">
                  <c:v>265</c:v>
                </c:pt>
                <c:pt idx="6">
                  <c:v>228</c:v>
                </c:pt>
                <c:pt idx="7">
                  <c:v>306</c:v>
                </c:pt>
                <c:pt idx="8">
                  <c:v>319</c:v>
                </c:pt>
                <c:pt idx="9">
                  <c:v>346</c:v>
                </c:pt>
                <c:pt idx="10">
                  <c:v>282</c:v>
                </c:pt>
                <c:pt idx="11">
                  <c:v>269</c:v>
                </c:pt>
                <c:pt idx="12">
                  <c:v>346</c:v>
                </c:pt>
                <c:pt idx="13">
                  <c:v>281</c:v>
                </c:pt>
                <c:pt idx="14">
                  <c:v>290</c:v>
                </c:pt>
                <c:pt idx="15">
                  <c:v>417</c:v>
                </c:pt>
                <c:pt idx="16">
                  <c:v>378</c:v>
                </c:pt>
                <c:pt idx="17">
                  <c:v>366</c:v>
                </c:pt>
                <c:pt idx="18">
                  <c:v>415</c:v>
                </c:pt>
                <c:pt idx="19">
                  <c:v>130</c:v>
                </c:pt>
                <c:pt idx="20">
                  <c:v>177</c:v>
                </c:pt>
                <c:pt idx="21">
                  <c:v>283</c:v>
                </c:pt>
                <c:pt idx="22">
                  <c:v>351</c:v>
                </c:pt>
                <c:pt idx="23">
                  <c:v>255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3B5-43D7-8A8D-1950D8303871}"/>
            </c:ext>
          </c:extLst>
        </c:ser>
        <c:ser>
          <c:idx val="1"/>
          <c:order val="1"/>
          <c:tx>
            <c:strRef>
              <c:f>'27.07 Ndeeba-Nateete-24h'!$AF$9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'27.07 Ndeeba-Nateete-24h'!$R$10:$R$33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'27.07 Ndeeba-Nateete-24h'!$AF$10:$AF$33</c:f>
              <c:numCache>
                <c:formatCode>0</c:formatCode>
                <c:ptCount val="24"/>
                <c:pt idx="0">
                  <c:v>948</c:v>
                </c:pt>
                <c:pt idx="1">
                  <c:v>1253</c:v>
                </c:pt>
                <c:pt idx="2">
                  <c:v>974</c:v>
                </c:pt>
                <c:pt idx="3">
                  <c:v>830</c:v>
                </c:pt>
                <c:pt idx="4">
                  <c:v>919</c:v>
                </c:pt>
                <c:pt idx="5">
                  <c:v>816</c:v>
                </c:pt>
                <c:pt idx="6">
                  <c:v>719</c:v>
                </c:pt>
                <c:pt idx="7">
                  <c:v>877</c:v>
                </c:pt>
                <c:pt idx="8">
                  <c:v>870</c:v>
                </c:pt>
                <c:pt idx="9">
                  <c:v>882</c:v>
                </c:pt>
                <c:pt idx="10">
                  <c:v>878</c:v>
                </c:pt>
                <c:pt idx="11">
                  <c:v>699</c:v>
                </c:pt>
                <c:pt idx="12">
                  <c:v>346</c:v>
                </c:pt>
                <c:pt idx="13">
                  <c:v>281</c:v>
                </c:pt>
                <c:pt idx="14">
                  <c:v>290</c:v>
                </c:pt>
                <c:pt idx="15">
                  <c:v>417</c:v>
                </c:pt>
                <c:pt idx="16">
                  <c:v>1033</c:v>
                </c:pt>
                <c:pt idx="17">
                  <c:v>795</c:v>
                </c:pt>
                <c:pt idx="18">
                  <c:v>638</c:v>
                </c:pt>
                <c:pt idx="19">
                  <c:v>416</c:v>
                </c:pt>
                <c:pt idx="20">
                  <c:v>479</c:v>
                </c:pt>
                <c:pt idx="21">
                  <c:v>584</c:v>
                </c:pt>
                <c:pt idx="22">
                  <c:v>521</c:v>
                </c:pt>
                <c:pt idx="23">
                  <c:v>805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3B5-43D7-8A8D-1950D83038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2130432"/>
        <c:axId val="502129888"/>
      </c:lineChart>
      <c:catAx>
        <c:axId val="50213043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02129888"/>
        <c:crosses val="autoZero"/>
        <c:auto val="1"/>
        <c:lblAlgn val="ctr"/>
        <c:lblOffset val="100"/>
        <c:noMultiLvlLbl val="0"/>
      </c:catAx>
      <c:valAx>
        <c:axId val="50212988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02130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CC2-41FB-AB6C-D0315A687D3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CC2-41FB-AB6C-D0315A687D3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CC2-41FB-AB6C-D0315A687D3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CC2-41FB-AB6C-D0315A687D3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CC2-41FB-AB6C-D0315A687D3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CC2-41FB-AB6C-D0315A687D3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CC2-41FB-AB6C-D0315A687D3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CC2-41FB-AB6C-D0315A687D3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CC2-41FB-AB6C-D0315A687D3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CC2-41FB-AB6C-D0315A687D3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CC2-41FB-AB6C-D0315A687D3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CC2-41FB-AB6C-D0315A687D35}"/>
              </c:ext>
            </c:extLst>
          </c:dPt>
          <c:dLbls>
            <c:dLbl>
              <c:idx val="10"/>
              <c:layout>
                <c:manualLayout>
                  <c:x val="-2.6175304576939715E-2"/>
                  <c:y val="-3.243408000329516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CC2-41FB-AB6C-D0315A687D3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'27.07 Ndeeba-Nateete-24h'!$C$9:$N$9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'27.07 Ndeeba-Nateete-24h'!$C$107:$N$107</c:f>
              <c:numCache>
                <c:formatCode>0.0%</c:formatCode>
                <c:ptCount val="12"/>
                <c:pt idx="0">
                  <c:v>0.15639837869137233</c:v>
                </c:pt>
                <c:pt idx="1">
                  <c:v>3.2194557035321369E-2</c:v>
                </c:pt>
                <c:pt idx="2">
                  <c:v>1.4649681528662421E-2</c:v>
                </c:pt>
                <c:pt idx="3">
                  <c:v>0.13115228720324262</c:v>
                </c:pt>
                <c:pt idx="4">
                  <c:v>2.1424435437174291E-3</c:v>
                </c:pt>
                <c:pt idx="5">
                  <c:v>8.106543138390272E-4</c:v>
                </c:pt>
                <c:pt idx="6">
                  <c:v>4.6844238563983787E-2</c:v>
                </c:pt>
                <c:pt idx="7">
                  <c:v>2.1250723798494499E-2</c:v>
                </c:pt>
                <c:pt idx="8">
                  <c:v>5.61667631731326E-3</c:v>
                </c:pt>
                <c:pt idx="9">
                  <c:v>4.1690793283149967E-3</c:v>
                </c:pt>
                <c:pt idx="10">
                  <c:v>0.58477127967573828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CC2-41FB-AB6C-D0315A687D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77A-4202-BB82-6DE350EE311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77A-4202-BB82-6DE350EE311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77A-4202-BB82-6DE350EE311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77A-4202-BB82-6DE350EE311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77A-4202-BB82-6DE350EE311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77A-4202-BB82-6DE350EE311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77A-4202-BB82-6DE350EE311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77A-4202-BB82-6DE350EE311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77A-4202-BB82-6DE350EE311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77A-4202-BB82-6DE350EE311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77A-4202-BB82-6DE350EE311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77A-4202-BB82-6DE350EE311C}"/>
              </c:ext>
            </c:extLst>
          </c:dPt>
          <c:dLbls>
            <c:dLbl>
              <c:idx val="10"/>
              <c:layout>
                <c:manualLayout>
                  <c:x val="-2.6175304576939715E-2"/>
                  <c:y val="-3.243408000329516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77A-4202-BB82-6DE350EE31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'27.07 Ndeeba-Nateete-24h'!$C$9:$N$9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'27.07 Ndeeba-Nateete-24h'!$C$108:$N$108</c:f>
              <c:numCache>
                <c:formatCode>0.00%</c:formatCode>
                <c:ptCount val="12"/>
                <c:pt idx="0">
                  <c:v>0.3766559754567006</c:v>
                </c:pt>
                <c:pt idx="1">
                  <c:v>7.7534514014781758E-2</c:v>
                </c:pt>
                <c:pt idx="2">
                  <c:v>3.5280992888021195E-2</c:v>
                </c:pt>
                <c:pt idx="3">
                  <c:v>0.31585552921489329</c:v>
                </c:pt>
                <c:pt idx="4">
                  <c:v>5.1596708966671319E-3</c:v>
                </c:pt>
                <c:pt idx="5">
                  <c:v>1.9523079068470227E-3</c:v>
                </c:pt>
                <c:pt idx="6">
                  <c:v>0.11281550690280295</c:v>
                </c:pt>
                <c:pt idx="7">
                  <c:v>5.1178357272346951E-2</c:v>
                </c:pt>
                <c:pt idx="8">
                  <c:v>1.3526704783154372E-2</c:v>
                </c:pt>
                <c:pt idx="9">
                  <c:v>1.0040440663784688E-2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77A-4202-BB82-6DE350EE31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15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'28.07 Nateete-Ndeeba'!$AE$9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'28.07 Nateete-Ndeeba'!$R$10:$R$21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'28.07 Nateete-Ndeeba'!$AE$10:$AE$21</c:f>
              <c:numCache>
                <c:formatCode>0</c:formatCode>
                <c:ptCount val="12"/>
                <c:pt idx="0">
                  <c:v>380</c:v>
                </c:pt>
                <c:pt idx="1">
                  <c:v>383</c:v>
                </c:pt>
                <c:pt idx="2">
                  <c:v>429</c:v>
                </c:pt>
                <c:pt idx="3">
                  <c:v>434</c:v>
                </c:pt>
                <c:pt idx="4">
                  <c:v>435</c:v>
                </c:pt>
                <c:pt idx="5">
                  <c:v>403</c:v>
                </c:pt>
                <c:pt idx="6">
                  <c:v>344</c:v>
                </c:pt>
                <c:pt idx="7">
                  <c:v>359</c:v>
                </c:pt>
                <c:pt idx="8">
                  <c:v>468</c:v>
                </c:pt>
                <c:pt idx="9">
                  <c:v>428</c:v>
                </c:pt>
                <c:pt idx="10">
                  <c:v>493</c:v>
                </c:pt>
                <c:pt idx="11">
                  <c:v>381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5C8-45AB-8CEF-A7108B6754B8}"/>
            </c:ext>
          </c:extLst>
        </c:ser>
        <c:ser>
          <c:idx val="1"/>
          <c:order val="1"/>
          <c:tx>
            <c:strRef>
              <c:f>'28.07 Nateete-Ndeeba'!$AF$9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'28.07 Nateete-Ndeeba'!$R$10:$R$21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'28.07 Nateete-Ndeeba'!$AF$10:$AF$21</c:f>
              <c:numCache>
                <c:formatCode>0</c:formatCode>
                <c:ptCount val="12"/>
                <c:pt idx="0">
                  <c:v>825</c:v>
                </c:pt>
                <c:pt idx="1">
                  <c:v>983</c:v>
                </c:pt>
                <c:pt idx="2">
                  <c:v>1109</c:v>
                </c:pt>
                <c:pt idx="3">
                  <c:v>1169</c:v>
                </c:pt>
                <c:pt idx="4">
                  <c:v>1160</c:v>
                </c:pt>
                <c:pt idx="5">
                  <c:v>1103</c:v>
                </c:pt>
                <c:pt idx="6">
                  <c:v>1109</c:v>
                </c:pt>
                <c:pt idx="7">
                  <c:v>1014</c:v>
                </c:pt>
                <c:pt idx="8">
                  <c:v>1178</c:v>
                </c:pt>
                <c:pt idx="9">
                  <c:v>938</c:v>
                </c:pt>
                <c:pt idx="10">
                  <c:v>1063</c:v>
                </c:pt>
                <c:pt idx="11">
                  <c:v>901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5C8-45AB-8CEF-A7108B6754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2134240"/>
        <c:axId val="502130976"/>
      </c:lineChart>
      <c:catAx>
        <c:axId val="50213424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02130976"/>
        <c:crosses val="autoZero"/>
        <c:auto val="1"/>
        <c:lblAlgn val="ctr"/>
        <c:lblOffset val="100"/>
        <c:noMultiLvlLbl val="0"/>
      </c:catAx>
      <c:valAx>
        <c:axId val="50213097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02134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085-4D7B-92D4-0FE0B8706BF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085-4D7B-92D4-0FE0B8706BF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085-4D7B-92D4-0FE0B8706BF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085-4D7B-92D4-0FE0B8706BF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085-4D7B-92D4-0FE0B8706BF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085-4D7B-92D4-0FE0B8706BF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085-4D7B-92D4-0FE0B8706BF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085-4D7B-92D4-0FE0B8706BF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085-4D7B-92D4-0FE0B8706BF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085-4D7B-92D4-0FE0B8706BF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085-4D7B-92D4-0FE0B8706BF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085-4D7B-92D4-0FE0B8706BF0}"/>
              </c:ext>
            </c:extLst>
          </c:dPt>
          <c:dLbls>
            <c:dLbl>
              <c:idx val="10"/>
              <c:layout>
                <c:manualLayout>
                  <c:x val="-2.6175304576939715E-2"/>
                  <c:y val="-3.243408000329516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085-4D7B-92D4-0FE0B8706BF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'28.07 Nateete-Ndeeba'!$C$9:$N$9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'28.07 Nateete-Ndeeba'!$C$59:$N$59</c:f>
              <c:numCache>
                <c:formatCode>0.0%</c:formatCode>
                <c:ptCount val="12"/>
                <c:pt idx="0">
                  <c:v>0.18068833652007649</c:v>
                </c:pt>
                <c:pt idx="1">
                  <c:v>2.1430847673677502E-2</c:v>
                </c:pt>
                <c:pt idx="2">
                  <c:v>1.24282982791587E-2</c:v>
                </c:pt>
                <c:pt idx="3">
                  <c:v>0.12181325685149777</c:v>
                </c:pt>
                <c:pt idx="4">
                  <c:v>2.9477374123645633E-3</c:v>
                </c:pt>
                <c:pt idx="5">
                  <c:v>1.354365838113448E-3</c:v>
                </c:pt>
                <c:pt idx="6">
                  <c:v>1.4420012746972594E-2</c:v>
                </c:pt>
                <c:pt idx="7">
                  <c:v>3.3381134480560869E-2</c:v>
                </c:pt>
                <c:pt idx="8">
                  <c:v>2.8680688336520078E-3</c:v>
                </c:pt>
                <c:pt idx="9">
                  <c:v>1.9917144678138943E-3</c:v>
                </c:pt>
                <c:pt idx="10">
                  <c:v>0.60667622689611223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085-4D7B-92D4-0FE0B8706B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76"/>
          <c:y val="2.2960226637323739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'28.07 Nateete-Ndeeba'!$S$9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'28.07 Nateete-Ndeeba'!$R$10:$R$21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'28.07 Nateete-Ndeeba'!$S$10:$S$21</c:f>
              <c:numCache>
                <c:formatCode>0</c:formatCode>
                <c:ptCount val="12"/>
                <c:pt idx="0">
                  <c:v>156</c:v>
                </c:pt>
                <c:pt idx="1">
                  <c:v>143</c:v>
                </c:pt>
                <c:pt idx="2">
                  <c:v>197</c:v>
                </c:pt>
                <c:pt idx="3">
                  <c:v>214</c:v>
                </c:pt>
                <c:pt idx="4">
                  <c:v>209</c:v>
                </c:pt>
                <c:pt idx="5">
                  <c:v>193</c:v>
                </c:pt>
                <c:pt idx="6">
                  <c:v>162</c:v>
                </c:pt>
                <c:pt idx="7">
                  <c:v>143</c:v>
                </c:pt>
                <c:pt idx="8">
                  <c:v>234</c:v>
                </c:pt>
                <c:pt idx="9">
                  <c:v>199</c:v>
                </c:pt>
                <c:pt idx="10">
                  <c:v>256</c:v>
                </c:pt>
                <c:pt idx="11">
                  <c:v>162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28B-46B4-90C5-4BE58AC1B7CD}"/>
            </c:ext>
          </c:extLst>
        </c:ser>
        <c:ser>
          <c:idx val="1"/>
          <c:order val="1"/>
          <c:tx>
            <c:strRef>
              <c:f>'28.07 Nateete-Ndeeba'!$T$9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'28.07 Nateete-Ndeeba'!$R$10:$R$21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'28.07 Nateete-Ndeeba'!$T$10:$T$21</c:f>
              <c:numCache>
                <c:formatCode>0</c:formatCode>
                <c:ptCount val="12"/>
                <c:pt idx="0">
                  <c:v>37</c:v>
                </c:pt>
                <c:pt idx="1">
                  <c:v>10</c:v>
                </c:pt>
                <c:pt idx="2">
                  <c:v>20</c:v>
                </c:pt>
                <c:pt idx="3">
                  <c:v>32</c:v>
                </c:pt>
                <c:pt idx="4">
                  <c:v>21</c:v>
                </c:pt>
                <c:pt idx="5">
                  <c:v>14</c:v>
                </c:pt>
                <c:pt idx="6">
                  <c:v>19</c:v>
                </c:pt>
                <c:pt idx="7">
                  <c:v>22</c:v>
                </c:pt>
                <c:pt idx="8">
                  <c:v>27</c:v>
                </c:pt>
                <c:pt idx="9">
                  <c:v>27</c:v>
                </c:pt>
                <c:pt idx="10">
                  <c:v>25</c:v>
                </c:pt>
                <c:pt idx="11">
                  <c:v>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28B-46B4-90C5-4BE58AC1B7CD}"/>
            </c:ext>
          </c:extLst>
        </c:ser>
        <c:ser>
          <c:idx val="2"/>
          <c:order val="2"/>
          <c:tx>
            <c:strRef>
              <c:f>'28.07 Nateete-Ndeeba'!$U$9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'28.07 Nateete-Ndeeba'!$U$10:$U$21</c:f>
              <c:numCache>
                <c:formatCode>0</c:formatCode>
                <c:ptCount val="12"/>
                <c:pt idx="0">
                  <c:v>11</c:v>
                </c:pt>
                <c:pt idx="1">
                  <c:v>12</c:v>
                </c:pt>
                <c:pt idx="2">
                  <c:v>16</c:v>
                </c:pt>
                <c:pt idx="3">
                  <c:v>9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11</c:v>
                </c:pt>
                <c:pt idx="8">
                  <c:v>18</c:v>
                </c:pt>
                <c:pt idx="9">
                  <c:v>15</c:v>
                </c:pt>
                <c:pt idx="10">
                  <c:v>16</c:v>
                </c:pt>
                <c:pt idx="11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28B-46B4-90C5-4BE58AC1B7CD}"/>
            </c:ext>
          </c:extLst>
        </c:ser>
        <c:ser>
          <c:idx val="3"/>
          <c:order val="3"/>
          <c:tx>
            <c:strRef>
              <c:f>'28.07 Nateete-Ndeeba'!$V$9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'28.07 Nateete-Ndeeba'!$V$10:$V$21</c:f>
              <c:numCache>
                <c:formatCode>0</c:formatCode>
                <c:ptCount val="12"/>
                <c:pt idx="0">
                  <c:v>118</c:v>
                </c:pt>
                <c:pt idx="1">
                  <c:v>138</c:v>
                </c:pt>
                <c:pt idx="2">
                  <c:v>140</c:v>
                </c:pt>
                <c:pt idx="3">
                  <c:v>116</c:v>
                </c:pt>
                <c:pt idx="4">
                  <c:v>127</c:v>
                </c:pt>
                <c:pt idx="5">
                  <c:v>131</c:v>
                </c:pt>
                <c:pt idx="6">
                  <c:v>95</c:v>
                </c:pt>
                <c:pt idx="7">
                  <c:v>124</c:v>
                </c:pt>
                <c:pt idx="8">
                  <c:v>130</c:v>
                </c:pt>
                <c:pt idx="9">
                  <c:v>129</c:v>
                </c:pt>
                <c:pt idx="10">
                  <c:v>149</c:v>
                </c:pt>
                <c:pt idx="11">
                  <c:v>132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28B-46B4-90C5-4BE58AC1B7CD}"/>
            </c:ext>
          </c:extLst>
        </c:ser>
        <c:ser>
          <c:idx val="4"/>
          <c:order val="4"/>
          <c:tx>
            <c:strRef>
              <c:f>'28.07 Nateete-Ndeeba'!$W$9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'28.07 Nateete-Ndeeba'!$W$10:$W$21</c:f>
              <c:numCache>
                <c:formatCode>0</c:formatCode>
                <c:ptCount val="12"/>
                <c:pt idx="0">
                  <c:v>7</c:v>
                </c:pt>
                <c:pt idx="1">
                  <c:v>3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3</c:v>
                </c:pt>
                <c:pt idx="8">
                  <c:v>3</c:v>
                </c:pt>
                <c:pt idx="9">
                  <c:v>8</c:v>
                </c:pt>
                <c:pt idx="10">
                  <c:v>2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28B-46B4-90C5-4BE58AC1B7CD}"/>
            </c:ext>
          </c:extLst>
        </c:ser>
        <c:ser>
          <c:idx val="5"/>
          <c:order val="5"/>
          <c:tx>
            <c:strRef>
              <c:f>'28.07 Nateete-Ndeeba'!$X$9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'28.07 Nateete-Ndeeba'!$X$10:$X$21</c:f>
              <c:numCache>
                <c:formatCode>0</c:formatCode>
                <c:ptCount val="12"/>
                <c:pt idx="0">
                  <c:v>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3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28B-46B4-90C5-4BE58AC1B7CD}"/>
            </c:ext>
          </c:extLst>
        </c:ser>
        <c:ser>
          <c:idx val="6"/>
          <c:order val="6"/>
          <c:tx>
            <c:strRef>
              <c:f>'28.07 Nateete-Ndeeba'!$Y$9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'28.07 Nateete-Ndeeba'!$Y$10:$Y$21</c:f>
              <c:numCache>
                <c:formatCode>0</c:formatCode>
                <c:ptCount val="12"/>
                <c:pt idx="0">
                  <c:v>15</c:v>
                </c:pt>
                <c:pt idx="1">
                  <c:v>18</c:v>
                </c:pt>
                <c:pt idx="2">
                  <c:v>12</c:v>
                </c:pt>
                <c:pt idx="3">
                  <c:v>23</c:v>
                </c:pt>
                <c:pt idx="4">
                  <c:v>27</c:v>
                </c:pt>
                <c:pt idx="5">
                  <c:v>7</c:v>
                </c:pt>
                <c:pt idx="6">
                  <c:v>12</c:v>
                </c:pt>
                <c:pt idx="7">
                  <c:v>12</c:v>
                </c:pt>
                <c:pt idx="8">
                  <c:v>14</c:v>
                </c:pt>
                <c:pt idx="9">
                  <c:v>11</c:v>
                </c:pt>
                <c:pt idx="10">
                  <c:v>14</c:v>
                </c:pt>
                <c:pt idx="11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28B-46B4-90C5-4BE58AC1B7CD}"/>
            </c:ext>
          </c:extLst>
        </c:ser>
        <c:ser>
          <c:idx val="7"/>
          <c:order val="7"/>
          <c:tx>
            <c:strRef>
              <c:f>'28.07 Nateete-Ndeeba'!$Z$9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'28.07 Nateete-Ndeeba'!$Z$10:$Z$21</c:f>
              <c:numCache>
                <c:formatCode>0</c:formatCode>
                <c:ptCount val="12"/>
                <c:pt idx="0">
                  <c:v>25</c:v>
                </c:pt>
                <c:pt idx="1">
                  <c:v>56</c:v>
                </c:pt>
                <c:pt idx="2">
                  <c:v>37</c:v>
                </c:pt>
                <c:pt idx="3">
                  <c:v>32</c:v>
                </c:pt>
                <c:pt idx="4">
                  <c:v>32</c:v>
                </c:pt>
                <c:pt idx="5">
                  <c:v>40</c:v>
                </c:pt>
                <c:pt idx="6">
                  <c:v>36</c:v>
                </c:pt>
                <c:pt idx="7">
                  <c:v>34</c:v>
                </c:pt>
                <c:pt idx="8">
                  <c:v>39</c:v>
                </c:pt>
                <c:pt idx="9">
                  <c:v>30</c:v>
                </c:pt>
                <c:pt idx="10">
                  <c:v>26</c:v>
                </c:pt>
                <c:pt idx="11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28B-46B4-90C5-4BE58AC1B7CD}"/>
            </c:ext>
          </c:extLst>
        </c:ser>
        <c:ser>
          <c:idx val="8"/>
          <c:order val="8"/>
          <c:tx>
            <c:strRef>
              <c:f>'28.07 Nateete-Ndeeba'!$AA$9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'28.07 Nateete-Ndeeba'!$AA$10:$AA$21</c:f>
              <c:numCache>
                <c:formatCode>0</c:formatCode>
                <c:ptCount val="12"/>
                <c:pt idx="0">
                  <c:v>6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5</c:v>
                </c:pt>
                <c:pt idx="8">
                  <c:v>0</c:v>
                </c:pt>
                <c:pt idx="9">
                  <c:v>8</c:v>
                </c:pt>
                <c:pt idx="10">
                  <c:v>2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28B-46B4-90C5-4BE58AC1B7CD}"/>
            </c:ext>
          </c:extLst>
        </c:ser>
        <c:ser>
          <c:idx val="9"/>
          <c:order val="9"/>
          <c:tx>
            <c:strRef>
              <c:f>'28.07 Nateete-Ndeeba'!$AB$9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'28.07 Nateete-Ndeeba'!$AB$10:$AB$21</c:f>
              <c:numCache>
                <c:formatCode>0</c:formatCode>
                <c:ptCount val="12"/>
                <c:pt idx="0">
                  <c:v>2</c:v>
                </c:pt>
                <c:pt idx="1">
                  <c:v>1</c:v>
                </c:pt>
                <c:pt idx="2">
                  <c:v>2</c:v>
                </c:pt>
                <c:pt idx="3">
                  <c:v>5</c:v>
                </c:pt>
                <c:pt idx="4">
                  <c:v>3</c:v>
                </c:pt>
                <c:pt idx="5">
                  <c:v>2</c:v>
                </c:pt>
                <c:pt idx="6">
                  <c:v>3</c:v>
                </c:pt>
                <c:pt idx="7">
                  <c:v>4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28B-46B4-90C5-4BE58AC1B7CD}"/>
            </c:ext>
          </c:extLst>
        </c:ser>
        <c:ser>
          <c:idx val="10"/>
          <c:order val="10"/>
          <c:tx>
            <c:strRef>
              <c:f>'28.07 Nateete-Ndeeba'!$AC$9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'28.07 Nateete-Ndeeba'!$AC$10:$AC$21</c:f>
              <c:numCache>
                <c:formatCode>0</c:formatCode>
                <c:ptCount val="12"/>
                <c:pt idx="0">
                  <c:v>445</c:v>
                </c:pt>
                <c:pt idx="1">
                  <c:v>600</c:v>
                </c:pt>
                <c:pt idx="2">
                  <c:v>680</c:v>
                </c:pt>
                <c:pt idx="3">
                  <c:v>735</c:v>
                </c:pt>
                <c:pt idx="4">
                  <c:v>725</c:v>
                </c:pt>
                <c:pt idx="5">
                  <c:v>700</c:v>
                </c:pt>
                <c:pt idx="6">
                  <c:v>765</c:v>
                </c:pt>
                <c:pt idx="7">
                  <c:v>655</c:v>
                </c:pt>
                <c:pt idx="8">
                  <c:v>710</c:v>
                </c:pt>
                <c:pt idx="9">
                  <c:v>510</c:v>
                </c:pt>
                <c:pt idx="10">
                  <c:v>570</c:v>
                </c:pt>
                <c:pt idx="11">
                  <c:v>520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28B-46B4-90C5-4BE58AC1B7CD}"/>
            </c:ext>
          </c:extLst>
        </c:ser>
        <c:ser>
          <c:idx val="11"/>
          <c:order val="11"/>
          <c:tx>
            <c:strRef>
              <c:f>'28.07 Nateete-Ndeeba'!$AD$9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'28.07 Nateete-Ndeeba'!$AD$10:$AD$21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28B-46B4-90C5-4BE58AC1B7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6355648"/>
        <c:axId val="406351296"/>
      </c:lineChart>
      <c:catAx>
        <c:axId val="406355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06351296"/>
        <c:crosses val="autoZero"/>
        <c:auto val="1"/>
        <c:lblAlgn val="ctr"/>
        <c:lblOffset val="100"/>
        <c:noMultiLvlLbl val="0"/>
      </c:catAx>
      <c:valAx>
        <c:axId val="406351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06355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C12-4217-8AB6-47C18865D9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C12-4217-8AB6-47C18865D9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C12-4217-8AB6-47C18865D9D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C12-4217-8AB6-47C18865D9D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C12-4217-8AB6-47C18865D9D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C12-4217-8AB6-47C18865D9D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C12-4217-8AB6-47C18865D9D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C12-4217-8AB6-47C18865D9D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C12-4217-8AB6-47C18865D9D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C12-4217-8AB6-47C18865D9D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C12-4217-8AB6-47C18865D9D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C12-4217-8AB6-47C18865D9D7}"/>
              </c:ext>
            </c:extLst>
          </c:dPt>
          <c:dLbls>
            <c:dLbl>
              <c:idx val="10"/>
              <c:layout>
                <c:manualLayout>
                  <c:x val="-2.6175304576939715E-2"/>
                  <c:y val="-3.243408000329516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C12-4217-8AB6-47C18865D9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'28.07 Nateete-Ndeeba'!$C$9:$N$9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'28.07 Nateete-Ndeeba'!$C$60:$N$60</c:f>
              <c:numCache>
                <c:formatCode>0.00%</c:formatCode>
                <c:ptCount val="12"/>
                <c:pt idx="0">
                  <c:v>0.45938829248531499</c:v>
                </c:pt>
                <c:pt idx="1">
                  <c:v>5.4486530281547499E-2</c:v>
                </c:pt>
                <c:pt idx="2">
                  <c:v>3.159813652015394E-2</c:v>
                </c:pt>
                <c:pt idx="3">
                  <c:v>0.30970224832894472</c:v>
                </c:pt>
                <c:pt idx="4">
                  <c:v>7.4944298156775372E-3</c:v>
                </c:pt>
                <c:pt idx="5">
                  <c:v>3.4433866720680576E-3</c:v>
                </c:pt>
                <c:pt idx="6">
                  <c:v>3.6661940449665788E-2</c:v>
                </c:pt>
                <c:pt idx="7">
                  <c:v>8.4869353858618587E-2</c:v>
                </c:pt>
                <c:pt idx="8">
                  <c:v>7.2918776584970629E-3</c:v>
                </c:pt>
                <c:pt idx="9">
                  <c:v>5.063803929511849E-3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C12-4217-8AB6-47C18865D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15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'28.07 Ndeeba-Nateete'!$AE$9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'28.07 Ndeeba-Nateete'!$R$10:$R$21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'28.07 Ndeeba-Nateete'!$AE$10:$AE$21</c:f>
              <c:numCache>
                <c:formatCode>0</c:formatCode>
                <c:ptCount val="12"/>
                <c:pt idx="0">
                  <c:v>149</c:v>
                </c:pt>
                <c:pt idx="1">
                  <c:v>214</c:v>
                </c:pt>
                <c:pt idx="2">
                  <c:v>227</c:v>
                </c:pt>
                <c:pt idx="3">
                  <c:v>295</c:v>
                </c:pt>
                <c:pt idx="4">
                  <c:v>253</c:v>
                </c:pt>
                <c:pt idx="5">
                  <c:v>249</c:v>
                </c:pt>
                <c:pt idx="6">
                  <c:v>193</c:v>
                </c:pt>
                <c:pt idx="7">
                  <c:v>322</c:v>
                </c:pt>
                <c:pt idx="8">
                  <c:v>166</c:v>
                </c:pt>
                <c:pt idx="9">
                  <c:v>241</c:v>
                </c:pt>
                <c:pt idx="10">
                  <c:v>205</c:v>
                </c:pt>
                <c:pt idx="11">
                  <c:v>236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9DE-43FB-B018-4B429EDDE76A}"/>
            </c:ext>
          </c:extLst>
        </c:ser>
        <c:ser>
          <c:idx val="1"/>
          <c:order val="1"/>
          <c:tx>
            <c:strRef>
              <c:f>'28.07 Ndeeba-Nateete'!$AF$9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'28.07 Ndeeba-Nateete'!$R$10:$R$21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'28.07 Ndeeba-Nateete'!$AF$10:$AF$21</c:f>
              <c:numCache>
                <c:formatCode>0</c:formatCode>
                <c:ptCount val="12"/>
                <c:pt idx="0">
                  <c:v>464</c:v>
                </c:pt>
                <c:pt idx="1">
                  <c:v>651</c:v>
                </c:pt>
                <c:pt idx="2">
                  <c:v>814</c:v>
                </c:pt>
                <c:pt idx="3">
                  <c:v>1004</c:v>
                </c:pt>
                <c:pt idx="4">
                  <c:v>786</c:v>
                </c:pt>
                <c:pt idx="5">
                  <c:v>780</c:v>
                </c:pt>
                <c:pt idx="6">
                  <c:v>679</c:v>
                </c:pt>
                <c:pt idx="7">
                  <c:v>843</c:v>
                </c:pt>
                <c:pt idx="8">
                  <c:v>526</c:v>
                </c:pt>
                <c:pt idx="9">
                  <c:v>580</c:v>
                </c:pt>
                <c:pt idx="10">
                  <c:v>599</c:v>
                </c:pt>
                <c:pt idx="11">
                  <c:v>399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9DE-43FB-B018-4B429EDDE7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6362176"/>
        <c:axId val="406359456"/>
      </c:lineChart>
      <c:catAx>
        <c:axId val="40636217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06359456"/>
        <c:crosses val="autoZero"/>
        <c:auto val="1"/>
        <c:lblAlgn val="ctr"/>
        <c:lblOffset val="100"/>
        <c:noMultiLvlLbl val="0"/>
      </c:catAx>
      <c:valAx>
        <c:axId val="4063594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06362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85F-4049-90B5-622F08A1EAA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85F-4049-90B5-622F08A1EAA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85F-4049-90B5-622F08A1EAA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85F-4049-90B5-622F08A1EAA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85F-4049-90B5-622F08A1EAA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85F-4049-90B5-622F08A1EAA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A85F-4049-90B5-622F08A1EAA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A85F-4049-90B5-622F08A1EAA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A85F-4049-90B5-622F08A1EAA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A85F-4049-90B5-622F08A1EAA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A85F-4049-90B5-622F08A1EAA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A85F-4049-90B5-622F08A1EAA3}"/>
              </c:ext>
            </c:extLst>
          </c:dPt>
          <c:dLbls>
            <c:dLbl>
              <c:idx val="10"/>
              <c:layout>
                <c:manualLayout>
                  <c:x val="-2.6175304576939715E-2"/>
                  <c:y val="-3.243408000329516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85F-4049-90B5-622F08A1EAA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'28.07 Ndeeba-Nateete'!$C$9:$N$9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'28.07 Ndeeba-Nateete'!$C$59:$N$59</c:f>
              <c:numCache>
                <c:formatCode>0.0%</c:formatCode>
                <c:ptCount val="12"/>
                <c:pt idx="0">
                  <c:v>8.8738461538461544E-2</c:v>
                </c:pt>
                <c:pt idx="1">
                  <c:v>5.1200000000000002E-2</c:v>
                </c:pt>
                <c:pt idx="2">
                  <c:v>1.6369230769230768E-2</c:v>
                </c:pt>
                <c:pt idx="3">
                  <c:v>0.10646153846153845</c:v>
                </c:pt>
                <c:pt idx="4">
                  <c:v>3.6923076923076922E-3</c:v>
                </c:pt>
                <c:pt idx="5">
                  <c:v>1.1076923076923078E-3</c:v>
                </c:pt>
                <c:pt idx="6">
                  <c:v>5.4523076923076924E-2</c:v>
                </c:pt>
                <c:pt idx="7">
                  <c:v>1.0584615384615385E-2</c:v>
                </c:pt>
                <c:pt idx="8">
                  <c:v>2.3384615384615384E-3</c:v>
                </c:pt>
                <c:pt idx="9">
                  <c:v>3.4461538461538462E-3</c:v>
                </c:pt>
                <c:pt idx="10">
                  <c:v>0.66153846153846152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85F-4049-90B5-622F08A1EA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76"/>
          <c:y val="2.2960226637323739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'28.07 Ndeeba-Nateete'!$S$9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'28.07 Ndeeba-Nateete'!$R$10:$R$21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'28.07 Ndeeba-Nateete'!$S$10:$S$21</c:f>
              <c:numCache>
                <c:formatCode>0</c:formatCode>
                <c:ptCount val="12"/>
                <c:pt idx="0">
                  <c:v>49</c:v>
                </c:pt>
                <c:pt idx="1">
                  <c:v>44</c:v>
                </c:pt>
                <c:pt idx="2">
                  <c:v>58</c:v>
                </c:pt>
                <c:pt idx="3">
                  <c:v>76</c:v>
                </c:pt>
                <c:pt idx="4">
                  <c:v>67</c:v>
                </c:pt>
                <c:pt idx="5">
                  <c:v>60</c:v>
                </c:pt>
                <c:pt idx="6">
                  <c:v>48</c:v>
                </c:pt>
                <c:pt idx="7">
                  <c:v>100</c:v>
                </c:pt>
                <c:pt idx="8">
                  <c:v>48</c:v>
                </c:pt>
                <c:pt idx="9">
                  <c:v>60</c:v>
                </c:pt>
                <c:pt idx="10">
                  <c:v>50</c:v>
                </c:pt>
                <c:pt idx="11">
                  <c:v>61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793-4957-A836-ECDA67D2C747}"/>
            </c:ext>
          </c:extLst>
        </c:ser>
        <c:ser>
          <c:idx val="1"/>
          <c:order val="1"/>
          <c:tx>
            <c:strRef>
              <c:f>'28.07 Ndeeba-Nateete'!$T$9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'28.07 Ndeeba-Nateete'!$R$10:$R$21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'28.07 Ndeeba-Nateete'!$T$10:$T$21</c:f>
              <c:numCache>
                <c:formatCode>0</c:formatCode>
                <c:ptCount val="12"/>
                <c:pt idx="0">
                  <c:v>14</c:v>
                </c:pt>
                <c:pt idx="1">
                  <c:v>28</c:v>
                </c:pt>
                <c:pt idx="2">
                  <c:v>25</c:v>
                </c:pt>
                <c:pt idx="3">
                  <c:v>58</c:v>
                </c:pt>
                <c:pt idx="4">
                  <c:v>48</c:v>
                </c:pt>
                <c:pt idx="5">
                  <c:v>45</c:v>
                </c:pt>
                <c:pt idx="6">
                  <c:v>28</c:v>
                </c:pt>
                <c:pt idx="7">
                  <c:v>49</c:v>
                </c:pt>
                <c:pt idx="8">
                  <c:v>25</c:v>
                </c:pt>
                <c:pt idx="9">
                  <c:v>44</c:v>
                </c:pt>
                <c:pt idx="10">
                  <c:v>24</c:v>
                </c:pt>
                <c:pt idx="11">
                  <c:v>28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793-4957-A836-ECDA67D2C747}"/>
            </c:ext>
          </c:extLst>
        </c:ser>
        <c:ser>
          <c:idx val="2"/>
          <c:order val="2"/>
          <c:tx>
            <c:strRef>
              <c:f>'28.07 Ndeeba-Nateete'!$U$9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'28.07 Ndeeba-Nateete'!$U$10:$U$21</c:f>
              <c:numCache>
                <c:formatCode>0</c:formatCode>
                <c:ptCount val="12"/>
                <c:pt idx="0">
                  <c:v>3</c:v>
                </c:pt>
                <c:pt idx="1">
                  <c:v>8</c:v>
                </c:pt>
                <c:pt idx="2">
                  <c:v>6</c:v>
                </c:pt>
                <c:pt idx="3">
                  <c:v>10</c:v>
                </c:pt>
                <c:pt idx="4">
                  <c:v>14</c:v>
                </c:pt>
                <c:pt idx="5">
                  <c:v>7</c:v>
                </c:pt>
                <c:pt idx="6">
                  <c:v>25</c:v>
                </c:pt>
                <c:pt idx="7">
                  <c:v>15</c:v>
                </c:pt>
                <c:pt idx="8">
                  <c:v>12</c:v>
                </c:pt>
                <c:pt idx="9">
                  <c:v>5</c:v>
                </c:pt>
                <c:pt idx="10">
                  <c:v>13</c:v>
                </c:pt>
                <c:pt idx="11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93-4957-A836-ECDA67D2C747}"/>
            </c:ext>
          </c:extLst>
        </c:ser>
        <c:ser>
          <c:idx val="3"/>
          <c:order val="3"/>
          <c:tx>
            <c:strRef>
              <c:f>'28.07 Ndeeba-Nateete'!$V$9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'28.07 Ndeeba-Nateete'!$V$10:$V$21</c:f>
              <c:numCache>
                <c:formatCode>0</c:formatCode>
                <c:ptCount val="12"/>
                <c:pt idx="0">
                  <c:v>47</c:v>
                </c:pt>
                <c:pt idx="1">
                  <c:v>73</c:v>
                </c:pt>
                <c:pt idx="2">
                  <c:v>93</c:v>
                </c:pt>
                <c:pt idx="3">
                  <c:v>96</c:v>
                </c:pt>
                <c:pt idx="4">
                  <c:v>76</c:v>
                </c:pt>
                <c:pt idx="5">
                  <c:v>76</c:v>
                </c:pt>
                <c:pt idx="6">
                  <c:v>58</c:v>
                </c:pt>
                <c:pt idx="7">
                  <c:v>77</c:v>
                </c:pt>
                <c:pt idx="8">
                  <c:v>41</c:v>
                </c:pt>
                <c:pt idx="9">
                  <c:v>83</c:v>
                </c:pt>
                <c:pt idx="10">
                  <c:v>73</c:v>
                </c:pt>
                <c:pt idx="11">
                  <c:v>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793-4957-A836-ECDA67D2C747}"/>
            </c:ext>
          </c:extLst>
        </c:ser>
        <c:ser>
          <c:idx val="4"/>
          <c:order val="4"/>
          <c:tx>
            <c:strRef>
              <c:f>'28.07 Ndeeba-Nateete'!$W$9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'28.07 Ndeeba-Nateete'!$W$10:$W$21</c:f>
              <c:numCache>
                <c:formatCode>0</c:formatCode>
                <c:ptCount val="12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1</c:v>
                </c:pt>
                <c:pt idx="6">
                  <c:v>3</c:v>
                </c:pt>
                <c:pt idx="7">
                  <c:v>5</c:v>
                </c:pt>
                <c:pt idx="8">
                  <c:v>4</c:v>
                </c:pt>
                <c:pt idx="9">
                  <c:v>3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793-4957-A836-ECDA67D2C747}"/>
            </c:ext>
          </c:extLst>
        </c:ser>
        <c:ser>
          <c:idx val="5"/>
          <c:order val="5"/>
          <c:tx>
            <c:strRef>
              <c:f>'28.07 Ndeeba-Nateete'!$X$9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'28.07 Ndeeba-Nateete'!$X$10:$X$21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793-4957-A836-ECDA67D2C747}"/>
            </c:ext>
          </c:extLst>
        </c:ser>
        <c:ser>
          <c:idx val="6"/>
          <c:order val="6"/>
          <c:tx>
            <c:strRef>
              <c:f>'28.07 Ndeeba-Nateete'!$Y$9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'28.07 Ndeeba-Nateete'!$Y$10:$Y$21</c:f>
              <c:numCache>
                <c:formatCode>0</c:formatCode>
                <c:ptCount val="12"/>
                <c:pt idx="0">
                  <c:v>25</c:v>
                </c:pt>
                <c:pt idx="1">
                  <c:v>53</c:v>
                </c:pt>
                <c:pt idx="2">
                  <c:v>37</c:v>
                </c:pt>
                <c:pt idx="3">
                  <c:v>36</c:v>
                </c:pt>
                <c:pt idx="4">
                  <c:v>37</c:v>
                </c:pt>
                <c:pt idx="5">
                  <c:v>34</c:v>
                </c:pt>
                <c:pt idx="6">
                  <c:v>17</c:v>
                </c:pt>
                <c:pt idx="7">
                  <c:v>52</c:v>
                </c:pt>
                <c:pt idx="8">
                  <c:v>33</c:v>
                </c:pt>
                <c:pt idx="9">
                  <c:v>37</c:v>
                </c:pt>
                <c:pt idx="10">
                  <c:v>30</c:v>
                </c:pt>
                <c:pt idx="11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793-4957-A836-ECDA67D2C747}"/>
            </c:ext>
          </c:extLst>
        </c:ser>
        <c:ser>
          <c:idx val="7"/>
          <c:order val="7"/>
          <c:tx>
            <c:strRef>
              <c:f>'28.07 Ndeeba-Nateete'!$Z$9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'28.07 Ndeeba-Nateete'!$Z$10:$Z$21</c:f>
              <c:numCache>
                <c:formatCode>0</c:formatCode>
                <c:ptCount val="12"/>
                <c:pt idx="0">
                  <c:v>4</c:v>
                </c:pt>
                <c:pt idx="1">
                  <c:v>4</c:v>
                </c:pt>
                <c:pt idx="2">
                  <c:v>1</c:v>
                </c:pt>
                <c:pt idx="3">
                  <c:v>9</c:v>
                </c:pt>
                <c:pt idx="4">
                  <c:v>6</c:v>
                </c:pt>
                <c:pt idx="5">
                  <c:v>9</c:v>
                </c:pt>
                <c:pt idx="6">
                  <c:v>4</c:v>
                </c:pt>
                <c:pt idx="7">
                  <c:v>22</c:v>
                </c:pt>
                <c:pt idx="8">
                  <c:v>3</c:v>
                </c:pt>
                <c:pt idx="9">
                  <c:v>9</c:v>
                </c:pt>
                <c:pt idx="10">
                  <c:v>9</c:v>
                </c:pt>
                <c:pt idx="1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793-4957-A836-ECDA67D2C747}"/>
            </c:ext>
          </c:extLst>
        </c:ser>
        <c:ser>
          <c:idx val="8"/>
          <c:order val="8"/>
          <c:tx>
            <c:strRef>
              <c:f>'28.07 Ndeeba-Nateete'!$AA$9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'28.07 Ndeeba-Nateete'!$AA$10:$AA$21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2</c:v>
                </c:pt>
                <c:pt idx="4">
                  <c:v>1</c:v>
                </c:pt>
                <c:pt idx="5">
                  <c:v>7</c:v>
                </c:pt>
                <c:pt idx="6">
                  <c:v>4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793-4957-A836-ECDA67D2C747}"/>
            </c:ext>
          </c:extLst>
        </c:ser>
        <c:ser>
          <c:idx val="9"/>
          <c:order val="9"/>
          <c:tx>
            <c:strRef>
              <c:f>'28.07 Ndeeba-Nateete'!$AB$9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'28.07 Ndeeba-Nateete'!$AB$10:$AB$21</c:f>
              <c:numCache>
                <c:formatCode>0</c:formatCode>
                <c:ptCount val="12"/>
                <c:pt idx="0">
                  <c:v>4</c:v>
                </c:pt>
                <c:pt idx="1">
                  <c:v>1</c:v>
                </c:pt>
                <c:pt idx="2">
                  <c:v>3</c:v>
                </c:pt>
                <c:pt idx="3">
                  <c:v>4</c:v>
                </c:pt>
                <c:pt idx="4">
                  <c:v>0</c:v>
                </c:pt>
                <c:pt idx="5">
                  <c:v>10</c:v>
                </c:pt>
                <c:pt idx="6">
                  <c:v>2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3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793-4957-A836-ECDA67D2C747}"/>
            </c:ext>
          </c:extLst>
        </c:ser>
        <c:ser>
          <c:idx val="10"/>
          <c:order val="10"/>
          <c:tx>
            <c:strRef>
              <c:f>'28.07 Ndeeba-Nateete'!$AC$9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'28.07 Ndeeba-Nateete'!$AC$10:$AC$21</c:f>
              <c:numCache>
                <c:formatCode>0</c:formatCode>
                <c:ptCount val="12"/>
                <c:pt idx="0">
                  <c:v>315</c:v>
                </c:pt>
                <c:pt idx="1">
                  <c:v>437</c:v>
                </c:pt>
                <c:pt idx="2">
                  <c:v>587</c:v>
                </c:pt>
                <c:pt idx="3">
                  <c:v>709</c:v>
                </c:pt>
                <c:pt idx="4">
                  <c:v>533</c:v>
                </c:pt>
                <c:pt idx="5">
                  <c:v>531</c:v>
                </c:pt>
                <c:pt idx="6">
                  <c:v>486</c:v>
                </c:pt>
                <c:pt idx="7">
                  <c:v>521</c:v>
                </c:pt>
                <c:pt idx="8">
                  <c:v>360</c:v>
                </c:pt>
                <c:pt idx="9">
                  <c:v>339</c:v>
                </c:pt>
                <c:pt idx="10">
                  <c:v>394</c:v>
                </c:pt>
                <c:pt idx="11">
                  <c:v>163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793-4957-A836-ECDA67D2C747}"/>
            </c:ext>
          </c:extLst>
        </c:ser>
        <c:ser>
          <c:idx val="11"/>
          <c:order val="11"/>
          <c:tx>
            <c:strRef>
              <c:f>'28.07 Ndeeba-Nateete'!$AD$9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'28.07 Ndeeba-Nateete'!$AD$10:$AD$21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793-4957-A836-ECDA67D2C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6358368"/>
        <c:axId val="406358912"/>
      </c:lineChart>
      <c:catAx>
        <c:axId val="406358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06358912"/>
        <c:crosses val="autoZero"/>
        <c:auto val="1"/>
        <c:lblAlgn val="ctr"/>
        <c:lblOffset val="100"/>
        <c:noMultiLvlLbl val="0"/>
      </c:catAx>
      <c:valAx>
        <c:axId val="406358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06358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CB0-4F20-A91A-77634015494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CB0-4F20-A91A-77634015494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CB0-4F20-A91A-77634015494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CB0-4F20-A91A-77634015494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CB0-4F20-A91A-77634015494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CB0-4F20-A91A-77634015494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ACB0-4F20-A91A-77634015494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ACB0-4F20-A91A-77634015494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ACB0-4F20-A91A-77634015494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ACB0-4F20-A91A-77634015494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ACB0-4F20-A91A-77634015494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ACB0-4F20-A91A-776340154943}"/>
              </c:ext>
            </c:extLst>
          </c:dPt>
          <c:dLbls>
            <c:dLbl>
              <c:idx val="10"/>
              <c:layout>
                <c:manualLayout>
                  <c:x val="-2.6175304576939715E-2"/>
                  <c:y val="-3.243408000329516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CB0-4F20-A91A-77634015494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'28.07 Ndeeba-Nateete'!$C$9:$N$9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'28.07 Ndeeba-Nateete'!$C$60:$N$60</c:f>
              <c:numCache>
                <c:formatCode>0.00%</c:formatCode>
                <c:ptCount val="12"/>
                <c:pt idx="0">
                  <c:v>0.26218181818181818</c:v>
                </c:pt>
                <c:pt idx="1">
                  <c:v>0.15127272727272728</c:v>
                </c:pt>
                <c:pt idx="2">
                  <c:v>4.8363636363636366E-2</c:v>
                </c:pt>
                <c:pt idx="3">
                  <c:v>0.31454545454545457</c:v>
                </c:pt>
                <c:pt idx="4">
                  <c:v>1.090909090909091E-2</c:v>
                </c:pt>
                <c:pt idx="5">
                  <c:v>3.2727272727272726E-3</c:v>
                </c:pt>
                <c:pt idx="6">
                  <c:v>0.16109090909090909</c:v>
                </c:pt>
                <c:pt idx="7">
                  <c:v>3.1272727272727271E-2</c:v>
                </c:pt>
                <c:pt idx="8">
                  <c:v>6.909090909090909E-3</c:v>
                </c:pt>
                <c:pt idx="9">
                  <c:v>1.0181818181818183E-2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CB0-4F20-A91A-7763401549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15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Nateete-Ndeeba'!$AE$9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Nateete-Ndeeba'!$R$10:$R$33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Nateete-Ndeeba'!$AE$10:$AE$33</c:f>
              <c:numCache>
                <c:formatCode>0</c:formatCode>
                <c:ptCount val="24"/>
                <c:pt idx="0">
                  <c:v>342.28571428571428</c:v>
                </c:pt>
                <c:pt idx="1">
                  <c:v>425.14285714285711</c:v>
                </c:pt>
                <c:pt idx="2">
                  <c:v>439.71428571428572</c:v>
                </c:pt>
                <c:pt idx="3">
                  <c:v>399</c:v>
                </c:pt>
                <c:pt idx="4">
                  <c:v>443.42857142857144</c:v>
                </c:pt>
                <c:pt idx="5">
                  <c:v>432.57142857142856</c:v>
                </c:pt>
                <c:pt idx="6">
                  <c:v>404.42857142857144</c:v>
                </c:pt>
                <c:pt idx="7">
                  <c:v>387.42857142857144</c:v>
                </c:pt>
                <c:pt idx="8">
                  <c:v>406.57142857142856</c:v>
                </c:pt>
                <c:pt idx="9">
                  <c:v>404.85714285714283</c:v>
                </c:pt>
                <c:pt idx="10">
                  <c:v>418.28571428571428</c:v>
                </c:pt>
                <c:pt idx="11">
                  <c:v>385.28571428571428</c:v>
                </c:pt>
                <c:pt idx="12">
                  <c:v>374.07142857142856</c:v>
                </c:pt>
                <c:pt idx="13">
                  <c:v>370.5</c:v>
                </c:pt>
                <c:pt idx="14">
                  <c:v>379.78571428571428</c:v>
                </c:pt>
                <c:pt idx="15">
                  <c:v>354.5</c:v>
                </c:pt>
                <c:pt idx="16">
                  <c:v>352.5</c:v>
                </c:pt>
                <c:pt idx="17">
                  <c:v>343.5</c:v>
                </c:pt>
                <c:pt idx="18">
                  <c:v>334</c:v>
                </c:pt>
                <c:pt idx="19">
                  <c:v>356.5</c:v>
                </c:pt>
                <c:pt idx="20">
                  <c:v>359</c:v>
                </c:pt>
                <c:pt idx="21">
                  <c:v>352</c:v>
                </c:pt>
                <c:pt idx="22">
                  <c:v>359</c:v>
                </c:pt>
                <c:pt idx="23">
                  <c:v>341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E85-422C-8502-C8D950B820C5}"/>
            </c:ext>
          </c:extLst>
        </c:ser>
        <c:ser>
          <c:idx val="1"/>
          <c:order val="1"/>
          <c:tx>
            <c:strRef>
              <c:f>'Avg Week Nateete-Ndeeba'!$AF$9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Nateete-Ndeeba'!$R$10:$R$33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Nateete-Ndeeba'!$AF$10:$AF$33</c:f>
              <c:numCache>
                <c:formatCode>0</c:formatCode>
                <c:ptCount val="24"/>
                <c:pt idx="0">
                  <c:v>871.85714285714289</c:v>
                </c:pt>
                <c:pt idx="1">
                  <c:v>1244.4285714285716</c:v>
                </c:pt>
                <c:pt idx="2">
                  <c:v>1240.7142857142856</c:v>
                </c:pt>
                <c:pt idx="3">
                  <c:v>1197.8571428571429</c:v>
                </c:pt>
                <c:pt idx="4">
                  <c:v>1280.5714285714287</c:v>
                </c:pt>
                <c:pt idx="5">
                  <c:v>1180</c:v>
                </c:pt>
                <c:pt idx="6">
                  <c:v>1133</c:v>
                </c:pt>
                <c:pt idx="7">
                  <c:v>1088.4285714285716</c:v>
                </c:pt>
                <c:pt idx="8">
                  <c:v>1064.7142857142858</c:v>
                </c:pt>
                <c:pt idx="9">
                  <c:v>1094.5714285714284</c:v>
                </c:pt>
                <c:pt idx="10">
                  <c:v>1163.4285714285716</c:v>
                </c:pt>
                <c:pt idx="11">
                  <c:v>1071.8571428571427</c:v>
                </c:pt>
                <c:pt idx="12">
                  <c:v>1044.2142857142858</c:v>
                </c:pt>
                <c:pt idx="13">
                  <c:v>1081.5</c:v>
                </c:pt>
                <c:pt idx="14">
                  <c:v>1086.0714285714284</c:v>
                </c:pt>
                <c:pt idx="15">
                  <c:v>1060</c:v>
                </c:pt>
                <c:pt idx="16">
                  <c:v>1168.5</c:v>
                </c:pt>
                <c:pt idx="17">
                  <c:v>1140.5</c:v>
                </c:pt>
                <c:pt idx="18">
                  <c:v>1108</c:v>
                </c:pt>
                <c:pt idx="19">
                  <c:v>1093.5</c:v>
                </c:pt>
                <c:pt idx="20">
                  <c:v>958.5</c:v>
                </c:pt>
                <c:pt idx="21">
                  <c:v>882.5</c:v>
                </c:pt>
                <c:pt idx="22">
                  <c:v>848.5</c:v>
                </c:pt>
                <c:pt idx="23">
                  <c:v>784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E85-422C-8502-C8D950B82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6361088"/>
        <c:axId val="406361632"/>
      </c:lineChart>
      <c:catAx>
        <c:axId val="40636108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06361632"/>
        <c:crosses val="autoZero"/>
        <c:auto val="1"/>
        <c:lblAlgn val="ctr"/>
        <c:lblOffset val="100"/>
        <c:noMultiLvlLbl val="0"/>
      </c:catAx>
      <c:valAx>
        <c:axId val="40636163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06361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1.9736842105263159E-3"/>
          <c:y val="9.4066441854913196E-2"/>
          <c:w val="0.81710526315789478"/>
          <c:h val="0.75862172149829554"/>
        </c:manualLayout>
      </c:layout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5E7-413A-BC41-2C6194EF8EC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5E7-413A-BC41-2C6194EF8EC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5E7-413A-BC41-2C6194EF8EC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5E7-413A-BC41-2C6194EF8EC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5E7-413A-BC41-2C6194EF8EC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15E7-413A-BC41-2C6194EF8EC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15E7-413A-BC41-2C6194EF8EC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15E7-413A-BC41-2C6194EF8EC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15E7-413A-BC41-2C6194EF8EC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15E7-413A-BC41-2C6194EF8EC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15E7-413A-BC41-2C6194EF8EC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15E7-413A-BC41-2C6194EF8EC3}"/>
              </c:ext>
            </c:extLst>
          </c:dPt>
          <c:dLbls>
            <c:dLbl>
              <c:idx val="10"/>
              <c:layout>
                <c:manualLayout>
                  <c:x val="-2.6175304576939715E-2"/>
                  <c:y val="-3.243408000329516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15E7-413A-BC41-2C6194EF8EC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Nateete-Ndeeba'!$C$9:$N$9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Nateete-Ndeeba'!$C$107:$N$107</c:f>
              <c:numCache>
                <c:formatCode>0.0%</c:formatCode>
                <c:ptCount val="12"/>
                <c:pt idx="0">
                  <c:v>0.22477992035212749</c:v>
                </c:pt>
                <c:pt idx="1">
                  <c:v>3.230978830433872E-2</c:v>
                </c:pt>
                <c:pt idx="2">
                  <c:v>2.4643680570111098E-2</c:v>
                </c:pt>
                <c:pt idx="3">
                  <c:v>0.16319429888912182</c:v>
                </c:pt>
                <c:pt idx="4">
                  <c:v>4.2758331586669482E-3</c:v>
                </c:pt>
                <c:pt idx="5">
                  <c:v>5.816390693774892E-3</c:v>
                </c:pt>
                <c:pt idx="6">
                  <c:v>3.7869419408928962E-2</c:v>
                </c:pt>
                <c:pt idx="7">
                  <c:v>6.3299098721442057E-2</c:v>
                </c:pt>
                <c:pt idx="8">
                  <c:v>1.3870257807587513E-2</c:v>
                </c:pt>
                <c:pt idx="9">
                  <c:v>7.3045483127227029E-3</c:v>
                </c:pt>
                <c:pt idx="10">
                  <c:v>0.95015195975686451</c:v>
                </c:pt>
                <c:pt idx="11">
                  <c:v>8.9079857472228061E-5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15E7-413A-BC41-2C6194EF8E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7367823583985534"/>
          <c:y val="0.23794550591406821"/>
          <c:w val="0.82182781835050078"/>
          <c:h val="0.75886347358275319"/>
        </c:manualLayout>
      </c:layout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80A-4F64-9F70-B5B6C796803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80A-4F64-9F70-B5B6C796803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80A-4F64-9F70-B5B6C796803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80A-4F64-9F70-B5B6C796803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80A-4F64-9F70-B5B6C796803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80A-4F64-9F70-B5B6C796803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80A-4F64-9F70-B5B6C796803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80A-4F64-9F70-B5B6C796803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80A-4F64-9F70-B5B6C796803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80A-4F64-9F70-B5B6C796803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80A-4F64-9F70-B5B6C796803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80A-4F64-9F70-B5B6C796803E}"/>
              </c:ext>
            </c:extLst>
          </c:dPt>
          <c:dLbls>
            <c:dLbl>
              <c:idx val="10"/>
              <c:layout>
                <c:manualLayout>
                  <c:x val="-2.6175304576939715E-2"/>
                  <c:y val="-3.243408000329516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80A-4F64-9F70-B5B6C79680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Nateete-Ndeeba'!$C$9:$N$9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Nateete-Ndeeba'!$C$108:$N$108</c:f>
              <c:numCache>
                <c:formatCode>0.00%</c:formatCode>
                <c:ptCount val="12"/>
                <c:pt idx="0">
                  <c:v>0.62672763930689901</c:v>
                </c:pt>
                <c:pt idx="1">
                  <c:v>9.0085614937322867E-2</c:v>
                </c:pt>
                <c:pt idx="2">
                  <c:v>6.8711100721736862E-2</c:v>
                </c:pt>
                <c:pt idx="3">
                  <c:v>0.45501563276159313</c:v>
                </c:pt>
                <c:pt idx="4">
                  <c:v>1.1921806971919472E-2</c:v>
                </c:pt>
                <c:pt idx="5">
                  <c:v>1.6217163895625754E-2</c:v>
                </c:pt>
                <c:pt idx="6">
                  <c:v>0.10558688601233092</c:v>
                </c:pt>
                <c:pt idx="7">
                  <c:v>0.17648949536861178</c:v>
                </c:pt>
                <c:pt idx="8">
                  <c:v>3.8672822370920151E-2</c:v>
                </c:pt>
                <c:pt idx="9">
                  <c:v>2.0366420243695768E-2</c:v>
                </c:pt>
                <c:pt idx="11">
                  <c:v>2.4837097858165563E-4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80A-4F64-9F70-B5B6C79680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15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Ndeeba-Nateete'!$AE$9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Ndeeba-Nateete'!$R$10:$R$33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Ndeeba-Nateete'!$AE$10:$AE$33</c:f>
              <c:numCache>
                <c:formatCode>0</c:formatCode>
                <c:ptCount val="24"/>
                <c:pt idx="0">
                  <c:v>279.85714285714283</c:v>
                </c:pt>
                <c:pt idx="1">
                  <c:v>329.28571428571433</c:v>
                </c:pt>
                <c:pt idx="2">
                  <c:v>394.71428571428578</c:v>
                </c:pt>
                <c:pt idx="3">
                  <c:v>344</c:v>
                </c:pt>
                <c:pt idx="4">
                  <c:v>313.71428571428572</c:v>
                </c:pt>
                <c:pt idx="5">
                  <c:v>359.85714285714289</c:v>
                </c:pt>
                <c:pt idx="6">
                  <c:v>296.42857142857144</c:v>
                </c:pt>
                <c:pt idx="7">
                  <c:v>340.14285714285722</c:v>
                </c:pt>
                <c:pt idx="8">
                  <c:v>277.57142857142856</c:v>
                </c:pt>
                <c:pt idx="9">
                  <c:v>328.14285714285711</c:v>
                </c:pt>
                <c:pt idx="10">
                  <c:v>339.14285714285717</c:v>
                </c:pt>
                <c:pt idx="11">
                  <c:v>421.85714285714289</c:v>
                </c:pt>
                <c:pt idx="12">
                  <c:v>416.85714285714289</c:v>
                </c:pt>
                <c:pt idx="13">
                  <c:v>347.85714285714283</c:v>
                </c:pt>
                <c:pt idx="14">
                  <c:v>327.57142857142856</c:v>
                </c:pt>
                <c:pt idx="15">
                  <c:v>307</c:v>
                </c:pt>
                <c:pt idx="16">
                  <c:v>297</c:v>
                </c:pt>
                <c:pt idx="17">
                  <c:v>259.5</c:v>
                </c:pt>
                <c:pt idx="18">
                  <c:v>255.5</c:v>
                </c:pt>
                <c:pt idx="19">
                  <c:v>259</c:v>
                </c:pt>
                <c:pt idx="20">
                  <c:v>250.5</c:v>
                </c:pt>
                <c:pt idx="21">
                  <c:v>263.5</c:v>
                </c:pt>
                <c:pt idx="22">
                  <c:v>272.5</c:v>
                </c:pt>
                <c:pt idx="23">
                  <c:v>291.5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6F8-46F1-A26B-8380F37E487A}"/>
            </c:ext>
          </c:extLst>
        </c:ser>
        <c:ser>
          <c:idx val="1"/>
          <c:order val="1"/>
          <c:tx>
            <c:strRef>
              <c:f>'Avg Week Ndeeba-Nateete'!$AF$9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Ndeeba-Nateete'!$R$10:$R$33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Ndeeba-Nateete'!$AF$10:$AF$33</c:f>
              <c:numCache>
                <c:formatCode>0</c:formatCode>
                <c:ptCount val="24"/>
                <c:pt idx="0">
                  <c:v>903.71428571428578</c:v>
                </c:pt>
                <c:pt idx="1">
                  <c:v>1110.5714285714284</c:v>
                </c:pt>
                <c:pt idx="2">
                  <c:v>1187.4285714285716</c:v>
                </c:pt>
                <c:pt idx="3">
                  <c:v>1002.1428571428571</c:v>
                </c:pt>
                <c:pt idx="4">
                  <c:v>977.14285714285722</c:v>
                </c:pt>
                <c:pt idx="5">
                  <c:v>997.28571428571433</c:v>
                </c:pt>
                <c:pt idx="6">
                  <c:v>899.57142857142856</c:v>
                </c:pt>
                <c:pt idx="7">
                  <c:v>872.42857142857144</c:v>
                </c:pt>
                <c:pt idx="8">
                  <c:v>742.57142857142844</c:v>
                </c:pt>
                <c:pt idx="9">
                  <c:v>824.42857142857144</c:v>
                </c:pt>
                <c:pt idx="10">
                  <c:v>941.14285714285711</c:v>
                </c:pt>
                <c:pt idx="11">
                  <c:v>971.42857142857133</c:v>
                </c:pt>
                <c:pt idx="12">
                  <c:v>892.64285714285711</c:v>
                </c:pt>
                <c:pt idx="13">
                  <c:v>761.14285714285711</c:v>
                </c:pt>
                <c:pt idx="14">
                  <c:v>660.07142857142856</c:v>
                </c:pt>
                <c:pt idx="15">
                  <c:v>602</c:v>
                </c:pt>
                <c:pt idx="16">
                  <c:v>602</c:v>
                </c:pt>
                <c:pt idx="17">
                  <c:v>538</c:v>
                </c:pt>
                <c:pt idx="18">
                  <c:v>511.5</c:v>
                </c:pt>
                <c:pt idx="19">
                  <c:v>535</c:v>
                </c:pt>
                <c:pt idx="20">
                  <c:v>500.5</c:v>
                </c:pt>
                <c:pt idx="21">
                  <c:v>551</c:v>
                </c:pt>
                <c:pt idx="22">
                  <c:v>615</c:v>
                </c:pt>
                <c:pt idx="23">
                  <c:v>626.5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6F8-46F1-A26B-8380F37E48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1040544"/>
        <c:axId val="511043264"/>
      </c:lineChart>
      <c:catAx>
        <c:axId val="51104054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11043264"/>
        <c:crosses val="autoZero"/>
        <c:auto val="1"/>
        <c:lblAlgn val="ctr"/>
        <c:lblOffset val="100"/>
        <c:noMultiLvlLbl val="0"/>
      </c:catAx>
      <c:valAx>
        <c:axId val="51104326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11040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5.2424368006629298E-5"/>
          <c:y val="0.17954703758931437"/>
          <c:w val="0.82101228366016787"/>
          <c:h val="0.7446058403538719"/>
        </c:manualLayout>
      </c:layout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B84-4A7D-9CBD-0C2ADBE1B04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B84-4A7D-9CBD-0C2ADBE1B04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B84-4A7D-9CBD-0C2ADBE1B04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B84-4A7D-9CBD-0C2ADBE1B04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3B84-4A7D-9CBD-0C2ADBE1B04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3B84-4A7D-9CBD-0C2ADBE1B04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3B84-4A7D-9CBD-0C2ADBE1B04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3B84-4A7D-9CBD-0C2ADBE1B04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3B84-4A7D-9CBD-0C2ADBE1B04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3B84-4A7D-9CBD-0C2ADBE1B04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3B84-4A7D-9CBD-0C2ADBE1B04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3B84-4A7D-9CBD-0C2ADBE1B04D}"/>
              </c:ext>
            </c:extLst>
          </c:dPt>
          <c:dLbls>
            <c:dLbl>
              <c:idx val="10"/>
              <c:layout>
                <c:manualLayout>
                  <c:x val="-2.6175304576939715E-2"/>
                  <c:y val="-3.243408000329516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3B84-4A7D-9CBD-0C2ADBE1B04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Ndeeba-Nateete'!$C$9:$N$9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Ndeeba-Nateete'!$C$107:$N$107</c:f>
              <c:numCache>
                <c:formatCode>0.0%</c:formatCode>
                <c:ptCount val="12"/>
                <c:pt idx="0">
                  <c:v>0.21832543838818119</c:v>
                </c:pt>
                <c:pt idx="1">
                  <c:v>4.7063455361271836E-2</c:v>
                </c:pt>
                <c:pt idx="2">
                  <c:v>2.1810046369783384E-2</c:v>
                </c:pt>
                <c:pt idx="3">
                  <c:v>0.19800272469347191</c:v>
                </c:pt>
                <c:pt idx="4">
                  <c:v>4.3307627891862148E-3</c:v>
                </c:pt>
                <c:pt idx="5">
                  <c:v>2.4059793273256752E-3</c:v>
                </c:pt>
                <c:pt idx="6">
                  <c:v>6.6236298416428113E-2</c:v>
                </c:pt>
                <c:pt idx="7">
                  <c:v>3.9126848229574157E-2</c:v>
                </c:pt>
                <c:pt idx="8">
                  <c:v>1.0523816070692041E-2</c:v>
                </c:pt>
                <c:pt idx="9">
                  <c:v>6.9304703220887613E-3</c:v>
                </c:pt>
                <c:pt idx="10">
                  <c:v>0.97093451986651469</c:v>
                </c:pt>
                <c:pt idx="11">
                  <c:v>3.9495556749865619E-3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3B84-4A7D-9CBD-0C2ADBE1B0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543428884078312"/>
          <c:y val="0.23916815276139264"/>
          <c:w val="0.82182781835050078"/>
          <c:h val="0.75805404812203347"/>
        </c:manualLayout>
      </c:layout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B8A-48E6-9C2F-F83D2727468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B8A-48E6-9C2F-F83D2727468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B8A-48E6-9C2F-F83D2727468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B8A-48E6-9C2F-F83D2727468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8B8A-48E6-9C2F-F83D2727468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8B8A-48E6-9C2F-F83D2727468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8B8A-48E6-9C2F-F83D2727468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8B8A-48E6-9C2F-F83D2727468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8B8A-48E6-9C2F-F83D2727468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8B8A-48E6-9C2F-F83D2727468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8B8A-48E6-9C2F-F83D2727468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8B8A-48E6-9C2F-F83D2727468E}"/>
              </c:ext>
            </c:extLst>
          </c:dPt>
          <c:dLbls>
            <c:dLbl>
              <c:idx val="10"/>
              <c:layout>
                <c:manualLayout>
                  <c:x val="-2.6175304576939715E-2"/>
                  <c:y val="-3.243408000329516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8B8A-48E6-9C2F-F83D2727468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Ndeeba-Nateete'!$C$9:$N$9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Ndeeba-Nateete'!$C$108:$N$108</c:f>
              <c:numCache>
                <c:formatCode>0.00%</c:formatCode>
                <c:ptCount val="12"/>
                <c:pt idx="0">
                  <c:v>0.6200262662833208</c:v>
                </c:pt>
                <c:pt idx="1">
                  <c:v>0.1336563376282256</c:v>
                </c:pt>
                <c:pt idx="2">
                  <c:v>6.1938735668902838E-2</c:v>
                </c:pt>
                <c:pt idx="3">
                  <c:v>0.56231143293224017</c:v>
                </c:pt>
                <c:pt idx="4">
                  <c:v>1.2299009690128846E-2</c:v>
                </c:pt>
                <c:pt idx="5">
                  <c:v>6.8327831611826933E-3</c:v>
                </c:pt>
                <c:pt idx="6">
                  <c:v>0.18810563305292297</c:v>
                </c:pt>
                <c:pt idx="7">
                  <c:v>0.11111702694068791</c:v>
                </c:pt>
                <c:pt idx="8">
                  <c:v>2.9886771021900398E-2</c:v>
                </c:pt>
                <c:pt idx="9">
                  <c:v>1.9681965001952222E-2</c:v>
                </c:pt>
                <c:pt idx="11">
                  <c:v>1.1216412877577821E-2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8B8A-48E6-9C2F-F83D272746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Nateete-Ndeeba-2Dir'!$AE$9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Nateete-Ndeeba-2Dir'!$R$10:$R$33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Nateete-Ndeeba-2Dir'!$AE$10:$AE$33</c:f>
              <c:numCache>
                <c:formatCode>0</c:formatCode>
                <c:ptCount val="24"/>
                <c:pt idx="0">
                  <c:v>622.14285714285711</c:v>
                </c:pt>
                <c:pt idx="1">
                  <c:v>754.42857142857144</c:v>
                </c:pt>
                <c:pt idx="2">
                  <c:v>834.42857142857144</c:v>
                </c:pt>
                <c:pt idx="3">
                  <c:v>743</c:v>
                </c:pt>
                <c:pt idx="4">
                  <c:v>757.14285714285711</c:v>
                </c:pt>
                <c:pt idx="5">
                  <c:v>792.42857142857144</c:v>
                </c:pt>
                <c:pt idx="6">
                  <c:v>700.85714285714289</c:v>
                </c:pt>
                <c:pt idx="7">
                  <c:v>727.57142857142844</c:v>
                </c:pt>
                <c:pt idx="8">
                  <c:v>684.14285714285711</c:v>
                </c:pt>
                <c:pt idx="9">
                  <c:v>733</c:v>
                </c:pt>
                <c:pt idx="10">
                  <c:v>757.42857142857144</c:v>
                </c:pt>
                <c:pt idx="11">
                  <c:v>807.14285714285711</c:v>
                </c:pt>
                <c:pt idx="12">
                  <c:v>790.92857142857144</c:v>
                </c:pt>
                <c:pt idx="13">
                  <c:v>718.35714285714289</c:v>
                </c:pt>
                <c:pt idx="14">
                  <c:v>707.35714285714289</c:v>
                </c:pt>
                <c:pt idx="15">
                  <c:v>661.5</c:v>
                </c:pt>
                <c:pt idx="16">
                  <c:v>649.5</c:v>
                </c:pt>
                <c:pt idx="17">
                  <c:v>603</c:v>
                </c:pt>
                <c:pt idx="18">
                  <c:v>589.5</c:v>
                </c:pt>
                <c:pt idx="19">
                  <c:v>615.5</c:v>
                </c:pt>
                <c:pt idx="20">
                  <c:v>609.5</c:v>
                </c:pt>
                <c:pt idx="21">
                  <c:v>615.5</c:v>
                </c:pt>
                <c:pt idx="22">
                  <c:v>631.5</c:v>
                </c:pt>
                <c:pt idx="23">
                  <c:v>632.5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289-4DCF-B882-877A22CF008F}"/>
            </c:ext>
          </c:extLst>
        </c:ser>
        <c:ser>
          <c:idx val="1"/>
          <c:order val="1"/>
          <c:tx>
            <c:strRef>
              <c:f>'Avg Week Nateete-Ndeeba-2Dir'!$AF$9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Nateete-Ndeeba-2Dir'!$R$10:$R$33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Nateete-Ndeeba-2Dir'!$AF$10:$AF$33</c:f>
              <c:numCache>
                <c:formatCode>0</c:formatCode>
                <c:ptCount val="24"/>
                <c:pt idx="0">
                  <c:v>1775.5714285714289</c:v>
                </c:pt>
                <c:pt idx="1">
                  <c:v>2355</c:v>
                </c:pt>
                <c:pt idx="2">
                  <c:v>2428.1428571428573</c:v>
                </c:pt>
                <c:pt idx="3">
                  <c:v>2200</c:v>
                </c:pt>
                <c:pt idx="4">
                  <c:v>2257.7142857142853</c:v>
                </c:pt>
                <c:pt idx="5">
                  <c:v>2177.2857142857142</c:v>
                </c:pt>
                <c:pt idx="6">
                  <c:v>2032.5714285714287</c:v>
                </c:pt>
                <c:pt idx="7">
                  <c:v>1960.8571428571427</c:v>
                </c:pt>
                <c:pt idx="8">
                  <c:v>1807.2857142857142</c:v>
                </c:pt>
                <c:pt idx="9">
                  <c:v>1919</c:v>
                </c:pt>
                <c:pt idx="10">
                  <c:v>2104.5714285714284</c:v>
                </c:pt>
                <c:pt idx="11">
                  <c:v>2043.2857142857142</c:v>
                </c:pt>
                <c:pt idx="12">
                  <c:v>1936.8571428571429</c:v>
                </c:pt>
                <c:pt idx="13">
                  <c:v>1842.6428571428571</c:v>
                </c:pt>
                <c:pt idx="14">
                  <c:v>1746.1428571428571</c:v>
                </c:pt>
                <c:pt idx="15">
                  <c:v>1662</c:v>
                </c:pt>
                <c:pt idx="16">
                  <c:v>1770.5</c:v>
                </c:pt>
                <c:pt idx="17">
                  <c:v>1678.5</c:v>
                </c:pt>
                <c:pt idx="18">
                  <c:v>1619.5</c:v>
                </c:pt>
                <c:pt idx="19">
                  <c:v>1628.5</c:v>
                </c:pt>
                <c:pt idx="20">
                  <c:v>1459</c:v>
                </c:pt>
                <c:pt idx="21">
                  <c:v>1433.5</c:v>
                </c:pt>
                <c:pt idx="22">
                  <c:v>1463.5</c:v>
                </c:pt>
                <c:pt idx="23">
                  <c:v>1410.5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289-4DCF-B882-877A22CF008F}"/>
            </c:ext>
          </c:extLst>
        </c:ser>
        <c:ser>
          <c:idx val="5"/>
          <c:order val="2"/>
          <c:tx>
            <c:strRef>
              <c:f>'Avg Week Nateete-Ndeeba-2Dir'!$AC$9</c:f>
              <c:strCache>
                <c:ptCount val="1"/>
                <c:pt idx="0">
                  <c:v>11. Motorcycles</c:v>
                </c:pt>
              </c:strCache>
            </c:strRef>
          </c:tx>
          <c:cat>
            <c:strRef>
              <c:f>'Avg Week Nateete-Ndeeba-2Dir'!$R$10:$R$33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Nateete-Ndeeba-2Dir'!$AC$10:$AC$33</c:f>
              <c:numCache>
                <c:formatCode>0</c:formatCode>
                <c:ptCount val="24"/>
                <c:pt idx="0">
                  <c:v>1153.4285714285716</c:v>
                </c:pt>
                <c:pt idx="1">
                  <c:v>1600.5714285714284</c:v>
                </c:pt>
                <c:pt idx="2">
                  <c:v>1593.7142857142858</c:v>
                </c:pt>
                <c:pt idx="3">
                  <c:v>1457</c:v>
                </c:pt>
                <c:pt idx="4">
                  <c:v>1500.5714285714284</c:v>
                </c:pt>
                <c:pt idx="5">
                  <c:v>1384.8571428571427</c:v>
                </c:pt>
                <c:pt idx="6">
                  <c:v>1331.7142857142858</c:v>
                </c:pt>
                <c:pt idx="7">
                  <c:v>1233.2857142857142</c:v>
                </c:pt>
                <c:pt idx="8">
                  <c:v>1123.1428571428573</c:v>
                </c:pt>
                <c:pt idx="9">
                  <c:v>1186</c:v>
                </c:pt>
                <c:pt idx="10">
                  <c:v>1347.1428571428571</c:v>
                </c:pt>
                <c:pt idx="11">
                  <c:v>1236.1428571428571</c:v>
                </c:pt>
                <c:pt idx="12">
                  <c:v>1000.5</c:v>
                </c:pt>
                <c:pt idx="13">
                  <c:v>1013</c:v>
                </c:pt>
                <c:pt idx="14">
                  <c:v>778</c:v>
                </c:pt>
                <c:pt idx="15">
                  <c:v>546</c:v>
                </c:pt>
                <c:pt idx="16">
                  <c:v>857</c:v>
                </c:pt>
                <c:pt idx="17">
                  <c:v>790.5</c:v>
                </c:pt>
                <c:pt idx="18">
                  <c:v>464</c:v>
                </c:pt>
                <c:pt idx="19">
                  <c:v>495</c:v>
                </c:pt>
                <c:pt idx="20">
                  <c:v>398</c:v>
                </c:pt>
                <c:pt idx="21">
                  <c:v>283</c:v>
                </c:pt>
                <c:pt idx="22">
                  <c:v>445.5</c:v>
                </c:pt>
                <c:pt idx="23">
                  <c:v>831.5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0DC-4269-83A4-9C67FBDC44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9084656"/>
        <c:axId val="424048496"/>
      </c:lineChart>
      <c:catAx>
        <c:axId val="41908465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24048496"/>
        <c:crosses val="autoZero"/>
        <c:auto val="1"/>
        <c:lblAlgn val="ctr"/>
        <c:lblOffset val="100"/>
        <c:noMultiLvlLbl val="0"/>
      </c:catAx>
      <c:valAx>
        <c:axId val="42404849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19084656"/>
        <c:crosses val="autoZero"/>
        <c:crossBetween val="between"/>
        <c:majorUnit val="2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Including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66"/>
      <c:depthPercent val="100"/>
      <c:rAngAx val="0"/>
      <c:perspective val="1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8.5862766740250188E-2"/>
          <c:y val="8.013560502587487E-2"/>
          <c:w val="0.82827446651949965"/>
          <c:h val="0.75902399207700977"/>
        </c:manualLayout>
      </c:layout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9B1-462A-9165-7345BB8109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9B1-462A-9165-7345BB8109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9B1-462A-9165-7345BB81096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9B1-462A-9165-7345BB81096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9B1-462A-9165-7345BB81096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9B1-462A-9165-7345BB81096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9B1-462A-9165-7345BB81096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9B1-462A-9165-7345BB81096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9B1-462A-9165-7345BB81096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9B1-462A-9165-7345BB81096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9B1-462A-9165-7345BB81096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9B1-462A-9165-7345BB81096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9B1-462A-9165-7345BB8109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Nateete-Ndeeba-2Dir'!$C$9:$N$9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Nateete-Ndeeba-2Dir'!$C$107:$N$107</c:f>
              <c:numCache>
                <c:formatCode>0.0%</c:formatCode>
                <c:ptCount val="12"/>
                <c:pt idx="0">
                  <c:v>0.1425776563063863</c:v>
                </c:pt>
                <c:pt idx="1">
                  <c:v>2.5090721910096911E-2</c:v>
                </c:pt>
                <c:pt idx="2">
                  <c:v>1.5008270760708481E-2</c:v>
                </c:pt>
                <c:pt idx="3">
                  <c:v>0.11509088677575886</c:v>
                </c:pt>
                <c:pt idx="4">
                  <c:v>2.7642475989148175E-3</c:v>
                </c:pt>
                <c:pt idx="5">
                  <c:v>2.7386018292761107E-3</c:v>
                </c:pt>
                <c:pt idx="6">
                  <c:v>3.2654392112826724E-2</c:v>
                </c:pt>
                <c:pt idx="7">
                  <c:v>3.3597790067393406E-2</c:v>
                </c:pt>
                <c:pt idx="8">
                  <c:v>7.9337020218025658E-3</c:v>
                </c:pt>
                <c:pt idx="9">
                  <c:v>4.5850972432629478E-3</c:v>
                </c:pt>
                <c:pt idx="10">
                  <c:v>0.61676976876674983</c:v>
                </c:pt>
                <c:pt idx="11">
                  <c:v>1.1888646068228736E-3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9B1-462A-9165-7345BB8109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Excluding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8.5621349354452078E-2"/>
          <c:y val="0.20025731425750379"/>
          <c:w val="0.83261086583830202"/>
          <c:h val="0.76871916342946045"/>
        </c:manualLayout>
      </c:layout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EAD-440A-938B-73199DDCAD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EAD-440A-938B-73199DDCAD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EAD-440A-938B-73199DDCAD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EAD-440A-938B-73199DDCAD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EAD-440A-938B-73199DDCAD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EAD-440A-938B-73199DDCAD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0EAD-440A-938B-73199DDCAD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0EAD-440A-938B-73199DDCAD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0EAD-440A-938B-73199DDCAD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0EAD-440A-938B-73199DDCAD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0EAD-440A-938B-73199DDCAD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0EAD-440A-938B-73199DDCAD0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EAD-440A-938B-73199DDCAD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Nateete-Ndeeba-2Dir'!$C$9:$N$9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Nateete-Ndeeba-2Dir'!$C$108:$N$108</c:f>
              <c:numCache>
                <c:formatCode>0.00%</c:formatCode>
                <c:ptCount val="12"/>
                <c:pt idx="0">
                  <c:v>0.37204177720417764</c:v>
                </c:pt>
                <c:pt idx="1">
                  <c:v>6.5471666547166629E-2</c:v>
                </c:pt>
                <c:pt idx="2">
                  <c:v>3.9162543916254393E-2</c:v>
                </c:pt>
                <c:pt idx="3">
                  <c:v>0.300317870031787</c:v>
                </c:pt>
                <c:pt idx="4">
                  <c:v>7.2130207213020724E-3</c:v>
                </c:pt>
                <c:pt idx="5">
                  <c:v>7.1461007146100698E-3</c:v>
                </c:pt>
                <c:pt idx="6">
                  <c:v>8.5208288520828832E-2</c:v>
                </c:pt>
                <c:pt idx="7">
                  <c:v>8.7669988766998858E-2</c:v>
                </c:pt>
                <c:pt idx="8">
                  <c:v>2.0702182070218206E-2</c:v>
                </c:pt>
                <c:pt idx="9">
                  <c:v>1.1964341196434121E-2</c:v>
                </c:pt>
                <c:pt idx="11">
                  <c:v>3.1022203102220309E-3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EAD-440A-938B-73199DDCAD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Daily Traffic (ADT)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Week Nateete-Ndeeba-2Dir'!$S$9:$AF$9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'Avg Week Nateete-Ndeeba-2Dir'!$S$41:$AF$41</c:f>
              <c:numCache>
                <c:formatCode>_(* #,##0_);_(* \(#,##0\);_(* "-"_);_(@_)</c:formatCode>
                <c:ptCount val="14"/>
                <c:pt idx="0">
                  <c:v>5559.5</c:v>
                </c:pt>
                <c:pt idx="1">
                  <c:v>978.35714285714278</c:v>
                </c:pt>
                <c:pt idx="2">
                  <c:v>585.21428571428567</c:v>
                </c:pt>
                <c:pt idx="3">
                  <c:v>4487.7142857142862</c:v>
                </c:pt>
                <c:pt idx="4">
                  <c:v>107.78571428571428</c:v>
                </c:pt>
                <c:pt idx="5">
                  <c:v>106.78571428571429</c:v>
                </c:pt>
                <c:pt idx="6">
                  <c:v>1273.2857142857142</c:v>
                </c:pt>
                <c:pt idx="7">
                  <c:v>1310.0714285714284</c:v>
                </c:pt>
                <c:pt idx="8">
                  <c:v>309.35714285714283</c:v>
                </c:pt>
                <c:pt idx="9">
                  <c:v>178.78571428571428</c:v>
                </c:pt>
                <c:pt idx="10">
                  <c:v>24049.571428571428</c:v>
                </c:pt>
                <c:pt idx="11">
                  <c:v>46.357142857142854</c:v>
                </c:pt>
                <c:pt idx="12">
                  <c:v>16738.357142857145</c:v>
                </c:pt>
                <c:pt idx="13">
                  <c:v>44712.428571428572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84-4A20-879A-D9A0A0F9050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424056656"/>
        <c:axId val="424057744"/>
      </c:barChart>
      <c:catAx>
        <c:axId val="424056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24057744"/>
        <c:crosses val="autoZero"/>
        <c:auto val="1"/>
        <c:lblAlgn val="ctr"/>
        <c:lblOffset val="100"/>
        <c:noMultiLvlLbl val="0"/>
      </c:catAx>
      <c:valAx>
        <c:axId val="424057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24056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Night Equivalent Factors (NEF)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Week Nateete-Ndeeba-2Dir'!$S$9:$AF$9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'Avg Week Nateete-Ndeeba-2Dir'!$S$42:$AF$42</c:f>
              <c:numCache>
                <c:formatCode>0.000</c:formatCode>
                <c:ptCount val="14"/>
                <c:pt idx="0">
                  <c:v>1.8263797634691197</c:v>
                </c:pt>
                <c:pt idx="1">
                  <c:v>1.4540339702760086</c:v>
                </c:pt>
                <c:pt idx="2">
                  <c:v>1.6734068627450982</c:v>
                </c:pt>
                <c:pt idx="3">
                  <c:v>1.5529958473403205</c:v>
                </c:pt>
                <c:pt idx="4">
                  <c:v>1.5784518828451883</c:v>
                </c:pt>
                <c:pt idx="5">
                  <c:v>3.5259433962264151</c:v>
                </c:pt>
                <c:pt idx="6">
                  <c:v>1.5063376711171199</c:v>
                </c:pt>
                <c:pt idx="7">
                  <c:v>1.6697924253459577</c:v>
                </c:pt>
                <c:pt idx="8">
                  <c:v>1.9597285067873305</c:v>
                </c:pt>
                <c:pt idx="9">
                  <c:v>2.5436991869918697</c:v>
                </c:pt>
                <c:pt idx="10">
                  <c:v>1.4893615138941725</c:v>
                </c:pt>
                <c:pt idx="11">
                  <c:v>54.083333333333343</c:v>
                </c:pt>
                <c:pt idx="12">
                  <c:v>1.8778206936342074</c:v>
                </c:pt>
                <c:pt idx="13">
                  <c:v>1.7841234915549882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84-4A20-879A-D9A0A0F9050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424046864"/>
        <c:axId val="424044688"/>
      </c:barChart>
      <c:catAx>
        <c:axId val="424046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24044688"/>
        <c:crosses val="autoZero"/>
        <c:auto val="1"/>
        <c:lblAlgn val="ctr"/>
        <c:lblOffset val="100"/>
        <c:noMultiLvlLbl val="0"/>
      </c:catAx>
      <c:valAx>
        <c:axId val="424044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24046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1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3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7.xml"/><Relationship Id="rId1" Type="http://schemas.openxmlformats.org/officeDocument/2006/relationships/chart" Target="../charts/chart4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6.xml"/><Relationship Id="rId10" Type="http://schemas.openxmlformats.org/officeDocument/2006/relationships/image" Target="../media/image13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11.xml"/><Relationship Id="rId1" Type="http://schemas.openxmlformats.org/officeDocument/2006/relationships/chart" Target="../charts/chart8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10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5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15.xml"/><Relationship Id="rId1" Type="http://schemas.openxmlformats.org/officeDocument/2006/relationships/chart" Target="../charts/chart12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14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13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19.xml"/><Relationship Id="rId1" Type="http://schemas.openxmlformats.org/officeDocument/2006/relationships/chart" Target="../charts/chart16.xml"/><Relationship Id="rId6" Type="http://schemas.openxmlformats.org/officeDocument/2006/relationships/image" Target="../media/image5.emf"/><Relationship Id="rId11" Type="http://schemas.openxmlformats.org/officeDocument/2006/relationships/image" Target="../media/image16.jpeg"/><Relationship Id="rId5" Type="http://schemas.openxmlformats.org/officeDocument/2006/relationships/image" Target="../media/image4.emf"/><Relationship Id="rId15" Type="http://schemas.openxmlformats.org/officeDocument/2006/relationships/chart" Target="../charts/chart18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17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20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22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1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26.xml"/><Relationship Id="rId1" Type="http://schemas.openxmlformats.org/officeDocument/2006/relationships/chart" Target="../charts/chart23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25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4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30.xml"/><Relationship Id="rId1" Type="http://schemas.openxmlformats.org/officeDocument/2006/relationships/chart" Target="../charts/chart27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29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8.xml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5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31.xml"/><Relationship Id="rId6" Type="http://schemas.openxmlformats.org/officeDocument/2006/relationships/image" Target="../media/image5.emf"/><Relationship Id="rId11" Type="http://schemas.openxmlformats.org/officeDocument/2006/relationships/image" Target="../media/image16.jpeg"/><Relationship Id="rId5" Type="http://schemas.openxmlformats.org/officeDocument/2006/relationships/image" Target="../media/image4.emf"/><Relationship Id="rId15" Type="http://schemas.openxmlformats.org/officeDocument/2006/relationships/chart" Target="../charts/chart33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2.xml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34.xml"/><Relationship Id="rId6" Type="http://schemas.openxmlformats.org/officeDocument/2006/relationships/image" Target="../media/image5.emf"/><Relationship Id="rId11" Type="http://schemas.openxmlformats.org/officeDocument/2006/relationships/image" Target="../media/image17.jpeg"/><Relationship Id="rId5" Type="http://schemas.openxmlformats.org/officeDocument/2006/relationships/image" Target="../media/image4.emf"/><Relationship Id="rId15" Type="http://schemas.openxmlformats.org/officeDocument/2006/relationships/chart" Target="../charts/chart36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5.xml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37.xml"/><Relationship Id="rId6" Type="http://schemas.openxmlformats.org/officeDocument/2006/relationships/image" Target="../media/image5.emf"/><Relationship Id="rId11" Type="http://schemas.openxmlformats.org/officeDocument/2006/relationships/image" Target="../media/image17.jpeg"/><Relationship Id="rId5" Type="http://schemas.openxmlformats.org/officeDocument/2006/relationships/image" Target="../media/image4.emf"/><Relationship Id="rId15" Type="http://schemas.openxmlformats.org/officeDocument/2006/relationships/chart" Target="../charts/chart39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8.xml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40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42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1.xml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46.xml"/><Relationship Id="rId1" Type="http://schemas.openxmlformats.org/officeDocument/2006/relationships/chart" Target="../charts/chart43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45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4.xml"/></Relationships>
</file>

<file path=xl/drawings/_rels/drawing14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50.xml"/><Relationship Id="rId1" Type="http://schemas.openxmlformats.org/officeDocument/2006/relationships/chart" Target="../charts/chart47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49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8.xml"/></Relationships>
</file>

<file path=xl/drawings/_rels/drawing15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51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53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2.xml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54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56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5.xml"/></Relationships>
</file>

<file path=xl/drawings/_rels/drawing17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chart" Target="../charts/chart57.xml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5.jpeg"/><Relationship Id="rId17" Type="http://schemas.openxmlformats.org/officeDocument/2006/relationships/chart" Target="../charts/chart61.xml"/><Relationship Id="rId2" Type="http://schemas.openxmlformats.org/officeDocument/2006/relationships/image" Target="../media/image2.emf"/><Relationship Id="rId16" Type="http://schemas.openxmlformats.org/officeDocument/2006/relationships/chart" Target="../charts/chart60.xml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jpeg"/><Relationship Id="rId5" Type="http://schemas.openxmlformats.org/officeDocument/2006/relationships/image" Target="../media/image5.emf"/><Relationship Id="rId15" Type="http://schemas.openxmlformats.org/officeDocument/2006/relationships/chart" Target="../charts/chart59.xml"/><Relationship Id="rId10" Type="http://schemas.openxmlformats.org/officeDocument/2006/relationships/image" Target="../media/image14.jpeg"/><Relationship Id="rId4" Type="http://schemas.openxmlformats.org/officeDocument/2006/relationships/image" Target="../media/image4.emf"/><Relationship Id="rId9" Type="http://schemas.openxmlformats.org/officeDocument/2006/relationships/image" Target="../media/image9.jpeg"/><Relationship Id="rId14" Type="http://schemas.openxmlformats.org/officeDocument/2006/relationships/chart" Target="../charts/chart5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1CFC8F-8205-41F9-9B66-3FB509C1B3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9668C2-2D94-4C8C-96DE-2CD1278FFA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33500" y="1673906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C5BC59C-7E3C-4E1F-91A2-6F538DE49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117311" y="1670737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B6741EE-101A-4A6F-997F-922F9E44B8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025475" y="1687514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1DAA80F-C131-44FF-BDF1-CA9E99769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627613" y="1691935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7F46918-8C1C-4569-909D-FD12E8C59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469001" y="1736837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F735D66-9CA4-4254-B9CE-F7C19D9AC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170720" y="1702028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F74CF17-906F-46A6-B2D3-E4FB5B997C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042565" y="1674812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A836CBE-E43B-4747-B456-ED2BC6AB95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510155" y="1646689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3D52FEC-A071-4566-B75B-A8B46F3354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4861479" y="1693368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522811C-AE7E-45C3-999C-EFC5CE53D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797259" y="1646690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3FAFA0F-5253-46F9-B5E5-09FCA768E3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163548" y="1666875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5E2D3460-AF99-4CF8-B315-BC15BD18C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237448" y="1615168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7CCF053B-5EE4-4D1D-9765-55AB84E67D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D8383C4-2A7E-4FD9-8219-0A81ADCB04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2C0347-031E-41BF-9698-B9D2F9703D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4A14BA3-34AF-404D-9061-B4634F44D4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BFC2162-A6BC-4391-9A69-3D8C5544F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E3FA3AE-9984-4154-B374-4610ED1E6D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2528374-C385-4D0B-BC3C-A1B06CB69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3FE29D3-8F89-4F3F-84DA-37414C1B5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2C67768-AB9B-43C5-9CF9-EED2366D9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F28159B-FC13-4FCA-ADF6-4FEC6C3824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30E89F1-CD3B-4869-AE97-8EFA49009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16B891E8-B6FF-4446-BB0E-8326D5C83C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3A3F91A-FB1F-4FA7-8EC9-86727745CB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C9AAF4C-3770-465C-8BD4-005CF82346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95FF5EB-DAD7-4CB9-A84F-7E6DCE4CA1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C3A10EFF-54D3-42C6-A641-4F2C5D8BB0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2897E610-198F-4797-B1DD-819E571F08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8581BB7-4A56-4ADF-96B2-6F63A98F5A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D83B4B-FDF8-4F87-8F75-60637E0F59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F2E341C-99E0-4E94-B000-EF651B159E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357BF90-5E78-4CE9-8F6D-17919CF931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2510501-ECDE-4C26-91A3-A96646FDA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27C0573-D332-492A-A3A7-3FE018587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F8BE280-8189-4E91-A8F8-A2BBBB1D1F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908D9BF-8405-4431-A904-8C08188A36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D73E152-1E1E-4B07-9426-D9D662F02C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F81ADE5-C017-481D-AC00-CAB3F2681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A66D135-723A-4789-B7B4-ECA20A0FFC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A303E91-D188-4198-9869-D6544838D9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B3035FD1-0A58-44C6-B7CB-2E208566C2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414DE2D-8B57-4FC6-B505-2EE9020AA5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B1441D28-4BFD-464B-AA5C-64C94D1712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4812AF20-09AA-4DDA-9975-7AE7B3E294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2C644DC-E669-4020-AC88-491A3FEAB6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E50EFE-1DE0-4F36-B48C-A69FF36114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5EBDA1F-EC34-4EA9-976D-6289DE0FB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8A6D516-6369-4DF7-976B-FBD3A1EF04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2BF08E9-0317-45DF-9764-5E2AFD153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8647EFF-C4C1-44C3-AC8E-F40BB82E12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484C3A2-0AA3-4E8E-A647-EBD805BB49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2C3E48D-2F03-4F5E-8402-482EEA7BC3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7F25959-7B9A-4DD0-8D16-556A4E809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A704E06-1314-4D2D-8CBA-81BD622C6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F8145C8-FE4D-4244-A206-AA0C05319B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79485777-7D50-46B6-965E-65B58F2D5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656E12E-5B01-4152-825E-79993A11E0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957C12B-D8EF-4055-B4D0-7E0011F8E1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F5C02A8-A5EC-4B9F-85CB-E1BEE4C52D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6B69222-0397-44E0-9C74-708D4A6DBD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2A5628F-C824-44D7-A41E-75796BEF00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61C7AC-8404-4FB2-9E2A-96A3009AB2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685E319-E1D8-4517-B949-556C3CE302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BB457DF-B5A1-410D-9BB1-A95BB7E5D9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30BB277-1955-4EDC-9A5C-BC7DCD1244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E017E93-72EF-48E2-831E-CD7D7EEB4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DFF92E4-C563-4536-987C-D24D1C746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9BCA9A5-16A1-413D-8FBC-CB7CC854FD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408C7D7-F161-4A8D-ACEC-EB041736E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97CD0D3-73F8-42EC-85C5-3E1C385FA7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FD549FA-B008-417E-BF85-75D96392B8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0D5A0C7D-7BAB-4935-8EE1-FEC5A375CD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1C839DE-231F-4ACD-86F3-F59FB50EF0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2D641106-2317-4F80-87C7-C13B5FB048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4D0AED3-3098-4D8D-B25D-9F5581AA5D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3CB3AE0-43BD-4850-9667-0DE1DC5258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EA84219-10C6-4B19-97B2-1D4D595AB4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B00FFE-DD09-45A9-B33F-4C450DB096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173AE11-444F-4EC3-B71E-F539F0647A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FD4C580-EC77-4048-AC2B-2BD67560D2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9518047-B158-4835-92F8-EAC36AEE48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97311B7-08BF-42A8-ACEC-0D016FD3D5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A0F041C-2D0D-4BAC-ACDD-966BB38494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FD4D835-662A-4596-8863-F9E128B03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DCEF17B-C14E-47EA-AF5C-30EE46F71D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CA8A7C0-DB2A-4BCE-8988-68C272C05D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10A3017-8013-4BF0-B56E-544ABCD02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A2E5C341-0FBD-4FBD-A30D-34D809452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1FAE38C-A41A-46F2-AA04-7F38CF91F9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486FF56-DA39-420A-9E58-7B3F931CC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313355F-B328-417E-8CC5-FCD157B1FE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F5BCD592-340E-492C-96BD-36C9FC5425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078940-D67E-4802-9FBB-4F55C4BD16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0530FB7-75AB-4825-A797-D7AA75235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35A41DF-59D0-4AD7-92C6-E962F44A8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CCC58F1-3EDC-423C-B2A6-04BAD9A48C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DBBFF5B-347F-438A-8A35-2E65D31C3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A571D3F-AFC5-4A01-A84E-8CEB978B6B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6F93436-8CDE-45F1-868D-1F76FB4087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F520AE7-EC71-4888-B58B-81185D165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92A2E0E-4AE9-4466-BC9C-5763893482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090FDE7-E4CB-4E22-B076-5707B6D0E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4AD34A0-4ABD-4539-AB95-A0B25A4F5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73990A3-EB40-4A65-9507-E2A0F49D17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E3078063-06B0-4C57-8381-301B07C378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4096C3F-CC05-4533-A944-12E0A90C97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A82EA7F7-7ED0-4466-A41A-9E4F7CA51E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D05ED10C-2476-4BCE-8984-47C0B6FAA0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FDDE2E-EA38-4B4D-8F37-64E25CE883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A60D40-9565-4BE5-885C-69774B7BDB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8DA518A-CF2C-4098-A02A-1FEED12B5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D7427E8-FCCB-4B05-902E-94004146B6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457C5FA-4230-45D3-9BEA-5E77FB0BF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0933819-0678-4844-93F6-365B817E19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2CCF32F-F899-4E8E-B169-C557ED0E3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923289F-04AC-42EC-BEB0-F19B76801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C56928B-5F6F-4CA9-95A8-F399437D4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FF91CBE-F1A9-4733-8633-AD10A781A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C6E00A70-5769-4FF4-BE23-24F31F7307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6B68D07-B3D3-4201-B269-156425BE3D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C49B6ACB-2E8A-4F79-8D8F-272D6FB94C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1D804CD-FF7D-4398-800E-A1697F34FD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124A468D-B7E9-45D8-994D-4AB3845E96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B99EDFE-EFBB-4B74-9F4F-C15AA0D8AF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A5A00-3F3E-4DBA-AD14-690787A24F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95E51A4-0F43-47FB-BCAE-F51F8BAACF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630DFB9-D4D4-4CDE-A91B-F1DC72499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932A2E4-E7EE-409F-AC15-01426DB593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FE05EDC-131A-4C10-9500-FACF491A9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5C7BC54-4C0E-49B3-A8E3-B116B62A4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51489E6-558E-4134-87C8-4C1F569F6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9A18647-F6CB-4D27-8E90-6AF05A1712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90289A6-A003-456F-90CE-D799661B1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0214C5D-5BBD-405E-BE0F-3B23F9C84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2887784-3C03-4F6B-9C5B-394BAA31B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BBA41DC-5511-41C0-B5A4-3930BD242F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A733BC1-F32D-4BE4-972B-658A1C0D2B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30AC53BB-20A6-473E-8FE0-88E6F885D6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09E55AF-4406-4A38-AA5A-2F1F9B7080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E5B84F-E7F9-4888-8364-5155D46635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B9F8FE3-434C-498C-B69C-5D6653FA2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92E213C-AC12-4AB2-8177-5988196C59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6E9F966-108A-437A-BA82-30567CD84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33210A5-3608-4FA6-A870-15F7A148EC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D2E9C6A-86FC-43C8-ACC5-4E8F1D7C16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3849C80-1C79-4E58-BCA0-DADFCCC7D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1F0B3A3-2D65-4925-A130-ACE32C169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5C815D1-3DC3-49D4-8EC4-F0F9844C71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7392CC8-C478-4740-9F98-E794DD0671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394D704-B477-44ED-9B81-731CE82146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99B64C7-FCB5-4657-9490-6332A3AC50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180EDBA-E56F-4F40-8629-7FA88E9F3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41715DD5-608D-41A8-9BD9-0CBABB14A2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418EF71-2456-4AC3-8C28-8D9EEDDA71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000981-BCC2-455D-92B1-84DD7DCCBD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067BD92-CB62-48CA-9DD0-D7D774A437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9B28062-6AFE-4011-AC68-49C6148E7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6BBE398-A56C-48CA-BFC1-610BFA1F68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16943D-B516-40D0-9F97-98CDF8795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3D749C9-5906-4CCA-B152-603DD1B861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11ACD35-E8D5-49D7-8A70-A0EE7F2387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3A3C7FF-69D9-458C-90FE-961D7820FC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6C6BECF-838E-467B-9866-1751A3FA86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8C437B6-5E45-41B7-A976-1F2FE4714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4B44EA52-C439-4105-8E19-92FF5E0EE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92DAE31-610C-4B7C-92D5-87E8242420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BC5A4F1F-083B-416F-92CC-4CB874426E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8D37E80-8382-43D6-89E4-90052E5CA7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B672CC8-D710-48E5-AB41-49A38A9B5F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90FA51-49AF-4CA3-893F-A6307CD377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387249-FF27-4F30-987E-FC22E7B52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A32569C-9E75-463F-ACBE-CF56B22E1B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92D3384-2668-4564-822A-662D7C8E5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13CE831-D300-49E1-8F9A-D08884AEE1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9E34F9B-964E-4D0D-A88C-FC65CFB865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D160651-F549-4C3F-909F-ED55905A27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F2A909-B6DE-424E-A030-5AE73C58F1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73ED4A3-7329-4B47-96A7-1D4BAF08AB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8E7A2BB-1E98-4723-BFA1-4F9AE59328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8646930-FD6D-4C3B-BCD4-B71CD4928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E787FB74-CC8A-46EC-9323-5806E88426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A5AD1D5-6AEB-4429-B00D-A6CE4C8EDD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F200170-D06E-4657-AE7F-2C965A096B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7BEA8A8-6B06-44C3-9B82-A3448FA4E5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769D03-56A4-48BA-B708-B148277AB3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B164D1-D3A6-4F49-9915-40FB592F1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CE22DE1-2830-460C-AD37-672B9EDF9D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4B4FF9F-7500-457A-A8E0-459FE0B6B5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0ABC7C4-EBC7-43FB-81F4-8FD3DD6945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1605433-CB66-4379-9010-6F98A56B22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9160004-F210-483C-B162-76455BE52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1BE1DF2-A9D8-4961-907D-55040170A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B691F47-86A4-4229-906C-ECE96BF798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DDFCDC9-1F96-4F74-B537-4F2AFC05E9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D5EF5D29-A47E-4AF8-85B3-1374B4F6A7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CABD53E-2D47-4AB7-9914-01C65DBFFA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0D1C830-FF5D-4624-ABBF-4B163D9A5D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FCDC906-6885-45D8-83E7-FFBB67A632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E1C5C6E-100B-42E3-92B6-502B45D5AB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A8EE9ABE-75B0-4BCE-B434-CB5CBADB77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4D07F7-A505-4739-B386-7B6D7DD089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0BBC979-15AA-4A11-9224-18E0E7CF6E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1B8E3D4-7E5F-418C-BBAF-8F5F6270B8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D05A13E-1128-4A13-B522-6EF66121E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07A79A5-DE2C-43B6-93E8-029BEE79CC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335A27C-6117-4ADE-BAD3-8B5E13539C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099A6C3-B976-4FB8-8A58-5E45F6D0F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EA27B75-11E2-47C3-92D0-E1274591C9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DE68A34-6B83-4CE1-B89D-93C3D05F7C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A6CD2C4-2193-49F0-A361-74A7AAA290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9D090DF-78EB-40DF-8A6D-54E8002AB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CC2D505-B814-4153-9006-3734F6912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849053B-C2A2-4B10-B63A-9FD0112A14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75497C2-F34C-49E6-A4E9-41E13AD164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44922A7-8790-46BB-B71A-6BD4B4C9DF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F0904D3-4B8A-474B-86E5-F1190B2850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4085</xdr:colOff>
      <xdr:row>43</xdr:row>
      <xdr:rowOff>6349</xdr:rowOff>
    </xdr:from>
    <xdr:to>
      <xdr:col>27</xdr:col>
      <xdr:colOff>714374</xdr:colOff>
      <xdr:row>58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6C45E2-77C7-4510-884F-FEF0715DDB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9AEE80-7130-4FE5-8DCD-05DF10B8C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3E1E659-91F2-4594-978C-33DD6417A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2B73A80-E2E3-4174-B73D-D61B63E600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E46CF73-4595-47F7-B47F-2B24A9AA94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7AF59A5-69EA-4554-923B-279A64D6C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00AE0E0-9A4F-45E2-BBB2-010A32C6E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7AD0C11-87DE-4860-AEB0-7F2EB944A6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B53AA64-9B63-48C4-86C6-C93F947459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A31503D-49F8-4886-9D79-D1CF77831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D89B662C-1BD4-43B0-ACB7-D5C2088AE0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2C04AF1-D698-4B62-BF42-BE1F9D58F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06F0358-DE0D-42DF-9D85-A89ACE8339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25</xdr:col>
      <xdr:colOff>1</xdr:colOff>
      <xdr:row>58</xdr:row>
      <xdr:rowOff>279400</xdr:rowOff>
    </xdr:from>
    <xdr:to>
      <xdr:col>31</xdr:col>
      <xdr:colOff>539751</xdr:colOff>
      <xdr:row>74</xdr:row>
      <xdr:rowOff>285749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72B518F-3318-457A-AD2F-F257EB81D5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0</xdr:colOff>
      <xdr:row>59</xdr:row>
      <xdr:rowOff>1</xdr:rowOff>
    </xdr:from>
    <xdr:to>
      <xdr:col>24</xdr:col>
      <xdr:colOff>0</xdr:colOff>
      <xdr:row>75</xdr:row>
      <xdr:rowOff>15875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F07B1E9E-4942-4AD4-98C8-E1AF836600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4085</xdr:colOff>
      <xdr:row>43</xdr:row>
      <xdr:rowOff>6349</xdr:rowOff>
    </xdr:from>
    <xdr:to>
      <xdr:col>27</xdr:col>
      <xdr:colOff>714374</xdr:colOff>
      <xdr:row>58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B270C2-815D-4851-AC3C-4EA46B2C64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A68EABE-F73F-486D-BB3C-5805225122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9A39479-5D94-439F-AAAE-4B1288B89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A639D45-A3C5-49D6-8FD7-337DBA870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32685D6-892C-43F5-AFA8-62F9167E79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B110D7-9219-4421-AE6E-5DABBB7FCC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C9CC16-C5B8-4879-9435-5E3796BA4A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9D0DABC-8D47-4952-A548-79AF3DF1FA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F999087-E9AB-4F93-B9EF-BE24ADD193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963AAD9-4121-45A3-93F6-094DAF14FE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B7D99CA-796E-4A36-B9D3-FD180F1A83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C936931-6EFD-4A74-AEA9-47EEB365E2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200DC7B-A120-4F30-A5FF-185ED29C03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25</xdr:col>
      <xdr:colOff>1</xdr:colOff>
      <xdr:row>58</xdr:row>
      <xdr:rowOff>279400</xdr:rowOff>
    </xdr:from>
    <xdr:to>
      <xdr:col>31</xdr:col>
      <xdr:colOff>539751</xdr:colOff>
      <xdr:row>74</xdr:row>
      <xdr:rowOff>285749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7033F9A-A642-43E1-B688-5FBA3AD22A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0</xdr:colOff>
      <xdr:row>58</xdr:row>
      <xdr:rowOff>285749</xdr:rowOff>
    </xdr:from>
    <xdr:to>
      <xdr:col>24</xdr:col>
      <xdr:colOff>0</xdr:colOff>
      <xdr:row>74</xdr:row>
      <xdr:rowOff>269874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288892E-53EA-4DAD-967C-F738DF767C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092412C-BA1C-4D34-B971-DE0C21045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13F6493-22B5-43D3-89E3-9CBBD5F67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6A6F653-AFF5-4987-B236-C85A1CE13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B621B9F-62A3-4E5A-AFD4-DC12703D4B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AE15982-C002-4BDF-96C3-22A45DA5C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3C3AB7B-75D5-418A-958E-EACBF65A12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0CF7CE4-A85A-4C22-9DC3-5893508098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90AC934-2ABE-477D-8A15-38EFC09415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E53BA24-BE44-430F-9803-6A8B6CB29F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11BA8E67-A1DD-42EA-85BC-CB4649F50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AA7FF40-C1FE-4D4D-88B0-F8E6F92136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165D294B-6A53-4A12-9BC4-B2A9462DB2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16</xdr:col>
      <xdr:colOff>156488</xdr:colOff>
      <xdr:row>43</xdr:row>
      <xdr:rowOff>0</xdr:rowOff>
    </xdr:from>
    <xdr:to>
      <xdr:col>28</xdr:col>
      <xdr:colOff>1</xdr:colOff>
      <xdr:row>60</xdr:row>
      <xdr:rowOff>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1F3C755B-FA06-4641-8226-864954F6E9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17</xdr:col>
      <xdr:colOff>0</xdr:colOff>
      <xdr:row>76</xdr:row>
      <xdr:rowOff>3178</xdr:rowOff>
    </xdr:from>
    <xdr:to>
      <xdr:col>25</xdr:col>
      <xdr:colOff>10600</xdr:colOff>
      <xdr:row>92</xdr:row>
      <xdr:rowOff>15875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9829EB85-A50A-4379-94F7-6C2E31DC19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6351</xdr:colOff>
      <xdr:row>59</xdr:row>
      <xdr:rowOff>282579</xdr:rowOff>
    </xdr:from>
    <xdr:to>
      <xdr:col>25</xdr:col>
      <xdr:colOff>0</xdr:colOff>
      <xdr:row>75</xdr:row>
      <xdr:rowOff>279403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603DD9D7-E468-486E-B0CF-46B1770E47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25</xdr:col>
      <xdr:colOff>1</xdr:colOff>
      <xdr:row>59</xdr:row>
      <xdr:rowOff>280990</xdr:rowOff>
    </xdr:from>
    <xdr:to>
      <xdr:col>32</xdr:col>
      <xdr:colOff>492125</xdr:colOff>
      <xdr:row>75</xdr:row>
      <xdr:rowOff>279403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23627A04-1E0E-4C3A-8B25-FA92ABCB63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24</xdr:col>
      <xdr:colOff>708026</xdr:colOff>
      <xdr:row>75</xdr:row>
      <xdr:rowOff>280990</xdr:rowOff>
    </xdr:from>
    <xdr:to>
      <xdr:col>32</xdr:col>
      <xdr:colOff>460375</xdr:colOff>
      <xdr:row>92</xdr:row>
      <xdr:rowOff>9528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7CD2BF54-C297-4A9B-8975-0C4CE3D1A6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K5" activeCellId="8" sqref="K5:L5 D6:E6 D6:E6 D5 C3:G3 G6:H6 G5:H5 K6:L6 K5:L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1" width="11" customWidth="1"/>
    <col min="12" max="12" width="14" bestFit="1" customWidth="1"/>
    <col min="13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8" t="s">
        <v>23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</row>
    <row r="2" spans="2:32" ht="20.100000000000001" customHeight="1" x14ac:dyDescent="0.25">
      <c r="B2" s="59" t="s">
        <v>95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</row>
    <row r="3" spans="2:32" ht="20.100000000000001" customHeight="1" x14ac:dyDescent="0.25">
      <c r="B3" s="21" t="s">
        <v>96</v>
      </c>
      <c r="C3" s="60" t="s">
        <v>171</v>
      </c>
      <c r="D3" s="60"/>
      <c r="E3" s="60"/>
      <c r="F3" s="60"/>
      <c r="G3" s="60"/>
      <c r="H3" s="21"/>
      <c r="I3" s="21"/>
      <c r="J3" s="21"/>
      <c r="K3" s="21"/>
      <c r="L3" s="21"/>
      <c r="M3" s="21"/>
      <c r="N3" s="21"/>
      <c r="O3" s="21"/>
      <c r="P3" s="21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51" t="s">
        <v>172</v>
      </c>
      <c r="E5" s="3"/>
      <c r="F5" s="41" t="s">
        <v>1</v>
      </c>
      <c r="G5" s="55" t="s">
        <v>177</v>
      </c>
      <c r="H5" s="56"/>
      <c r="I5" s="14"/>
      <c r="J5" s="2" t="s">
        <v>5</v>
      </c>
      <c r="K5" s="55" t="s">
        <v>180</v>
      </c>
      <c r="L5" s="56"/>
      <c r="M5" s="10"/>
      <c r="N5" s="10"/>
      <c r="O5" s="3"/>
      <c r="P5" s="3"/>
    </row>
    <row r="6" spans="2:32" ht="23.25" customHeight="1" x14ac:dyDescent="0.25">
      <c r="C6" s="2" t="s">
        <v>4</v>
      </c>
      <c r="D6" s="55" t="s">
        <v>175</v>
      </c>
      <c r="E6" s="56"/>
      <c r="F6" s="2" t="s">
        <v>2</v>
      </c>
      <c r="G6" s="55" t="s">
        <v>176</v>
      </c>
      <c r="H6" s="56"/>
      <c r="J6" s="2" t="s">
        <v>21</v>
      </c>
      <c r="K6" s="55" t="s">
        <v>178</v>
      </c>
      <c r="L6" s="56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7" t="s">
        <v>88</v>
      </c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10</v>
      </c>
      <c r="D10" s="50">
        <v>2</v>
      </c>
      <c r="E10" s="50">
        <v>3</v>
      </c>
      <c r="F10" s="50">
        <v>10</v>
      </c>
      <c r="G10" s="50">
        <v>2</v>
      </c>
      <c r="H10" s="50">
        <v>5</v>
      </c>
      <c r="I10" s="50">
        <v>4</v>
      </c>
      <c r="J10" s="50">
        <v>5</v>
      </c>
      <c r="K10" s="50">
        <v>1</v>
      </c>
      <c r="L10" s="50">
        <v>0</v>
      </c>
      <c r="M10" s="50">
        <v>80</v>
      </c>
      <c r="N10" s="50">
        <v>0</v>
      </c>
      <c r="O10" s="15">
        <f t="shared" ref="O10:O57" si="0">SUM(C10:L10,N10)</f>
        <v>42</v>
      </c>
      <c r="P10" s="15">
        <f t="shared" ref="P10:P57" si="1">SUM(C10:N10)</f>
        <v>122</v>
      </c>
      <c r="R10" s="1" t="s">
        <v>6</v>
      </c>
      <c r="S10" s="17">
        <f t="shared" ref="S10:AF10" si="2">SUM(C10:C13)</f>
        <v>121</v>
      </c>
      <c r="T10" s="17">
        <f t="shared" si="2"/>
        <v>9</v>
      </c>
      <c r="U10" s="17">
        <f t="shared" si="2"/>
        <v>11</v>
      </c>
      <c r="V10" s="17">
        <f t="shared" si="2"/>
        <v>55</v>
      </c>
      <c r="W10" s="17">
        <f t="shared" si="2"/>
        <v>4</v>
      </c>
      <c r="X10" s="17">
        <f t="shared" si="2"/>
        <v>8</v>
      </c>
      <c r="Y10" s="17">
        <f t="shared" si="2"/>
        <v>40</v>
      </c>
      <c r="Z10" s="17">
        <f t="shared" si="2"/>
        <v>22</v>
      </c>
      <c r="AA10" s="17">
        <f t="shared" si="2"/>
        <v>3</v>
      </c>
      <c r="AB10" s="17">
        <f t="shared" si="2"/>
        <v>0</v>
      </c>
      <c r="AC10" s="17">
        <f t="shared" si="2"/>
        <v>715</v>
      </c>
      <c r="AD10" s="17">
        <f t="shared" si="2"/>
        <v>0</v>
      </c>
      <c r="AE10" s="31">
        <f t="shared" si="2"/>
        <v>273</v>
      </c>
      <c r="AF10" s="31">
        <f t="shared" si="2"/>
        <v>988</v>
      </c>
    </row>
    <row r="11" spans="2:32" s="6" customFormat="1" ht="23.1" customHeight="1" x14ac:dyDescent="0.25">
      <c r="B11" s="23" t="s">
        <v>38</v>
      </c>
      <c r="C11" s="50">
        <v>15</v>
      </c>
      <c r="D11" s="50">
        <v>4</v>
      </c>
      <c r="E11" s="50">
        <v>2</v>
      </c>
      <c r="F11" s="50">
        <v>7</v>
      </c>
      <c r="G11" s="50">
        <v>0</v>
      </c>
      <c r="H11" s="50">
        <v>2</v>
      </c>
      <c r="I11" s="50">
        <v>3</v>
      </c>
      <c r="J11" s="50">
        <v>2</v>
      </c>
      <c r="K11" s="50">
        <v>0</v>
      </c>
      <c r="L11" s="50">
        <v>0</v>
      </c>
      <c r="M11" s="50">
        <v>100</v>
      </c>
      <c r="N11" s="50">
        <v>0</v>
      </c>
      <c r="O11" s="15">
        <f t="shared" si="0"/>
        <v>35</v>
      </c>
      <c r="P11" s="15">
        <f t="shared" si="1"/>
        <v>135</v>
      </c>
      <c r="R11" s="1" t="s">
        <v>7</v>
      </c>
      <c r="S11" s="17">
        <f t="shared" ref="S11:AF11" si="3">SUM(C14:C17)</f>
        <v>211</v>
      </c>
      <c r="T11" s="17">
        <f t="shared" si="3"/>
        <v>29</v>
      </c>
      <c r="U11" s="17">
        <f t="shared" si="3"/>
        <v>15</v>
      </c>
      <c r="V11" s="17">
        <f t="shared" si="3"/>
        <v>130</v>
      </c>
      <c r="W11" s="17">
        <f t="shared" si="3"/>
        <v>4</v>
      </c>
      <c r="X11" s="17">
        <f t="shared" si="3"/>
        <v>0</v>
      </c>
      <c r="Y11" s="17">
        <f t="shared" si="3"/>
        <v>49</v>
      </c>
      <c r="Z11" s="17">
        <f t="shared" si="3"/>
        <v>30</v>
      </c>
      <c r="AA11" s="17">
        <f t="shared" si="3"/>
        <v>13</v>
      </c>
      <c r="AB11" s="17">
        <f t="shared" si="3"/>
        <v>1</v>
      </c>
      <c r="AC11" s="17">
        <f t="shared" si="3"/>
        <v>1281</v>
      </c>
      <c r="AD11" s="17">
        <f t="shared" si="3"/>
        <v>0</v>
      </c>
      <c r="AE11" s="31">
        <f t="shared" si="3"/>
        <v>482</v>
      </c>
      <c r="AF11" s="31">
        <f t="shared" si="3"/>
        <v>1763</v>
      </c>
    </row>
    <row r="12" spans="2:32" ht="23.1" customHeight="1" x14ac:dyDescent="0.25">
      <c r="B12" s="23" t="s">
        <v>39</v>
      </c>
      <c r="C12" s="50">
        <v>35</v>
      </c>
      <c r="D12" s="50">
        <v>1</v>
      </c>
      <c r="E12" s="50">
        <v>1</v>
      </c>
      <c r="F12" s="50">
        <v>7</v>
      </c>
      <c r="G12" s="50">
        <v>1</v>
      </c>
      <c r="H12" s="50">
        <v>1</v>
      </c>
      <c r="I12" s="50">
        <v>16</v>
      </c>
      <c r="J12" s="50">
        <v>3</v>
      </c>
      <c r="K12" s="50">
        <v>0</v>
      </c>
      <c r="L12" s="50">
        <v>0</v>
      </c>
      <c r="M12" s="50">
        <v>135</v>
      </c>
      <c r="N12" s="50">
        <v>0</v>
      </c>
      <c r="O12" s="15">
        <f t="shared" si="0"/>
        <v>65</v>
      </c>
      <c r="P12" s="15">
        <f t="shared" si="1"/>
        <v>200</v>
      </c>
      <c r="R12" s="1" t="s">
        <v>8</v>
      </c>
      <c r="S12" s="17">
        <f t="shared" ref="S12:AF12" si="4">SUM(C18:C21)</f>
        <v>154</v>
      </c>
      <c r="T12" s="17">
        <f t="shared" si="4"/>
        <v>28</v>
      </c>
      <c r="U12" s="17">
        <f t="shared" si="4"/>
        <v>17</v>
      </c>
      <c r="V12" s="17">
        <f t="shared" si="4"/>
        <v>152</v>
      </c>
      <c r="W12" s="17">
        <f t="shared" si="4"/>
        <v>1</v>
      </c>
      <c r="X12" s="17">
        <f t="shared" si="4"/>
        <v>0</v>
      </c>
      <c r="Y12" s="17">
        <f t="shared" si="4"/>
        <v>50</v>
      </c>
      <c r="Z12" s="17">
        <f t="shared" si="4"/>
        <v>56</v>
      </c>
      <c r="AA12" s="17">
        <f t="shared" si="4"/>
        <v>10</v>
      </c>
      <c r="AB12" s="17">
        <f t="shared" si="4"/>
        <v>1</v>
      </c>
      <c r="AC12" s="17">
        <f t="shared" si="4"/>
        <v>1059</v>
      </c>
      <c r="AD12" s="17">
        <f t="shared" si="4"/>
        <v>0</v>
      </c>
      <c r="AE12" s="31">
        <f t="shared" si="4"/>
        <v>469</v>
      </c>
      <c r="AF12" s="31">
        <f t="shared" si="4"/>
        <v>1528</v>
      </c>
    </row>
    <row r="13" spans="2:32" ht="23.1" customHeight="1" x14ac:dyDescent="0.25">
      <c r="B13" s="23" t="s">
        <v>40</v>
      </c>
      <c r="C13" s="50">
        <v>61</v>
      </c>
      <c r="D13" s="50">
        <v>2</v>
      </c>
      <c r="E13" s="50">
        <v>5</v>
      </c>
      <c r="F13" s="50">
        <v>31</v>
      </c>
      <c r="G13" s="50">
        <v>1</v>
      </c>
      <c r="H13" s="50">
        <v>0</v>
      </c>
      <c r="I13" s="50">
        <v>17</v>
      </c>
      <c r="J13" s="50">
        <v>12</v>
      </c>
      <c r="K13" s="50">
        <v>2</v>
      </c>
      <c r="L13" s="50">
        <v>0</v>
      </c>
      <c r="M13" s="50">
        <v>400</v>
      </c>
      <c r="N13" s="50">
        <v>0</v>
      </c>
      <c r="O13" s="15">
        <f t="shared" si="0"/>
        <v>131</v>
      </c>
      <c r="P13" s="15">
        <f t="shared" si="1"/>
        <v>531</v>
      </c>
      <c r="R13" s="1" t="s">
        <v>9</v>
      </c>
      <c r="S13" s="17">
        <f t="shared" ref="S13:AF13" si="5">SUM(C22:C25)</f>
        <v>199</v>
      </c>
      <c r="T13" s="17">
        <f t="shared" si="5"/>
        <v>25</v>
      </c>
      <c r="U13" s="17">
        <f t="shared" si="5"/>
        <v>17</v>
      </c>
      <c r="V13" s="17">
        <f t="shared" si="5"/>
        <v>136</v>
      </c>
      <c r="W13" s="17">
        <f t="shared" si="5"/>
        <v>0</v>
      </c>
      <c r="X13" s="17">
        <f t="shared" si="5"/>
        <v>0</v>
      </c>
      <c r="Y13" s="17">
        <f t="shared" si="5"/>
        <v>36</v>
      </c>
      <c r="Z13" s="17">
        <f t="shared" si="5"/>
        <v>41</v>
      </c>
      <c r="AA13" s="17">
        <f t="shared" si="5"/>
        <v>13</v>
      </c>
      <c r="AB13" s="17">
        <f t="shared" si="5"/>
        <v>1</v>
      </c>
      <c r="AC13" s="17">
        <f t="shared" si="5"/>
        <v>934</v>
      </c>
      <c r="AD13" s="17">
        <f t="shared" si="5"/>
        <v>1</v>
      </c>
      <c r="AE13" s="31">
        <f t="shared" si="5"/>
        <v>469</v>
      </c>
      <c r="AF13" s="31">
        <f t="shared" si="5"/>
        <v>1403</v>
      </c>
    </row>
    <row r="14" spans="2:32" ht="23.1" customHeight="1" x14ac:dyDescent="0.25">
      <c r="B14" s="23" t="s">
        <v>41</v>
      </c>
      <c r="C14" s="50">
        <v>48</v>
      </c>
      <c r="D14" s="50">
        <v>8</v>
      </c>
      <c r="E14" s="50">
        <v>3</v>
      </c>
      <c r="F14" s="50">
        <v>30</v>
      </c>
      <c r="G14" s="50">
        <v>1</v>
      </c>
      <c r="H14" s="50">
        <v>0</v>
      </c>
      <c r="I14" s="50">
        <v>5</v>
      </c>
      <c r="J14" s="50">
        <v>9</v>
      </c>
      <c r="K14" s="50">
        <v>1</v>
      </c>
      <c r="L14" s="50">
        <v>0</v>
      </c>
      <c r="M14" s="50">
        <v>295</v>
      </c>
      <c r="N14" s="50">
        <v>0</v>
      </c>
      <c r="O14" s="15">
        <f t="shared" si="0"/>
        <v>105</v>
      </c>
      <c r="P14" s="15">
        <f t="shared" si="1"/>
        <v>400</v>
      </c>
      <c r="R14" s="1" t="s">
        <v>10</v>
      </c>
      <c r="S14" s="17">
        <f t="shared" ref="S14:AF14" si="6">SUM(C26:C29)</f>
        <v>150</v>
      </c>
      <c r="T14" s="17">
        <f t="shared" si="6"/>
        <v>19</v>
      </c>
      <c r="U14" s="17">
        <f t="shared" si="6"/>
        <v>18</v>
      </c>
      <c r="V14" s="17">
        <f t="shared" si="6"/>
        <v>94</v>
      </c>
      <c r="W14" s="17">
        <f t="shared" si="6"/>
        <v>1</v>
      </c>
      <c r="X14" s="17">
        <f t="shared" si="6"/>
        <v>0</v>
      </c>
      <c r="Y14" s="17">
        <f t="shared" si="6"/>
        <v>26</v>
      </c>
      <c r="Z14" s="17">
        <f t="shared" si="6"/>
        <v>52</v>
      </c>
      <c r="AA14" s="17">
        <f t="shared" si="6"/>
        <v>21</v>
      </c>
      <c r="AB14" s="17">
        <f t="shared" si="6"/>
        <v>0</v>
      </c>
      <c r="AC14" s="17">
        <f t="shared" si="6"/>
        <v>1155</v>
      </c>
      <c r="AD14" s="17">
        <f t="shared" si="6"/>
        <v>0</v>
      </c>
      <c r="AE14" s="31">
        <f t="shared" si="6"/>
        <v>381</v>
      </c>
      <c r="AF14" s="31">
        <f t="shared" si="6"/>
        <v>1536</v>
      </c>
    </row>
    <row r="15" spans="2:32" ht="23.1" customHeight="1" x14ac:dyDescent="0.25">
      <c r="B15" s="23" t="s">
        <v>42</v>
      </c>
      <c r="C15" s="50">
        <v>52</v>
      </c>
      <c r="D15" s="50">
        <v>4</v>
      </c>
      <c r="E15" s="50">
        <v>3</v>
      </c>
      <c r="F15" s="50">
        <v>37</v>
      </c>
      <c r="G15" s="50">
        <v>2</v>
      </c>
      <c r="H15" s="50">
        <v>0</v>
      </c>
      <c r="I15" s="50">
        <v>13</v>
      </c>
      <c r="J15" s="50">
        <v>9</v>
      </c>
      <c r="K15" s="50">
        <v>5</v>
      </c>
      <c r="L15" s="50">
        <v>0</v>
      </c>
      <c r="M15" s="50">
        <v>335</v>
      </c>
      <c r="N15" s="50">
        <v>0</v>
      </c>
      <c r="O15" s="15">
        <f t="shared" si="0"/>
        <v>125</v>
      </c>
      <c r="P15" s="15">
        <f t="shared" si="1"/>
        <v>460</v>
      </c>
      <c r="R15" s="1" t="s">
        <v>11</v>
      </c>
      <c r="S15" s="17">
        <f t="shared" ref="S15:AF15" si="7">SUM(C30:C33)</f>
        <v>171</v>
      </c>
      <c r="T15" s="17">
        <f t="shared" si="7"/>
        <v>28</v>
      </c>
      <c r="U15" s="17">
        <f t="shared" si="7"/>
        <v>22</v>
      </c>
      <c r="V15" s="17">
        <f t="shared" si="7"/>
        <v>146</v>
      </c>
      <c r="W15" s="17">
        <f t="shared" si="7"/>
        <v>4</v>
      </c>
      <c r="X15" s="17">
        <f t="shared" si="7"/>
        <v>0</v>
      </c>
      <c r="Y15" s="17">
        <f t="shared" si="7"/>
        <v>34</v>
      </c>
      <c r="Z15" s="17">
        <f t="shared" si="7"/>
        <v>58</v>
      </c>
      <c r="AA15" s="17">
        <f t="shared" si="7"/>
        <v>24</v>
      </c>
      <c r="AB15" s="17">
        <f t="shared" si="7"/>
        <v>0</v>
      </c>
      <c r="AC15" s="17">
        <f t="shared" si="7"/>
        <v>1085</v>
      </c>
      <c r="AD15" s="17">
        <f t="shared" si="7"/>
        <v>0</v>
      </c>
      <c r="AE15" s="31">
        <f t="shared" si="7"/>
        <v>487</v>
      </c>
      <c r="AF15" s="31">
        <f t="shared" si="7"/>
        <v>1572</v>
      </c>
    </row>
    <row r="16" spans="2:32" ht="23.1" customHeight="1" x14ac:dyDescent="0.25">
      <c r="B16" s="23" t="s">
        <v>43</v>
      </c>
      <c r="C16" s="50">
        <v>47</v>
      </c>
      <c r="D16" s="50">
        <v>11</v>
      </c>
      <c r="E16" s="50">
        <v>6</v>
      </c>
      <c r="F16" s="50">
        <v>27</v>
      </c>
      <c r="G16" s="50">
        <v>0</v>
      </c>
      <c r="H16" s="50">
        <v>0</v>
      </c>
      <c r="I16" s="50">
        <v>19</v>
      </c>
      <c r="J16" s="50">
        <v>7</v>
      </c>
      <c r="K16" s="50">
        <v>3</v>
      </c>
      <c r="L16" s="50">
        <v>0</v>
      </c>
      <c r="M16" s="50">
        <v>330</v>
      </c>
      <c r="N16" s="50">
        <v>0</v>
      </c>
      <c r="O16" s="15">
        <f t="shared" si="0"/>
        <v>120</v>
      </c>
      <c r="P16" s="15">
        <f t="shared" si="1"/>
        <v>450</v>
      </c>
      <c r="R16" s="1" t="s">
        <v>12</v>
      </c>
      <c r="S16" s="17">
        <f t="shared" ref="S16:AF16" si="8">SUM(C34:C37)</f>
        <v>176</v>
      </c>
      <c r="T16" s="17">
        <f t="shared" si="8"/>
        <v>24</v>
      </c>
      <c r="U16" s="17">
        <f t="shared" si="8"/>
        <v>18</v>
      </c>
      <c r="V16" s="17">
        <f t="shared" si="8"/>
        <v>152</v>
      </c>
      <c r="W16" s="17">
        <f t="shared" si="8"/>
        <v>1</v>
      </c>
      <c r="X16" s="17">
        <f t="shared" si="8"/>
        <v>1</v>
      </c>
      <c r="Y16" s="17">
        <f t="shared" si="8"/>
        <v>41</v>
      </c>
      <c r="Z16" s="17">
        <f t="shared" si="8"/>
        <v>28</v>
      </c>
      <c r="AA16" s="17">
        <f t="shared" si="8"/>
        <v>11</v>
      </c>
      <c r="AB16" s="17">
        <f t="shared" si="8"/>
        <v>0</v>
      </c>
      <c r="AC16" s="17">
        <f t="shared" si="8"/>
        <v>945</v>
      </c>
      <c r="AD16" s="17">
        <f t="shared" si="8"/>
        <v>0</v>
      </c>
      <c r="AE16" s="31">
        <f t="shared" si="8"/>
        <v>452</v>
      </c>
      <c r="AF16" s="31">
        <f t="shared" si="8"/>
        <v>1397</v>
      </c>
    </row>
    <row r="17" spans="2:32" ht="23.1" customHeight="1" x14ac:dyDescent="0.25">
      <c r="B17" s="23" t="s">
        <v>44</v>
      </c>
      <c r="C17" s="50">
        <v>64</v>
      </c>
      <c r="D17" s="50">
        <v>6</v>
      </c>
      <c r="E17" s="50">
        <v>3</v>
      </c>
      <c r="F17" s="50">
        <v>36</v>
      </c>
      <c r="G17" s="50">
        <v>1</v>
      </c>
      <c r="H17" s="50">
        <v>0</v>
      </c>
      <c r="I17" s="50">
        <v>12</v>
      </c>
      <c r="J17" s="50">
        <v>5</v>
      </c>
      <c r="K17" s="50">
        <v>4</v>
      </c>
      <c r="L17" s="50">
        <v>1</v>
      </c>
      <c r="M17" s="50">
        <v>321</v>
      </c>
      <c r="N17" s="50">
        <v>0</v>
      </c>
      <c r="O17" s="15">
        <f t="shared" si="0"/>
        <v>132</v>
      </c>
      <c r="P17" s="15">
        <f t="shared" si="1"/>
        <v>453</v>
      </c>
      <c r="R17" s="1" t="s">
        <v>13</v>
      </c>
      <c r="S17" s="17">
        <f t="shared" ref="S17:AF17" si="9">SUM(C38:C41)</f>
        <v>172</v>
      </c>
      <c r="T17" s="17">
        <f t="shared" si="9"/>
        <v>20</v>
      </c>
      <c r="U17" s="17">
        <f t="shared" si="9"/>
        <v>15</v>
      </c>
      <c r="V17" s="17">
        <f t="shared" si="9"/>
        <v>137</v>
      </c>
      <c r="W17" s="17">
        <f t="shared" si="9"/>
        <v>2</v>
      </c>
      <c r="X17" s="17">
        <f t="shared" si="9"/>
        <v>1</v>
      </c>
      <c r="Y17" s="17">
        <f t="shared" si="9"/>
        <v>31</v>
      </c>
      <c r="Z17" s="17">
        <f t="shared" si="9"/>
        <v>53</v>
      </c>
      <c r="AA17" s="17">
        <f t="shared" si="9"/>
        <v>6</v>
      </c>
      <c r="AB17" s="17">
        <f t="shared" si="9"/>
        <v>3</v>
      </c>
      <c r="AC17" s="17">
        <f t="shared" si="9"/>
        <v>799</v>
      </c>
      <c r="AD17" s="17">
        <f t="shared" si="9"/>
        <v>0</v>
      </c>
      <c r="AE17" s="31">
        <f t="shared" si="9"/>
        <v>440</v>
      </c>
      <c r="AF17" s="31">
        <f t="shared" si="9"/>
        <v>1239</v>
      </c>
    </row>
    <row r="18" spans="2:32" ht="23.1" customHeight="1" x14ac:dyDescent="0.25">
      <c r="B18" s="23" t="s">
        <v>45</v>
      </c>
      <c r="C18" s="50">
        <v>35</v>
      </c>
      <c r="D18" s="50">
        <v>9</v>
      </c>
      <c r="E18" s="50">
        <v>4</v>
      </c>
      <c r="F18" s="50">
        <v>26</v>
      </c>
      <c r="G18" s="50">
        <v>0</v>
      </c>
      <c r="H18" s="50">
        <v>0</v>
      </c>
      <c r="I18" s="50">
        <v>7</v>
      </c>
      <c r="J18" s="50">
        <v>15</v>
      </c>
      <c r="K18" s="50">
        <v>3</v>
      </c>
      <c r="L18" s="50">
        <v>1</v>
      </c>
      <c r="M18" s="50">
        <v>235</v>
      </c>
      <c r="N18" s="50">
        <v>0</v>
      </c>
      <c r="O18" s="15">
        <f t="shared" si="0"/>
        <v>100</v>
      </c>
      <c r="P18" s="15">
        <f t="shared" si="1"/>
        <v>335</v>
      </c>
      <c r="R18" s="1" t="s">
        <v>14</v>
      </c>
      <c r="S18" s="17">
        <f t="shared" ref="S18:AF18" si="10">SUM(C42:C45)</f>
        <v>176</v>
      </c>
      <c r="T18" s="17">
        <f t="shared" si="10"/>
        <v>32</v>
      </c>
      <c r="U18" s="17">
        <f t="shared" si="10"/>
        <v>25</v>
      </c>
      <c r="V18" s="17">
        <f t="shared" si="10"/>
        <v>112</v>
      </c>
      <c r="W18" s="17">
        <f t="shared" si="10"/>
        <v>7</v>
      </c>
      <c r="X18" s="17">
        <f t="shared" si="10"/>
        <v>2</v>
      </c>
      <c r="Y18" s="17">
        <f t="shared" si="10"/>
        <v>56</v>
      </c>
      <c r="Z18" s="17">
        <f t="shared" si="10"/>
        <v>50</v>
      </c>
      <c r="AA18" s="17">
        <f t="shared" si="10"/>
        <v>9</v>
      </c>
      <c r="AB18" s="17">
        <f t="shared" si="10"/>
        <v>3</v>
      </c>
      <c r="AC18" s="17">
        <f t="shared" si="10"/>
        <v>458</v>
      </c>
      <c r="AD18" s="17">
        <f t="shared" si="10"/>
        <v>0</v>
      </c>
      <c r="AE18" s="31">
        <f t="shared" si="10"/>
        <v>472</v>
      </c>
      <c r="AF18" s="31">
        <f t="shared" si="10"/>
        <v>930</v>
      </c>
    </row>
    <row r="19" spans="2:32" ht="23.1" customHeight="1" x14ac:dyDescent="0.25">
      <c r="B19" s="23" t="s">
        <v>46</v>
      </c>
      <c r="C19" s="50">
        <v>29</v>
      </c>
      <c r="D19" s="50">
        <v>4</v>
      </c>
      <c r="E19" s="50">
        <v>5</v>
      </c>
      <c r="F19" s="50">
        <v>50</v>
      </c>
      <c r="G19" s="50">
        <v>0</v>
      </c>
      <c r="H19" s="50">
        <v>0</v>
      </c>
      <c r="I19" s="50">
        <v>11</v>
      </c>
      <c r="J19" s="50">
        <v>9</v>
      </c>
      <c r="K19" s="50">
        <v>0</v>
      </c>
      <c r="L19" s="50">
        <v>0</v>
      </c>
      <c r="M19" s="50">
        <v>179</v>
      </c>
      <c r="N19" s="50">
        <v>0</v>
      </c>
      <c r="O19" s="15">
        <f t="shared" si="0"/>
        <v>108</v>
      </c>
      <c r="P19" s="15">
        <f t="shared" si="1"/>
        <v>287</v>
      </c>
      <c r="R19" s="1" t="s">
        <v>15</v>
      </c>
      <c r="S19" s="17">
        <f t="shared" ref="S19:AF19" si="11">SUM(C46:C49)</f>
        <v>182</v>
      </c>
      <c r="T19" s="17">
        <f t="shared" si="11"/>
        <v>20</v>
      </c>
      <c r="U19" s="17">
        <f t="shared" si="11"/>
        <v>14</v>
      </c>
      <c r="V19" s="17">
        <f t="shared" si="11"/>
        <v>132</v>
      </c>
      <c r="W19" s="17">
        <f t="shared" si="11"/>
        <v>3</v>
      </c>
      <c r="X19" s="17">
        <f t="shared" si="11"/>
        <v>0</v>
      </c>
      <c r="Y19" s="17">
        <f t="shared" si="11"/>
        <v>17</v>
      </c>
      <c r="Z19" s="17">
        <f t="shared" si="11"/>
        <v>41</v>
      </c>
      <c r="AA19" s="17">
        <f t="shared" si="11"/>
        <v>6</v>
      </c>
      <c r="AB19" s="17">
        <f t="shared" si="11"/>
        <v>0</v>
      </c>
      <c r="AC19" s="17">
        <f t="shared" si="11"/>
        <v>805</v>
      </c>
      <c r="AD19" s="17">
        <f t="shared" si="11"/>
        <v>0</v>
      </c>
      <c r="AE19" s="31">
        <f t="shared" si="11"/>
        <v>415</v>
      </c>
      <c r="AF19" s="31">
        <f t="shared" si="11"/>
        <v>1220</v>
      </c>
    </row>
    <row r="20" spans="2:32" ht="23.1" customHeight="1" x14ac:dyDescent="0.25">
      <c r="B20" s="23" t="s">
        <v>47</v>
      </c>
      <c r="C20" s="50">
        <v>42</v>
      </c>
      <c r="D20" s="50">
        <v>8</v>
      </c>
      <c r="E20" s="50">
        <v>5</v>
      </c>
      <c r="F20" s="50">
        <v>35</v>
      </c>
      <c r="G20" s="50">
        <v>0</v>
      </c>
      <c r="H20" s="50">
        <v>0</v>
      </c>
      <c r="I20" s="50">
        <v>16</v>
      </c>
      <c r="J20" s="50">
        <v>17</v>
      </c>
      <c r="K20" s="50">
        <v>3</v>
      </c>
      <c r="L20" s="50">
        <v>0</v>
      </c>
      <c r="M20" s="50">
        <v>295</v>
      </c>
      <c r="N20" s="50">
        <v>0</v>
      </c>
      <c r="O20" s="15">
        <f t="shared" si="0"/>
        <v>126</v>
      </c>
      <c r="P20" s="15">
        <f t="shared" si="1"/>
        <v>421</v>
      </c>
      <c r="R20" s="1" t="s">
        <v>16</v>
      </c>
      <c r="S20" s="17">
        <f t="shared" ref="S20:AF20" si="12">SUM(C50:C53)</f>
        <v>124</v>
      </c>
      <c r="T20" s="17">
        <f t="shared" si="12"/>
        <v>8</v>
      </c>
      <c r="U20" s="17">
        <f t="shared" si="12"/>
        <v>19</v>
      </c>
      <c r="V20" s="17">
        <f t="shared" si="12"/>
        <v>157</v>
      </c>
      <c r="W20" s="17">
        <f t="shared" si="12"/>
        <v>0</v>
      </c>
      <c r="X20" s="17">
        <f t="shared" si="12"/>
        <v>0</v>
      </c>
      <c r="Y20" s="17">
        <f t="shared" si="12"/>
        <v>27</v>
      </c>
      <c r="Z20" s="17">
        <f t="shared" si="12"/>
        <v>32</v>
      </c>
      <c r="AA20" s="17">
        <f t="shared" si="12"/>
        <v>13</v>
      </c>
      <c r="AB20" s="17">
        <f t="shared" si="12"/>
        <v>2</v>
      </c>
      <c r="AC20" s="17">
        <f t="shared" si="12"/>
        <v>820</v>
      </c>
      <c r="AD20" s="17">
        <f t="shared" si="12"/>
        <v>0</v>
      </c>
      <c r="AE20" s="31">
        <f t="shared" si="12"/>
        <v>382</v>
      </c>
      <c r="AF20" s="31">
        <f t="shared" si="12"/>
        <v>1202</v>
      </c>
    </row>
    <row r="21" spans="2:32" ht="23.1" customHeight="1" x14ac:dyDescent="0.25">
      <c r="B21" s="23" t="s">
        <v>48</v>
      </c>
      <c r="C21" s="50">
        <v>48</v>
      </c>
      <c r="D21" s="50">
        <v>7</v>
      </c>
      <c r="E21" s="50">
        <v>3</v>
      </c>
      <c r="F21" s="50">
        <v>41</v>
      </c>
      <c r="G21" s="50">
        <v>1</v>
      </c>
      <c r="H21" s="50">
        <v>0</v>
      </c>
      <c r="I21" s="50">
        <v>16</v>
      </c>
      <c r="J21" s="50">
        <v>15</v>
      </c>
      <c r="K21" s="50">
        <v>4</v>
      </c>
      <c r="L21" s="50">
        <v>0</v>
      </c>
      <c r="M21" s="50">
        <v>350</v>
      </c>
      <c r="N21" s="50">
        <v>0</v>
      </c>
      <c r="O21" s="15">
        <f t="shared" si="0"/>
        <v>135</v>
      </c>
      <c r="P21" s="15">
        <f t="shared" si="1"/>
        <v>485</v>
      </c>
      <c r="R21" s="36" t="s">
        <v>20</v>
      </c>
      <c r="S21" s="34">
        <f t="shared" ref="S21:AF21" si="13">SUM(C54:C57)</f>
        <v>84</v>
      </c>
      <c r="T21" s="17">
        <f t="shared" si="13"/>
        <v>24</v>
      </c>
      <c r="U21" s="17">
        <f t="shared" si="13"/>
        <v>10</v>
      </c>
      <c r="V21" s="17">
        <f t="shared" si="13"/>
        <v>123</v>
      </c>
      <c r="W21" s="17">
        <f t="shared" si="13"/>
        <v>5</v>
      </c>
      <c r="X21" s="17">
        <f t="shared" si="13"/>
        <v>5</v>
      </c>
      <c r="Y21" s="17">
        <f t="shared" si="13"/>
        <v>18</v>
      </c>
      <c r="Z21" s="17">
        <f t="shared" si="13"/>
        <v>24</v>
      </c>
      <c r="AA21" s="17">
        <f t="shared" si="13"/>
        <v>10</v>
      </c>
      <c r="AB21" s="17">
        <f t="shared" si="13"/>
        <v>1</v>
      </c>
      <c r="AC21" s="17">
        <f t="shared" si="13"/>
        <v>845</v>
      </c>
      <c r="AD21" s="17">
        <f t="shared" si="13"/>
        <v>0</v>
      </c>
      <c r="AE21" s="31">
        <f t="shared" si="13"/>
        <v>304</v>
      </c>
      <c r="AF21" s="31">
        <f t="shared" si="13"/>
        <v>1149</v>
      </c>
    </row>
    <row r="22" spans="2:32" ht="23.1" customHeight="1" x14ac:dyDescent="0.25">
      <c r="B22" s="23" t="s">
        <v>49</v>
      </c>
      <c r="C22" s="50">
        <v>54</v>
      </c>
      <c r="D22" s="50">
        <v>4</v>
      </c>
      <c r="E22" s="50">
        <v>6</v>
      </c>
      <c r="F22" s="50">
        <v>41</v>
      </c>
      <c r="G22" s="50">
        <v>0</v>
      </c>
      <c r="H22" s="50">
        <v>0</v>
      </c>
      <c r="I22" s="50">
        <v>5</v>
      </c>
      <c r="J22" s="50">
        <v>8</v>
      </c>
      <c r="K22" s="50">
        <v>0</v>
      </c>
      <c r="L22" s="50">
        <v>0</v>
      </c>
      <c r="M22" s="50">
        <v>150</v>
      </c>
      <c r="N22" s="50">
        <v>1</v>
      </c>
      <c r="O22" s="15">
        <f t="shared" si="0"/>
        <v>119</v>
      </c>
      <c r="P22" s="15">
        <f t="shared" si="1"/>
        <v>269</v>
      </c>
      <c r="R22" s="38" t="s">
        <v>90</v>
      </c>
      <c r="S22" s="39">
        <f>MAX(S10:S12)</f>
        <v>211</v>
      </c>
      <c r="T22" s="39">
        <f t="shared" ref="T22:AF22" si="14">MAX(T10:T12)</f>
        <v>29</v>
      </c>
      <c r="U22" s="39">
        <f t="shared" si="14"/>
        <v>17</v>
      </c>
      <c r="V22" s="39">
        <f t="shared" si="14"/>
        <v>152</v>
      </c>
      <c r="W22" s="39">
        <f t="shared" si="14"/>
        <v>4</v>
      </c>
      <c r="X22" s="39">
        <f t="shared" si="14"/>
        <v>8</v>
      </c>
      <c r="Y22" s="39">
        <f t="shared" si="14"/>
        <v>50</v>
      </c>
      <c r="Z22" s="39">
        <f t="shared" si="14"/>
        <v>56</v>
      </c>
      <c r="AA22" s="39">
        <f t="shared" si="14"/>
        <v>13</v>
      </c>
      <c r="AB22" s="39">
        <f t="shared" si="14"/>
        <v>1</v>
      </c>
      <c r="AC22" s="39">
        <f t="shared" si="14"/>
        <v>1281</v>
      </c>
      <c r="AD22" s="39">
        <f t="shared" si="14"/>
        <v>0</v>
      </c>
      <c r="AE22" s="40">
        <f t="shared" si="14"/>
        <v>482</v>
      </c>
      <c r="AF22" s="40">
        <f t="shared" si="14"/>
        <v>1763</v>
      </c>
    </row>
    <row r="23" spans="2:32" ht="23.1" customHeight="1" x14ac:dyDescent="0.25">
      <c r="B23" s="23" t="s">
        <v>50</v>
      </c>
      <c r="C23" s="50">
        <v>40</v>
      </c>
      <c r="D23" s="50">
        <v>10</v>
      </c>
      <c r="E23" s="50">
        <v>4</v>
      </c>
      <c r="F23" s="50">
        <v>30</v>
      </c>
      <c r="G23" s="50">
        <v>0</v>
      </c>
      <c r="H23" s="50">
        <v>0</v>
      </c>
      <c r="I23" s="50">
        <v>5</v>
      </c>
      <c r="J23" s="50">
        <v>4</v>
      </c>
      <c r="K23" s="50">
        <v>3</v>
      </c>
      <c r="L23" s="50">
        <v>0</v>
      </c>
      <c r="M23" s="50">
        <v>285</v>
      </c>
      <c r="N23" s="50">
        <v>0</v>
      </c>
      <c r="O23" s="15">
        <f t="shared" si="0"/>
        <v>96</v>
      </c>
      <c r="P23" s="15">
        <f t="shared" si="1"/>
        <v>381</v>
      </c>
      <c r="R23" s="38" t="s">
        <v>91</v>
      </c>
      <c r="S23" s="39">
        <f>MAX(S13:S18)</f>
        <v>199</v>
      </c>
      <c r="T23" s="39">
        <f t="shared" ref="T23:AF23" si="15">MAX(T13:T18)</f>
        <v>32</v>
      </c>
      <c r="U23" s="39">
        <f t="shared" si="15"/>
        <v>25</v>
      </c>
      <c r="V23" s="39">
        <f t="shared" si="15"/>
        <v>152</v>
      </c>
      <c r="W23" s="39">
        <f t="shared" si="15"/>
        <v>7</v>
      </c>
      <c r="X23" s="39">
        <f t="shared" si="15"/>
        <v>2</v>
      </c>
      <c r="Y23" s="39">
        <f t="shared" si="15"/>
        <v>56</v>
      </c>
      <c r="Z23" s="39">
        <f t="shared" si="15"/>
        <v>58</v>
      </c>
      <c r="AA23" s="39">
        <f t="shared" si="15"/>
        <v>24</v>
      </c>
      <c r="AB23" s="39">
        <f t="shared" si="15"/>
        <v>3</v>
      </c>
      <c r="AC23" s="39">
        <f t="shared" si="15"/>
        <v>1155</v>
      </c>
      <c r="AD23" s="39">
        <f t="shared" si="15"/>
        <v>1</v>
      </c>
      <c r="AE23" s="40">
        <f t="shared" si="15"/>
        <v>487</v>
      </c>
      <c r="AF23" s="40">
        <f t="shared" si="15"/>
        <v>1572</v>
      </c>
    </row>
    <row r="24" spans="2:32" ht="23.1" customHeight="1" x14ac:dyDescent="0.25">
      <c r="B24" s="23" t="s">
        <v>51</v>
      </c>
      <c r="C24" s="50">
        <v>62</v>
      </c>
      <c r="D24" s="50">
        <v>7</v>
      </c>
      <c r="E24" s="50">
        <v>3</v>
      </c>
      <c r="F24" s="50">
        <v>27</v>
      </c>
      <c r="G24" s="50">
        <v>0</v>
      </c>
      <c r="H24" s="50">
        <v>0</v>
      </c>
      <c r="I24" s="50">
        <v>13</v>
      </c>
      <c r="J24" s="50">
        <v>18</v>
      </c>
      <c r="K24" s="50">
        <v>6</v>
      </c>
      <c r="L24" s="50">
        <v>1</v>
      </c>
      <c r="M24" s="50">
        <v>249</v>
      </c>
      <c r="N24" s="50">
        <v>0</v>
      </c>
      <c r="O24" s="15">
        <f t="shared" si="0"/>
        <v>137</v>
      </c>
      <c r="P24" s="15">
        <f t="shared" si="1"/>
        <v>386</v>
      </c>
      <c r="R24" s="38" t="s">
        <v>92</v>
      </c>
      <c r="S24" s="39">
        <f>MAX(S19:S21)</f>
        <v>182</v>
      </c>
      <c r="T24" s="39">
        <f t="shared" ref="T24:AF24" si="16">MAX(T19:T21)</f>
        <v>24</v>
      </c>
      <c r="U24" s="39">
        <f t="shared" si="16"/>
        <v>19</v>
      </c>
      <c r="V24" s="39">
        <f t="shared" si="16"/>
        <v>157</v>
      </c>
      <c r="W24" s="39">
        <f t="shared" si="16"/>
        <v>5</v>
      </c>
      <c r="X24" s="39">
        <f t="shared" si="16"/>
        <v>5</v>
      </c>
      <c r="Y24" s="39">
        <f t="shared" si="16"/>
        <v>27</v>
      </c>
      <c r="Z24" s="39">
        <f t="shared" si="16"/>
        <v>41</v>
      </c>
      <c r="AA24" s="39">
        <f t="shared" si="16"/>
        <v>13</v>
      </c>
      <c r="AB24" s="39">
        <f t="shared" si="16"/>
        <v>2</v>
      </c>
      <c r="AC24" s="39">
        <f t="shared" si="16"/>
        <v>845</v>
      </c>
      <c r="AD24" s="39">
        <f t="shared" si="16"/>
        <v>0</v>
      </c>
      <c r="AE24" s="40">
        <f t="shared" si="16"/>
        <v>415</v>
      </c>
      <c r="AF24" s="40">
        <f t="shared" si="16"/>
        <v>1220</v>
      </c>
    </row>
    <row r="25" spans="2:32" ht="23.1" customHeight="1" x14ac:dyDescent="0.25">
      <c r="B25" s="23" t="s">
        <v>52</v>
      </c>
      <c r="C25" s="50">
        <v>43</v>
      </c>
      <c r="D25" s="50">
        <v>4</v>
      </c>
      <c r="E25" s="50">
        <v>4</v>
      </c>
      <c r="F25" s="50">
        <v>38</v>
      </c>
      <c r="G25" s="50">
        <v>0</v>
      </c>
      <c r="H25" s="50">
        <v>0</v>
      </c>
      <c r="I25" s="50">
        <v>13</v>
      </c>
      <c r="J25" s="50">
        <v>11</v>
      </c>
      <c r="K25" s="50">
        <v>4</v>
      </c>
      <c r="L25" s="50">
        <v>0</v>
      </c>
      <c r="M25" s="50">
        <v>250</v>
      </c>
      <c r="N25" s="50">
        <v>0</v>
      </c>
      <c r="O25" s="15">
        <f t="shared" si="0"/>
        <v>117</v>
      </c>
      <c r="P25" s="15">
        <f t="shared" si="1"/>
        <v>367</v>
      </c>
      <c r="R25" s="37" t="s">
        <v>85</v>
      </c>
      <c r="S25" s="35">
        <f t="shared" ref="S25:AF25" si="17">SUM(S10:S12)</f>
        <v>486</v>
      </c>
      <c r="T25" s="16">
        <f t="shared" si="17"/>
        <v>66</v>
      </c>
      <c r="U25" s="16">
        <f t="shared" si="17"/>
        <v>43</v>
      </c>
      <c r="V25" s="16">
        <f t="shared" si="17"/>
        <v>337</v>
      </c>
      <c r="W25" s="16">
        <f t="shared" si="17"/>
        <v>9</v>
      </c>
      <c r="X25" s="16">
        <f t="shared" si="17"/>
        <v>8</v>
      </c>
      <c r="Y25" s="16">
        <f t="shared" si="17"/>
        <v>139</v>
      </c>
      <c r="Z25" s="16">
        <f t="shared" si="17"/>
        <v>108</v>
      </c>
      <c r="AA25" s="16">
        <f t="shared" si="17"/>
        <v>26</v>
      </c>
      <c r="AB25" s="16">
        <f t="shared" si="17"/>
        <v>2</v>
      </c>
      <c r="AC25" s="16">
        <f t="shared" si="17"/>
        <v>3055</v>
      </c>
      <c r="AD25" s="16">
        <f t="shared" si="17"/>
        <v>0</v>
      </c>
      <c r="AE25" s="32">
        <f t="shared" si="17"/>
        <v>1224</v>
      </c>
      <c r="AF25" s="32">
        <f t="shared" si="17"/>
        <v>4279</v>
      </c>
    </row>
    <row r="26" spans="2:32" ht="23.1" customHeight="1" x14ac:dyDescent="0.25">
      <c r="B26" s="23" t="s">
        <v>53</v>
      </c>
      <c r="C26" s="50">
        <v>31</v>
      </c>
      <c r="D26" s="50">
        <v>7</v>
      </c>
      <c r="E26" s="50">
        <v>4</v>
      </c>
      <c r="F26" s="50">
        <v>32</v>
      </c>
      <c r="G26" s="50">
        <v>0</v>
      </c>
      <c r="H26" s="50">
        <v>0</v>
      </c>
      <c r="I26" s="50">
        <v>1</v>
      </c>
      <c r="J26" s="50">
        <v>20</v>
      </c>
      <c r="K26" s="50">
        <v>4</v>
      </c>
      <c r="L26" s="50">
        <v>0</v>
      </c>
      <c r="M26" s="50">
        <v>285</v>
      </c>
      <c r="N26" s="50">
        <v>0</v>
      </c>
      <c r="O26" s="15">
        <f t="shared" si="0"/>
        <v>99</v>
      </c>
      <c r="P26" s="15">
        <f t="shared" si="1"/>
        <v>384</v>
      </c>
      <c r="R26" s="28" t="s">
        <v>86</v>
      </c>
      <c r="S26" s="16">
        <f t="shared" ref="S26:AF26" si="18">SUM(S13:S18)</f>
        <v>1044</v>
      </c>
      <c r="T26" s="16">
        <f t="shared" si="18"/>
        <v>148</v>
      </c>
      <c r="U26" s="16">
        <f t="shared" si="18"/>
        <v>115</v>
      </c>
      <c r="V26" s="16">
        <f t="shared" si="18"/>
        <v>777</v>
      </c>
      <c r="W26" s="16">
        <f t="shared" si="18"/>
        <v>15</v>
      </c>
      <c r="X26" s="16">
        <f t="shared" si="18"/>
        <v>4</v>
      </c>
      <c r="Y26" s="16">
        <f t="shared" si="18"/>
        <v>224</v>
      </c>
      <c r="Z26" s="16">
        <f t="shared" si="18"/>
        <v>282</v>
      </c>
      <c r="AA26" s="16">
        <f t="shared" si="18"/>
        <v>84</v>
      </c>
      <c r="AB26" s="16">
        <f t="shared" si="18"/>
        <v>7</v>
      </c>
      <c r="AC26" s="16">
        <f t="shared" si="18"/>
        <v>5376</v>
      </c>
      <c r="AD26" s="16">
        <f t="shared" si="18"/>
        <v>1</v>
      </c>
      <c r="AE26" s="32">
        <f t="shared" si="18"/>
        <v>2701</v>
      </c>
      <c r="AF26" s="32">
        <f t="shared" si="18"/>
        <v>8077</v>
      </c>
    </row>
    <row r="27" spans="2:32" ht="23.1" customHeight="1" x14ac:dyDescent="0.25">
      <c r="B27" s="23" t="s">
        <v>54</v>
      </c>
      <c r="C27" s="50">
        <v>36</v>
      </c>
      <c r="D27" s="50">
        <v>3</v>
      </c>
      <c r="E27" s="50">
        <v>4</v>
      </c>
      <c r="F27" s="50">
        <v>1</v>
      </c>
      <c r="G27" s="50">
        <v>1</v>
      </c>
      <c r="H27" s="50">
        <v>0</v>
      </c>
      <c r="I27" s="50">
        <v>10</v>
      </c>
      <c r="J27" s="50">
        <v>4</v>
      </c>
      <c r="K27" s="50">
        <v>3</v>
      </c>
      <c r="L27" s="50">
        <v>0</v>
      </c>
      <c r="M27" s="50">
        <v>275</v>
      </c>
      <c r="N27" s="50">
        <v>0</v>
      </c>
      <c r="O27" s="15">
        <f t="shared" si="0"/>
        <v>62</v>
      </c>
      <c r="P27" s="15">
        <f t="shared" si="1"/>
        <v>337</v>
      </c>
      <c r="R27" s="29" t="s">
        <v>87</v>
      </c>
      <c r="S27" s="16">
        <f t="shared" ref="S27:AF27" si="19">SUM(S19:S21)</f>
        <v>390</v>
      </c>
      <c r="T27" s="16">
        <f t="shared" si="19"/>
        <v>52</v>
      </c>
      <c r="U27" s="16">
        <f t="shared" si="19"/>
        <v>43</v>
      </c>
      <c r="V27" s="16">
        <f t="shared" si="19"/>
        <v>412</v>
      </c>
      <c r="W27" s="16">
        <f t="shared" si="19"/>
        <v>8</v>
      </c>
      <c r="X27" s="16">
        <f t="shared" si="19"/>
        <v>5</v>
      </c>
      <c r="Y27" s="16">
        <f t="shared" si="19"/>
        <v>62</v>
      </c>
      <c r="Z27" s="16">
        <f t="shared" si="19"/>
        <v>97</v>
      </c>
      <c r="AA27" s="16">
        <f t="shared" si="19"/>
        <v>29</v>
      </c>
      <c r="AB27" s="16">
        <f t="shared" si="19"/>
        <v>3</v>
      </c>
      <c r="AC27" s="16">
        <f t="shared" si="19"/>
        <v>2470</v>
      </c>
      <c r="AD27" s="16">
        <f t="shared" si="19"/>
        <v>0</v>
      </c>
      <c r="AE27" s="32">
        <f t="shared" si="19"/>
        <v>1101</v>
      </c>
      <c r="AF27" s="32">
        <f t="shared" si="19"/>
        <v>3571</v>
      </c>
    </row>
    <row r="28" spans="2:32" ht="23.1" customHeight="1" x14ac:dyDescent="0.25">
      <c r="B28" s="23" t="s">
        <v>55</v>
      </c>
      <c r="C28" s="50">
        <v>34</v>
      </c>
      <c r="D28" s="50">
        <v>4</v>
      </c>
      <c r="E28" s="50">
        <v>4</v>
      </c>
      <c r="F28" s="50">
        <v>26</v>
      </c>
      <c r="G28" s="50">
        <v>0</v>
      </c>
      <c r="H28" s="50">
        <v>0</v>
      </c>
      <c r="I28" s="50">
        <v>11</v>
      </c>
      <c r="J28" s="50">
        <v>14</v>
      </c>
      <c r="K28" s="50">
        <v>8</v>
      </c>
      <c r="L28" s="50">
        <v>0</v>
      </c>
      <c r="M28" s="50">
        <v>305</v>
      </c>
      <c r="N28" s="50">
        <v>0</v>
      </c>
      <c r="O28" s="15">
        <f t="shared" si="0"/>
        <v>101</v>
      </c>
      <c r="P28" s="15">
        <f t="shared" si="1"/>
        <v>406</v>
      </c>
      <c r="R28" s="5" t="s">
        <v>17</v>
      </c>
      <c r="S28" s="16">
        <f t="shared" ref="S28:AF28" si="20">SUM(S10:S21)</f>
        <v>1920</v>
      </c>
      <c r="T28" s="16">
        <f t="shared" si="20"/>
        <v>266</v>
      </c>
      <c r="U28" s="16">
        <f t="shared" si="20"/>
        <v>201</v>
      </c>
      <c r="V28" s="16">
        <f t="shared" si="20"/>
        <v>1526</v>
      </c>
      <c r="W28" s="16">
        <f t="shared" si="20"/>
        <v>32</v>
      </c>
      <c r="X28" s="16">
        <f t="shared" si="20"/>
        <v>17</v>
      </c>
      <c r="Y28" s="16">
        <f t="shared" si="20"/>
        <v>425</v>
      </c>
      <c r="Z28" s="16">
        <f t="shared" si="20"/>
        <v>487</v>
      </c>
      <c r="AA28" s="16">
        <f t="shared" si="20"/>
        <v>139</v>
      </c>
      <c r="AB28" s="16">
        <f t="shared" si="20"/>
        <v>12</v>
      </c>
      <c r="AC28" s="16">
        <f t="shared" si="20"/>
        <v>10901</v>
      </c>
      <c r="AD28" s="16">
        <f t="shared" si="20"/>
        <v>1</v>
      </c>
      <c r="AE28" s="32">
        <f t="shared" si="20"/>
        <v>5026</v>
      </c>
      <c r="AF28" s="32">
        <f t="shared" si="20"/>
        <v>15927</v>
      </c>
    </row>
    <row r="29" spans="2:32" ht="23.1" customHeight="1" x14ac:dyDescent="0.25">
      <c r="B29" s="23" t="s">
        <v>56</v>
      </c>
      <c r="C29" s="50">
        <v>49</v>
      </c>
      <c r="D29" s="50">
        <v>5</v>
      </c>
      <c r="E29" s="50">
        <v>6</v>
      </c>
      <c r="F29" s="50">
        <v>35</v>
      </c>
      <c r="G29" s="50">
        <v>0</v>
      </c>
      <c r="H29" s="50">
        <v>0</v>
      </c>
      <c r="I29" s="50">
        <v>4</v>
      </c>
      <c r="J29" s="50">
        <v>14</v>
      </c>
      <c r="K29" s="50">
        <v>6</v>
      </c>
      <c r="L29" s="50">
        <v>0</v>
      </c>
      <c r="M29" s="50">
        <v>290</v>
      </c>
      <c r="N29" s="50">
        <v>0</v>
      </c>
      <c r="O29" s="15">
        <f t="shared" si="0"/>
        <v>119</v>
      </c>
      <c r="P29" s="15">
        <f t="shared" si="1"/>
        <v>409</v>
      </c>
      <c r="R29"/>
      <c r="S29" s="20"/>
      <c r="T29" s="19"/>
    </row>
    <row r="30" spans="2:32" ht="23.1" customHeight="1" x14ac:dyDescent="0.25">
      <c r="B30" s="23" t="s">
        <v>57</v>
      </c>
      <c r="C30" s="50">
        <v>56</v>
      </c>
      <c r="D30" s="50">
        <v>6</v>
      </c>
      <c r="E30" s="50">
        <v>8</v>
      </c>
      <c r="F30" s="50">
        <v>36</v>
      </c>
      <c r="G30" s="50">
        <v>2</v>
      </c>
      <c r="H30" s="50">
        <v>0</v>
      </c>
      <c r="I30" s="50">
        <v>10</v>
      </c>
      <c r="J30" s="50">
        <v>14</v>
      </c>
      <c r="K30" s="50">
        <v>8</v>
      </c>
      <c r="L30" s="50">
        <v>0</v>
      </c>
      <c r="M30" s="50">
        <v>275</v>
      </c>
      <c r="N30" s="50">
        <v>0</v>
      </c>
      <c r="O30" s="15">
        <f t="shared" si="0"/>
        <v>140</v>
      </c>
      <c r="P30" s="15">
        <f t="shared" si="1"/>
        <v>415</v>
      </c>
    </row>
    <row r="31" spans="2:32" ht="23.1" customHeight="1" x14ac:dyDescent="0.25">
      <c r="B31" s="24" t="s">
        <v>58</v>
      </c>
      <c r="C31" s="50">
        <v>35</v>
      </c>
      <c r="D31" s="50">
        <v>6</v>
      </c>
      <c r="E31" s="50">
        <v>7</v>
      </c>
      <c r="F31" s="50">
        <v>34</v>
      </c>
      <c r="G31" s="50">
        <v>0</v>
      </c>
      <c r="H31" s="50">
        <v>0</v>
      </c>
      <c r="I31" s="50">
        <v>8</v>
      </c>
      <c r="J31" s="50">
        <v>16</v>
      </c>
      <c r="K31" s="50">
        <v>9</v>
      </c>
      <c r="L31" s="50">
        <v>0</v>
      </c>
      <c r="M31" s="50">
        <v>225</v>
      </c>
      <c r="N31" s="50">
        <v>0</v>
      </c>
      <c r="O31" s="15">
        <f t="shared" si="0"/>
        <v>115</v>
      </c>
      <c r="P31" s="15">
        <f t="shared" si="1"/>
        <v>340</v>
      </c>
    </row>
    <row r="32" spans="2:32" ht="23.1" customHeight="1" x14ac:dyDescent="0.25">
      <c r="B32" s="24" t="s">
        <v>59</v>
      </c>
      <c r="C32" s="50">
        <v>36</v>
      </c>
      <c r="D32" s="50">
        <v>7</v>
      </c>
      <c r="E32" s="50">
        <v>2</v>
      </c>
      <c r="F32" s="50">
        <v>31</v>
      </c>
      <c r="G32" s="50">
        <v>1</v>
      </c>
      <c r="H32" s="50">
        <v>0</v>
      </c>
      <c r="I32" s="50">
        <v>4</v>
      </c>
      <c r="J32" s="50">
        <v>18</v>
      </c>
      <c r="K32" s="50">
        <v>4</v>
      </c>
      <c r="L32" s="50">
        <v>0</v>
      </c>
      <c r="M32" s="50">
        <v>255</v>
      </c>
      <c r="N32" s="50">
        <v>0</v>
      </c>
      <c r="O32" s="15">
        <f t="shared" si="0"/>
        <v>103</v>
      </c>
      <c r="P32" s="15">
        <f t="shared" si="1"/>
        <v>358</v>
      </c>
    </row>
    <row r="33" spans="2:20" ht="23.1" customHeight="1" x14ac:dyDescent="0.25">
      <c r="B33" s="23" t="s">
        <v>60</v>
      </c>
      <c r="C33" s="50">
        <v>44</v>
      </c>
      <c r="D33" s="50">
        <v>9</v>
      </c>
      <c r="E33" s="50">
        <v>5</v>
      </c>
      <c r="F33" s="50">
        <v>45</v>
      </c>
      <c r="G33" s="50">
        <v>1</v>
      </c>
      <c r="H33" s="50">
        <v>0</v>
      </c>
      <c r="I33" s="50">
        <v>12</v>
      </c>
      <c r="J33" s="50">
        <v>10</v>
      </c>
      <c r="K33" s="50">
        <v>3</v>
      </c>
      <c r="L33" s="50">
        <v>0</v>
      </c>
      <c r="M33" s="50">
        <v>330</v>
      </c>
      <c r="N33" s="50">
        <v>0</v>
      </c>
      <c r="O33" s="15">
        <f t="shared" si="0"/>
        <v>129</v>
      </c>
      <c r="P33" s="15">
        <f t="shared" si="1"/>
        <v>459</v>
      </c>
    </row>
    <row r="34" spans="2:20" ht="23.1" customHeight="1" x14ac:dyDescent="0.25">
      <c r="B34" s="24" t="s">
        <v>61</v>
      </c>
      <c r="C34" s="50">
        <v>83</v>
      </c>
      <c r="D34" s="50">
        <v>8</v>
      </c>
      <c r="E34" s="50">
        <v>4</v>
      </c>
      <c r="F34" s="50">
        <v>58</v>
      </c>
      <c r="G34" s="50">
        <v>0</v>
      </c>
      <c r="H34" s="50">
        <v>0</v>
      </c>
      <c r="I34" s="50">
        <v>9</v>
      </c>
      <c r="J34" s="50">
        <v>16</v>
      </c>
      <c r="K34" s="50">
        <v>5</v>
      </c>
      <c r="L34" s="50">
        <v>0</v>
      </c>
      <c r="M34" s="50">
        <v>315</v>
      </c>
      <c r="N34" s="50">
        <v>0</v>
      </c>
      <c r="O34" s="15">
        <f t="shared" si="0"/>
        <v>183</v>
      </c>
      <c r="P34" s="15">
        <f t="shared" si="1"/>
        <v>498</v>
      </c>
    </row>
    <row r="35" spans="2:20" ht="23.1" customHeight="1" x14ac:dyDescent="0.25">
      <c r="B35" s="24" t="s">
        <v>62</v>
      </c>
      <c r="C35" s="50">
        <v>16</v>
      </c>
      <c r="D35" s="50">
        <v>5</v>
      </c>
      <c r="E35" s="50">
        <v>3</v>
      </c>
      <c r="F35" s="50">
        <v>26</v>
      </c>
      <c r="G35" s="50">
        <v>0</v>
      </c>
      <c r="H35" s="50">
        <v>0</v>
      </c>
      <c r="I35" s="50">
        <v>10</v>
      </c>
      <c r="J35" s="50">
        <v>0</v>
      </c>
      <c r="K35" s="50">
        <v>1</v>
      </c>
      <c r="L35" s="50">
        <v>0</v>
      </c>
      <c r="M35" s="50">
        <v>200</v>
      </c>
      <c r="N35" s="50">
        <v>0</v>
      </c>
      <c r="O35" s="15">
        <f t="shared" si="0"/>
        <v>61</v>
      </c>
      <c r="P35" s="15">
        <f t="shared" si="1"/>
        <v>261</v>
      </c>
    </row>
    <row r="36" spans="2:20" ht="23.1" customHeight="1" x14ac:dyDescent="0.25">
      <c r="B36" s="24" t="s">
        <v>63</v>
      </c>
      <c r="C36" s="50">
        <v>28</v>
      </c>
      <c r="D36" s="50">
        <v>4</v>
      </c>
      <c r="E36" s="50">
        <v>5</v>
      </c>
      <c r="F36" s="50">
        <v>38</v>
      </c>
      <c r="G36" s="50">
        <v>1</v>
      </c>
      <c r="H36" s="50">
        <v>1</v>
      </c>
      <c r="I36" s="50">
        <v>12</v>
      </c>
      <c r="J36" s="50">
        <v>7</v>
      </c>
      <c r="K36" s="50">
        <v>1</v>
      </c>
      <c r="L36" s="50">
        <v>0</v>
      </c>
      <c r="M36" s="50">
        <v>225</v>
      </c>
      <c r="N36" s="50">
        <v>0</v>
      </c>
      <c r="O36" s="15">
        <f t="shared" si="0"/>
        <v>97</v>
      </c>
      <c r="P36" s="15">
        <f t="shared" si="1"/>
        <v>322</v>
      </c>
    </row>
    <row r="37" spans="2:20" ht="23.1" customHeight="1" x14ac:dyDescent="0.25">
      <c r="B37" s="23" t="s">
        <v>64</v>
      </c>
      <c r="C37" s="50">
        <v>49</v>
      </c>
      <c r="D37" s="50">
        <v>7</v>
      </c>
      <c r="E37" s="50">
        <v>6</v>
      </c>
      <c r="F37" s="50">
        <v>30</v>
      </c>
      <c r="G37" s="50">
        <v>0</v>
      </c>
      <c r="H37" s="50">
        <v>0</v>
      </c>
      <c r="I37" s="50">
        <v>10</v>
      </c>
      <c r="J37" s="50">
        <v>5</v>
      </c>
      <c r="K37" s="50">
        <v>4</v>
      </c>
      <c r="L37" s="50">
        <v>0</v>
      </c>
      <c r="M37" s="50">
        <v>205</v>
      </c>
      <c r="N37" s="50">
        <v>0</v>
      </c>
      <c r="O37" s="15">
        <f t="shared" si="0"/>
        <v>111</v>
      </c>
      <c r="P37" s="15">
        <f t="shared" si="1"/>
        <v>316</v>
      </c>
    </row>
    <row r="38" spans="2:20" ht="23.1" customHeight="1" x14ac:dyDescent="0.25">
      <c r="B38" s="24" t="s">
        <v>65</v>
      </c>
      <c r="C38" s="50">
        <v>40</v>
      </c>
      <c r="D38" s="50">
        <v>1</v>
      </c>
      <c r="E38" s="50">
        <v>2</v>
      </c>
      <c r="F38" s="50">
        <v>42</v>
      </c>
      <c r="G38" s="50">
        <v>2</v>
      </c>
      <c r="H38" s="50">
        <v>0</v>
      </c>
      <c r="I38" s="50">
        <v>10</v>
      </c>
      <c r="J38" s="50">
        <v>16</v>
      </c>
      <c r="K38" s="50">
        <v>1</v>
      </c>
      <c r="L38" s="50">
        <v>0</v>
      </c>
      <c r="M38" s="50">
        <v>240</v>
      </c>
      <c r="N38" s="50">
        <v>0</v>
      </c>
      <c r="O38" s="15">
        <f t="shared" si="0"/>
        <v>114</v>
      </c>
      <c r="P38" s="15">
        <f t="shared" si="1"/>
        <v>354</v>
      </c>
    </row>
    <row r="39" spans="2:20" ht="23.1" customHeight="1" x14ac:dyDescent="0.25">
      <c r="B39" s="24" t="s">
        <v>66</v>
      </c>
      <c r="C39" s="50">
        <v>55</v>
      </c>
      <c r="D39" s="50">
        <v>7</v>
      </c>
      <c r="E39" s="50">
        <v>5</v>
      </c>
      <c r="F39" s="50">
        <v>32</v>
      </c>
      <c r="G39" s="50">
        <v>0</v>
      </c>
      <c r="H39" s="50">
        <v>0</v>
      </c>
      <c r="I39" s="50">
        <v>8</v>
      </c>
      <c r="J39" s="50">
        <v>12</v>
      </c>
      <c r="K39" s="50">
        <v>2</v>
      </c>
      <c r="L39" s="50">
        <v>1</v>
      </c>
      <c r="M39" s="50">
        <v>200</v>
      </c>
      <c r="N39" s="50">
        <v>0</v>
      </c>
      <c r="O39" s="15">
        <f t="shared" si="0"/>
        <v>122</v>
      </c>
      <c r="P39" s="15">
        <f t="shared" si="1"/>
        <v>322</v>
      </c>
    </row>
    <row r="40" spans="2:20" ht="23.1" customHeight="1" x14ac:dyDescent="0.25">
      <c r="B40" s="24" t="s">
        <v>67</v>
      </c>
      <c r="C40" s="50">
        <v>34</v>
      </c>
      <c r="D40" s="50">
        <v>6</v>
      </c>
      <c r="E40" s="50">
        <v>4</v>
      </c>
      <c r="F40" s="50">
        <v>33</v>
      </c>
      <c r="G40" s="50">
        <v>0</v>
      </c>
      <c r="H40" s="50">
        <v>1</v>
      </c>
      <c r="I40" s="50">
        <v>10</v>
      </c>
      <c r="J40" s="50">
        <v>14</v>
      </c>
      <c r="K40" s="50">
        <v>2</v>
      </c>
      <c r="L40" s="50">
        <v>0</v>
      </c>
      <c r="M40" s="50">
        <v>190</v>
      </c>
      <c r="N40" s="50">
        <v>0</v>
      </c>
      <c r="O40" s="15">
        <f t="shared" si="0"/>
        <v>104</v>
      </c>
      <c r="P40" s="15">
        <f t="shared" si="1"/>
        <v>294</v>
      </c>
    </row>
    <row r="41" spans="2:20" ht="23.1" customHeight="1" x14ac:dyDescent="0.25">
      <c r="B41" s="23" t="s">
        <v>68</v>
      </c>
      <c r="C41" s="50">
        <v>43</v>
      </c>
      <c r="D41" s="50">
        <v>6</v>
      </c>
      <c r="E41" s="50">
        <v>4</v>
      </c>
      <c r="F41" s="50">
        <v>30</v>
      </c>
      <c r="G41" s="50">
        <v>0</v>
      </c>
      <c r="H41" s="50">
        <v>0</v>
      </c>
      <c r="I41" s="50">
        <v>3</v>
      </c>
      <c r="J41" s="50">
        <v>11</v>
      </c>
      <c r="K41" s="50">
        <v>1</v>
      </c>
      <c r="L41" s="50">
        <v>2</v>
      </c>
      <c r="M41" s="50">
        <v>169</v>
      </c>
      <c r="N41" s="50">
        <v>0</v>
      </c>
      <c r="O41" s="15">
        <f t="shared" si="0"/>
        <v>100</v>
      </c>
      <c r="P41" s="15">
        <f t="shared" si="1"/>
        <v>269</v>
      </c>
    </row>
    <row r="42" spans="2:20" ht="23.1" customHeight="1" x14ac:dyDescent="0.25">
      <c r="B42" s="24" t="s">
        <v>69</v>
      </c>
      <c r="C42" s="50">
        <v>36</v>
      </c>
      <c r="D42" s="50">
        <v>5</v>
      </c>
      <c r="E42" s="50">
        <v>7</v>
      </c>
      <c r="F42" s="50">
        <v>31</v>
      </c>
      <c r="G42" s="50">
        <v>2</v>
      </c>
      <c r="H42" s="50">
        <v>0</v>
      </c>
      <c r="I42" s="50">
        <v>32</v>
      </c>
      <c r="J42" s="50">
        <v>9</v>
      </c>
      <c r="K42" s="50">
        <v>4</v>
      </c>
      <c r="L42" s="50">
        <v>0</v>
      </c>
      <c r="M42" s="50">
        <v>130</v>
      </c>
      <c r="N42" s="50">
        <v>0</v>
      </c>
      <c r="O42" s="15">
        <f t="shared" si="0"/>
        <v>126</v>
      </c>
      <c r="P42" s="15">
        <f t="shared" si="1"/>
        <v>256</v>
      </c>
    </row>
    <row r="43" spans="2:20" ht="23.1" customHeight="1" x14ac:dyDescent="0.25">
      <c r="B43" s="23" t="s">
        <v>70</v>
      </c>
      <c r="C43" s="50">
        <v>38</v>
      </c>
      <c r="D43" s="50">
        <v>7</v>
      </c>
      <c r="E43" s="50">
        <v>5</v>
      </c>
      <c r="F43" s="50">
        <v>25</v>
      </c>
      <c r="G43" s="50">
        <v>2</v>
      </c>
      <c r="H43" s="50">
        <v>0</v>
      </c>
      <c r="I43" s="50">
        <v>9</v>
      </c>
      <c r="J43" s="50">
        <v>16</v>
      </c>
      <c r="K43" s="50">
        <v>0</v>
      </c>
      <c r="L43" s="50">
        <v>2</v>
      </c>
      <c r="M43" s="50">
        <v>62</v>
      </c>
      <c r="N43" s="50">
        <v>0</v>
      </c>
      <c r="O43" s="15">
        <f t="shared" si="0"/>
        <v>104</v>
      </c>
      <c r="P43" s="15">
        <f t="shared" si="1"/>
        <v>166</v>
      </c>
    </row>
    <row r="44" spans="2:20" ht="23.1" customHeight="1" x14ac:dyDescent="0.25">
      <c r="B44" s="25" t="s">
        <v>71</v>
      </c>
      <c r="C44" s="50">
        <v>57</v>
      </c>
      <c r="D44" s="50">
        <v>13</v>
      </c>
      <c r="E44" s="50">
        <v>10</v>
      </c>
      <c r="F44" s="50">
        <v>36</v>
      </c>
      <c r="G44" s="50">
        <v>2</v>
      </c>
      <c r="H44" s="50">
        <v>1</v>
      </c>
      <c r="I44" s="50">
        <v>9</v>
      </c>
      <c r="J44" s="50">
        <v>13</v>
      </c>
      <c r="K44" s="50">
        <v>3</v>
      </c>
      <c r="L44" s="50">
        <v>1</v>
      </c>
      <c r="M44" s="50">
        <v>86</v>
      </c>
      <c r="N44" s="50">
        <v>0</v>
      </c>
      <c r="O44" s="15">
        <f t="shared" si="0"/>
        <v>145</v>
      </c>
      <c r="P44" s="15">
        <f t="shared" si="1"/>
        <v>231</v>
      </c>
    </row>
    <row r="45" spans="2:20" ht="23.1" customHeight="1" x14ac:dyDescent="0.25">
      <c r="B45" s="23" t="s">
        <v>72</v>
      </c>
      <c r="C45" s="50">
        <v>45</v>
      </c>
      <c r="D45" s="50">
        <v>7</v>
      </c>
      <c r="E45" s="50">
        <v>3</v>
      </c>
      <c r="F45" s="50">
        <v>20</v>
      </c>
      <c r="G45" s="50">
        <v>1</v>
      </c>
      <c r="H45" s="50">
        <v>1</v>
      </c>
      <c r="I45" s="50">
        <v>6</v>
      </c>
      <c r="J45" s="50">
        <v>12</v>
      </c>
      <c r="K45" s="50">
        <v>2</v>
      </c>
      <c r="L45" s="50">
        <v>0</v>
      </c>
      <c r="M45" s="50">
        <v>180</v>
      </c>
      <c r="N45" s="50">
        <v>0</v>
      </c>
      <c r="O45" s="15">
        <f t="shared" si="0"/>
        <v>97</v>
      </c>
      <c r="P45" s="15">
        <f t="shared" si="1"/>
        <v>277</v>
      </c>
    </row>
    <row r="46" spans="2:20" ht="23.1" customHeight="1" x14ac:dyDescent="0.25">
      <c r="B46" s="24" t="s">
        <v>73</v>
      </c>
      <c r="C46" s="50">
        <v>50</v>
      </c>
      <c r="D46" s="50">
        <v>9</v>
      </c>
      <c r="E46" s="50">
        <v>3</v>
      </c>
      <c r="F46" s="50">
        <v>24</v>
      </c>
      <c r="G46" s="50">
        <v>0</v>
      </c>
      <c r="H46" s="50">
        <v>0</v>
      </c>
      <c r="I46" s="50">
        <v>3</v>
      </c>
      <c r="J46" s="50">
        <v>7</v>
      </c>
      <c r="K46" s="50">
        <v>1</v>
      </c>
      <c r="L46" s="50">
        <v>0</v>
      </c>
      <c r="M46" s="50">
        <v>150</v>
      </c>
      <c r="N46" s="50">
        <v>0</v>
      </c>
      <c r="O46" s="15">
        <f t="shared" si="0"/>
        <v>97</v>
      </c>
      <c r="P46" s="15">
        <f t="shared" si="1"/>
        <v>247</v>
      </c>
      <c r="R46" s="8"/>
      <c r="T46"/>
    </row>
    <row r="47" spans="2:20" ht="23.1" customHeight="1" x14ac:dyDescent="0.25">
      <c r="B47" s="24" t="s">
        <v>74</v>
      </c>
      <c r="C47" s="50">
        <v>46</v>
      </c>
      <c r="D47" s="50">
        <v>4</v>
      </c>
      <c r="E47" s="50">
        <v>0</v>
      </c>
      <c r="F47" s="50">
        <v>23</v>
      </c>
      <c r="G47" s="50">
        <v>1</v>
      </c>
      <c r="H47" s="50">
        <v>0</v>
      </c>
      <c r="I47" s="50">
        <v>5</v>
      </c>
      <c r="J47" s="50">
        <v>13</v>
      </c>
      <c r="K47" s="50">
        <v>0</v>
      </c>
      <c r="L47" s="50">
        <v>0</v>
      </c>
      <c r="M47" s="50">
        <v>150</v>
      </c>
      <c r="N47" s="50">
        <v>0</v>
      </c>
      <c r="O47" s="15">
        <f t="shared" si="0"/>
        <v>92</v>
      </c>
      <c r="P47" s="15">
        <f t="shared" si="1"/>
        <v>242</v>
      </c>
      <c r="R47" s="8"/>
      <c r="T47"/>
    </row>
    <row r="48" spans="2:20" ht="23.1" customHeight="1" x14ac:dyDescent="0.25">
      <c r="B48" s="24" t="s">
        <v>75</v>
      </c>
      <c r="C48" s="50">
        <v>70</v>
      </c>
      <c r="D48" s="50">
        <v>4</v>
      </c>
      <c r="E48" s="50">
        <v>6</v>
      </c>
      <c r="F48" s="50">
        <v>45</v>
      </c>
      <c r="G48" s="50">
        <v>2</v>
      </c>
      <c r="H48" s="50">
        <v>0</v>
      </c>
      <c r="I48" s="50">
        <v>7</v>
      </c>
      <c r="J48" s="50">
        <v>15</v>
      </c>
      <c r="K48" s="50">
        <v>3</v>
      </c>
      <c r="L48" s="50">
        <v>0</v>
      </c>
      <c r="M48" s="50">
        <v>290</v>
      </c>
      <c r="N48" s="50">
        <v>0</v>
      </c>
      <c r="O48" s="15">
        <f t="shared" si="0"/>
        <v>152</v>
      </c>
      <c r="P48" s="15">
        <f t="shared" si="1"/>
        <v>442</v>
      </c>
      <c r="R48" s="8"/>
      <c r="T48"/>
    </row>
    <row r="49" spans="2:20" ht="23.1" customHeight="1" x14ac:dyDescent="0.25">
      <c r="B49" s="23" t="s">
        <v>76</v>
      </c>
      <c r="C49" s="50">
        <v>16</v>
      </c>
      <c r="D49" s="50">
        <v>3</v>
      </c>
      <c r="E49" s="50">
        <v>5</v>
      </c>
      <c r="F49" s="50">
        <v>40</v>
      </c>
      <c r="G49" s="50">
        <v>0</v>
      </c>
      <c r="H49" s="50">
        <v>0</v>
      </c>
      <c r="I49" s="50">
        <v>2</v>
      </c>
      <c r="J49" s="50">
        <v>6</v>
      </c>
      <c r="K49" s="50">
        <v>2</v>
      </c>
      <c r="L49" s="50">
        <v>0</v>
      </c>
      <c r="M49" s="50">
        <v>215</v>
      </c>
      <c r="N49" s="50">
        <v>0</v>
      </c>
      <c r="O49" s="15">
        <f t="shared" si="0"/>
        <v>74</v>
      </c>
      <c r="P49" s="15">
        <f t="shared" si="1"/>
        <v>289</v>
      </c>
      <c r="R49" s="8"/>
      <c r="T49"/>
    </row>
    <row r="50" spans="2:20" ht="23.1" customHeight="1" x14ac:dyDescent="0.25">
      <c r="B50" s="24" t="s">
        <v>77</v>
      </c>
      <c r="C50" s="50">
        <v>30</v>
      </c>
      <c r="D50" s="50">
        <v>2</v>
      </c>
      <c r="E50" s="50">
        <v>4</v>
      </c>
      <c r="F50" s="50">
        <v>50</v>
      </c>
      <c r="G50" s="50">
        <v>0</v>
      </c>
      <c r="H50" s="50">
        <v>0</v>
      </c>
      <c r="I50" s="50">
        <v>6</v>
      </c>
      <c r="J50" s="50">
        <v>16</v>
      </c>
      <c r="K50" s="50">
        <v>4</v>
      </c>
      <c r="L50" s="50">
        <v>0</v>
      </c>
      <c r="M50" s="50">
        <v>160</v>
      </c>
      <c r="N50" s="50">
        <v>0</v>
      </c>
      <c r="O50" s="15">
        <f t="shared" si="0"/>
        <v>112</v>
      </c>
      <c r="P50" s="15">
        <f t="shared" si="1"/>
        <v>272</v>
      </c>
      <c r="R50" s="8"/>
      <c r="T50"/>
    </row>
    <row r="51" spans="2:20" ht="23.1" customHeight="1" x14ac:dyDescent="0.25">
      <c r="B51" s="24" t="s">
        <v>78</v>
      </c>
      <c r="C51" s="50">
        <v>33</v>
      </c>
      <c r="D51" s="50">
        <v>1</v>
      </c>
      <c r="E51" s="50">
        <v>4</v>
      </c>
      <c r="F51" s="50">
        <v>25</v>
      </c>
      <c r="G51" s="50">
        <v>0</v>
      </c>
      <c r="H51" s="50">
        <v>0</v>
      </c>
      <c r="I51" s="50">
        <v>8</v>
      </c>
      <c r="J51" s="50">
        <v>3</v>
      </c>
      <c r="K51" s="50">
        <v>2</v>
      </c>
      <c r="L51" s="50">
        <v>0</v>
      </c>
      <c r="M51" s="50">
        <v>200</v>
      </c>
      <c r="N51" s="50">
        <v>0</v>
      </c>
      <c r="O51" s="15">
        <f t="shared" si="0"/>
        <v>76</v>
      </c>
      <c r="P51" s="15">
        <f t="shared" si="1"/>
        <v>276</v>
      </c>
      <c r="R51" s="8"/>
      <c r="T51"/>
    </row>
    <row r="52" spans="2:20" ht="23.1" customHeight="1" x14ac:dyDescent="0.25">
      <c r="B52" s="24" t="s">
        <v>79</v>
      </c>
      <c r="C52" s="50">
        <v>23</v>
      </c>
      <c r="D52" s="50">
        <v>3</v>
      </c>
      <c r="E52" s="50">
        <v>7</v>
      </c>
      <c r="F52" s="50">
        <v>30</v>
      </c>
      <c r="G52" s="50">
        <v>0</v>
      </c>
      <c r="H52" s="50">
        <v>0</v>
      </c>
      <c r="I52" s="50">
        <v>5</v>
      </c>
      <c r="J52" s="50">
        <v>6</v>
      </c>
      <c r="K52" s="50">
        <v>6</v>
      </c>
      <c r="L52" s="50">
        <v>2</v>
      </c>
      <c r="M52" s="50">
        <v>225</v>
      </c>
      <c r="N52" s="50">
        <v>0</v>
      </c>
      <c r="O52" s="15">
        <f t="shared" si="0"/>
        <v>82</v>
      </c>
      <c r="P52" s="15">
        <f t="shared" si="1"/>
        <v>307</v>
      </c>
      <c r="R52" s="8"/>
      <c r="T52"/>
    </row>
    <row r="53" spans="2:20" ht="23.1" customHeight="1" x14ac:dyDescent="0.25">
      <c r="B53" s="23" t="s">
        <v>80</v>
      </c>
      <c r="C53" s="50">
        <v>38</v>
      </c>
      <c r="D53" s="50">
        <v>2</v>
      </c>
      <c r="E53" s="50">
        <v>4</v>
      </c>
      <c r="F53" s="50">
        <v>52</v>
      </c>
      <c r="G53" s="50">
        <v>0</v>
      </c>
      <c r="H53" s="50">
        <v>0</v>
      </c>
      <c r="I53" s="50">
        <v>8</v>
      </c>
      <c r="J53" s="50">
        <v>7</v>
      </c>
      <c r="K53" s="50">
        <v>1</v>
      </c>
      <c r="L53" s="50">
        <v>0</v>
      </c>
      <c r="M53" s="50">
        <v>235</v>
      </c>
      <c r="N53" s="50">
        <v>0</v>
      </c>
      <c r="O53" s="15">
        <f t="shared" si="0"/>
        <v>112</v>
      </c>
      <c r="P53" s="15">
        <f t="shared" si="1"/>
        <v>347</v>
      </c>
      <c r="R53" s="8"/>
      <c r="T53"/>
    </row>
    <row r="54" spans="2:20" ht="23.1" customHeight="1" x14ac:dyDescent="0.25">
      <c r="B54" s="23" t="s">
        <v>81</v>
      </c>
      <c r="C54" s="50">
        <v>33</v>
      </c>
      <c r="D54" s="50">
        <v>7</v>
      </c>
      <c r="E54" s="50">
        <v>4</v>
      </c>
      <c r="F54" s="50">
        <v>21</v>
      </c>
      <c r="G54" s="50">
        <v>0</v>
      </c>
      <c r="H54" s="50">
        <v>1</v>
      </c>
      <c r="I54" s="50">
        <v>4</v>
      </c>
      <c r="J54" s="50">
        <v>5</v>
      </c>
      <c r="K54" s="50">
        <v>2</v>
      </c>
      <c r="L54" s="50">
        <v>1</v>
      </c>
      <c r="M54" s="50">
        <v>225</v>
      </c>
      <c r="N54" s="50">
        <v>0</v>
      </c>
      <c r="O54" s="15">
        <f t="shared" si="0"/>
        <v>78</v>
      </c>
      <c r="P54" s="15">
        <f t="shared" si="1"/>
        <v>303</v>
      </c>
      <c r="R54" s="8"/>
      <c r="T54"/>
    </row>
    <row r="55" spans="2:20" ht="23.1" customHeight="1" x14ac:dyDescent="0.25">
      <c r="B55" s="23" t="s">
        <v>82</v>
      </c>
      <c r="C55" s="50">
        <v>15</v>
      </c>
      <c r="D55" s="50">
        <v>5</v>
      </c>
      <c r="E55" s="50">
        <v>1</v>
      </c>
      <c r="F55" s="50">
        <v>28</v>
      </c>
      <c r="G55" s="50">
        <v>0</v>
      </c>
      <c r="H55" s="50">
        <v>0</v>
      </c>
      <c r="I55" s="50">
        <v>4</v>
      </c>
      <c r="J55" s="50">
        <v>5</v>
      </c>
      <c r="K55" s="50">
        <v>3</v>
      </c>
      <c r="L55" s="50">
        <v>0</v>
      </c>
      <c r="M55" s="50">
        <v>210</v>
      </c>
      <c r="N55" s="50">
        <v>0</v>
      </c>
      <c r="O55" s="15">
        <f t="shared" si="0"/>
        <v>61</v>
      </c>
      <c r="P55" s="15">
        <f t="shared" si="1"/>
        <v>271</v>
      </c>
      <c r="R55" s="8"/>
      <c r="T55"/>
    </row>
    <row r="56" spans="2:20" ht="23.1" customHeight="1" x14ac:dyDescent="0.25">
      <c r="B56" s="23" t="s">
        <v>83</v>
      </c>
      <c r="C56" s="50">
        <v>16</v>
      </c>
      <c r="D56" s="50">
        <v>5</v>
      </c>
      <c r="E56" s="50">
        <v>2</v>
      </c>
      <c r="F56" s="50">
        <v>34</v>
      </c>
      <c r="G56" s="50">
        <v>2</v>
      </c>
      <c r="H56" s="50">
        <v>1</v>
      </c>
      <c r="I56" s="50">
        <v>4</v>
      </c>
      <c r="J56" s="50">
        <v>6</v>
      </c>
      <c r="K56" s="50">
        <v>3</v>
      </c>
      <c r="L56" s="50">
        <v>0</v>
      </c>
      <c r="M56" s="50">
        <v>210</v>
      </c>
      <c r="N56" s="50">
        <v>0</v>
      </c>
      <c r="O56" s="15">
        <f t="shared" si="0"/>
        <v>73</v>
      </c>
      <c r="P56" s="15">
        <f t="shared" si="1"/>
        <v>283</v>
      </c>
      <c r="R56" s="8"/>
      <c r="T56"/>
    </row>
    <row r="57" spans="2:20" ht="23.1" customHeight="1" x14ac:dyDescent="0.25">
      <c r="B57" s="23" t="s">
        <v>84</v>
      </c>
      <c r="C57" s="50">
        <v>20</v>
      </c>
      <c r="D57" s="50">
        <v>7</v>
      </c>
      <c r="E57" s="50">
        <v>3</v>
      </c>
      <c r="F57" s="50">
        <v>40</v>
      </c>
      <c r="G57" s="50">
        <v>3</v>
      </c>
      <c r="H57" s="50">
        <v>3</v>
      </c>
      <c r="I57" s="50">
        <v>6</v>
      </c>
      <c r="J57" s="50">
        <v>8</v>
      </c>
      <c r="K57" s="50">
        <v>2</v>
      </c>
      <c r="L57" s="50">
        <v>0</v>
      </c>
      <c r="M57" s="50">
        <v>200</v>
      </c>
      <c r="N57" s="50">
        <v>0</v>
      </c>
      <c r="O57" s="15">
        <f t="shared" si="0"/>
        <v>92</v>
      </c>
      <c r="P57" s="15">
        <f t="shared" si="1"/>
        <v>292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1920</v>
      </c>
      <c r="D58" s="16">
        <f t="shared" si="21"/>
        <v>266</v>
      </c>
      <c r="E58" s="16">
        <f t="shared" si="21"/>
        <v>201</v>
      </c>
      <c r="F58" s="16">
        <f t="shared" si="21"/>
        <v>1526</v>
      </c>
      <c r="G58" s="16">
        <f t="shared" si="21"/>
        <v>32</v>
      </c>
      <c r="H58" s="16">
        <f t="shared" si="21"/>
        <v>17</v>
      </c>
      <c r="I58" s="16">
        <f t="shared" si="21"/>
        <v>425</v>
      </c>
      <c r="J58" s="16">
        <f t="shared" si="21"/>
        <v>487</v>
      </c>
      <c r="K58" s="16">
        <f t="shared" si="21"/>
        <v>139</v>
      </c>
      <c r="L58" s="16">
        <f t="shared" si="21"/>
        <v>12</v>
      </c>
      <c r="M58" s="16">
        <f t="shared" si="21"/>
        <v>10901</v>
      </c>
      <c r="N58" s="16">
        <f t="shared" si="21"/>
        <v>1</v>
      </c>
      <c r="O58" s="16">
        <f t="shared" si="21"/>
        <v>5026</v>
      </c>
      <c r="P58" s="16">
        <f t="shared" si="21"/>
        <v>15927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0.12055000941796949</v>
      </c>
      <c r="D59" s="43">
        <f t="shared" si="22"/>
        <v>1.6701199221447856E-2</v>
      </c>
      <c r="E59" s="43">
        <f t="shared" si="22"/>
        <v>1.2620079110943681E-2</v>
      </c>
      <c r="F59" s="43">
        <f t="shared" si="22"/>
        <v>9.5812142901990333E-2</v>
      </c>
      <c r="G59" s="43">
        <f t="shared" si="22"/>
        <v>2.0091668236328249E-3</v>
      </c>
      <c r="H59" s="43">
        <f t="shared" si="22"/>
        <v>1.0673698750549381E-3</v>
      </c>
      <c r="I59" s="43">
        <f t="shared" si="22"/>
        <v>2.6684246876373455E-2</v>
      </c>
      <c r="J59" s="43">
        <f t="shared" si="22"/>
        <v>3.0577007597162052E-2</v>
      </c>
      <c r="K59" s="43">
        <f t="shared" si="22"/>
        <v>8.7273183901550831E-3</v>
      </c>
      <c r="L59" s="43">
        <f t="shared" si="22"/>
        <v>7.5343755886230932E-4</v>
      </c>
      <c r="M59" s="43">
        <f t="shared" si="22"/>
        <v>0.68443523576316945</v>
      </c>
      <c r="N59" s="43">
        <f t="shared" si="22"/>
        <v>6.2786463238525777E-5</v>
      </c>
      <c r="R59" s="8"/>
      <c r="T59"/>
    </row>
    <row r="60" spans="2:20" ht="23.1" customHeight="1" x14ac:dyDescent="0.25">
      <c r="B60" s="42" t="s">
        <v>94</v>
      </c>
      <c r="C60" s="44">
        <f>C58/$O$58</f>
        <v>0.38201352964584162</v>
      </c>
      <c r="D60" s="44">
        <f t="shared" ref="D60:N60" si="23">D58/$O$58</f>
        <v>5.2924791086350974E-2</v>
      </c>
      <c r="E60" s="44">
        <f t="shared" si="23"/>
        <v>3.9992041384799046E-2</v>
      </c>
      <c r="F60" s="44">
        <f t="shared" si="23"/>
        <v>0.30362116991643456</v>
      </c>
      <c r="G60" s="44">
        <f t="shared" si="23"/>
        <v>6.366892160764027E-3</v>
      </c>
      <c r="H60" s="44">
        <f t="shared" si="23"/>
        <v>3.3824114604058893E-3</v>
      </c>
      <c r="I60" s="44">
        <f t="shared" si="23"/>
        <v>8.4560286510147228E-2</v>
      </c>
      <c r="J60" s="44">
        <f t="shared" si="23"/>
        <v>9.6896140071627543E-2</v>
      </c>
      <c r="K60" s="44">
        <f t="shared" si="23"/>
        <v>2.7656187823318742E-2</v>
      </c>
      <c r="L60" s="44">
        <f t="shared" si="23"/>
        <v>2.3875845602865102E-3</v>
      </c>
      <c r="M60" s="44"/>
      <c r="N60" s="44">
        <f t="shared" si="23"/>
        <v>1.9896538002387584E-4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G5:H5"/>
    <mergeCell ref="G6:H6"/>
    <mergeCell ref="R8:AF8"/>
    <mergeCell ref="B1:AE1"/>
    <mergeCell ref="B2:AE2"/>
    <mergeCell ref="C3:G3"/>
    <mergeCell ref="D6:E6"/>
    <mergeCell ref="K6:L6"/>
    <mergeCell ref="K5:L5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K5" activeCellId="8" sqref="K5:L5 D6:E6 D6:E6 D5 C3:G3 G6:H6 G5:H5 K6:L6 K5:L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8" t="s">
        <v>23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</row>
    <row r="2" spans="2:32" ht="20.100000000000001" customHeight="1" x14ac:dyDescent="0.25">
      <c r="B2" s="59" t="s">
        <v>95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</row>
    <row r="3" spans="2:32" ht="20.100000000000001" customHeight="1" x14ac:dyDescent="0.25">
      <c r="B3" s="22" t="s">
        <v>96</v>
      </c>
      <c r="C3" s="63" t="str">
        <f>'22.07 Nateete-Ndeeba'!C3:G3</f>
        <v>MCC - C1 - STN07 - MASAKA ROAD</v>
      </c>
      <c r="D3" s="63"/>
      <c r="E3" s="63"/>
      <c r="F3" s="63"/>
      <c r="G3" s="63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51" t="str">
        <f>'22.07 Nateete-Ndeeba'!D5</f>
        <v>22/7/2019</v>
      </c>
      <c r="E5" s="3"/>
      <c r="F5" s="41" t="s">
        <v>1</v>
      </c>
      <c r="G5" s="61" t="str">
        <f>'22.07 Nateete-Ndeeba'!G5:H5</f>
        <v>Rhino Funeral Services</v>
      </c>
      <c r="H5" s="62"/>
      <c r="I5" s="14"/>
      <c r="J5" s="2" t="s">
        <v>5</v>
      </c>
      <c r="K5" s="61" t="s">
        <v>179</v>
      </c>
      <c r="L5" s="62"/>
      <c r="M5" s="10"/>
      <c r="N5" s="10"/>
      <c r="O5" s="3"/>
      <c r="P5" s="3"/>
    </row>
    <row r="6" spans="2:32" ht="23.25" customHeight="1" x14ac:dyDescent="0.25">
      <c r="C6" s="2" t="s">
        <v>4</v>
      </c>
      <c r="D6" s="55" t="s">
        <v>176</v>
      </c>
      <c r="E6" s="56"/>
      <c r="F6" s="2" t="s">
        <v>2</v>
      </c>
      <c r="G6" s="55" t="s">
        <v>175</v>
      </c>
      <c r="H6" s="56"/>
      <c r="J6" s="2" t="s">
        <v>21</v>
      </c>
      <c r="K6" s="61" t="str">
        <f>'22.07 Nateete-Ndeeba'!K6:L6</f>
        <v>Felix</v>
      </c>
      <c r="L6" s="62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7" t="s">
        <v>88</v>
      </c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23</v>
      </c>
      <c r="D10" s="50">
        <v>4</v>
      </c>
      <c r="E10" s="50">
        <v>1</v>
      </c>
      <c r="F10" s="50">
        <v>8</v>
      </c>
      <c r="G10" s="50">
        <v>2</v>
      </c>
      <c r="H10" s="50">
        <v>0</v>
      </c>
      <c r="I10" s="50">
        <v>14</v>
      </c>
      <c r="J10" s="50">
        <v>0</v>
      </c>
      <c r="K10" s="50">
        <v>0</v>
      </c>
      <c r="L10" s="50">
        <v>0</v>
      </c>
      <c r="M10" s="50">
        <v>123</v>
      </c>
      <c r="N10" s="50">
        <v>0</v>
      </c>
      <c r="O10" s="15">
        <f t="shared" ref="O10:O57" si="0">SUM(C10:L10,N10)</f>
        <v>52</v>
      </c>
      <c r="P10" s="15">
        <f t="shared" ref="P10:P57" si="1">SUM(C10:N10)</f>
        <v>175</v>
      </c>
      <c r="R10" s="1" t="s">
        <v>6</v>
      </c>
      <c r="S10" s="17">
        <f t="shared" ref="S10:AF10" si="2">SUM(C10:C13)</f>
        <v>76</v>
      </c>
      <c r="T10" s="17">
        <f t="shared" si="2"/>
        <v>7</v>
      </c>
      <c r="U10" s="17">
        <f t="shared" si="2"/>
        <v>11</v>
      </c>
      <c r="V10" s="17">
        <f t="shared" si="2"/>
        <v>89</v>
      </c>
      <c r="W10" s="17">
        <f t="shared" si="2"/>
        <v>3</v>
      </c>
      <c r="X10" s="17">
        <f t="shared" si="2"/>
        <v>1</v>
      </c>
      <c r="Y10" s="17">
        <f t="shared" si="2"/>
        <v>49</v>
      </c>
      <c r="Z10" s="17">
        <f t="shared" si="2"/>
        <v>2</v>
      </c>
      <c r="AA10" s="17">
        <f t="shared" si="2"/>
        <v>2</v>
      </c>
      <c r="AB10" s="17">
        <f t="shared" si="2"/>
        <v>1</v>
      </c>
      <c r="AC10" s="17">
        <f t="shared" si="2"/>
        <v>467</v>
      </c>
      <c r="AD10" s="17">
        <f t="shared" si="2"/>
        <v>0</v>
      </c>
      <c r="AE10" s="31">
        <f t="shared" si="2"/>
        <v>241</v>
      </c>
      <c r="AF10" s="31">
        <f t="shared" si="2"/>
        <v>708</v>
      </c>
    </row>
    <row r="11" spans="2:32" s="6" customFormat="1" ht="23.1" customHeight="1" x14ac:dyDescent="0.25">
      <c r="B11" s="23" t="s">
        <v>38</v>
      </c>
      <c r="C11" s="50">
        <v>15</v>
      </c>
      <c r="D11" s="50">
        <v>2</v>
      </c>
      <c r="E11" s="50">
        <v>5</v>
      </c>
      <c r="F11" s="50">
        <v>32</v>
      </c>
      <c r="G11" s="50">
        <v>0</v>
      </c>
      <c r="H11" s="50">
        <v>0</v>
      </c>
      <c r="I11" s="50">
        <v>24</v>
      </c>
      <c r="J11" s="50">
        <v>0</v>
      </c>
      <c r="K11" s="50">
        <v>2</v>
      </c>
      <c r="L11" s="50">
        <v>0</v>
      </c>
      <c r="M11" s="50">
        <v>73</v>
      </c>
      <c r="N11" s="50">
        <v>0</v>
      </c>
      <c r="O11" s="15">
        <f t="shared" si="0"/>
        <v>80</v>
      </c>
      <c r="P11" s="15">
        <f t="shared" si="1"/>
        <v>153</v>
      </c>
      <c r="R11" s="1" t="s">
        <v>7</v>
      </c>
      <c r="S11" s="17">
        <f t="shared" ref="S11:AF11" si="3">SUM(C14:C17)</f>
        <v>57</v>
      </c>
      <c r="T11" s="17">
        <f t="shared" si="3"/>
        <v>28</v>
      </c>
      <c r="U11" s="17">
        <f t="shared" si="3"/>
        <v>2</v>
      </c>
      <c r="V11" s="17">
        <f t="shared" si="3"/>
        <v>144</v>
      </c>
      <c r="W11" s="17">
        <f t="shared" si="3"/>
        <v>2</v>
      </c>
      <c r="X11" s="17">
        <f t="shared" si="3"/>
        <v>0</v>
      </c>
      <c r="Y11" s="17">
        <f t="shared" si="3"/>
        <v>28</v>
      </c>
      <c r="Z11" s="17">
        <f t="shared" si="3"/>
        <v>9</v>
      </c>
      <c r="AA11" s="17">
        <f t="shared" si="3"/>
        <v>11</v>
      </c>
      <c r="AB11" s="17">
        <f t="shared" si="3"/>
        <v>1</v>
      </c>
      <c r="AC11" s="17">
        <f t="shared" si="3"/>
        <v>715</v>
      </c>
      <c r="AD11" s="17">
        <f t="shared" si="3"/>
        <v>0</v>
      </c>
      <c r="AE11" s="31">
        <f t="shared" si="3"/>
        <v>282</v>
      </c>
      <c r="AF11" s="31">
        <f t="shared" si="3"/>
        <v>997</v>
      </c>
    </row>
    <row r="12" spans="2:32" ht="23.1" customHeight="1" x14ac:dyDescent="0.25">
      <c r="B12" s="23" t="s">
        <v>39</v>
      </c>
      <c r="C12" s="50">
        <v>10</v>
      </c>
      <c r="D12" s="50">
        <v>1</v>
      </c>
      <c r="E12" s="50">
        <v>2</v>
      </c>
      <c r="F12" s="50">
        <v>22</v>
      </c>
      <c r="G12" s="50">
        <v>0</v>
      </c>
      <c r="H12" s="50">
        <v>1</v>
      </c>
      <c r="I12" s="50">
        <v>7</v>
      </c>
      <c r="J12" s="50">
        <v>0</v>
      </c>
      <c r="K12" s="50">
        <v>0</v>
      </c>
      <c r="L12" s="50">
        <v>0</v>
      </c>
      <c r="M12" s="50">
        <v>105</v>
      </c>
      <c r="N12" s="50">
        <v>0</v>
      </c>
      <c r="O12" s="15">
        <f t="shared" si="0"/>
        <v>43</v>
      </c>
      <c r="P12" s="15">
        <f t="shared" si="1"/>
        <v>148</v>
      </c>
      <c r="R12" s="1" t="s">
        <v>8</v>
      </c>
      <c r="S12" s="17">
        <f t="shared" ref="S12:AF12" si="4">SUM(C18:C21)</f>
        <v>123</v>
      </c>
      <c r="T12" s="17">
        <f t="shared" si="4"/>
        <v>19</v>
      </c>
      <c r="U12" s="17">
        <f t="shared" si="4"/>
        <v>3</v>
      </c>
      <c r="V12" s="17">
        <f t="shared" si="4"/>
        <v>221</v>
      </c>
      <c r="W12" s="17">
        <f t="shared" si="4"/>
        <v>4</v>
      </c>
      <c r="X12" s="17">
        <f t="shared" si="4"/>
        <v>3</v>
      </c>
      <c r="Y12" s="17">
        <f t="shared" si="4"/>
        <v>37</v>
      </c>
      <c r="Z12" s="17">
        <f t="shared" si="4"/>
        <v>12</v>
      </c>
      <c r="AA12" s="17">
        <f t="shared" si="4"/>
        <v>2</v>
      </c>
      <c r="AB12" s="17">
        <f t="shared" si="4"/>
        <v>0</v>
      </c>
      <c r="AC12" s="17">
        <f t="shared" si="4"/>
        <v>868</v>
      </c>
      <c r="AD12" s="17">
        <f t="shared" si="4"/>
        <v>0</v>
      </c>
      <c r="AE12" s="31">
        <f t="shared" si="4"/>
        <v>424</v>
      </c>
      <c r="AF12" s="31">
        <f t="shared" si="4"/>
        <v>1292</v>
      </c>
    </row>
    <row r="13" spans="2:32" ht="23.1" customHeight="1" x14ac:dyDescent="0.25">
      <c r="B13" s="23" t="s">
        <v>40</v>
      </c>
      <c r="C13" s="50">
        <v>28</v>
      </c>
      <c r="D13" s="50">
        <v>0</v>
      </c>
      <c r="E13" s="50">
        <v>3</v>
      </c>
      <c r="F13" s="50">
        <v>27</v>
      </c>
      <c r="G13" s="50">
        <v>1</v>
      </c>
      <c r="H13" s="50">
        <v>0</v>
      </c>
      <c r="I13" s="50">
        <v>4</v>
      </c>
      <c r="J13" s="50">
        <v>2</v>
      </c>
      <c r="K13" s="50">
        <v>0</v>
      </c>
      <c r="L13" s="50">
        <v>1</v>
      </c>
      <c r="M13" s="50">
        <v>166</v>
      </c>
      <c r="N13" s="50">
        <v>0</v>
      </c>
      <c r="O13" s="15">
        <f t="shared" si="0"/>
        <v>66</v>
      </c>
      <c r="P13" s="15">
        <f t="shared" si="1"/>
        <v>232</v>
      </c>
      <c r="R13" s="1" t="s">
        <v>9</v>
      </c>
      <c r="S13" s="17">
        <f t="shared" ref="S13:AF13" si="5">SUM(C22:C25)</f>
        <v>79</v>
      </c>
      <c r="T13" s="17">
        <f t="shared" si="5"/>
        <v>19</v>
      </c>
      <c r="U13" s="17">
        <f t="shared" si="5"/>
        <v>7</v>
      </c>
      <c r="V13" s="17">
        <f t="shared" si="5"/>
        <v>223</v>
      </c>
      <c r="W13" s="17">
        <f t="shared" si="5"/>
        <v>4</v>
      </c>
      <c r="X13" s="17">
        <f t="shared" si="5"/>
        <v>0</v>
      </c>
      <c r="Y13" s="17">
        <f t="shared" si="5"/>
        <v>52</v>
      </c>
      <c r="Z13" s="17">
        <f t="shared" si="5"/>
        <v>11</v>
      </c>
      <c r="AA13" s="17">
        <f t="shared" si="5"/>
        <v>6</v>
      </c>
      <c r="AB13" s="17">
        <f t="shared" si="5"/>
        <v>1</v>
      </c>
      <c r="AC13" s="17">
        <f t="shared" si="5"/>
        <v>677</v>
      </c>
      <c r="AD13" s="17">
        <f t="shared" si="5"/>
        <v>0</v>
      </c>
      <c r="AE13" s="31">
        <f t="shared" si="5"/>
        <v>402</v>
      </c>
      <c r="AF13" s="31">
        <f t="shared" si="5"/>
        <v>1079</v>
      </c>
    </row>
    <row r="14" spans="2:32" ht="23.1" customHeight="1" x14ac:dyDescent="0.25">
      <c r="B14" s="23" t="s">
        <v>41</v>
      </c>
      <c r="C14" s="50">
        <v>8</v>
      </c>
      <c r="D14" s="50">
        <v>3</v>
      </c>
      <c r="E14" s="50">
        <v>1</v>
      </c>
      <c r="F14" s="50">
        <v>32</v>
      </c>
      <c r="G14" s="50">
        <v>0</v>
      </c>
      <c r="H14" s="50">
        <v>0</v>
      </c>
      <c r="I14" s="50">
        <v>2</v>
      </c>
      <c r="J14" s="50">
        <v>4</v>
      </c>
      <c r="K14" s="50">
        <v>0</v>
      </c>
      <c r="L14" s="50">
        <v>0</v>
      </c>
      <c r="M14" s="50">
        <v>165</v>
      </c>
      <c r="N14" s="50">
        <v>0</v>
      </c>
      <c r="O14" s="15">
        <f t="shared" si="0"/>
        <v>50</v>
      </c>
      <c r="P14" s="15">
        <f t="shared" si="1"/>
        <v>215</v>
      </c>
      <c r="R14" s="1" t="s">
        <v>10</v>
      </c>
      <c r="S14" s="17">
        <f t="shared" ref="S14:AF14" si="6">SUM(C26:C29)</f>
        <v>73</v>
      </c>
      <c r="T14" s="17">
        <f t="shared" si="6"/>
        <v>15</v>
      </c>
      <c r="U14" s="17">
        <f t="shared" si="6"/>
        <v>9</v>
      </c>
      <c r="V14" s="17">
        <f t="shared" si="6"/>
        <v>87</v>
      </c>
      <c r="W14" s="17">
        <f t="shared" si="6"/>
        <v>1</v>
      </c>
      <c r="X14" s="17">
        <f t="shared" si="6"/>
        <v>3</v>
      </c>
      <c r="Y14" s="17">
        <f t="shared" si="6"/>
        <v>78</v>
      </c>
      <c r="Z14" s="17">
        <f t="shared" si="6"/>
        <v>6</v>
      </c>
      <c r="AA14" s="17">
        <f t="shared" si="6"/>
        <v>4</v>
      </c>
      <c r="AB14" s="17">
        <f t="shared" si="6"/>
        <v>0</v>
      </c>
      <c r="AC14" s="17">
        <f t="shared" si="6"/>
        <v>543</v>
      </c>
      <c r="AD14" s="17">
        <f t="shared" si="6"/>
        <v>0</v>
      </c>
      <c r="AE14" s="31">
        <f t="shared" si="6"/>
        <v>276</v>
      </c>
      <c r="AF14" s="31">
        <f t="shared" si="6"/>
        <v>819</v>
      </c>
    </row>
    <row r="15" spans="2:32" ht="23.1" customHeight="1" x14ac:dyDescent="0.25">
      <c r="B15" s="23" t="s">
        <v>42</v>
      </c>
      <c r="C15" s="50">
        <v>11</v>
      </c>
      <c r="D15" s="50">
        <v>8</v>
      </c>
      <c r="E15" s="50">
        <v>0</v>
      </c>
      <c r="F15" s="50">
        <v>37</v>
      </c>
      <c r="G15" s="50">
        <v>0</v>
      </c>
      <c r="H15" s="50">
        <v>0</v>
      </c>
      <c r="I15" s="50">
        <v>6</v>
      </c>
      <c r="J15" s="50">
        <v>3</v>
      </c>
      <c r="K15" s="50">
        <v>0</v>
      </c>
      <c r="L15" s="50">
        <v>1</v>
      </c>
      <c r="M15" s="50">
        <v>170</v>
      </c>
      <c r="N15" s="50">
        <v>0</v>
      </c>
      <c r="O15" s="15">
        <f t="shared" si="0"/>
        <v>66</v>
      </c>
      <c r="P15" s="15">
        <f t="shared" si="1"/>
        <v>236</v>
      </c>
      <c r="R15" s="1" t="s">
        <v>11</v>
      </c>
      <c r="S15" s="17">
        <f t="shared" ref="S15:AF15" si="7">SUM(C30:C33)</f>
        <v>125</v>
      </c>
      <c r="T15" s="17">
        <f t="shared" si="7"/>
        <v>14</v>
      </c>
      <c r="U15" s="17">
        <f t="shared" si="7"/>
        <v>8</v>
      </c>
      <c r="V15" s="17">
        <f t="shared" si="7"/>
        <v>150</v>
      </c>
      <c r="W15" s="17">
        <f t="shared" si="7"/>
        <v>4</v>
      </c>
      <c r="X15" s="17">
        <f t="shared" si="7"/>
        <v>1</v>
      </c>
      <c r="Y15" s="17">
        <f t="shared" si="7"/>
        <v>69</v>
      </c>
      <c r="Z15" s="17">
        <f t="shared" si="7"/>
        <v>14</v>
      </c>
      <c r="AA15" s="17">
        <f t="shared" si="7"/>
        <v>11</v>
      </c>
      <c r="AB15" s="17">
        <f t="shared" si="7"/>
        <v>5</v>
      </c>
      <c r="AC15" s="17">
        <f t="shared" si="7"/>
        <v>595</v>
      </c>
      <c r="AD15" s="17">
        <f t="shared" si="7"/>
        <v>1</v>
      </c>
      <c r="AE15" s="31">
        <f t="shared" si="7"/>
        <v>402</v>
      </c>
      <c r="AF15" s="31">
        <f t="shared" si="7"/>
        <v>997</v>
      </c>
    </row>
    <row r="16" spans="2:32" ht="23.1" customHeight="1" x14ac:dyDescent="0.25">
      <c r="B16" s="23" t="s">
        <v>43</v>
      </c>
      <c r="C16" s="50">
        <v>13</v>
      </c>
      <c r="D16" s="50">
        <v>13</v>
      </c>
      <c r="E16" s="50">
        <v>1</v>
      </c>
      <c r="F16" s="50">
        <v>39</v>
      </c>
      <c r="G16" s="50">
        <v>1</v>
      </c>
      <c r="H16" s="50">
        <v>0</v>
      </c>
      <c r="I16" s="50">
        <v>11</v>
      </c>
      <c r="J16" s="50">
        <v>0</v>
      </c>
      <c r="K16" s="50">
        <v>11</v>
      </c>
      <c r="L16" s="50">
        <v>0</v>
      </c>
      <c r="M16" s="50">
        <v>180</v>
      </c>
      <c r="N16" s="50">
        <v>0</v>
      </c>
      <c r="O16" s="15">
        <f t="shared" si="0"/>
        <v>89</v>
      </c>
      <c r="P16" s="15">
        <f t="shared" si="1"/>
        <v>269</v>
      </c>
      <c r="R16" s="1" t="s">
        <v>12</v>
      </c>
      <c r="S16" s="17">
        <f t="shared" ref="S16:AF16" si="8">SUM(C34:C37)</f>
        <v>148</v>
      </c>
      <c r="T16" s="17">
        <f t="shared" si="8"/>
        <v>18</v>
      </c>
      <c r="U16" s="17">
        <f t="shared" si="8"/>
        <v>9</v>
      </c>
      <c r="V16" s="17">
        <f t="shared" si="8"/>
        <v>154</v>
      </c>
      <c r="W16" s="17">
        <f t="shared" si="8"/>
        <v>0</v>
      </c>
      <c r="X16" s="17">
        <f t="shared" si="8"/>
        <v>0</v>
      </c>
      <c r="Y16" s="17">
        <f t="shared" si="8"/>
        <v>92</v>
      </c>
      <c r="Z16" s="17">
        <f t="shared" si="8"/>
        <v>15</v>
      </c>
      <c r="AA16" s="17">
        <f t="shared" si="8"/>
        <v>0</v>
      </c>
      <c r="AB16" s="17">
        <f t="shared" si="8"/>
        <v>0</v>
      </c>
      <c r="AC16" s="17">
        <f t="shared" si="8"/>
        <v>730</v>
      </c>
      <c r="AD16" s="17">
        <f t="shared" si="8"/>
        <v>0</v>
      </c>
      <c r="AE16" s="31">
        <f t="shared" si="8"/>
        <v>436</v>
      </c>
      <c r="AF16" s="31">
        <f t="shared" si="8"/>
        <v>1166</v>
      </c>
    </row>
    <row r="17" spans="2:32" ht="23.1" customHeight="1" x14ac:dyDescent="0.25">
      <c r="B17" s="23" t="s">
        <v>44</v>
      </c>
      <c r="C17" s="50">
        <v>25</v>
      </c>
      <c r="D17" s="50">
        <v>4</v>
      </c>
      <c r="E17" s="50">
        <v>0</v>
      </c>
      <c r="F17" s="50">
        <v>36</v>
      </c>
      <c r="G17" s="50">
        <v>1</v>
      </c>
      <c r="H17" s="50">
        <v>0</v>
      </c>
      <c r="I17" s="50">
        <v>9</v>
      </c>
      <c r="J17" s="50">
        <v>2</v>
      </c>
      <c r="K17" s="50">
        <v>0</v>
      </c>
      <c r="L17" s="50">
        <v>0</v>
      </c>
      <c r="M17" s="50">
        <v>200</v>
      </c>
      <c r="N17" s="50">
        <v>0</v>
      </c>
      <c r="O17" s="15">
        <f t="shared" si="0"/>
        <v>77</v>
      </c>
      <c r="P17" s="15">
        <f t="shared" si="1"/>
        <v>277</v>
      </c>
      <c r="R17" s="1" t="s">
        <v>13</v>
      </c>
      <c r="S17" s="17">
        <f t="shared" ref="S17:AF17" si="9">SUM(C38:C41)</f>
        <v>137</v>
      </c>
      <c r="T17" s="17">
        <f t="shared" si="9"/>
        <v>36</v>
      </c>
      <c r="U17" s="17">
        <f t="shared" si="9"/>
        <v>16</v>
      </c>
      <c r="V17" s="17">
        <f t="shared" si="9"/>
        <v>133</v>
      </c>
      <c r="W17" s="17">
        <f t="shared" si="9"/>
        <v>7</v>
      </c>
      <c r="X17" s="17">
        <f t="shared" si="9"/>
        <v>0</v>
      </c>
      <c r="Y17" s="17">
        <f t="shared" si="9"/>
        <v>44</v>
      </c>
      <c r="Z17" s="17">
        <f t="shared" si="9"/>
        <v>45</v>
      </c>
      <c r="AA17" s="17">
        <f t="shared" si="9"/>
        <v>5</v>
      </c>
      <c r="AB17" s="17">
        <f t="shared" si="9"/>
        <v>3</v>
      </c>
      <c r="AC17" s="17">
        <f t="shared" si="9"/>
        <v>570</v>
      </c>
      <c r="AD17" s="17">
        <f t="shared" si="9"/>
        <v>0</v>
      </c>
      <c r="AE17" s="31">
        <f t="shared" si="9"/>
        <v>426</v>
      </c>
      <c r="AF17" s="31">
        <f t="shared" si="9"/>
        <v>996</v>
      </c>
    </row>
    <row r="18" spans="2:32" ht="23.1" customHeight="1" x14ac:dyDescent="0.25">
      <c r="B18" s="23" t="s">
        <v>45</v>
      </c>
      <c r="C18" s="50">
        <v>40</v>
      </c>
      <c r="D18" s="50">
        <v>0</v>
      </c>
      <c r="E18" s="50">
        <v>0</v>
      </c>
      <c r="F18" s="50">
        <v>60</v>
      </c>
      <c r="G18" s="50">
        <v>0</v>
      </c>
      <c r="H18" s="50">
        <v>0</v>
      </c>
      <c r="I18" s="50">
        <v>2</v>
      </c>
      <c r="J18" s="50">
        <v>1</v>
      </c>
      <c r="K18" s="50">
        <v>0</v>
      </c>
      <c r="L18" s="50">
        <v>0</v>
      </c>
      <c r="M18" s="50">
        <v>215</v>
      </c>
      <c r="N18" s="50">
        <v>0</v>
      </c>
      <c r="O18" s="15">
        <f t="shared" si="0"/>
        <v>103</v>
      </c>
      <c r="P18" s="15">
        <f t="shared" si="1"/>
        <v>318</v>
      </c>
      <c r="R18" s="1" t="s">
        <v>14</v>
      </c>
      <c r="S18" s="17">
        <f t="shared" ref="S18:AF18" si="10">SUM(C42:C45)</f>
        <v>107</v>
      </c>
      <c r="T18" s="17">
        <f t="shared" si="10"/>
        <v>60</v>
      </c>
      <c r="U18" s="17">
        <f t="shared" si="10"/>
        <v>4</v>
      </c>
      <c r="V18" s="17">
        <f t="shared" si="10"/>
        <v>74</v>
      </c>
      <c r="W18" s="17">
        <f t="shared" si="10"/>
        <v>5</v>
      </c>
      <c r="X18" s="17">
        <f t="shared" si="10"/>
        <v>1</v>
      </c>
      <c r="Y18" s="17">
        <f t="shared" si="10"/>
        <v>24</v>
      </c>
      <c r="Z18" s="17">
        <f t="shared" si="10"/>
        <v>13</v>
      </c>
      <c r="AA18" s="17">
        <f t="shared" si="10"/>
        <v>9</v>
      </c>
      <c r="AB18" s="17">
        <f t="shared" si="10"/>
        <v>2</v>
      </c>
      <c r="AC18" s="17">
        <f t="shared" si="10"/>
        <v>335</v>
      </c>
      <c r="AD18" s="17">
        <f t="shared" si="10"/>
        <v>0</v>
      </c>
      <c r="AE18" s="31">
        <f t="shared" si="10"/>
        <v>299</v>
      </c>
      <c r="AF18" s="31">
        <f t="shared" si="10"/>
        <v>634</v>
      </c>
    </row>
    <row r="19" spans="2:32" ht="23.1" customHeight="1" x14ac:dyDescent="0.25">
      <c r="B19" s="23" t="s">
        <v>46</v>
      </c>
      <c r="C19" s="50">
        <v>26</v>
      </c>
      <c r="D19" s="50">
        <v>2</v>
      </c>
      <c r="E19" s="50">
        <v>2</v>
      </c>
      <c r="F19" s="50">
        <v>60</v>
      </c>
      <c r="G19" s="50">
        <v>3</v>
      </c>
      <c r="H19" s="50">
        <v>0</v>
      </c>
      <c r="I19" s="50">
        <v>11</v>
      </c>
      <c r="J19" s="50">
        <v>5</v>
      </c>
      <c r="K19" s="50">
        <v>0</v>
      </c>
      <c r="L19" s="50">
        <v>0</v>
      </c>
      <c r="M19" s="50">
        <v>190</v>
      </c>
      <c r="N19" s="50">
        <v>0</v>
      </c>
      <c r="O19" s="15">
        <f t="shared" si="0"/>
        <v>109</v>
      </c>
      <c r="P19" s="15">
        <f t="shared" si="1"/>
        <v>299</v>
      </c>
      <c r="R19" s="1" t="s">
        <v>15</v>
      </c>
      <c r="S19" s="17">
        <f t="shared" ref="S19:AF19" si="11">SUM(C46:C49)</f>
        <v>104</v>
      </c>
      <c r="T19" s="17">
        <f t="shared" si="11"/>
        <v>33</v>
      </c>
      <c r="U19" s="17">
        <f t="shared" si="11"/>
        <v>20</v>
      </c>
      <c r="V19" s="17">
        <f t="shared" si="11"/>
        <v>130</v>
      </c>
      <c r="W19" s="17">
        <f t="shared" si="11"/>
        <v>0</v>
      </c>
      <c r="X19" s="17">
        <f t="shared" si="11"/>
        <v>0</v>
      </c>
      <c r="Y19" s="17">
        <f t="shared" si="11"/>
        <v>47</v>
      </c>
      <c r="Z19" s="17">
        <f t="shared" si="11"/>
        <v>33</v>
      </c>
      <c r="AA19" s="17">
        <f t="shared" si="11"/>
        <v>8</v>
      </c>
      <c r="AB19" s="17">
        <f t="shared" si="11"/>
        <v>7</v>
      </c>
      <c r="AC19" s="17">
        <f t="shared" si="11"/>
        <v>549</v>
      </c>
      <c r="AD19" s="17">
        <f t="shared" si="11"/>
        <v>0</v>
      </c>
      <c r="AE19" s="31">
        <f t="shared" si="11"/>
        <v>382</v>
      </c>
      <c r="AF19" s="31">
        <f t="shared" si="11"/>
        <v>931</v>
      </c>
    </row>
    <row r="20" spans="2:32" ht="23.1" customHeight="1" x14ac:dyDescent="0.25">
      <c r="B20" s="23" t="s">
        <v>47</v>
      </c>
      <c r="C20" s="50">
        <v>9</v>
      </c>
      <c r="D20" s="50">
        <v>1</v>
      </c>
      <c r="E20" s="50">
        <v>0</v>
      </c>
      <c r="F20" s="50">
        <v>32</v>
      </c>
      <c r="G20" s="50">
        <v>1</v>
      </c>
      <c r="H20" s="50">
        <v>0</v>
      </c>
      <c r="I20" s="50">
        <v>9</v>
      </c>
      <c r="J20" s="50">
        <v>0</v>
      </c>
      <c r="K20" s="50">
        <v>2</v>
      </c>
      <c r="L20" s="50">
        <v>0</v>
      </c>
      <c r="M20" s="50">
        <v>170</v>
      </c>
      <c r="N20" s="50">
        <v>0</v>
      </c>
      <c r="O20" s="15">
        <f t="shared" si="0"/>
        <v>54</v>
      </c>
      <c r="P20" s="15">
        <f t="shared" si="1"/>
        <v>224</v>
      </c>
      <c r="R20" s="1" t="s">
        <v>16</v>
      </c>
      <c r="S20" s="17">
        <f t="shared" ref="S20:AF20" si="12">SUM(C50:C53)</f>
        <v>85</v>
      </c>
      <c r="T20" s="17">
        <f t="shared" si="12"/>
        <v>103</v>
      </c>
      <c r="U20" s="17">
        <f t="shared" si="12"/>
        <v>41</v>
      </c>
      <c r="V20" s="17">
        <f t="shared" si="12"/>
        <v>129</v>
      </c>
      <c r="W20" s="17">
        <f t="shared" si="12"/>
        <v>1</v>
      </c>
      <c r="X20" s="17">
        <f t="shared" si="12"/>
        <v>9</v>
      </c>
      <c r="Y20" s="17">
        <f t="shared" si="12"/>
        <v>44</v>
      </c>
      <c r="Z20" s="17">
        <f t="shared" si="12"/>
        <v>36</v>
      </c>
      <c r="AA20" s="17">
        <f t="shared" si="12"/>
        <v>14</v>
      </c>
      <c r="AB20" s="17">
        <f t="shared" si="12"/>
        <v>4</v>
      </c>
      <c r="AC20" s="17">
        <f t="shared" si="12"/>
        <v>570</v>
      </c>
      <c r="AD20" s="17">
        <f t="shared" si="12"/>
        <v>0</v>
      </c>
      <c r="AE20" s="31">
        <f t="shared" si="12"/>
        <v>466</v>
      </c>
      <c r="AF20" s="31">
        <f t="shared" si="12"/>
        <v>1036</v>
      </c>
    </row>
    <row r="21" spans="2:32" ht="23.1" customHeight="1" x14ac:dyDescent="0.25">
      <c r="B21" s="23" t="s">
        <v>48</v>
      </c>
      <c r="C21" s="50">
        <v>48</v>
      </c>
      <c r="D21" s="50">
        <v>16</v>
      </c>
      <c r="E21" s="50">
        <v>1</v>
      </c>
      <c r="F21" s="50">
        <v>69</v>
      </c>
      <c r="G21" s="50">
        <v>0</v>
      </c>
      <c r="H21" s="50">
        <v>3</v>
      </c>
      <c r="I21" s="50">
        <v>15</v>
      </c>
      <c r="J21" s="50">
        <v>6</v>
      </c>
      <c r="K21" s="50">
        <v>0</v>
      </c>
      <c r="L21" s="50">
        <v>0</v>
      </c>
      <c r="M21" s="50">
        <v>293</v>
      </c>
      <c r="N21" s="50">
        <v>0</v>
      </c>
      <c r="O21" s="15">
        <f t="shared" si="0"/>
        <v>158</v>
      </c>
      <c r="P21" s="15">
        <f t="shared" si="1"/>
        <v>451</v>
      </c>
      <c r="R21" s="36" t="s">
        <v>20</v>
      </c>
      <c r="S21" s="34">
        <f t="shared" ref="S21:AF21" si="13">SUM(C54:C57)</f>
        <v>127</v>
      </c>
      <c r="T21" s="17">
        <f t="shared" si="13"/>
        <v>26</v>
      </c>
      <c r="U21" s="17">
        <f t="shared" si="13"/>
        <v>2</v>
      </c>
      <c r="V21" s="17">
        <f t="shared" si="13"/>
        <v>510</v>
      </c>
      <c r="W21" s="17">
        <f t="shared" si="13"/>
        <v>0</v>
      </c>
      <c r="X21" s="17">
        <f t="shared" si="13"/>
        <v>0</v>
      </c>
      <c r="Y21" s="17">
        <f t="shared" si="13"/>
        <v>41</v>
      </c>
      <c r="Z21" s="17">
        <f t="shared" si="13"/>
        <v>47</v>
      </c>
      <c r="AA21" s="17">
        <f t="shared" si="13"/>
        <v>7</v>
      </c>
      <c r="AB21" s="17">
        <f t="shared" si="13"/>
        <v>2</v>
      </c>
      <c r="AC21" s="17">
        <f t="shared" si="13"/>
        <v>455</v>
      </c>
      <c r="AD21" s="17">
        <f t="shared" si="13"/>
        <v>0</v>
      </c>
      <c r="AE21" s="31">
        <f t="shared" si="13"/>
        <v>762</v>
      </c>
      <c r="AF21" s="31">
        <f t="shared" si="13"/>
        <v>1217</v>
      </c>
    </row>
    <row r="22" spans="2:32" ht="23.1" customHeight="1" x14ac:dyDescent="0.25">
      <c r="B22" s="23" t="s">
        <v>49</v>
      </c>
      <c r="C22" s="50">
        <v>20</v>
      </c>
      <c r="D22" s="50">
        <v>9</v>
      </c>
      <c r="E22" s="50">
        <v>2</v>
      </c>
      <c r="F22" s="50">
        <v>50</v>
      </c>
      <c r="G22" s="50">
        <v>2</v>
      </c>
      <c r="H22" s="50">
        <v>0</v>
      </c>
      <c r="I22" s="50">
        <v>11</v>
      </c>
      <c r="J22" s="50">
        <v>2</v>
      </c>
      <c r="K22" s="50">
        <v>0</v>
      </c>
      <c r="L22" s="50">
        <v>0</v>
      </c>
      <c r="M22" s="50">
        <v>180</v>
      </c>
      <c r="N22" s="50">
        <v>0</v>
      </c>
      <c r="O22" s="15">
        <f t="shared" si="0"/>
        <v>96</v>
      </c>
      <c r="P22" s="15">
        <f t="shared" si="1"/>
        <v>276</v>
      </c>
      <c r="R22" s="38" t="s">
        <v>90</v>
      </c>
      <c r="S22" s="39">
        <f>MAX(S10:S12)</f>
        <v>123</v>
      </c>
      <c r="T22" s="39">
        <f t="shared" ref="T22:AF22" si="14">MAX(T10:T12)</f>
        <v>28</v>
      </c>
      <c r="U22" s="39">
        <f t="shared" si="14"/>
        <v>11</v>
      </c>
      <c r="V22" s="39">
        <f t="shared" si="14"/>
        <v>221</v>
      </c>
      <c r="W22" s="39">
        <f t="shared" si="14"/>
        <v>4</v>
      </c>
      <c r="X22" s="39">
        <f t="shared" si="14"/>
        <v>3</v>
      </c>
      <c r="Y22" s="39">
        <f t="shared" si="14"/>
        <v>49</v>
      </c>
      <c r="Z22" s="39">
        <f t="shared" si="14"/>
        <v>12</v>
      </c>
      <c r="AA22" s="39">
        <f t="shared" si="14"/>
        <v>11</v>
      </c>
      <c r="AB22" s="39">
        <f t="shared" si="14"/>
        <v>1</v>
      </c>
      <c r="AC22" s="39">
        <f t="shared" si="14"/>
        <v>868</v>
      </c>
      <c r="AD22" s="39">
        <f t="shared" si="14"/>
        <v>0</v>
      </c>
      <c r="AE22" s="40">
        <f t="shared" si="14"/>
        <v>424</v>
      </c>
      <c r="AF22" s="40">
        <f t="shared" si="14"/>
        <v>1292</v>
      </c>
    </row>
    <row r="23" spans="2:32" ht="23.1" customHeight="1" x14ac:dyDescent="0.25">
      <c r="B23" s="23" t="s">
        <v>50</v>
      </c>
      <c r="C23" s="50">
        <v>24</v>
      </c>
      <c r="D23" s="50">
        <v>0</v>
      </c>
      <c r="E23" s="50">
        <v>1</v>
      </c>
      <c r="F23" s="50">
        <v>70</v>
      </c>
      <c r="G23" s="50">
        <v>1</v>
      </c>
      <c r="H23" s="50">
        <v>0</v>
      </c>
      <c r="I23" s="50">
        <v>7</v>
      </c>
      <c r="J23" s="50">
        <v>0</v>
      </c>
      <c r="K23" s="50">
        <v>1</v>
      </c>
      <c r="L23" s="50">
        <v>1</v>
      </c>
      <c r="M23" s="50">
        <v>210</v>
      </c>
      <c r="N23" s="50">
        <v>0</v>
      </c>
      <c r="O23" s="15">
        <f t="shared" si="0"/>
        <v>105</v>
      </c>
      <c r="P23" s="15">
        <f t="shared" si="1"/>
        <v>315</v>
      </c>
      <c r="R23" s="38" t="s">
        <v>91</v>
      </c>
      <c r="S23" s="39">
        <f>MAX(S13:S18)</f>
        <v>148</v>
      </c>
      <c r="T23" s="39">
        <f t="shared" ref="T23:AF23" si="15">MAX(T13:T18)</f>
        <v>60</v>
      </c>
      <c r="U23" s="39">
        <f t="shared" si="15"/>
        <v>16</v>
      </c>
      <c r="V23" s="39">
        <f t="shared" si="15"/>
        <v>223</v>
      </c>
      <c r="W23" s="39">
        <f t="shared" si="15"/>
        <v>7</v>
      </c>
      <c r="X23" s="39">
        <f t="shared" si="15"/>
        <v>3</v>
      </c>
      <c r="Y23" s="39">
        <f t="shared" si="15"/>
        <v>92</v>
      </c>
      <c r="Z23" s="39">
        <f t="shared" si="15"/>
        <v>45</v>
      </c>
      <c r="AA23" s="39">
        <f t="shared" si="15"/>
        <v>11</v>
      </c>
      <c r="AB23" s="39">
        <f t="shared" si="15"/>
        <v>5</v>
      </c>
      <c r="AC23" s="39">
        <f t="shared" si="15"/>
        <v>730</v>
      </c>
      <c r="AD23" s="39">
        <f t="shared" si="15"/>
        <v>1</v>
      </c>
      <c r="AE23" s="40">
        <f t="shared" si="15"/>
        <v>436</v>
      </c>
      <c r="AF23" s="40">
        <f t="shared" si="15"/>
        <v>1166</v>
      </c>
    </row>
    <row r="24" spans="2:32" ht="23.1" customHeight="1" x14ac:dyDescent="0.25">
      <c r="B24" s="23" t="s">
        <v>51</v>
      </c>
      <c r="C24" s="50">
        <v>20</v>
      </c>
      <c r="D24" s="50">
        <v>5</v>
      </c>
      <c r="E24" s="50">
        <v>4</v>
      </c>
      <c r="F24" s="50">
        <v>41</v>
      </c>
      <c r="G24" s="50">
        <v>0</v>
      </c>
      <c r="H24" s="50">
        <v>0</v>
      </c>
      <c r="I24" s="50">
        <v>11</v>
      </c>
      <c r="J24" s="50">
        <v>6</v>
      </c>
      <c r="K24" s="50">
        <v>4</v>
      </c>
      <c r="L24" s="50">
        <v>0</v>
      </c>
      <c r="M24" s="50">
        <v>147</v>
      </c>
      <c r="N24" s="50">
        <v>0</v>
      </c>
      <c r="O24" s="15">
        <f t="shared" si="0"/>
        <v>91</v>
      </c>
      <c r="P24" s="15">
        <f t="shared" si="1"/>
        <v>238</v>
      </c>
      <c r="R24" s="38" t="s">
        <v>92</v>
      </c>
      <c r="S24" s="39">
        <f>MAX(S19:S21)</f>
        <v>127</v>
      </c>
      <c r="T24" s="39">
        <f t="shared" ref="T24:AF24" si="16">MAX(T19:T21)</f>
        <v>103</v>
      </c>
      <c r="U24" s="39">
        <f t="shared" si="16"/>
        <v>41</v>
      </c>
      <c r="V24" s="39">
        <f t="shared" si="16"/>
        <v>510</v>
      </c>
      <c r="W24" s="39">
        <f t="shared" si="16"/>
        <v>1</v>
      </c>
      <c r="X24" s="39">
        <f t="shared" si="16"/>
        <v>9</v>
      </c>
      <c r="Y24" s="39">
        <f t="shared" si="16"/>
        <v>47</v>
      </c>
      <c r="Z24" s="39">
        <f t="shared" si="16"/>
        <v>47</v>
      </c>
      <c r="AA24" s="39">
        <f t="shared" si="16"/>
        <v>14</v>
      </c>
      <c r="AB24" s="39">
        <f t="shared" si="16"/>
        <v>7</v>
      </c>
      <c r="AC24" s="39">
        <f t="shared" si="16"/>
        <v>570</v>
      </c>
      <c r="AD24" s="39">
        <f t="shared" si="16"/>
        <v>0</v>
      </c>
      <c r="AE24" s="40">
        <f t="shared" si="16"/>
        <v>762</v>
      </c>
      <c r="AF24" s="40">
        <f t="shared" si="16"/>
        <v>1217</v>
      </c>
    </row>
    <row r="25" spans="2:32" ht="23.1" customHeight="1" x14ac:dyDescent="0.25">
      <c r="B25" s="23" t="s">
        <v>52</v>
      </c>
      <c r="C25" s="50">
        <v>15</v>
      </c>
      <c r="D25" s="50">
        <v>5</v>
      </c>
      <c r="E25" s="50">
        <v>0</v>
      </c>
      <c r="F25" s="50">
        <v>62</v>
      </c>
      <c r="G25" s="50">
        <v>1</v>
      </c>
      <c r="H25" s="50">
        <v>0</v>
      </c>
      <c r="I25" s="50">
        <v>23</v>
      </c>
      <c r="J25" s="50">
        <v>3</v>
      </c>
      <c r="K25" s="50">
        <v>1</v>
      </c>
      <c r="L25" s="50">
        <v>0</v>
      </c>
      <c r="M25" s="50">
        <v>140</v>
      </c>
      <c r="N25" s="50">
        <v>0</v>
      </c>
      <c r="O25" s="15">
        <f t="shared" si="0"/>
        <v>110</v>
      </c>
      <c r="P25" s="15">
        <f t="shared" si="1"/>
        <v>250</v>
      </c>
      <c r="R25" s="37" t="s">
        <v>85</v>
      </c>
      <c r="S25" s="35">
        <f t="shared" ref="S25:AF25" si="17">SUM(S10:S12)</f>
        <v>256</v>
      </c>
      <c r="T25" s="16">
        <f t="shared" si="17"/>
        <v>54</v>
      </c>
      <c r="U25" s="16">
        <f t="shared" si="17"/>
        <v>16</v>
      </c>
      <c r="V25" s="16">
        <f t="shared" si="17"/>
        <v>454</v>
      </c>
      <c r="W25" s="16">
        <f t="shared" si="17"/>
        <v>9</v>
      </c>
      <c r="X25" s="16">
        <f t="shared" si="17"/>
        <v>4</v>
      </c>
      <c r="Y25" s="16">
        <f t="shared" si="17"/>
        <v>114</v>
      </c>
      <c r="Z25" s="16">
        <f t="shared" si="17"/>
        <v>23</v>
      </c>
      <c r="AA25" s="16">
        <f t="shared" si="17"/>
        <v>15</v>
      </c>
      <c r="AB25" s="16">
        <f t="shared" si="17"/>
        <v>2</v>
      </c>
      <c r="AC25" s="16">
        <f t="shared" si="17"/>
        <v>2050</v>
      </c>
      <c r="AD25" s="16">
        <f t="shared" si="17"/>
        <v>0</v>
      </c>
      <c r="AE25" s="32">
        <f t="shared" si="17"/>
        <v>947</v>
      </c>
      <c r="AF25" s="32">
        <f t="shared" si="17"/>
        <v>2997</v>
      </c>
    </row>
    <row r="26" spans="2:32" ht="23.1" customHeight="1" x14ac:dyDescent="0.25">
      <c r="B26" s="23" t="s">
        <v>53</v>
      </c>
      <c r="C26" s="50">
        <v>15</v>
      </c>
      <c r="D26" s="50">
        <v>0</v>
      </c>
      <c r="E26" s="50">
        <v>0</v>
      </c>
      <c r="F26" s="50">
        <v>4</v>
      </c>
      <c r="G26" s="50">
        <v>0</v>
      </c>
      <c r="H26" s="50">
        <v>1</v>
      </c>
      <c r="I26" s="50">
        <v>18</v>
      </c>
      <c r="J26" s="50">
        <v>1</v>
      </c>
      <c r="K26" s="50">
        <v>0</v>
      </c>
      <c r="L26" s="50">
        <v>0</v>
      </c>
      <c r="M26" s="50">
        <v>127</v>
      </c>
      <c r="N26" s="50">
        <v>0</v>
      </c>
      <c r="O26" s="15">
        <f t="shared" si="0"/>
        <v>39</v>
      </c>
      <c r="P26" s="15">
        <f t="shared" si="1"/>
        <v>166</v>
      </c>
      <c r="R26" s="28" t="s">
        <v>86</v>
      </c>
      <c r="S26" s="16">
        <f t="shared" ref="S26:AF26" si="18">SUM(S13:S18)</f>
        <v>669</v>
      </c>
      <c r="T26" s="16">
        <f t="shared" si="18"/>
        <v>162</v>
      </c>
      <c r="U26" s="16">
        <f t="shared" si="18"/>
        <v>53</v>
      </c>
      <c r="V26" s="16">
        <f t="shared" si="18"/>
        <v>821</v>
      </c>
      <c r="W26" s="16">
        <f t="shared" si="18"/>
        <v>21</v>
      </c>
      <c r="X26" s="16">
        <f t="shared" si="18"/>
        <v>5</v>
      </c>
      <c r="Y26" s="16">
        <f t="shared" si="18"/>
        <v>359</v>
      </c>
      <c r="Z26" s="16">
        <f t="shared" si="18"/>
        <v>104</v>
      </c>
      <c r="AA26" s="16">
        <f t="shared" si="18"/>
        <v>35</v>
      </c>
      <c r="AB26" s="16">
        <f t="shared" si="18"/>
        <v>11</v>
      </c>
      <c r="AC26" s="16">
        <f t="shared" si="18"/>
        <v>3450</v>
      </c>
      <c r="AD26" s="16">
        <f t="shared" si="18"/>
        <v>1</v>
      </c>
      <c r="AE26" s="32">
        <f t="shared" si="18"/>
        <v>2241</v>
      </c>
      <c r="AF26" s="32">
        <f t="shared" si="18"/>
        <v>5691</v>
      </c>
    </row>
    <row r="27" spans="2:32" ht="23.1" customHeight="1" x14ac:dyDescent="0.25">
      <c r="B27" s="23" t="s">
        <v>54</v>
      </c>
      <c r="C27" s="50">
        <v>18</v>
      </c>
      <c r="D27" s="50">
        <v>9</v>
      </c>
      <c r="E27" s="50">
        <v>4</v>
      </c>
      <c r="F27" s="50">
        <v>20</v>
      </c>
      <c r="G27" s="50">
        <v>0</v>
      </c>
      <c r="H27" s="50">
        <v>2</v>
      </c>
      <c r="I27" s="50">
        <v>20</v>
      </c>
      <c r="J27" s="50">
        <v>0</v>
      </c>
      <c r="K27" s="50">
        <v>2</v>
      </c>
      <c r="L27" s="50">
        <v>0</v>
      </c>
      <c r="M27" s="50">
        <v>129</v>
      </c>
      <c r="N27" s="50">
        <v>0</v>
      </c>
      <c r="O27" s="15">
        <f t="shared" si="0"/>
        <v>75</v>
      </c>
      <c r="P27" s="15">
        <f t="shared" si="1"/>
        <v>204</v>
      </c>
      <c r="R27" s="29" t="s">
        <v>87</v>
      </c>
      <c r="S27" s="16">
        <f t="shared" ref="S27:AF27" si="19">SUM(S19:S21)</f>
        <v>316</v>
      </c>
      <c r="T27" s="16">
        <f t="shared" si="19"/>
        <v>162</v>
      </c>
      <c r="U27" s="16">
        <f t="shared" si="19"/>
        <v>63</v>
      </c>
      <c r="V27" s="16">
        <f t="shared" si="19"/>
        <v>769</v>
      </c>
      <c r="W27" s="16">
        <f t="shared" si="19"/>
        <v>1</v>
      </c>
      <c r="X27" s="16">
        <f t="shared" si="19"/>
        <v>9</v>
      </c>
      <c r="Y27" s="16">
        <f t="shared" si="19"/>
        <v>132</v>
      </c>
      <c r="Z27" s="16">
        <f t="shared" si="19"/>
        <v>116</v>
      </c>
      <c r="AA27" s="16">
        <f t="shared" si="19"/>
        <v>29</v>
      </c>
      <c r="AB27" s="16">
        <f t="shared" si="19"/>
        <v>13</v>
      </c>
      <c r="AC27" s="16">
        <f t="shared" si="19"/>
        <v>1574</v>
      </c>
      <c r="AD27" s="16">
        <f t="shared" si="19"/>
        <v>0</v>
      </c>
      <c r="AE27" s="32">
        <f t="shared" si="19"/>
        <v>1610</v>
      </c>
      <c r="AF27" s="32">
        <f t="shared" si="19"/>
        <v>3184</v>
      </c>
    </row>
    <row r="28" spans="2:32" ht="23.1" customHeight="1" x14ac:dyDescent="0.25">
      <c r="B28" s="23" t="s">
        <v>55</v>
      </c>
      <c r="C28" s="50">
        <v>18</v>
      </c>
      <c r="D28" s="50">
        <v>3</v>
      </c>
      <c r="E28" s="50">
        <v>2</v>
      </c>
      <c r="F28" s="50">
        <v>33</v>
      </c>
      <c r="G28" s="50">
        <v>1</v>
      </c>
      <c r="H28" s="50">
        <v>0</v>
      </c>
      <c r="I28" s="50">
        <v>17</v>
      </c>
      <c r="J28" s="50">
        <v>5</v>
      </c>
      <c r="K28" s="50">
        <v>2</v>
      </c>
      <c r="L28" s="50">
        <v>0</v>
      </c>
      <c r="M28" s="50">
        <v>167</v>
      </c>
      <c r="N28" s="50">
        <v>0</v>
      </c>
      <c r="O28" s="15">
        <f t="shared" si="0"/>
        <v>81</v>
      </c>
      <c r="P28" s="15">
        <f t="shared" si="1"/>
        <v>248</v>
      </c>
      <c r="R28" s="5" t="s">
        <v>17</v>
      </c>
      <c r="S28" s="16">
        <f t="shared" ref="S28:AF28" si="20">SUM(S10:S21)</f>
        <v>1241</v>
      </c>
      <c r="T28" s="16">
        <f t="shared" si="20"/>
        <v>378</v>
      </c>
      <c r="U28" s="16">
        <f t="shared" si="20"/>
        <v>132</v>
      </c>
      <c r="V28" s="16">
        <f t="shared" si="20"/>
        <v>2044</v>
      </c>
      <c r="W28" s="16">
        <f t="shared" si="20"/>
        <v>31</v>
      </c>
      <c r="X28" s="16">
        <f t="shared" si="20"/>
        <v>18</v>
      </c>
      <c r="Y28" s="16">
        <f t="shared" si="20"/>
        <v>605</v>
      </c>
      <c r="Z28" s="16">
        <f t="shared" si="20"/>
        <v>243</v>
      </c>
      <c r="AA28" s="16">
        <f t="shared" si="20"/>
        <v>79</v>
      </c>
      <c r="AB28" s="16">
        <f t="shared" si="20"/>
        <v>26</v>
      </c>
      <c r="AC28" s="16">
        <f t="shared" si="20"/>
        <v>7074</v>
      </c>
      <c r="AD28" s="16">
        <f t="shared" si="20"/>
        <v>1</v>
      </c>
      <c r="AE28" s="32">
        <f t="shared" si="20"/>
        <v>4798</v>
      </c>
      <c r="AF28" s="32">
        <f t="shared" si="20"/>
        <v>11872</v>
      </c>
    </row>
    <row r="29" spans="2:32" ht="23.1" customHeight="1" x14ac:dyDescent="0.25">
      <c r="B29" s="23" t="s">
        <v>56</v>
      </c>
      <c r="C29" s="50">
        <v>22</v>
      </c>
      <c r="D29" s="50">
        <v>3</v>
      </c>
      <c r="E29" s="50">
        <v>3</v>
      </c>
      <c r="F29" s="50">
        <v>30</v>
      </c>
      <c r="G29" s="50">
        <v>0</v>
      </c>
      <c r="H29" s="50">
        <v>0</v>
      </c>
      <c r="I29" s="50">
        <v>23</v>
      </c>
      <c r="J29" s="50">
        <v>0</v>
      </c>
      <c r="K29" s="50">
        <v>0</v>
      </c>
      <c r="L29" s="50">
        <v>0</v>
      </c>
      <c r="M29" s="50">
        <v>120</v>
      </c>
      <c r="N29" s="50">
        <v>0</v>
      </c>
      <c r="O29" s="15">
        <f t="shared" si="0"/>
        <v>81</v>
      </c>
      <c r="P29" s="15">
        <f t="shared" si="1"/>
        <v>201</v>
      </c>
      <c r="R29"/>
      <c r="S29" s="20"/>
      <c r="T29" s="19"/>
    </row>
    <row r="30" spans="2:32" ht="23.1" customHeight="1" x14ac:dyDescent="0.25">
      <c r="B30" s="23" t="s">
        <v>57</v>
      </c>
      <c r="C30" s="50">
        <v>25</v>
      </c>
      <c r="D30" s="50">
        <v>4</v>
      </c>
      <c r="E30" s="50">
        <v>3</v>
      </c>
      <c r="F30" s="50">
        <v>22</v>
      </c>
      <c r="G30" s="50">
        <v>0</v>
      </c>
      <c r="H30" s="50">
        <v>1</v>
      </c>
      <c r="I30" s="50">
        <v>15</v>
      </c>
      <c r="J30" s="50">
        <v>1</v>
      </c>
      <c r="K30" s="50">
        <v>0</v>
      </c>
      <c r="L30" s="50">
        <v>0</v>
      </c>
      <c r="M30" s="50">
        <v>140</v>
      </c>
      <c r="N30" s="50">
        <v>1</v>
      </c>
      <c r="O30" s="15">
        <f t="shared" si="0"/>
        <v>72</v>
      </c>
      <c r="P30" s="15">
        <f t="shared" si="1"/>
        <v>212</v>
      </c>
    </row>
    <row r="31" spans="2:32" ht="23.1" customHeight="1" x14ac:dyDescent="0.25">
      <c r="B31" s="24" t="s">
        <v>58</v>
      </c>
      <c r="C31" s="50">
        <v>40</v>
      </c>
      <c r="D31" s="50">
        <v>4</v>
      </c>
      <c r="E31" s="50">
        <v>3</v>
      </c>
      <c r="F31" s="50">
        <v>40</v>
      </c>
      <c r="G31" s="50">
        <v>2</v>
      </c>
      <c r="H31" s="50">
        <v>0</v>
      </c>
      <c r="I31" s="50">
        <v>15</v>
      </c>
      <c r="J31" s="50">
        <v>5</v>
      </c>
      <c r="K31" s="50">
        <v>3</v>
      </c>
      <c r="L31" s="50">
        <v>2</v>
      </c>
      <c r="M31" s="50">
        <v>150</v>
      </c>
      <c r="N31" s="50">
        <v>0</v>
      </c>
      <c r="O31" s="15">
        <f t="shared" si="0"/>
        <v>114</v>
      </c>
      <c r="P31" s="15">
        <f t="shared" si="1"/>
        <v>264</v>
      </c>
    </row>
    <row r="32" spans="2:32" ht="23.1" customHeight="1" x14ac:dyDescent="0.25">
      <c r="B32" s="24" t="s">
        <v>59</v>
      </c>
      <c r="C32" s="50">
        <v>42</v>
      </c>
      <c r="D32" s="50">
        <v>0</v>
      </c>
      <c r="E32" s="50">
        <v>2</v>
      </c>
      <c r="F32" s="50">
        <v>56</v>
      </c>
      <c r="G32" s="50">
        <v>0</v>
      </c>
      <c r="H32" s="50">
        <v>0</v>
      </c>
      <c r="I32" s="50">
        <v>17</v>
      </c>
      <c r="J32" s="50">
        <v>2</v>
      </c>
      <c r="K32" s="50">
        <v>3</v>
      </c>
      <c r="L32" s="50">
        <v>3</v>
      </c>
      <c r="M32" s="50">
        <v>145</v>
      </c>
      <c r="N32" s="50">
        <v>0</v>
      </c>
      <c r="O32" s="15">
        <f t="shared" si="0"/>
        <v>125</v>
      </c>
      <c r="P32" s="15">
        <f t="shared" si="1"/>
        <v>270</v>
      </c>
    </row>
    <row r="33" spans="2:20" ht="23.1" customHeight="1" x14ac:dyDescent="0.25">
      <c r="B33" s="23" t="s">
        <v>60</v>
      </c>
      <c r="C33" s="50">
        <v>18</v>
      </c>
      <c r="D33" s="50">
        <v>6</v>
      </c>
      <c r="E33" s="50">
        <v>0</v>
      </c>
      <c r="F33" s="50">
        <v>32</v>
      </c>
      <c r="G33" s="50">
        <v>2</v>
      </c>
      <c r="H33" s="50">
        <v>0</v>
      </c>
      <c r="I33" s="50">
        <v>22</v>
      </c>
      <c r="J33" s="50">
        <v>6</v>
      </c>
      <c r="K33" s="50">
        <v>5</v>
      </c>
      <c r="L33" s="50">
        <v>0</v>
      </c>
      <c r="M33" s="50">
        <v>160</v>
      </c>
      <c r="N33" s="50">
        <v>0</v>
      </c>
      <c r="O33" s="15">
        <f t="shared" si="0"/>
        <v>91</v>
      </c>
      <c r="P33" s="15">
        <f t="shared" si="1"/>
        <v>251</v>
      </c>
    </row>
    <row r="34" spans="2:20" ht="23.1" customHeight="1" x14ac:dyDescent="0.25">
      <c r="B34" s="24" t="s">
        <v>61</v>
      </c>
      <c r="C34" s="50">
        <v>34</v>
      </c>
      <c r="D34" s="50">
        <v>2</v>
      </c>
      <c r="E34" s="50">
        <v>2</v>
      </c>
      <c r="F34" s="50">
        <v>27</v>
      </c>
      <c r="G34" s="50">
        <v>0</v>
      </c>
      <c r="H34" s="50">
        <v>0</v>
      </c>
      <c r="I34" s="50">
        <v>15</v>
      </c>
      <c r="J34" s="50">
        <v>8</v>
      </c>
      <c r="K34" s="50">
        <v>0</v>
      </c>
      <c r="L34" s="50">
        <v>0</v>
      </c>
      <c r="M34" s="50">
        <v>160</v>
      </c>
      <c r="N34" s="50">
        <v>0</v>
      </c>
      <c r="O34" s="15">
        <f t="shared" si="0"/>
        <v>88</v>
      </c>
      <c r="P34" s="15">
        <f t="shared" si="1"/>
        <v>248</v>
      </c>
    </row>
    <row r="35" spans="2:20" ht="23.1" customHeight="1" x14ac:dyDescent="0.25">
      <c r="B35" s="24" t="s">
        <v>62</v>
      </c>
      <c r="C35" s="50">
        <v>34</v>
      </c>
      <c r="D35" s="50">
        <v>0</v>
      </c>
      <c r="E35" s="50">
        <v>0</v>
      </c>
      <c r="F35" s="50">
        <v>25</v>
      </c>
      <c r="G35" s="50">
        <v>0</v>
      </c>
      <c r="H35" s="50">
        <v>0</v>
      </c>
      <c r="I35" s="50">
        <v>18</v>
      </c>
      <c r="J35" s="50">
        <v>5</v>
      </c>
      <c r="K35" s="50">
        <v>0</v>
      </c>
      <c r="L35" s="50">
        <v>0</v>
      </c>
      <c r="M35" s="50">
        <v>179</v>
      </c>
      <c r="N35" s="50">
        <v>0</v>
      </c>
      <c r="O35" s="15">
        <f t="shared" si="0"/>
        <v>82</v>
      </c>
      <c r="P35" s="15">
        <f t="shared" si="1"/>
        <v>261</v>
      </c>
    </row>
    <row r="36" spans="2:20" ht="23.1" customHeight="1" x14ac:dyDescent="0.25">
      <c r="B36" s="24" t="s">
        <v>63</v>
      </c>
      <c r="C36" s="50">
        <v>35</v>
      </c>
      <c r="D36" s="50">
        <v>4</v>
      </c>
      <c r="E36" s="50">
        <v>3</v>
      </c>
      <c r="F36" s="50">
        <v>52</v>
      </c>
      <c r="G36" s="50">
        <v>0</v>
      </c>
      <c r="H36" s="50">
        <v>0</v>
      </c>
      <c r="I36" s="50">
        <v>24</v>
      </c>
      <c r="J36" s="50">
        <v>2</v>
      </c>
      <c r="K36" s="50">
        <v>0</v>
      </c>
      <c r="L36" s="50">
        <v>0</v>
      </c>
      <c r="M36" s="50">
        <v>156</v>
      </c>
      <c r="N36" s="50">
        <v>0</v>
      </c>
      <c r="O36" s="15">
        <f t="shared" si="0"/>
        <v>120</v>
      </c>
      <c r="P36" s="15">
        <f t="shared" si="1"/>
        <v>276</v>
      </c>
    </row>
    <row r="37" spans="2:20" ht="23.1" customHeight="1" x14ac:dyDescent="0.25">
      <c r="B37" s="23" t="s">
        <v>64</v>
      </c>
      <c r="C37" s="50">
        <v>45</v>
      </c>
      <c r="D37" s="50">
        <v>12</v>
      </c>
      <c r="E37" s="50">
        <v>4</v>
      </c>
      <c r="F37" s="50">
        <v>50</v>
      </c>
      <c r="G37" s="50">
        <v>0</v>
      </c>
      <c r="H37" s="50">
        <v>0</v>
      </c>
      <c r="I37" s="50">
        <v>35</v>
      </c>
      <c r="J37" s="50">
        <v>0</v>
      </c>
      <c r="K37" s="50">
        <v>0</v>
      </c>
      <c r="L37" s="50">
        <v>0</v>
      </c>
      <c r="M37" s="50">
        <v>235</v>
      </c>
      <c r="N37" s="50">
        <v>0</v>
      </c>
      <c r="O37" s="15">
        <f t="shared" si="0"/>
        <v>146</v>
      </c>
      <c r="P37" s="15">
        <f t="shared" si="1"/>
        <v>381</v>
      </c>
    </row>
    <row r="38" spans="2:20" ht="23.1" customHeight="1" x14ac:dyDescent="0.25">
      <c r="B38" s="24" t="s">
        <v>65</v>
      </c>
      <c r="C38" s="50">
        <v>34</v>
      </c>
      <c r="D38" s="50">
        <v>17</v>
      </c>
      <c r="E38" s="50">
        <v>0</v>
      </c>
      <c r="F38" s="50">
        <v>45</v>
      </c>
      <c r="G38" s="50">
        <v>1</v>
      </c>
      <c r="H38" s="50">
        <v>0</v>
      </c>
      <c r="I38" s="50">
        <v>13</v>
      </c>
      <c r="J38" s="50">
        <v>3</v>
      </c>
      <c r="K38" s="50">
        <v>0</v>
      </c>
      <c r="L38" s="50">
        <v>1</v>
      </c>
      <c r="M38" s="50">
        <v>160</v>
      </c>
      <c r="N38" s="50">
        <v>0</v>
      </c>
      <c r="O38" s="15">
        <f t="shared" si="0"/>
        <v>114</v>
      </c>
      <c r="P38" s="15">
        <f t="shared" si="1"/>
        <v>274</v>
      </c>
    </row>
    <row r="39" spans="2:20" ht="23.1" customHeight="1" x14ac:dyDescent="0.25">
      <c r="B39" s="24" t="s">
        <v>66</v>
      </c>
      <c r="C39" s="50">
        <v>27</v>
      </c>
      <c r="D39" s="50">
        <v>5</v>
      </c>
      <c r="E39" s="50">
        <v>0</v>
      </c>
      <c r="F39" s="50">
        <v>25</v>
      </c>
      <c r="G39" s="50">
        <v>1</v>
      </c>
      <c r="H39" s="50">
        <v>0</v>
      </c>
      <c r="I39" s="50">
        <v>5</v>
      </c>
      <c r="J39" s="50">
        <v>8</v>
      </c>
      <c r="K39" s="50">
        <v>5</v>
      </c>
      <c r="L39" s="50">
        <v>2</v>
      </c>
      <c r="M39" s="50">
        <v>125</v>
      </c>
      <c r="N39" s="50">
        <v>0</v>
      </c>
      <c r="O39" s="15">
        <f t="shared" si="0"/>
        <v>78</v>
      </c>
      <c r="P39" s="15">
        <f t="shared" si="1"/>
        <v>203</v>
      </c>
    </row>
    <row r="40" spans="2:20" ht="23.1" customHeight="1" x14ac:dyDescent="0.25">
      <c r="B40" s="24" t="s">
        <v>67</v>
      </c>
      <c r="C40" s="50">
        <v>40</v>
      </c>
      <c r="D40" s="50">
        <v>4</v>
      </c>
      <c r="E40" s="50">
        <v>0</v>
      </c>
      <c r="F40" s="50">
        <v>45</v>
      </c>
      <c r="G40" s="50">
        <v>5</v>
      </c>
      <c r="H40" s="50">
        <v>0</v>
      </c>
      <c r="I40" s="50">
        <v>10</v>
      </c>
      <c r="J40" s="50">
        <v>34</v>
      </c>
      <c r="K40" s="50">
        <v>0</v>
      </c>
      <c r="L40" s="50">
        <v>0</v>
      </c>
      <c r="M40" s="50">
        <v>180</v>
      </c>
      <c r="N40" s="50">
        <v>0</v>
      </c>
      <c r="O40" s="15">
        <f t="shared" si="0"/>
        <v>138</v>
      </c>
      <c r="P40" s="15">
        <f t="shared" si="1"/>
        <v>318</v>
      </c>
    </row>
    <row r="41" spans="2:20" ht="23.1" customHeight="1" x14ac:dyDescent="0.25">
      <c r="B41" s="23" t="s">
        <v>68</v>
      </c>
      <c r="C41" s="50">
        <v>36</v>
      </c>
      <c r="D41" s="50">
        <v>10</v>
      </c>
      <c r="E41" s="50">
        <v>16</v>
      </c>
      <c r="F41" s="50">
        <v>18</v>
      </c>
      <c r="G41" s="50">
        <v>0</v>
      </c>
      <c r="H41" s="50">
        <v>0</v>
      </c>
      <c r="I41" s="50">
        <v>16</v>
      </c>
      <c r="J41" s="50">
        <v>0</v>
      </c>
      <c r="K41" s="50">
        <v>0</v>
      </c>
      <c r="L41" s="50">
        <v>0</v>
      </c>
      <c r="M41" s="50">
        <v>105</v>
      </c>
      <c r="N41" s="50">
        <v>0</v>
      </c>
      <c r="O41" s="15">
        <f t="shared" si="0"/>
        <v>96</v>
      </c>
      <c r="P41" s="15">
        <f t="shared" si="1"/>
        <v>201</v>
      </c>
    </row>
    <row r="42" spans="2:20" ht="23.1" customHeight="1" x14ac:dyDescent="0.25">
      <c r="B42" s="24" t="s">
        <v>69</v>
      </c>
      <c r="C42" s="50">
        <v>4</v>
      </c>
      <c r="D42" s="50">
        <v>3</v>
      </c>
      <c r="E42" s="50">
        <v>3</v>
      </c>
      <c r="F42" s="50">
        <v>7</v>
      </c>
      <c r="G42" s="50">
        <v>5</v>
      </c>
      <c r="H42" s="50">
        <v>1</v>
      </c>
      <c r="I42" s="50">
        <v>2</v>
      </c>
      <c r="J42" s="50">
        <v>0</v>
      </c>
      <c r="K42" s="50">
        <v>0</v>
      </c>
      <c r="L42" s="50">
        <v>0</v>
      </c>
      <c r="M42" s="50">
        <v>175</v>
      </c>
      <c r="N42" s="50">
        <v>0</v>
      </c>
      <c r="O42" s="15">
        <f t="shared" si="0"/>
        <v>25</v>
      </c>
      <c r="P42" s="15">
        <f t="shared" si="1"/>
        <v>200</v>
      </c>
    </row>
    <row r="43" spans="2:20" ht="23.1" customHeight="1" x14ac:dyDescent="0.25">
      <c r="B43" s="23" t="s">
        <v>70</v>
      </c>
      <c r="C43" s="50">
        <v>22</v>
      </c>
      <c r="D43" s="50">
        <v>27</v>
      </c>
      <c r="E43" s="50">
        <v>0</v>
      </c>
      <c r="F43" s="50">
        <v>21</v>
      </c>
      <c r="G43" s="50">
        <v>0</v>
      </c>
      <c r="H43" s="50">
        <v>0</v>
      </c>
      <c r="I43" s="50">
        <v>5</v>
      </c>
      <c r="J43" s="50">
        <v>6</v>
      </c>
      <c r="K43" s="50">
        <v>8</v>
      </c>
      <c r="L43" s="50">
        <v>1</v>
      </c>
      <c r="M43" s="50">
        <v>19</v>
      </c>
      <c r="N43" s="50">
        <v>0</v>
      </c>
      <c r="O43" s="15">
        <f t="shared" si="0"/>
        <v>90</v>
      </c>
      <c r="P43" s="15">
        <f t="shared" si="1"/>
        <v>109</v>
      </c>
    </row>
    <row r="44" spans="2:20" ht="23.1" customHeight="1" x14ac:dyDescent="0.25">
      <c r="B44" s="25" t="s">
        <v>71</v>
      </c>
      <c r="C44" s="50">
        <v>57</v>
      </c>
      <c r="D44" s="50">
        <v>5</v>
      </c>
      <c r="E44" s="50">
        <v>0</v>
      </c>
      <c r="F44" s="50">
        <v>16</v>
      </c>
      <c r="G44" s="50">
        <v>0</v>
      </c>
      <c r="H44" s="50">
        <v>0</v>
      </c>
      <c r="I44" s="50">
        <v>8</v>
      </c>
      <c r="J44" s="50">
        <v>7</v>
      </c>
      <c r="K44" s="50">
        <v>1</v>
      </c>
      <c r="L44" s="50">
        <v>0</v>
      </c>
      <c r="M44" s="50">
        <v>21</v>
      </c>
      <c r="N44" s="50">
        <v>0</v>
      </c>
      <c r="O44" s="15">
        <f t="shared" si="0"/>
        <v>94</v>
      </c>
      <c r="P44" s="15">
        <f t="shared" si="1"/>
        <v>115</v>
      </c>
    </row>
    <row r="45" spans="2:20" ht="23.1" customHeight="1" x14ac:dyDescent="0.25">
      <c r="B45" s="23" t="s">
        <v>72</v>
      </c>
      <c r="C45" s="50">
        <v>24</v>
      </c>
      <c r="D45" s="50">
        <v>25</v>
      </c>
      <c r="E45" s="50">
        <v>1</v>
      </c>
      <c r="F45" s="50">
        <v>30</v>
      </c>
      <c r="G45" s="50">
        <v>0</v>
      </c>
      <c r="H45" s="50">
        <v>0</v>
      </c>
      <c r="I45" s="50">
        <v>9</v>
      </c>
      <c r="J45" s="50">
        <v>0</v>
      </c>
      <c r="K45" s="50">
        <v>0</v>
      </c>
      <c r="L45" s="50">
        <v>1</v>
      </c>
      <c r="M45" s="50">
        <v>120</v>
      </c>
      <c r="N45" s="50">
        <v>0</v>
      </c>
      <c r="O45" s="15">
        <f t="shared" si="0"/>
        <v>90</v>
      </c>
      <c r="P45" s="15">
        <f t="shared" si="1"/>
        <v>210</v>
      </c>
    </row>
    <row r="46" spans="2:20" ht="23.1" customHeight="1" x14ac:dyDescent="0.25">
      <c r="B46" s="24" t="s">
        <v>73</v>
      </c>
      <c r="C46" s="50">
        <v>10</v>
      </c>
      <c r="D46" s="50">
        <v>3</v>
      </c>
      <c r="E46" s="50">
        <v>2</v>
      </c>
      <c r="F46" s="50">
        <v>24</v>
      </c>
      <c r="G46" s="50">
        <v>0</v>
      </c>
      <c r="H46" s="50">
        <v>0</v>
      </c>
      <c r="I46" s="50">
        <v>8</v>
      </c>
      <c r="J46" s="50">
        <v>3</v>
      </c>
      <c r="K46" s="50">
        <v>0</v>
      </c>
      <c r="L46" s="50">
        <v>1</v>
      </c>
      <c r="M46" s="50">
        <v>100</v>
      </c>
      <c r="N46" s="50">
        <v>0</v>
      </c>
      <c r="O46" s="15">
        <f t="shared" si="0"/>
        <v>51</v>
      </c>
      <c r="P46" s="15">
        <f t="shared" si="1"/>
        <v>151</v>
      </c>
      <c r="R46" s="8"/>
      <c r="T46"/>
    </row>
    <row r="47" spans="2:20" ht="23.1" customHeight="1" x14ac:dyDescent="0.25">
      <c r="B47" s="24" t="s">
        <v>74</v>
      </c>
      <c r="C47" s="50">
        <v>37</v>
      </c>
      <c r="D47" s="50">
        <v>2</v>
      </c>
      <c r="E47" s="50">
        <v>3</v>
      </c>
      <c r="F47" s="50">
        <v>37</v>
      </c>
      <c r="G47" s="50">
        <v>0</v>
      </c>
      <c r="H47" s="50">
        <v>0</v>
      </c>
      <c r="I47" s="50">
        <v>17</v>
      </c>
      <c r="J47" s="50">
        <v>6</v>
      </c>
      <c r="K47" s="50">
        <v>1</v>
      </c>
      <c r="L47" s="50">
        <v>4</v>
      </c>
      <c r="M47" s="50">
        <v>130</v>
      </c>
      <c r="N47" s="50">
        <v>0</v>
      </c>
      <c r="O47" s="15">
        <f t="shared" si="0"/>
        <v>107</v>
      </c>
      <c r="P47" s="15">
        <f t="shared" si="1"/>
        <v>237</v>
      </c>
      <c r="R47" s="8"/>
      <c r="T47"/>
    </row>
    <row r="48" spans="2:20" ht="23.1" customHeight="1" x14ac:dyDescent="0.25">
      <c r="B48" s="24" t="s">
        <v>75</v>
      </c>
      <c r="C48" s="50">
        <v>27</v>
      </c>
      <c r="D48" s="50">
        <v>19</v>
      </c>
      <c r="E48" s="50">
        <v>9</v>
      </c>
      <c r="F48" s="50">
        <v>34</v>
      </c>
      <c r="G48" s="50">
        <v>0</v>
      </c>
      <c r="H48" s="50">
        <v>0</v>
      </c>
      <c r="I48" s="50">
        <v>10</v>
      </c>
      <c r="J48" s="50">
        <v>6</v>
      </c>
      <c r="K48" s="50">
        <v>7</v>
      </c>
      <c r="L48" s="50">
        <v>1</v>
      </c>
      <c r="M48" s="50">
        <v>160</v>
      </c>
      <c r="N48" s="50">
        <v>0</v>
      </c>
      <c r="O48" s="15">
        <f t="shared" si="0"/>
        <v>113</v>
      </c>
      <c r="P48" s="15">
        <f t="shared" si="1"/>
        <v>273</v>
      </c>
      <c r="R48" s="8"/>
      <c r="T48"/>
    </row>
    <row r="49" spans="2:20" ht="23.1" customHeight="1" x14ac:dyDescent="0.25">
      <c r="B49" s="23" t="s">
        <v>76</v>
      </c>
      <c r="C49" s="50">
        <v>30</v>
      </c>
      <c r="D49" s="50">
        <v>9</v>
      </c>
      <c r="E49" s="50">
        <v>6</v>
      </c>
      <c r="F49" s="50">
        <v>35</v>
      </c>
      <c r="G49" s="50">
        <v>0</v>
      </c>
      <c r="H49" s="50">
        <v>0</v>
      </c>
      <c r="I49" s="50">
        <v>12</v>
      </c>
      <c r="J49" s="50">
        <v>18</v>
      </c>
      <c r="K49" s="50">
        <v>0</v>
      </c>
      <c r="L49" s="50">
        <v>1</v>
      </c>
      <c r="M49" s="50">
        <v>159</v>
      </c>
      <c r="N49" s="50">
        <v>0</v>
      </c>
      <c r="O49" s="15">
        <f t="shared" si="0"/>
        <v>111</v>
      </c>
      <c r="P49" s="15">
        <f t="shared" si="1"/>
        <v>270</v>
      </c>
      <c r="R49" s="8"/>
      <c r="T49"/>
    </row>
    <row r="50" spans="2:20" ht="23.1" customHeight="1" x14ac:dyDescent="0.25">
      <c r="B50" s="24" t="s">
        <v>77</v>
      </c>
      <c r="C50" s="50">
        <v>5</v>
      </c>
      <c r="D50" s="50">
        <v>80</v>
      </c>
      <c r="E50" s="50">
        <v>5</v>
      </c>
      <c r="F50" s="50">
        <v>1</v>
      </c>
      <c r="G50" s="50">
        <v>0</v>
      </c>
      <c r="H50" s="50">
        <v>7</v>
      </c>
      <c r="I50" s="50">
        <v>4</v>
      </c>
      <c r="J50" s="50">
        <v>0</v>
      </c>
      <c r="K50" s="50">
        <v>0</v>
      </c>
      <c r="L50" s="50">
        <v>0</v>
      </c>
      <c r="M50" s="50">
        <v>68</v>
      </c>
      <c r="N50" s="50">
        <v>0</v>
      </c>
      <c r="O50" s="15">
        <f t="shared" si="0"/>
        <v>102</v>
      </c>
      <c r="P50" s="15">
        <f t="shared" si="1"/>
        <v>170</v>
      </c>
      <c r="R50" s="8"/>
      <c r="T50"/>
    </row>
    <row r="51" spans="2:20" ht="23.1" customHeight="1" x14ac:dyDescent="0.25">
      <c r="B51" s="24" t="s">
        <v>174</v>
      </c>
      <c r="C51" s="50">
        <v>17</v>
      </c>
      <c r="D51" s="50">
        <v>4</v>
      </c>
      <c r="E51" s="50">
        <v>32</v>
      </c>
      <c r="F51" s="50">
        <v>1</v>
      </c>
      <c r="G51" s="50">
        <v>0</v>
      </c>
      <c r="H51" s="50">
        <v>2</v>
      </c>
      <c r="I51" s="50">
        <v>20</v>
      </c>
      <c r="J51" s="50">
        <v>6</v>
      </c>
      <c r="K51" s="50">
        <v>2</v>
      </c>
      <c r="L51" s="50">
        <v>1</v>
      </c>
      <c r="M51" s="50">
        <v>152</v>
      </c>
      <c r="N51" s="50">
        <v>0</v>
      </c>
      <c r="O51" s="15">
        <f t="shared" si="0"/>
        <v>85</v>
      </c>
      <c r="P51" s="15">
        <f t="shared" si="1"/>
        <v>237</v>
      </c>
      <c r="R51" s="8"/>
      <c r="T51"/>
    </row>
    <row r="52" spans="2:20" ht="23.1" customHeight="1" x14ac:dyDescent="0.25">
      <c r="B52" s="24" t="s">
        <v>79</v>
      </c>
      <c r="C52" s="50">
        <v>38</v>
      </c>
      <c r="D52" s="50">
        <v>7</v>
      </c>
      <c r="E52" s="50">
        <v>4</v>
      </c>
      <c r="F52" s="50">
        <v>32</v>
      </c>
      <c r="G52" s="50">
        <v>1</v>
      </c>
      <c r="H52" s="50">
        <v>0</v>
      </c>
      <c r="I52" s="50">
        <v>2</v>
      </c>
      <c r="J52" s="50">
        <v>20</v>
      </c>
      <c r="K52" s="50">
        <v>6</v>
      </c>
      <c r="L52" s="50">
        <v>1</v>
      </c>
      <c r="M52" s="50">
        <v>145</v>
      </c>
      <c r="N52" s="50">
        <v>0</v>
      </c>
      <c r="O52" s="15">
        <f t="shared" si="0"/>
        <v>111</v>
      </c>
      <c r="P52" s="15">
        <f t="shared" si="1"/>
        <v>256</v>
      </c>
      <c r="R52" s="8"/>
      <c r="T52"/>
    </row>
    <row r="53" spans="2:20" ht="23.1" customHeight="1" x14ac:dyDescent="0.25">
      <c r="B53" s="23" t="s">
        <v>80</v>
      </c>
      <c r="C53" s="50">
        <v>25</v>
      </c>
      <c r="D53" s="50">
        <v>12</v>
      </c>
      <c r="E53" s="50">
        <v>0</v>
      </c>
      <c r="F53" s="50">
        <v>95</v>
      </c>
      <c r="G53" s="50">
        <v>0</v>
      </c>
      <c r="H53" s="50">
        <v>0</v>
      </c>
      <c r="I53" s="50">
        <v>18</v>
      </c>
      <c r="J53" s="50">
        <v>10</v>
      </c>
      <c r="K53" s="50">
        <v>6</v>
      </c>
      <c r="L53" s="50">
        <v>2</v>
      </c>
      <c r="M53" s="50">
        <v>205</v>
      </c>
      <c r="N53" s="50">
        <v>0</v>
      </c>
      <c r="O53" s="15">
        <f t="shared" si="0"/>
        <v>168</v>
      </c>
      <c r="P53" s="15">
        <f t="shared" si="1"/>
        <v>373</v>
      </c>
      <c r="R53" s="8"/>
      <c r="T53"/>
    </row>
    <row r="54" spans="2:20" ht="23.1" customHeight="1" x14ac:dyDescent="0.25">
      <c r="B54" s="23" t="s">
        <v>81</v>
      </c>
      <c r="C54" s="50">
        <v>20</v>
      </c>
      <c r="D54" s="50">
        <v>10</v>
      </c>
      <c r="E54" s="50">
        <v>2</v>
      </c>
      <c r="F54" s="50">
        <v>20</v>
      </c>
      <c r="G54" s="50">
        <v>0</v>
      </c>
      <c r="H54" s="50">
        <v>0</v>
      </c>
      <c r="I54" s="50">
        <v>3</v>
      </c>
      <c r="J54" s="50">
        <v>2</v>
      </c>
      <c r="K54" s="50">
        <v>6</v>
      </c>
      <c r="L54" s="50">
        <v>1</v>
      </c>
      <c r="M54" s="50">
        <v>100</v>
      </c>
      <c r="N54" s="50">
        <v>0</v>
      </c>
      <c r="O54" s="15">
        <f t="shared" si="0"/>
        <v>64</v>
      </c>
      <c r="P54" s="15">
        <f t="shared" si="1"/>
        <v>164</v>
      </c>
      <c r="R54" s="8"/>
      <c r="T54"/>
    </row>
    <row r="55" spans="2:20" ht="23.1" customHeight="1" x14ac:dyDescent="0.25">
      <c r="B55" s="23" t="s">
        <v>82</v>
      </c>
      <c r="C55" s="50">
        <v>48</v>
      </c>
      <c r="D55" s="50">
        <v>0</v>
      </c>
      <c r="E55" s="50">
        <v>0</v>
      </c>
      <c r="F55" s="50">
        <v>450</v>
      </c>
      <c r="G55" s="50">
        <v>0</v>
      </c>
      <c r="H55" s="50">
        <v>0</v>
      </c>
      <c r="I55" s="50">
        <v>17</v>
      </c>
      <c r="J55" s="50">
        <v>11</v>
      </c>
      <c r="K55" s="50">
        <v>0</v>
      </c>
      <c r="L55" s="50">
        <v>1</v>
      </c>
      <c r="M55" s="50">
        <v>102</v>
      </c>
      <c r="N55" s="50">
        <v>0</v>
      </c>
      <c r="O55" s="15">
        <f t="shared" si="0"/>
        <v>527</v>
      </c>
      <c r="P55" s="15">
        <f t="shared" si="1"/>
        <v>629</v>
      </c>
      <c r="R55" s="8"/>
      <c r="T55"/>
    </row>
    <row r="56" spans="2:20" ht="23.1" customHeight="1" x14ac:dyDescent="0.25">
      <c r="B56" s="23" t="s">
        <v>83</v>
      </c>
      <c r="C56" s="50">
        <v>31</v>
      </c>
      <c r="D56" s="50">
        <v>3</v>
      </c>
      <c r="E56" s="50">
        <v>0</v>
      </c>
      <c r="F56" s="50">
        <v>40</v>
      </c>
      <c r="G56" s="50">
        <v>0</v>
      </c>
      <c r="H56" s="50">
        <v>0</v>
      </c>
      <c r="I56" s="50">
        <v>8</v>
      </c>
      <c r="J56" s="50">
        <v>25</v>
      </c>
      <c r="K56" s="50">
        <v>0</v>
      </c>
      <c r="L56" s="50">
        <v>0</v>
      </c>
      <c r="M56" s="50">
        <v>135</v>
      </c>
      <c r="N56" s="50">
        <v>0</v>
      </c>
      <c r="O56" s="15">
        <f t="shared" si="0"/>
        <v>107</v>
      </c>
      <c r="P56" s="15">
        <f t="shared" si="1"/>
        <v>242</v>
      </c>
      <c r="R56" s="8"/>
      <c r="T56"/>
    </row>
    <row r="57" spans="2:20" ht="23.1" customHeight="1" x14ac:dyDescent="0.25">
      <c r="B57" s="23" t="s">
        <v>84</v>
      </c>
      <c r="C57" s="50">
        <v>28</v>
      </c>
      <c r="D57" s="50">
        <v>13</v>
      </c>
      <c r="E57" s="50">
        <v>0</v>
      </c>
      <c r="F57" s="50">
        <v>0</v>
      </c>
      <c r="G57" s="50">
        <v>0</v>
      </c>
      <c r="H57" s="50">
        <v>0</v>
      </c>
      <c r="I57" s="50">
        <v>13</v>
      </c>
      <c r="J57" s="50">
        <v>9</v>
      </c>
      <c r="K57" s="50">
        <v>1</v>
      </c>
      <c r="L57" s="50">
        <v>0</v>
      </c>
      <c r="M57" s="50">
        <v>118</v>
      </c>
      <c r="N57" s="50">
        <v>0</v>
      </c>
      <c r="O57" s="15">
        <f t="shared" si="0"/>
        <v>64</v>
      </c>
      <c r="P57" s="15">
        <f t="shared" si="1"/>
        <v>182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1241</v>
      </c>
      <c r="D58" s="16">
        <f t="shared" si="21"/>
        <v>378</v>
      </c>
      <c r="E58" s="16">
        <f t="shared" si="21"/>
        <v>132</v>
      </c>
      <c r="F58" s="16">
        <f t="shared" si="21"/>
        <v>2044</v>
      </c>
      <c r="G58" s="16">
        <f t="shared" si="21"/>
        <v>31</v>
      </c>
      <c r="H58" s="16">
        <f t="shared" si="21"/>
        <v>18</v>
      </c>
      <c r="I58" s="16">
        <f t="shared" si="21"/>
        <v>605</v>
      </c>
      <c r="J58" s="16">
        <f t="shared" si="21"/>
        <v>243</v>
      </c>
      <c r="K58" s="16">
        <f t="shared" si="21"/>
        <v>79</v>
      </c>
      <c r="L58" s="16">
        <f t="shared" si="21"/>
        <v>26</v>
      </c>
      <c r="M58" s="16">
        <f t="shared" si="21"/>
        <v>7074</v>
      </c>
      <c r="N58" s="16">
        <f t="shared" si="21"/>
        <v>1</v>
      </c>
      <c r="O58" s="16">
        <f t="shared" si="21"/>
        <v>4798</v>
      </c>
      <c r="P58" s="16">
        <f t="shared" si="21"/>
        <v>11872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0.10453167115902964</v>
      </c>
      <c r="D59" s="43">
        <f t="shared" si="22"/>
        <v>3.1839622641509434E-2</v>
      </c>
      <c r="E59" s="43">
        <f t="shared" si="22"/>
        <v>1.1118598382749326E-2</v>
      </c>
      <c r="F59" s="43">
        <f t="shared" si="22"/>
        <v>0.17216981132075471</v>
      </c>
      <c r="G59" s="43">
        <f t="shared" si="22"/>
        <v>2.6111859838274932E-3</v>
      </c>
      <c r="H59" s="43">
        <f t="shared" si="22"/>
        <v>1.5161725067385444E-3</v>
      </c>
      <c r="I59" s="43">
        <f t="shared" si="22"/>
        <v>5.0960242587601075E-2</v>
      </c>
      <c r="J59" s="43">
        <f t="shared" si="22"/>
        <v>2.046832884097035E-2</v>
      </c>
      <c r="K59" s="43">
        <f t="shared" si="22"/>
        <v>6.6543126684636116E-3</v>
      </c>
      <c r="L59" s="43">
        <f t="shared" si="22"/>
        <v>2.1900269541778976E-3</v>
      </c>
      <c r="M59" s="43">
        <f t="shared" si="22"/>
        <v>0.59585579514824794</v>
      </c>
      <c r="N59" s="43">
        <f t="shared" si="22"/>
        <v>8.4231805929919142E-5</v>
      </c>
      <c r="R59" s="8"/>
      <c r="T59"/>
    </row>
    <row r="60" spans="2:20" ht="23.1" customHeight="1" x14ac:dyDescent="0.25">
      <c r="B60" s="42" t="s">
        <v>94</v>
      </c>
      <c r="C60" s="44">
        <f>C58/$O$58</f>
        <v>0.2586494372655273</v>
      </c>
      <c r="D60" s="44">
        <f t="shared" ref="D60:N60" si="23">D58/$O$58</f>
        <v>7.8782826177573984E-2</v>
      </c>
      <c r="E60" s="44">
        <f t="shared" si="23"/>
        <v>2.7511463109629011E-2</v>
      </c>
      <c r="F60" s="44">
        <f t="shared" si="23"/>
        <v>0.42601083784910382</v>
      </c>
      <c r="G60" s="44">
        <f t="shared" si="23"/>
        <v>6.4610254272613587E-3</v>
      </c>
      <c r="H60" s="44">
        <f t="shared" si="23"/>
        <v>3.751563151313047E-3</v>
      </c>
      <c r="I60" s="44">
        <f t="shared" si="23"/>
        <v>0.12609420591913298</v>
      </c>
      <c r="J60" s="44">
        <f t="shared" si="23"/>
        <v>5.0646102542726133E-2</v>
      </c>
      <c r="K60" s="44">
        <f t="shared" si="23"/>
        <v>1.6465193830762819E-2</v>
      </c>
      <c r="L60" s="44">
        <f t="shared" si="23"/>
        <v>5.4189245518966233E-3</v>
      </c>
      <c r="M60" s="44"/>
      <c r="N60" s="44">
        <f t="shared" si="23"/>
        <v>2.0842017507294707E-4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6:L6"/>
    <mergeCell ref="K5:L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K5" activeCellId="8" sqref="K5:L5 D6:E6 D6:E6 D5 C3:G3 G6:H6 G5:H5 K6:L6 K5:L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8" t="s">
        <v>23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</row>
    <row r="2" spans="2:32" ht="20.100000000000001" customHeight="1" x14ac:dyDescent="0.25">
      <c r="B2" s="59" t="s">
        <v>95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</row>
    <row r="3" spans="2:32" ht="20.100000000000001" customHeight="1" x14ac:dyDescent="0.25">
      <c r="B3" s="22" t="s">
        <v>96</v>
      </c>
      <c r="C3" s="66" t="s">
        <v>169</v>
      </c>
      <c r="D3" s="67"/>
      <c r="E3" s="67"/>
      <c r="F3" s="67"/>
      <c r="G3" s="68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51" t="s">
        <v>162</v>
      </c>
      <c r="E5" s="3"/>
      <c r="F5" s="41" t="s">
        <v>1</v>
      </c>
      <c r="G5" s="64" t="str">
        <f>'22.07 Nateete-Ndeeba'!G5:H5</f>
        <v>Rhino Funeral Services</v>
      </c>
      <c r="H5" s="65"/>
      <c r="I5" s="14"/>
      <c r="J5" s="2" t="s">
        <v>5</v>
      </c>
      <c r="K5" s="64" t="str">
        <f>'22.07 Nateete-Ndeeba'!K5:L5</f>
        <v>Ahimbisibwe Faith</v>
      </c>
      <c r="L5" s="65"/>
      <c r="M5" s="10"/>
      <c r="N5" s="10"/>
      <c r="O5" s="3"/>
      <c r="P5" s="3"/>
    </row>
    <row r="6" spans="2:32" ht="23.25" customHeight="1" x14ac:dyDescent="0.25">
      <c r="C6" s="2" t="s">
        <v>4</v>
      </c>
      <c r="D6" s="64" t="str">
        <f>'22.07 Nateete-Ndeeba'!D6:E6</f>
        <v>Nateete</v>
      </c>
      <c r="E6" s="65"/>
      <c r="F6" s="2" t="s">
        <v>2</v>
      </c>
      <c r="G6" s="64" t="str">
        <f>'22.07 Nateete-Ndeeba'!G6:H6</f>
        <v>Ndeeba</v>
      </c>
      <c r="H6" s="65"/>
      <c r="J6" s="2" t="s">
        <v>21</v>
      </c>
      <c r="K6" s="64" t="str">
        <f>'22.07 Nateete-Ndeeba'!K6:L6</f>
        <v>Felix</v>
      </c>
      <c r="L6" s="65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7" t="s">
        <v>88</v>
      </c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10</v>
      </c>
      <c r="D10" s="50">
        <v>0</v>
      </c>
      <c r="E10" s="50">
        <v>4</v>
      </c>
      <c r="F10" s="50">
        <v>9</v>
      </c>
      <c r="G10" s="50">
        <v>0</v>
      </c>
      <c r="H10" s="50">
        <v>0</v>
      </c>
      <c r="I10" s="50">
        <v>5</v>
      </c>
      <c r="J10" s="50">
        <v>0</v>
      </c>
      <c r="K10" s="50">
        <v>3</v>
      </c>
      <c r="L10" s="50">
        <v>2</v>
      </c>
      <c r="M10" s="50">
        <v>25</v>
      </c>
      <c r="N10" s="50">
        <v>0</v>
      </c>
      <c r="O10" s="15">
        <f t="shared" ref="O10:O57" si="0">SUM(C10:L10,N10)</f>
        <v>33</v>
      </c>
      <c r="P10" s="15">
        <f t="shared" ref="P10:P57" si="1">SUM(C10:N10)</f>
        <v>58</v>
      </c>
      <c r="R10" s="1" t="s">
        <v>6</v>
      </c>
      <c r="S10" s="17">
        <f t="shared" ref="S10:AF10" si="2">SUM(C10:C13)</f>
        <v>49</v>
      </c>
      <c r="T10" s="17">
        <f t="shared" si="2"/>
        <v>15</v>
      </c>
      <c r="U10" s="17">
        <f t="shared" si="2"/>
        <v>5</v>
      </c>
      <c r="V10" s="17">
        <f t="shared" si="2"/>
        <v>84</v>
      </c>
      <c r="W10" s="17">
        <f t="shared" si="2"/>
        <v>1</v>
      </c>
      <c r="X10" s="17">
        <f t="shared" si="2"/>
        <v>1</v>
      </c>
      <c r="Y10" s="17">
        <f t="shared" si="2"/>
        <v>37</v>
      </c>
      <c r="Z10" s="17">
        <f t="shared" si="2"/>
        <v>5</v>
      </c>
      <c r="AA10" s="17">
        <f t="shared" si="2"/>
        <v>4</v>
      </c>
      <c r="AB10" s="17">
        <f t="shared" si="2"/>
        <v>4</v>
      </c>
      <c r="AC10" s="17">
        <f t="shared" si="2"/>
        <v>592</v>
      </c>
      <c r="AD10" s="17">
        <f t="shared" si="2"/>
        <v>0</v>
      </c>
      <c r="AE10" s="31">
        <f t="shared" si="2"/>
        <v>205</v>
      </c>
      <c r="AF10" s="31">
        <f t="shared" si="2"/>
        <v>797</v>
      </c>
    </row>
    <row r="11" spans="2:32" s="6" customFormat="1" ht="23.1" customHeight="1" x14ac:dyDescent="0.25">
      <c r="B11" s="23" t="s">
        <v>38</v>
      </c>
      <c r="C11" s="50">
        <v>11</v>
      </c>
      <c r="D11" s="50">
        <v>2</v>
      </c>
      <c r="E11" s="50">
        <v>1</v>
      </c>
      <c r="F11" s="50">
        <v>24</v>
      </c>
      <c r="G11" s="50">
        <v>1</v>
      </c>
      <c r="H11" s="50">
        <v>0</v>
      </c>
      <c r="I11" s="50">
        <v>3</v>
      </c>
      <c r="J11" s="50">
        <v>2</v>
      </c>
      <c r="K11" s="50">
        <v>0</v>
      </c>
      <c r="L11" s="50">
        <v>1</v>
      </c>
      <c r="M11" s="50">
        <v>152</v>
      </c>
      <c r="N11" s="50">
        <v>0</v>
      </c>
      <c r="O11" s="15">
        <f t="shared" si="0"/>
        <v>45</v>
      </c>
      <c r="P11" s="15">
        <f t="shared" si="1"/>
        <v>197</v>
      </c>
      <c r="R11" s="1" t="s">
        <v>7</v>
      </c>
      <c r="S11" s="17">
        <f t="shared" ref="S11:AF11" si="3">SUM(C14:C17)</f>
        <v>36</v>
      </c>
      <c r="T11" s="17">
        <f t="shared" si="3"/>
        <v>63</v>
      </c>
      <c r="U11" s="17">
        <f t="shared" si="3"/>
        <v>13</v>
      </c>
      <c r="V11" s="17">
        <f t="shared" si="3"/>
        <v>160</v>
      </c>
      <c r="W11" s="17">
        <f t="shared" si="3"/>
        <v>4</v>
      </c>
      <c r="X11" s="17">
        <f t="shared" si="3"/>
        <v>3</v>
      </c>
      <c r="Y11" s="17">
        <f t="shared" si="3"/>
        <v>28</v>
      </c>
      <c r="Z11" s="17">
        <f t="shared" si="3"/>
        <v>6</v>
      </c>
      <c r="AA11" s="17">
        <f t="shared" si="3"/>
        <v>3</v>
      </c>
      <c r="AB11" s="17">
        <f t="shared" si="3"/>
        <v>2</v>
      </c>
      <c r="AC11" s="17">
        <f t="shared" si="3"/>
        <v>809</v>
      </c>
      <c r="AD11" s="17">
        <f t="shared" si="3"/>
        <v>0</v>
      </c>
      <c r="AE11" s="31">
        <f t="shared" si="3"/>
        <v>318</v>
      </c>
      <c r="AF11" s="31">
        <f t="shared" si="3"/>
        <v>1127</v>
      </c>
    </row>
    <row r="12" spans="2:32" ht="23.1" customHeight="1" x14ac:dyDescent="0.25">
      <c r="B12" s="23" t="s">
        <v>39</v>
      </c>
      <c r="C12" s="50">
        <v>13</v>
      </c>
      <c r="D12" s="50">
        <v>3</v>
      </c>
      <c r="E12" s="50">
        <v>0</v>
      </c>
      <c r="F12" s="50">
        <v>27</v>
      </c>
      <c r="G12" s="50">
        <v>0</v>
      </c>
      <c r="H12" s="50">
        <v>1</v>
      </c>
      <c r="I12" s="50">
        <v>16</v>
      </c>
      <c r="J12" s="50">
        <v>3</v>
      </c>
      <c r="K12" s="50">
        <v>1</v>
      </c>
      <c r="L12" s="50">
        <v>1</v>
      </c>
      <c r="M12" s="50">
        <v>185</v>
      </c>
      <c r="N12" s="50">
        <v>0</v>
      </c>
      <c r="O12" s="15">
        <f t="shared" si="0"/>
        <v>65</v>
      </c>
      <c r="P12" s="15">
        <f t="shared" si="1"/>
        <v>250</v>
      </c>
      <c r="R12" s="1" t="s">
        <v>8</v>
      </c>
      <c r="S12" s="17">
        <f t="shared" ref="S12:AF12" si="4">SUM(C18:C21)</f>
        <v>59</v>
      </c>
      <c r="T12" s="17">
        <f t="shared" si="4"/>
        <v>36</v>
      </c>
      <c r="U12" s="17">
        <f t="shared" si="4"/>
        <v>11</v>
      </c>
      <c r="V12" s="17">
        <f t="shared" si="4"/>
        <v>215</v>
      </c>
      <c r="W12" s="17">
        <f t="shared" si="4"/>
        <v>1</v>
      </c>
      <c r="X12" s="17">
        <f t="shared" si="4"/>
        <v>0</v>
      </c>
      <c r="Y12" s="17">
        <f t="shared" si="4"/>
        <v>62</v>
      </c>
      <c r="Z12" s="17">
        <f t="shared" si="4"/>
        <v>17</v>
      </c>
      <c r="AA12" s="17">
        <f t="shared" si="4"/>
        <v>6</v>
      </c>
      <c r="AB12" s="17">
        <f t="shared" si="4"/>
        <v>2</v>
      </c>
      <c r="AC12" s="17">
        <f t="shared" si="4"/>
        <v>733</v>
      </c>
      <c r="AD12" s="17">
        <f t="shared" si="4"/>
        <v>0</v>
      </c>
      <c r="AE12" s="31">
        <f t="shared" si="4"/>
        <v>409</v>
      </c>
      <c r="AF12" s="31">
        <f t="shared" si="4"/>
        <v>1142</v>
      </c>
    </row>
    <row r="13" spans="2:32" ht="23.1" customHeight="1" x14ac:dyDescent="0.25">
      <c r="B13" s="23" t="s">
        <v>40</v>
      </c>
      <c r="C13" s="50">
        <v>15</v>
      </c>
      <c r="D13" s="50">
        <v>10</v>
      </c>
      <c r="E13" s="50">
        <v>0</v>
      </c>
      <c r="F13" s="50">
        <v>24</v>
      </c>
      <c r="G13" s="50">
        <v>0</v>
      </c>
      <c r="H13" s="50">
        <v>0</v>
      </c>
      <c r="I13" s="50">
        <v>13</v>
      </c>
      <c r="J13" s="50">
        <v>0</v>
      </c>
      <c r="K13" s="50">
        <v>0</v>
      </c>
      <c r="L13" s="50">
        <v>0</v>
      </c>
      <c r="M13" s="50">
        <v>230</v>
      </c>
      <c r="N13" s="50">
        <v>0</v>
      </c>
      <c r="O13" s="15">
        <f t="shared" si="0"/>
        <v>62</v>
      </c>
      <c r="P13" s="15">
        <f t="shared" si="1"/>
        <v>292</v>
      </c>
      <c r="R13" s="1" t="s">
        <v>9</v>
      </c>
      <c r="S13" s="17">
        <f t="shared" ref="S13:AF13" si="5">SUM(C22:C25)</f>
        <v>45</v>
      </c>
      <c r="T13" s="17">
        <f t="shared" si="5"/>
        <v>38</v>
      </c>
      <c r="U13" s="17">
        <f t="shared" si="5"/>
        <v>25</v>
      </c>
      <c r="V13" s="17">
        <f t="shared" si="5"/>
        <v>130</v>
      </c>
      <c r="W13" s="17">
        <f t="shared" si="5"/>
        <v>2</v>
      </c>
      <c r="X13" s="17">
        <f t="shared" si="5"/>
        <v>0</v>
      </c>
      <c r="Y13" s="17">
        <f t="shared" si="5"/>
        <v>44</v>
      </c>
      <c r="Z13" s="17">
        <f t="shared" si="5"/>
        <v>36</v>
      </c>
      <c r="AA13" s="17">
        <f t="shared" si="5"/>
        <v>6</v>
      </c>
      <c r="AB13" s="17">
        <f t="shared" si="5"/>
        <v>12</v>
      </c>
      <c r="AC13" s="17">
        <f t="shared" si="5"/>
        <v>813</v>
      </c>
      <c r="AD13" s="17">
        <f t="shared" si="5"/>
        <v>2</v>
      </c>
      <c r="AE13" s="31">
        <f t="shared" si="5"/>
        <v>340</v>
      </c>
      <c r="AF13" s="31">
        <f t="shared" si="5"/>
        <v>1153</v>
      </c>
    </row>
    <row r="14" spans="2:32" ht="23.1" customHeight="1" x14ac:dyDescent="0.25">
      <c r="B14" s="23" t="s">
        <v>41</v>
      </c>
      <c r="C14" s="50">
        <v>20</v>
      </c>
      <c r="D14" s="50">
        <v>17</v>
      </c>
      <c r="E14" s="50">
        <v>2</v>
      </c>
      <c r="F14" s="50">
        <v>30</v>
      </c>
      <c r="G14" s="50">
        <v>1</v>
      </c>
      <c r="H14" s="50">
        <v>1</v>
      </c>
      <c r="I14" s="50">
        <v>9</v>
      </c>
      <c r="J14" s="50">
        <v>3</v>
      </c>
      <c r="K14" s="50">
        <v>0</v>
      </c>
      <c r="L14" s="50">
        <v>0</v>
      </c>
      <c r="M14" s="50">
        <v>170</v>
      </c>
      <c r="N14" s="50">
        <v>0</v>
      </c>
      <c r="O14" s="15">
        <f t="shared" si="0"/>
        <v>83</v>
      </c>
      <c r="P14" s="15">
        <f t="shared" si="1"/>
        <v>253</v>
      </c>
      <c r="R14" s="1" t="s">
        <v>10</v>
      </c>
      <c r="S14" s="17">
        <f t="shared" ref="S14:AF14" si="6">SUM(C26:C29)</f>
        <v>132</v>
      </c>
      <c r="T14" s="17">
        <f t="shared" si="6"/>
        <v>82</v>
      </c>
      <c r="U14" s="17">
        <f t="shared" si="6"/>
        <v>19</v>
      </c>
      <c r="V14" s="17">
        <f t="shared" si="6"/>
        <v>209</v>
      </c>
      <c r="W14" s="17">
        <f t="shared" si="6"/>
        <v>5</v>
      </c>
      <c r="X14" s="17">
        <f t="shared" si="6"/>
        <v>0</v>
      </c>
      <c r="Y14" s="17">
        <f t="shared" si="6"/>
        <v>81</v>
      </c>
      <c r="Z14" s="17">
        <f t="shared" si="6"/>
        <v>32</v>
      </c>
      <c r="AA14" s="17">
        <f t="shared" si="6"/>
        <v>8</v>
      </c>
      <c r="AB14" s="17">
        <f t="shared" si="6"/>
        <v>12</v>
      </c>
      <c r="AC14" s="17">
        <f t="shared" si="6"/>
        <v>820</v>
      </c>
      <c r="AD14" s="17">
        <f t="shared" si="6"/>
        <v>0</v>
      </c>
      <c r="AE14" s="31">
        <f t="shared" si="6"/>
        <v>580</v>
      </c>
      <c r="AF14" s="31">
        <f t="shared" si="6"/>
        <v>1400</v>
      </c>
    </row>
    <row r="15" spans="2:32" ht="23.1" customHeight="1" x14ac:dyDescent="0.25">
      <c r="B15" s="23" t="s">
        <v>42</v>
      </c>
      <c r="C15" s="50">
        <v>11</v>
      </c>
      <c r="D15" s="50">
        <v>20</v>
      </c>
      <c r="E15" s="50">
        <v>5</v>
      </c>
      <c r="F15" s="50">
        <v>40</v>
      </c>
      <c r="G15" s="50">
        <v>0</v>
      </c>
      <c r="H15" s="50">
        <v>1</v>
      </c>
      <c r="I15" s="50">
        <v>9</v>
      </c>
      <c r="J15" s="50">
        <v>1</v>
      </c>
      <c r="K15" s="50">
        <v>3</v>
      </c>
      <c r="L15" s="50">
        <v>2</v>
      </c>
      <c r="M15" s="50">
        <v>188</v>
      </c>
      <c r="N15" s="50">
        <v>0</v>
      </c>
      <c r="O15" s="15">
        <f t="shared" si="0"/>
        <v>92</v>
      </c>
      <c r="P15" s="15">
        <f t="shared" si="1"/>
        <v>280</v>
      </c>
      <c r="R15" s="1" t="s">
        <v>11</v>
      </c>
      <c r="S15" s="17">
        <f t="shared" ref="S15:AF15" si="7">SUM(C30:C33)</f>
        <v>129</v>
      </c>
      <c r="T15" s="17">
        <f t="shared" si="7"/>
        <v>24</v>
      </c>
      <c r="U15" s="17">
        <f t="shared" si="7"/>
        <v>12</v>
      </c>
      <c r="V15" s="17">
        <f t="shared" si="7"/>
        <v>100</v>
      </c>
      <c r="W15" s="17">
        <f t="shared" si="7"/>
        <v>0</v>
      </c>
      <c r="X15" s="17">
        <f t="shared" si="7"/>
        <v>0</v>
      </c>
      <c r="Y15" s="17">
        <f t="shared" si="7"/>
        <v>57</v>
      </c>
      <c r="Z15" s="17">
        <f t="shared" si="7"/>
        <v>24</v>
      </c>
      <c r="AA15" s="17">
        <f t="shared" si="7"/>
        <v>13</v>
      </c>
      <c r="AB15" s="17">
        <f t="shared" si="7"/>
        <v>17</v>
      </c>
      <c r="AC15" s="17">
        <f t="shared" si="7"/>
        <v>597</v>
      </c>
      <c r="AD15" s="17">
        <f t="shared" si="7"/>
        <v>0</v>
      </c>
      <c r="AE15" s="31">
        <f t="shared" si="7"/>
        <v>376</v>
      </c>
      <c r="AF15" s="31">
        <f t="shared" si="7"/>
        <v>973</v>
      </c>
    </row>
    <row r="16" spans="2:32" ht="23.1" customHeight="1" x14ac:dyDescent="0.25">
      <c r="B16" s="23" t="s">
        <v>43</v>
      </c>
      <c r="C16" s="50">
        <v>3</v>
      </c>
      <c r="D16" s="50">
        <v>7</v>
      </c>
      <c r="E16" s="50">
        <v>0</v>
      </c>
      <c r="F16" s="50">
        <v>20</v>
      </c>
      <c r="G16" s="50">
        <v>0</v>
      </c>
      <c r="H16" s="50">
        <v>1</v>
      </c>
      <c r="I16" s="50">
        <v>5</v>
      </c>
      <c r="J16" s="50">
        <v>0</v>
      </c>
      <c r="K16" s="50">
        <v>0</v>
      </c>
      <c r="L16" s="50">
        <v>0</v>
      </c>
      <c r="M16" s="50">
        <v>195</v>
      </c>
      <c r="N16" s="50">
        <v>0</v>
      </c>
      <c r="O16" s="15">
        <f t="shared" si="0"/>
        <v>36</v>
      </c>
      <c r="P16" s="15">
        <f t="shared" si="1"/>
        <v>231</v>
      </c>
      <c r="R16" s="1" t="s">
        <v>12</v>
      </c>
      <c r="S16" s="17">
        <f t="shared" ref="S16:AF16" si="8">SUM(C34:C37)</f>
        <v>162</v>
      </c>
      <c r="T16" s="17">
        <f t="shared" si="8"/>
        <v>29</v>
      </c>
      <c r="U16" s="17">
        <f t="shared" si="8"/>
        <v>17</v>
      </c>
      <c r="V16" s="17">
        <f t="shared" si="8"/>
        <v>135</v>
      </c>
      <c r="W16" s="17">
        <f t="shared" si="8"/>
        <v>2</v>
      </c>
      <c r="X16" s="17">
        <f t="shared" si="8"/>
        <v>0</v>
      </c>
      <c r="Y16" s="17">
        <f t="shared" si="8"/>
        <v>97</v>
      </c>
      <c r="Z16" s="17">
        <f t="shared" si="8"/>
        <v>25</v>
      </c>
      <c r="AA16" s="17">
        <f t="shared" si="8"/>
        <v>5</v>
      </c>
      <c r="AB16" s="17">
        <f t="shared" si="8"/>
        <v>10</v>
      </c>
      <c r="AC16" s="17">
        <f t="shared" si="8"/>
        <v>457</v>
      </c>
      <c r="AD16" s="17">
        <f t="shared" si="8"/>
        <v>0</v>
      </c>
      <c r="AE16" s="31">
        <f t="shared" si="8"/>
        <v>482</v>
      </c>
      <c r="AF16" s="31">
        <f t="shared" si="8"/>
        <v>939</v>
      </c>
    </row>
    <row r="17" spans="2:32" ht="23.1" customHeight="1" x14ac:dyDescent="0.25">
      <c r="B17" s="23" t="s">
        <v>44</v>
      </c>
      <c r="C17" s="50">
        <v>2</v>
      </c>
      <c r="D17" s="50">
        <v>19</v>
      </c>
      <c r="E17" s="50">
        <v>6</v>
      </c>
      <c r="F17" s="50">
        <v>70</v>
      </c>
      <c r="G17" s="50">
        <v>3</v>
      </c>
      <c r="H17" s="50">
        <v>0</v>
      </c>
      <c r="I17" s="50">
        <v>5</v>
      </c>
      <c r="J17" s="50">
        <v>2</v>
      </c>
      <c r="K17" s="50">
        <v>0</v>
      </c>
      <c r="L17" s="50">
        <v>0</v>
      </c>
      <c r="M17" s="50">
        <v>256</v>
      </c>
      <c r="N17" s="50">
        <v>0</v>
      </c>
      <c r="O17" s="15">
        <f t="shared" si="0"/>
        <v>107</v>
      </c>
      <c r="P17" s="15">
        <f t="shared" si="1"/>
        <v>363</v>
      </c>
      <c r="R17" s="1" t="s">
        <v>13</v>
      </c>
      <c r="S17" s="17">
        <f t="shared" ref="S17:AF17" si="9">SUM(C38:C41)</f>
        <v>85</v>
      </c>
      <c r="T17" s="17">
        <f t="shared" si="9"/>
        <v>22</v>
      </c>
      <c r="U17" s="17">
        <f t="shared" si="9"/>
        <v>24</v>
      </c>
      <c r="V17" s="17">
        <f t="shared" si="9"/>
        <v>112</v>
      </c>
      <c r="W17" s="17">
        <f t="shared" si="9"/>
        <v>7</v>
      </c>
      <c r="X17" s="17">
        <f t="shared" si="9"/>
        <v>0</v>
      </c>
      <c r="Y17" s="17">
        <f t="shared" si="9"/>
        <v>57</v>
      </c>
      <c r="Z17" s="17">
        <f t="shared" si="9"/>
        <v>22</v>
      </c>
      <c r="AA17" s="17">
        <f t="shared" si="9"/>
        <v>11</v>
      </c>
      <c r="AB17" s="17">
        <f t="shared" si="9"/>
        <v>6</v>
      </c>
      <c r="AC17" s="17">
        <f t="shared" si="9"/>
        <v>593</v>
      </c>
      <c r="AD17" s="17">
        <f t="shared" si="9"/>
        <v>0</v>
      </c>
      <c r="AE17" s="31">
        <f t="shared" si="9"/>
        <v>346</v>
      </c>
      <c r="AF17" s="31">
        <f t="shared" si="9"/>
        <v>939</v>
      </c>
    </row>
    <row r="18" spans="2:32" ht="23.1" customHeight="1" x14ac:dyDescent="0.25">
      <c r="B18" s="23" t="s">
        <v>45</v>
      </c>
      <c r="C18" s="50">
        <v>3</v>
      </c>
      <c r="D18" s="50">
        <v>9</v>
      </c>
      <c r="E18" s="50">
        <v>3</v>
      </c>
      <c r="F18" s="50">
        <v>32</v>
      </c>
      <c r="G18" s="50">
        <v>1</v>
      </c>
      <c r="H18" s="50">
        <v>0</v>
      </c>
      <c r="I18" s="50">
        <v>9</v>
      </c>
      <c r="J18" s="50">
        <v>3</v>
      </c>
      <c r="K18" s="50">
        <v>0</v>
      </c>
      <c r="L18" s="50">
        <v>0</v>
      </c>
      <c r="M18" s="50">
        <v>170</v>
      </c>
      <c r="N18" s="50">
        <v>0</v>
      </c>
      <c r="O18" s="15">
        <f t="shared" si="0"/>
        <v>60</v>
      </c>
      <c r="P18" s="15">
        <f t="shared" si="1"/>
        <v>230</v>
      </c>
      <c r="R18" s="1" t="s">
        <v>14</v>
      </c>
      <c r="S18" s="17">
        <f t="shared" ref="S18:AF18" si="10">SUM(C42:C45)</f>
        <v>95</v>
      </c>
      <c r="T18" s="17">
        <f t="shared" si="10"/>
        <v>27</v>
      </c>
      <c r="U18" s="17">
        <f t="shared" si="10"/>
        <v>25</v>
      </c>
      <c r="V18" s="17">
        <f t="shared" si="10"/>
        <v>108</v>
      </c>
      <c r="W18" s="17">
        <f t="shared" si="10"/>
        <v>1</v>
      </c>
      <c r="X18" s="17">
        <f t="shared" si="10"/>
        <v>3</v>
      </c>
      <c r="Y18" s="17">
        <f t="shared" si="10"/>
        <v>63</v>
      </c>
      <c r="Z18" s="17">
        <f t="shared" si="10"/>
        <v>29</v>
      </c>
      <c r="AA18" s="17">
        <f t="shared" si="10"/>
        <v>2</v>
      </c>
      <c r="AB18" s="17">
        <f t="shared" si="10"/>
        <v>14</v>
      </c>
      <c r="AC18" s="17">
        <f t="shared" si="10"/>
        <v>623</v>
      </c>
      <c r="AD18" s="17">
        <f t="shared" si="10"/>
        <v>0</v>
      </c>
      <c r="AE18" s="31">
        <f t="shared" si="10"/>
        <v>367</v>
      </c>
      <c r="AF18" s="31">
        <f t="shared" si="10"/>
        <v>990</v>
      </c>
    </row>
    <row r="19" spans="2:32" ht="23.1" customHeight="1" x14ac:dyDescent="0.25">
      <c r="B19" s="23" t="s">
        <v>46</v>
      </c>
      <c r="C19" s="50">
        <v>10</v>
      </c>
      <c r="D19" s="50">
        <v>6</v>
      </c>
      <c r="E19" s="50">
        <v>4</v>
      </c>
      <c r="F19" s="50">
        <v>60</v>
      </c>
      <c r="G19" s="50">
        <v>0</v>
      </c>
      <c r="H19" s="50">
        <v>0</v>
      </c>
      <c r="I19" s="50">
        <v>5</v>
      </c>
      <c r="J19" s="50">
        <v>0</v>
      </c>
      <c r="K19" s="50">
        <v>2</v>
      </c>
      <c r="L19" s="50">
        <v>1</v>
      </c>
      <c r="M19" s="50">
        <v>205</v>
      </c>
      <c r="N19" s="50">
        <v>0</v>
      </c>
      <c r="O19" s="15">
        <f t="shared" si="0"/>
        <v>88</v>
      </c>
      <c r="P19" s="15">
        <f t="shared" si="1"/>
        <v>293</v>
      </c>
      <c r="R19" s="1" t="s">
        <v>15</v>
      </c>
      <c r="S19" s="17">
        <f t="shared" ref="S19:AF19" si="11">SUM(C46:C49)</f>
        <v>106</v>
      </c>
      <c r="T19" s="17">
        <f t="shared" si="11"/>
        <v>23</v>
      </c>
      <c r="U19" s="17">
        <f t="shared" si="11"/>
        <v>31</v>
      </c>
      <c r="V19" s="17">
        <f t="shared" si="11"/>
        <v>95</v>
      </c>
      <c r="W19" s="17">
        <f t="shared" si="11"/>
        <v>0</v>
      </c>
      <c r="X19" s="17">
        <f t="shared" si="11"/>
        <v>0</v>
      </c>
      <c r="Y19" s="17">
        <f t="shared" si="11"/>
        <v>55</v>
      </c>
      <c r="Z19" s="17">
        <f t="shared" si="11"/>
        <v>59</v>
      </c>
      <c r="AA19" s="17">
        <f t="shared" si="11"/>
        <v>5</v>
      </c>
      <c r="AB19" s="17">
        <f t="shared" si="11"/>
        <v>4</v>
      </c>
      <c r="AC19" s="17">
        <f t="shared" si="11"/>
        <v>748</v>
      </c>
      <c r="AD19" s="17">
        <f t="shared" si="11"/>
        <v>0</v>
      </c>
      <c r="AE19" s="31">
        <f t="shared" si="11"/>
        <v>378</v>
      </c>
      <c r="AF19" s="31">
        <f t="shared" si="11"/>
        <v>1126</v>
      </c>
    </row>
    <row r="20" spans="2:32" ht="23.1" customHeight="1" x14ac:dyDescent="0.25">
      <c r="B20" s="23" t="s">
        <v>47</v>
      </c>
      <c r="C20" s="50">
        <v>43</v>
      </c>
      <c r="D20" s="50">
        <v>13</v>
      </c>
      <c r="E20" s="50">
        <v>0</v>
      </c>
      <c r="F20" s="50">
        <v>90</v>
      </c>
      <c r="G20" s="50">
        <v>0</v>
      </c>
      <c r="H20" s="50">
        <v>0</v>
      </c>
      <c r="I20" s="50">
        <v>41</v>
      </c>
      <c r="J20" s="50">
        <v>5</v>
      </c>
      <c r="K20" s="50">
        <v>2</v>
      </c>
      <c r="L20" s="50">
        <v>1</v>
      </c>
      <c r="M20" s="50">
        <v>170</v>
      </c>
      <c r="N20" s="50">
        <v>0</v>
      </c>
      <c r="O20" s="15">
        <f t="shared" si="0"/>
        <v>195</v>
      </c>
      <c r="P20" s="15">
        <f t="shared" si="1"/>
        <v>365</v>
      </c>
      <c r="R20" s="1" t="s">
        <v>16</v>
      </c>
      <c r="S20" s="17">
        <f t="shared" ref="S20:AF20" si="12">SUM(C50:C53)</f>
        <v>84</v>
      </c>
      <c r="T20" s="17">
        <f t="shared" si="12"/>
        <v>21</v>
      </c>
      <c r="U20" s="17">
        <f t="shared" si="12"/>
        <v>24</v>
      </c>
      <c r="V20" s="17">
        <f t="shared" si="12"/>
        <v>121</v>
      </c>
      <c r="W20" s="17">
        <f t="shared" si="12"/>
        <v>0</v>
      </c>
      <c r="X20" s="17">
        <f t="shared" si="12"/>
        <v>0</v>
      </c>
      <c r="Y20" s="17">
        <f t="shared" si="12"/>
        <v>48</v>
      </c>
      <c r="Z20" s="17">
        <f t="shared" si="12"/>
        <v>39</v>
      </c>
      <c r="AA20" s="17">
        <f t="shared" si="12"/>
        <v>2</v>
      </c>
      <c r="AB20" s="17">
        <f t="shared" si="12"/>
        <v>6</v>
      </c>
      <c r="AC20" s="17">
        <f t="shared" si="12"/>
        <v>796</v>
      </c>
      <c r="AD20" s="17">
        <f t="shared" si="12"/>
        <v>0</v>
      </c>
      <c r="AE20" s="31">
        <f t="shared" si="12"/>
        <v>345</v>
      </c>
      <c r="AF20" s="31">
        <f t="shared" si="12"/>
        <v>1141</v>
      </c>
    </row>
    <row r="21" spans="2:32" ht="23.1" customHeight="1" x14ac:dyDescent="0.25">
      <c r="B21" s="23" t="s">
        <v>48</v>
      </c>
      <c r="C21" s="50">
        <v>3</v>
      </c>
      <c r="D21" s="50">
        <v>8</v>
      </c>
      <c r="E21" s="50">
        <v>4</v>
      </c>
      <c r="F21" s="50">
        <v>33</v>
      </c>
      <c r="G21" s="50">
        <v>0</v>
      </c>
      <c r="H21" s="50">
        <v>0</v>
      </c>
      <c r="I21" s="50">
        <v>7</v>
      </c>
      <c r="J21" s="50">
        <v>9</v>
      </c>
      <c r="K21" s="50">
        <v>2</v>
      </c>
      <c r="L21" s="50">
        <v>0</v>
      </c>
      <c r="M21" s="50">
        <v>188</v>
      </c>
      <c r="N21" s="50">
        <v>0</v>
      </c>
      <c r="O21" s="15">
        <f t="shared" si="0"/>
        <v>66</v>
      </c>
      <c r="P21" s="15">
        <f t="shared" si="1"/>
        <v>254</v>
      </c>
      <c r="R21" s="36" t="s">
        <v>20</v>
      </c>
      <c r="S21" s="34">
        <f t="shared" ref="S21:AF21" si="13">SUM(C54:C57)</f>
        <v>135</v>
      </c>
      <c r="T21" s="17">
        <f t="shared" si="13"/>
        <v>44</v>
      </c>
      <c r="U21" s="17">
        <f t="shared" si="13"/>
        <v>25</v>
      </c>
      <c r="V21" s="17">
        <f t="shared" si="13"/>
        <v>144</v>
      </c>
      <c r="W21" s="17">
        <f t="shared" si="13"/>
        <v>1</v>
      </c>
      <c r="X21" s="17">
        <f t="shared" si="13"/>
        <v>1</v>
      </c>
      <c r="Y21" s="17">
        <f t="shared" si="13"/>
        <v>58</v>
      </c>
      <c r="Z21" s="17">
        <f t="shared" si="13"/>
        <v>45</v>
      </c>
      <c r="AA21" s="17">
        <f t="shared" si="13"/>
        <v>25</v>
      </c>
      <c r="AB21" s="17">
        <f t="shared" si="13"/>
        <v>12</v>
      </c>
      <c r="AC21" s="17">
        <f t="shared" si="13"/>
        <v>866</v>
      </c>
      <c r="AD21" s="17">
        <f t="shared" si="13"/>
        <v>0</v>
      </c>
      <c r="AE21" s="31">
        <f t="shared" si="13"/>
        <v>490</v>
      </c>
      <c r="AF21" s="31">
        <f t="shared" si="13"/>
        <v>1356</v>
      </c>
    </row>
    <row r="22" spans="2:32" ht="23.1" customHeight="1" x14ac:dyDescent="0.25">
      <c r="B22" s="23" t="s">
        <v>49</v>
      </c>
      <c r="C22" s="50">
        <v>7</v>
      </c>
      <c r="D22" s="50">
        <v>11</v>
      </c>
      <c r="E22" s="50">
        <v>8</v>
      </c>
      <c r="F22" s="50">
        <v>31</v>
      </c>
      <c r="G22" s="50">
        <v>1</v>
      </c>
      <c r="H22" s="50">
        <v>0</v>
      </c>
      <c r="I22" s="50">
        <v>8</v>
      </c>
      <c r="J22" s="50">
        <v>3</v>
      </c>
      <c r="K22" s="50">
        <v>0</v>
      </c>
      <c r="L22" s="50">
        <v>0</v>
      </c>
      <c r="M22" s="50">
        <v>210</v>
      </c>
      <c r="N22" s="50">
        <v>1</v>
      </c>
      <c r="O22" s="15">
        <f t="shared" si="0"/>
        <v>70</v>
      </c>
      <c r="P22" s="15">
        <f t="shared" si="1"/>
        <v>280</v>
      </c>
      <c r="R22" s="38" t="s">
        <v>90</v>
      </c>
      <c r="S22" s="39">
        <f>MAX(S10:S12)</f>
        <v>59</v>
      </c>
      <c r="T22" s="39">
        <f t="shared" ref="T22:AF22" si="14">MAX(T10:T12)</f>
        <v>63</v>
      </c>
      <c r="U22" s="39">
        <f t="shared" si="14"/>
        <v>13</v>
      </c>
      <c r="V22" s="39">
        <f t="shared" si="14"/>
        <v>215</v>
      </c>
      <c r="W22" s="39">
        <f t="shared" si="14"/>
        <v>4</v>
      </c>
      <c r="X22" s="39">
        <f t="shared" si="14"/>
        <v>3</v>
      </c>
      <c r="Y22" s="39">
        <f t="shared" si="14"/>
        <v>62</v>
      </c>
      <c r="Z22" s="39">
        <f t="shared" si="14"/>
        <v>17</v>
      </c>
      <c r="AA22" s="39">
        <f t="shared" si="14"/>
        <v>6</v>
      </c>
      <c r="AB22" s="39">
        <f t="shared" si="14"/>
        <v>4</v>
      </c>
      <c r="AC22" s="39">
        <f t="shared" si="14"/>
        <v>809</v>
      </c>
      <c r="AD22" s="39">
        <f t="shared" si="14"/>
        <v>0</v>
      </c>
      <c r="AE22" s="40">
        <f t="shared" si="14"/>
        <v>409</v>
      </c>
      <c r="AF22" s="40">
        <f t="shared" si="14"/>
        <v>1142</v>
      </c>
    </row>
    <row r="23" spans="2:32" ht="23.1" customHeight="1" x14ac:dyDescent="0.25">
      <c r="B23" s="23" t="s">
        <v>50</v>
      </c>
      <c r="C23" s="50">
        <v>9</v>
      </c>
      <c r="D23" s="50">
        <v>11</v>
      </c>
      <c r="E23" s="50">
        <v>12</v>
      </c>
      <c r="F23" s="50">
        <v>17</v>
      </c>
      <c r="G23" s="50">
        <v>0</v>
      </c>
      <c r="H23" s="50">
        <v>0</v>
      </c>
      <c r="I23" s="50">
        <v>14</v>
      </c>
      <c r="J23" s="50">
        <v>11</v>
      </c>
      <c r="K23" s="50">
        <v>1</v>
      </c>
      <c r="L23" s="50">
        <v>6</v>
      </c>
      <c r="M23" s="50">
        <v>153</v>
      </c>
      <c r="N23" s="50">
        <v>0</v>
      </c>
      <c r="O23" s="15">
        <f t="shared" si="0"/>
        <v>81</v>
      </c>
      <c r="P23" s="15">
        <f t="shared" si="1"/>
        <v>234</v>
      </c>
      <c r="R23" s="38" t="s">
        <v>91</v>
      </c>
      <c r="S23" s="39">
        <f>MAX(S13:S18)</f>
        <v>162</v>
      </c>
      <c r="T23" s="39">
        <f t="shared" ref="T23:AF23" si="15">MAX(T13:T18)</f>
        <v>82</v>
      </c>
      <c r="U23" s="39">
        <f t="shared" si="15"/>
        <v>25</v>
      </c>
      <c r="V23" s="39">
        <f t="shared" si="15"/>
        <v>209</v>
      </c>
      <c r="W23" s="39">
        <f t="shared" si="15"/>
        <v>7</v>
      </c>
      <c r="X23" s="39">
        <f t="shared" si="15"/>
        <v>3</v>
      </c>
      <c r="Y23" s="39">
        <f t="shared" si="15"/>
        <v>97</v>
      </c>
      <c r="Z23" s="39">
        <f t="shared" si="15"/>
        <v>36</v>
      </c>
      <c r="AA23" s="39">
        <f t="shared" si="15"/>
        <v>13</v>
      </c>
      <c r="AB23" s="39">
        <f t="shared" si="15"/>
        <v>17</v>
      </c>
      <c r="AC23" s="39">
        <f t="shared" si="15"/>
        <v>820</v>
      </c>
      <c r="AD23" s="39">
        <f t="shared" si="15"/>
        <v>2</v>
      </c>
      <c r="AE23" s="40">
        <f t="shared" si="15"/>
        <v>580</v>
      </c>
      <c r="AF23" s="40">
        <f t="shared" si="15"/>
        <v>1400</v>
      </c>
    </row>
    <row r="24" spans="2:32" ht="23.1" customHeight="1" x14ac:dyDescent="0.25">
      <c r="B24" s="23" t="s">
        <v>51</v>
      </c>
      <c r="C24" s="50">
        <v>11</v>
      </c>
      <c r="D24" s="50">
        <v>10</v>
      </c>
      <c r="E24" s="50">
        <v>2</v>
      </c>
      <c r="F24" s="50">
        <v>33</v>
      </c>
      <c r="G24" s="50">
        <v>1</v>
      </c>
      <c r="H24" s="50">
        <v>0</v>
      </c>
      <c r="I24" s="50">
        <v>10</v>
      </c>
      <c r="J24" s="50">
        <v>9</v>
      </c>
      <c r="K24" s="50">
        <v>1</v>
      </c>
      <c r="L24" s="50">
        <v>5</v>
      </c>
      <c r="M24" s="50">
        <v>175</v>
      </c>
      <c r="N24" s="50">
        <v>1</v>
      </c>
      <c r="O24" s="15">
        <f t="shared" si="0"/>
        <v>83</v>
      </c>
      <c r="P24" s="15">
        <f t="shared" si="1"/>
        <v>258</v>
      </c>
      <c r="R24" s="38" t="s">
        <v>92</v>
      </c>
      <c r="S24" s="39">
        <f>MAX(S19:S21)</f>
        <v>135</v>
      </c>
      <c r="T24" s="39">
        <f t="shared" ref="T24:AF24" si="16">MAX(T19:T21)</f>
        <v>44</v>
      </c>
      <c r="U24" s="39">
        <f t="shared" si="16"/>
        <v>31</v>
      </c>
      <c r="V24" s="39">
        <f t="shared" si="16"/>
        <v>144</v>
      </c>
      <c r="W24" s="39">
        <f t="shared" si="16"/>
        <v>1</v>
      </c>
      <c r="X24" s="39">
        <f t="shared" si="16"/>
        <v>1</v>
      </c>
      <c r="Y24" s="39">
        <f t="shared" si="16"/>
        <v>58</v>
      </c>
      <c r="Z24" s="39">
        <f t="shared" si="16"/>
        <v>59</v>
      </c>
      <c r="AA24" s="39">
        <f t="shared" si="16"/>
        <v>25</v>
      </c>
      <c r="AB24" s="39">
        <f t="shared" si="16"/>
        <v>12</v>
      </c>
      <c r="AC24" s="39">
        <f t="shared" si="16"/>
        <v>866</v>
      </c>
      <c r="AD24" s="39">
        <f t="shared" si="16"/>
        <v>0</v>
      </c>
      <c r="AE24" s="40">
        <f t="shared" si="16"/>
        <v>490</v>
      </c>
      <c r="AF24" s="40">
        <f t="shared" si="16"/>
        <v>1356</v>
      </c>
    </row>
    <row r="25" spans="2:32" ht="23.1" customHeight="1" x14ac:dyDescent="0.25">
      <c r="B25" s="23" t="s">
        <v>52</v>
      </c>
      <c r="C25" s="50">
        <v>18</v>
      </c>
      <c r="D25" s="50">
        <v>6</v>
      </c>
      <c r="E25" s="50">
        <v>3</v>
      </c>
      <c r="F25" s="50">
        <v>49</v>
      </c>
      <c r="G25" s="50">
        <v>0</v>
      </c>
      <c r="H25" s="50">
        <v>0</v>
      </c>
      <c r="I25" s="50">
        <v>12</v>
      </c>
      <c r="J25" s="50">
        <v>13</v>
      </c>
      <c r="K25" s="50">
        <v>4</v>
      </c>
      <c r="L25" s="50">
        <v>1</v>
      </c>
      <c r="M25" s="50">
        <v>275</v>
      </c>
      <c r="N25" s="50">
        <v>0</v>
      </c>
      <c r="O25" s="15">
        <f t="shared" si="0"/>
        <v>106</v>
      </c>
      <c r="P25" s="15">
        <f t="shared" si="1"/>
        <v>381</v>
      </c>
      <c r="R25" s="37" t="s">
        <v>85</v>
      </c>
      <c r="S25" s="35">
        <f t="shared" ref="S25:AF25" si="17">SUM(S10:S12)</f>
        <v>144</v>
      </c>
      <c r="T25" s="16">
        <f t="shared" si="17"/>
        <v>114</v>
      </c>
      <c r="U25" s="16">
        <f t="shared" si="17"/>
        <v>29</v>
      </c>
      <c r="V25" s="16">
        <f t="shared" si="17"/>
        <v>459</v>
      </c>
      <c r="W25" s="16">
        <f t="shared" si="17"/>
        <v>6</v>
      </c>
      <c r="X25" s="16">
        <f t="shared" si="17"/>
        <v>4</v>
      </c>
      <c r="Y25" s="16">
        <f t="shared" si="17"/>
        <v>127</v>
      </c>
      <c r="Z25" s="16">
        <f t="shared" si="17"/>
        <v>28</v>
      </c>
      <c r="AA25" s="16">
        <f t="shared" si="17"/>
        <v>13</v>
      </c>
      <c r="AB25" s="16">
        <f t="shared" si="17"/>
        <v>8</v>
      </c>
      <c r="AC25" s="16">
        <f t="shared" si="17"/>
        <v>2134</v>
      </c>
      <c r="AD25" s="16">
        <f t="shared" si="17"/>
        <v>0</v>
      </c>
      <c r="AE25" s="32">
        <f t="shared" si="17"/>
        <v>932</v>
      </c>
      <c r="AF25" s="32">
        <f t="shared" si="17"/>
        <v>3066</v>
      </c>
    </row>
    <row r="26" spans="2:32" ht="23.1" customHeight="1" x14ac:dyDescent="0.25">
      <c r="B26" s="23" t="s">
        <v>53</v>
      </c>
      <c r="C26" s="50">
        <v>30</v>
      </c>
      <c r="D26" s="50">
        <v>45</v>
      </c>
      <c r="E26" s="50">
        <v>4</v>
      </c>
      <c r="F26" s="50">
        <v>70</v>
      </c>
      <c r="G26" s="50">
        <v>2</v>
      </c>
      <c r="H26" s="50">
        <v>0</v>
      </c>
      <c r="I26" s="50">
        <v>22</v>
      </c>
      <c r="J26" s="50">
        <v>5</v>
      </c>
      <c r="K26" s="50">
        <v>3</v>
      </c>
      <c r="L26" s="50">
        <v>3</v>
      </c>
      <c r="M26" s="50">
        <v>220</v>
      </c>
      <c r="N26" s="50">
        <v>0</v>
      </c>
      <c r="O26" s="15">
        <f t="shared" si="0"/>
        <v>184</v>
      </c>
      <c r="P26" s="15">
        <f t="shared" si="1"/>
        <v>404</v>
      </c>
      <c r="R26" s="28" t="s">
        <v>86</v>
      </c>
      <c r="S26" s="16">
        <f t="shared" ref="S26:AF26" si="18">SUM(S13:S18)</f>
        <v>648</v>
      </c>
      <c r="T26" s="16">
        <f t="shared" si="18"/>
        <v>222</v>
      </c>
      <c r="U26" s="16">
        <f t="shared" si="18"/>
        <v>122</v>
      </c>
      <c r="V26" s="16">
        <f t="shared" si="18"/>
        <v>794</v>
      </c>
      <c r="W26" s="16">
        <f t="shared" si="18"/>
        <v>17</v>
      </c>
      <c r="X26" s="16">
        <f t="shared" si="18"/>
        <v>3</v>
      </c>
      <c r="Y26" s="16">
        <f t="shared" si="18"/>
        <v>399</v>
      </c>
      <c r="Z26" s="16">
        <f t="shared" si="18"/>
        <v>168</v>
      </c>
      <c r="AA26" s="16">
        <f t="shared" si="18"/>
        <v>45</v>
      </c>
      <c r="AB26" s="16">
        <f t="shared" si="18"/>
        <v>71</v>
      </c>
      <c r="AC26" s="16">
        <f t="shared" si="18"/>
        <v>3903</v>
      </c>
      <c r="AD26" s="16">
        <f t="shared" si="18"/>
        <v>2</v>
      </c>
      <c r="AE26" s="32">
        <f t="shared" si="18"/>
        <v>2491</v>
      </c>
      <c r="AF26" s="32">
        <f t="shared" si="18"/>
        <v>6394</v>
      </c>
    </row>
    <row r="27" spans="2:32" ht="23.1" customHeight="1" x14ac:dyDescent="0.25">
      <c r="B27" s="23" t="s">
        <v>54</v>
      </c>
      <c r="C27" s="50">
        <v>19</v>
      </c>
      <c r="D27" s="50">
        <v>8</v>
      </c>
      <c r="E27" s="50">
        <v>4</v>
      </c>
      <c r="F27" s="50">
        <v>41</v>
      </c>
      <c r="G27" s="50">
        <v>1</v>
      </c>
      <c r="H27" s="50">
        <v>0</v>
      </c>
      <c r="I27" s="50">
        <v>36</v>
      </c>
      <c r="J27" s="50">
        <v>12</v>
      </c>
      <c r="K27" s="50">
        <v>2</v>
      </c>
      <c r="L27" s="50">
        <v>2</v>
      </c>
      <c r="M27" s="50">
        <v>190</v>
      </c>
      <c r="N27" s="50">
        <v>0</v>
      </c>
      <c r="O27" s="15">
        <f t="shared" si="0"/>
        <v>125</v>
      </c>
      <c r="P27" s="15">
        <f t="shared" si="1"/>
        <v>315</v>
      </c>
      <c r="R27" s="29" t="s">
        <v>87</v>
      </c>
      <c r="S27" s="16">
        <f t="shared" ref="S27:AF27" si="19">SUM(S19:S21)</f>
        <v>325</v>
      </c>
      <c r="T27" s="16">
        <f t="shared" si="19"/>
        <v>88</v>
      </c>
      <c r="U27" s="16">
        <f t="shared" si="19"/>
        <v>80</v>
      </c>
      <c r="V27" s="16">
        <f t="shared" si="19"/>
        <v>360</v>
      </c>
      <c r="W27" s="16">
        <f t="shared" si="19"/>
        <v>1</v>
      </c>
      <c r="X27" s="16">
        <f t="shared" si="19"/>
        <v>1</v>
      </c>
      <c r="Y27" s="16">
        <f t="shared" si="19"/>
        <v>161</v>
      </c>
      <c r="Z27" s="16">
        <f t="shared" si="19"/>
        <v>143</v>
      </c>
      <c r="AA27" s="16">
        <f t="shared" si="19"/>
        <v>32</v>
      </c>
      <c r="AB27" s="16">
        <f t="shared" si="19"/>
        <v>22</v>
      </c>
      <c r="AC27" s="16">
        <f t="shared" si="19"/>
        <v>2410</v>
      </c>
      <c r="AD27" s="16">
        <f t="shared" si="19"/>
        <v>0</v>
      </c>
      <c r="AE27" s="32">
        <f t="shared" si="19"/>
        <v>1213</v>
      </c>
      <c r="AF27" s="32">
        <f t="shared" si="19"/>
        <v>3623</v>
      </c>
    </row>
    <row r="28" spans="2:32" ht="23.1" customHeight="1" x14ac:dyDescent="0.25">
      <c r="B28" s="23" t="s">
        <v>55</v>
      </c>
      <c r="C28" s="50">
        <v>42</v>
      </c>
      <c r="D28" s="50">
        <v>12</v>
      </c>
      <c r="E28" s="50">
        <v>2</v>
      </c>
      <c r="F28" s="50">
        <v>50</v>
      </c>
      <c r="G28" s="50">
        <v>2</v>
      </c>
      <c r="H28" s="50">
        <v>0</v>
      </c>
      <c r="I28" s="50">
        <v>13</v>
      </c>
      <c r="J28" s="50">
        <v>11</v>
      </c>
      <c r="K28" s="50">
        <v>1</v>
      </c>
      <c r="L28" s="50">
        <v>2</v>
      </c>
      <c r="M28" s="50">
        <v>115</v>
      </c>
      <c r="N28" s="50">
        <v>0</v>
      </c>
      <c r="O28" s="15">
        <f t="shared" si="0"/>
        <v>135</v>
      </c>
      <c r="P28" s="15">
        <f t="shared" si="1"/>
        <v>250</v>
      </c>
      <c r="R28" s="5" t="s">
        <v>17</v>
      </c>
      <c r="S28" s="16">
        <f t="shared" ref="S28:AF28" si="20">SUM(S10:S21)</f>
        <v>1117</v>
      </c>
      <c r="T28" s="16">
        <f t="shared" si="20"/>
        <v>424</v>
      </c>
      <c r="U28" s="16">
        <f t="shared" si="20"/>
        <v>231</v>
      </c>
      <c r="V28" s="16">
        <f t="shared" si="20"/>
        <v>1613</v>
      </c>
      <c r="W28" s="16">
        <f t="shared" si="20"/>
        <v>24</v>
      </c>
      <c r="X28" s="16">
        <f t="shared" si="20"/>
        <v>8</v>
      </c>
      <c r="Y28" s="16">
        <f t="shared" si="20"/>
        <v>687</v>
      </c>
      <c r="Z28" s="16">
        <f t="shared" si="20"/>
        <v>339</v>
      </c>
      <c r="AA28" s="16">
        <f t="shared" si="20"/>
        <v>90</v>
      </c>
      <c r="AB28" s="16">
        <f t="shared" si="20"/>
        <v>101</v>
      </c>
      <c r="AC28" s="16">
        <f t="shared" si="20"/>
        <v>8447</v>
      </c>
      <c r="AD28" s="16">
        <f t="shared" si="20"/>
        <v>2</v>
      </c>
      <c r="AE28" s="32">
        <f t="shared" si="20"/>
        <v>4636</v>
      </c>
      <c r="AF28" s="32">
        <f t="shared" si="20"/>
        <v>13083</v>
      </c>
    </row>
    <row r="29" spans="2:32" ht="23.1" customHeight="1" x14ac:dyDescent="0.25">
      <c r="B29" s="23" t="s">
        <v>56</v>
      </c>
      <c r="C29" s="50">
        <v>41</v>
      </c>
      <c r="D29" s="50">
        <v>17</v>
      </c>
      <c r="E29" s="50">
        <v>9</v>
      </c>
      <c r="F29" s="50">
        <v>48</v>
      </c>
      <c r="G29" s="50">
        <v>0</v>
      </c>
      <c r="H29" s="50">
        <v>0</v>
      </c>
      <c r="I29" s="50">
        <v>10</v>
      </c>
      <c r="J29" s="50">
        <v>4</v>
      </c>
      <c r="K29" s="50">
        <v>2</v>
      </c>
      <c r="L29" s="50">
        <v>5</v>
      </c>
      <c r="M29" s="50">
        <v>295</v>
      </c>
      <c r="N29" s="50">
        <v>0</v>
      </c>
      <c r="O29" s="15">
        <f t="shared" si="0"/>
        <v>136</v>
      </c>
      <c r="P29" s="15">
        <f t="shared" si="1"/>
        <v>431</v>
      </c>
      <c r="R29"/>
      <c r="S29" s="20"/>
      <c r="T29" s="19"/>
    </row>
    <row r="30" spans="2:32" ht="23.1" customHeight="1" x14ac:dyDescent="0.25">
      <c r="B30" s="23" t="s">
        <v>57</v>
      </c>
      <c r="C30" s="50">
        <v>4</v>
      </c>
      <c r="D30" s="50">
        <v>1</v>
      </c>
      <c r="E30" s="50">
        <v>0</v>
      </c>
      <c r="F30" s="50">
        <v>23</v>
      </c>
      <c r="G30" s="50">
        <v>0</v>
      </c>
      <c r="H30" s="50">
        <v>0</v>
      </c>
      <c r="I30" s="50">
        <v>16</v>
      </c>
      <c r="J30" s="50">
        <v>5</v>
      </c>
      <c r="K30" s="50">
        <v>2</v>
      </c>
      <c r="L30" s="50">
        <v>3</v>
      </c>
      <c r="M30" s="50">
        <v>105</v>
      </c>
      <c r="N30" s="50">
        <v>0</v>
      </c>
      <c r="O30" s="15">
        <f t="shared" si="0"/>
        <v>54</v>
      </c>
      <c r="P30" s="15">
        <f t="shared" si="1"/>
        <v>159</v>
      </c>
    </row>
    <row r="31" spans="2:32" ht="23.1" customHeight="1" x14ac:dyDescent="0.25">
      <c r="B31" s="24" t="s">
        <v>58</v>
      </c>
      <c r="C31" s="50">
        <v>16</v>
      </c>
      <c r="D31" s="50">
        <v>4</v>
      </c>
      <c r="E31" s="50">
        <v>0</v>
      </c>
      <c r="F31" s="50">
        <v>15</v>
      </c>
      <c r="G31" s="50">
        <v>0</v>
      </c>
      <c r="H31" s="50">
        <v>0</v>
      </c>
      <c r="I31" s="50">
        <v>9</v>
      </c>
      <c r="J31" s="50">
        <v>5</v>
      </c>
      <c r="K31" s="50">
        <v>3</v>
      </c>
      <c r="L31" s="50">
        <v>3</v>
      </c>
      <c r="M31" s="50">
        <v>165</v>
      </c>
      <c r="N31" s="50">
        <v>0</v>
      </c>
      <c r="O31" s="15">
        <f t="shared" si="0"/>
        <v>55</v>
      </c>
      <c r="P31" s="15">
        <f t="shared" si="1"/>
        <v>220</v>
      </c>
    </row>
    <row r="32" spans="2:32" ht="23.1" customHeight="1" x14ac:dyDescent="0.25">
      <c r="B32" s="24" t="s">
        <v>59</v>
      </c>
      <c r="C32" s="50">
        <v>96</v>
      </c>
      <c r="D32" s="50">
        <v>16</v>
      </c>
      <c r="E32" s="50">
        <v>5</v>
      </c>
      <c r="F32" s="50">
        <v>37</v>
      </c>
      <c r="G32" s="50">
        <v>0</v>
      </c>
      <c r="H32" s="50">
        <v>0</v>
      </c>
      <c r="I32" s="50">
        <v>24</v>
      </c>
      <c r="J32" s="50">
        <v>11</v>
      </c>
      <c r="K32" s="50">
        <v>1</v>
      </c>
      <c r="L32" s="50">
        <v>3</v>
      </c>
      <c r="M32" s="50">
        <v>180</v>
      </c>
      <c r="N32" s="50">
        <v>0</v>
      </c>
      <c r="O32" s="15">
        <f t="shared" si="0"/>
        <v>193</v>
      </c>
      <c r="P32" s="15">
        <f t="shared" si="1"/>
        <v>373</v>
      </c>
    </row>
    <row r="33" spans="2:20" ht="23.1" customHeight="1" x14ac:dyDescent="0.25">
      <c r="B33" s="23" t="s">
        <v>60</v>
      </c>
      <c r="C33" s="50">
        <v>13</v>
      </c>
      <c r="D33" s="50">
        <v>3</v>
      </c>
      <c r="E33" s="50">
        <v>7</v>
      </c>
      <c r="F33" s="50">
        <v>25</v>
      </c>
      <c r="G33" s="50">
        <v>0</v>
      </c>
      <c r="H33" s="50">
        <v>0</v>
      </c>
      <c r="I33" s="50">
        <v>8</v>
      </c>
      <c r="J33" s="50">
        <v>3</v>
      </c>
      <c r="K33" s="50">
        <v>7</v>
      </c>
      <c r="L33" s="50">
        <v>8</v>
      </c>
      <c r="M33" s="50">
        <v>147</v>
      </c>
      <c r="N33" s="50">
        <v>0</v>
      </c>
      <c r="O33" s="15">
        <f t="shared" si="0"/>
        <v>74</v>
      </c>
      <c r="P33" s="15">
        <f t="shared" si="1"/>
        <v>221</v>
      </c>
    </row>
    <row r="34" spans="2:20" ht="23.1" customHeight="1" x14ac:dyDescent="0.25">
      <c r="B34" s="24" t="s">
        <v>61</v>
      </c>
      <c r="C34" s="50">
        <v>29</v>
      </c>
      <c r="D34" s="50">
        <v>3</v>
      </c>
      <c r="E34" s="50">
        <v>5</v>
      </c>
      <c r="F34" s="50">
        <v>49</v>
      </c>
      <c r="G34" s="50">
        <v>2</v>
      </c>
      <c r="H34" s="50">
        <v>0</v>
      </c>
      <c r="I34" s="50">
        <v>37</v>
      </c>
      <c r="J34" s="50">
        <v>9</v>
      </c>
      <c r="K34" s="50">
        <v>5</v>
      </c>
      <c r="L34" s="50">
        <v>4</v>
      </c>
      <c r="M34" s="50">
        <v>120</v>
      </c>
      <c r="N34" s="50">
        <v>0</v>
      </c>
      <c r="O34" s="15">
        <f t="shared" si="0"/>
        <v>143</v>
      </c>
      <c r="P34" s="15">
        <f t="shared" si="1"/>
        <v>263</v>
      </c>
    </row>
    <row r="35" spans="2:20" ht="23.1" customHeight="1" x14ac:dyDescent="0.25">
      <c r="B35" s="24" t="s">
        <v>62</v>
      </c>
      <c r="C35" s="50">
        <v>28</v>
      </c>
      <c r="D35" s="50">
        <v>15</v>
      </c>
      <c r="E35" s="50">
        <v>1</v>
      </c>
      <c r="F35" s="50">
        <v>15</v>
      </c>
      <c r="G35" s="50">
        <v>0</v>
      </c>
      <c r="H35" s="50">
        <v>0</v>
      </c>
      <c r="I35" s="50">
        <v>13</v>
      </c>
      <c r="J35" s="50">
        <v>8</v>
      </c>
      <c r="K35" s="50">
        <v>0</v>
      </c>
      <c r="L35" s="50">
        <v>2</v>
      </c>
      <c r="M35" s="50">
        <v>165</v>
      </c>
      <c r="N35" s="50">
        <v>0</v>
      </c>
      <c r="O35" s="15">
        <f t="shared" si="0"/>
        <v>82</v>
      </c>
      <c r="P35" s="15">
        <f t="shared" si="1"/>
        <v>247</v>
      </c>
    </row>
    <row r="36" spans="2:20" ht="23.1" customHeight="1" x14ac:dyDescent="0.25">
      <c r="B36" s="24" t="s">
        <v>63</v>
      </c>
      <c r="C36" s="50">
        <v>85</v>
      </c>
      <c r="D36" s="50">
        <v>11</v>
      </c>
      <c r="E36" s="50">
        <v>5</v>
      </c>
      <c r="F36" s="50">
        <v>53</v>
      </c>
      <c r="G36" s="50">
        <v>0</v>
      </c>
      <c r="H36" s="50">
        <v>0</v>
      </c>
      <c r="I36" s="50">
        <v>24</v>
      </c>
      <c r="J36" s="50">
        <v>4</v>
      </c>
      <c r="K36" s="50">
        <v>0</v>
      </c>
      <c r="L36" s="50">
        <v>4</v>
      </c>
      <c r="M36" s="50">
        <v>17</v>
      </c>
      <c r="N36" s="50">
        <v>0</v>
      </c>
      <c r="O36" s="15">
        <f t="shared" si="0"/>
        <v>186</v>
      </c>
      <c r="P36" s="15">
        <f t="shared" si="1"/>
        <v>203</v>
      </c>
    </row>
    <row r="37" spans="2:20" ht="23.1" customHeight="1" x14ac:dyDescent="0.25">
      <c r="B37" s="23" t="s">
        <v>64</v>
      </c>
      <c r="C37" s="50">
        <v>20</v>
      </c>
      <c r="D37" s="50">
        <v>0</v>
      </c>
      <c r="E37" s="50">
        <v>6</v>
      </c>
      <c r="F37" s="50">
        <v>18</v>
      </c>
      <c r="G37" s="50">
        <v>0</v>
      </c>
      <c r="H37" s="50">
        <v>0</v>
      </c>
      <c r="I37" s="50">
        <v>23</v>
      </c>
      <c r="J37" s="50">
        <v>4</v>
      </c>
      <c r="K37" s="50">
        <v>0</v>
      </c>
      <c r="L37" s="50">
        <v>0</v>
      </c>
      <c r="M37" s="50">
        <v>155</v>
      </c>
      <c r="N37" s="50">
        <v>0</v>
      </c>
      <c r="O37" s="15">
        <f t="shared" si="0"/>
        <v>71</v>
      </c>
      <c r="P37" s="15">
        <f t="shared" si="1"/>
        <v>226</v>
      </c>
    </row>
    <row r="38" spans="2:20" ht="23.1" customHeight="1" x14ac:dyDescent="0.25">
      <c r="B38" s="24" t="s">
        <v>65</v>
      </c>
      <c r="C38" s="50">
        <v>18</v>
      </c>
      <c r="D38" s="50">
        <v>0</v>
      </c>
      <c r="E38" s="50">
        <v>4</v>
      </c>
      <c r="F38" s="50">
        <v>20</v>
      </c>
      <c r="G38" s="50">
        <v>0</v>
      </c>
      <c r="H38" s="50">
        <v>0</v>
      </c>
      <c r="I38" s="50">
        <v>14</v>
      </c>
      <c r="J38" s="50">
        <v>4</v>
      </c>
      <c r="K38" s="50">
        <v>3</v>
      </c>
      <c r="L38" s="50">
        <v>2</v>
      </c>
      <c r="M38" s="50">
        <v>165</v>
      </c>
      <c r="N38" s="50">
        <v>0</v>
      </c>
      <c r="O38" s="15">
        <f t="shared" si="0"/>
        <v>65</v>
      </c>
      <c r="P38" s="15">
        <f t="shared" si="1"/>
        <v>230</v>
      </c>
    </row>
    <row r="39" spans="2:20" ht="23.1" customHeight="1" x14ac:dyDescent="0.25">
      <c r="B39" s="24" t="s">
        <v>66</v>
      </c>
      <c r="C39" s="50">
        <v>40</v>
      </c>
      <c r="D39" s="50">
        <v>16</v>
      </c>
      <c r="E39" s="50">
        <v>6</v>
      </c>
      <c r="F39" s="50">
        <v>23</v>
      </c>
      <c r="G39" s="50">
        <v>2</v>
      </c>
      <c r="H39" s="50">
        <v>0</v>
      </c>
      <c r="I39" s="50">
        <v>24</v>
      </c>
      <c r="J39" s="50">
        <v>9</v>
      </c>
      <c r="K39" s="50">
        <v>0</v>
      </c>
      <c r="L39" s="50">
        <v>0</v>
      </c>
      <c r="M39" s="50">
        <v>173</v>
      </c>
      <c r="N39" s="50"/>
      <c r="O39" s="15">
        <f t="shared" si="0"/>
        <v>120</v>
      </c>
      <c r="P39" s="15">
        <f t="shared" si="1"/>
        <v>293</v>
      </c>
    </row>
    <row r="40" spans="2:20" ht="23.1" customHeight="1" x14ac:dyDescent="0.25">
      <c r="B40" s="24" t="s">
        <v>67</v>
      </c>
      <c r="C40" s="50">
        <v>19</v>
      </c>
      <c r="D40" s="50">
        <v>2</v>
      </c>
      <c r="E40" s="50">
        <v>3</v>
      </c>
      <c r="F40" s="50">
        <v>29</v>
      </c>
      <c r="G40" s="50">
        <v>5</v>
      </c>
      <c r="H40" s="50">
        <v>0</v>
      </c>
      <c r="I40" s="50">
        <v>10</v>
      </c>
      <c r="J40" s="50">
        <v>8</v>
      </c>
      <c r="K40" s="50">
        <v>4</v>
      </c>
      <c r="L40" s="50">
        <v>2</v>
      </c>
      <c r="M40" s="50">
        <v>135</v>
      </c>
      <c r="N40" s="50">
        <v>0</v>
      </c>
      <c r="O40" s="15">
        <f t="shared" si="0"/>
        <v>82</v>
      </c>
      <c r="P40" s="15">
        <f t="shared" si="1"/>
        <v>217</v>
      </c>
    </row>
    <row r="41" spans="2:20" ht="23.1" customHeight="1" x14ac:dyDescent="0.25">
      <c r="B41" s="23" t="s">
        <v>170</v>
      </c>
      <c r="C41" s="50">
        <v>8</v>
      </c>
      <c r="D41" s="50">
        <v>4</v>
      </c>
      <c r="E41" s="50">
        <v>11</v>
      </c>
      <c r="F41" s="50">
        <v>40</v>
      </c>
      <c r="G41" s="50">
        <v>0</v>
      </c>
      <c r="H41" s="50">
        <v>0</v>
      </c>
      <c r="I41" s="50">
        <v>9</v>
      </c>
      <c r="J41" s="50">
        <v>1</v>
      </c>
      <c r="K41" s="50">
        <v>4</v>
      </c>
      <c r="L41" s="50">
        <v>2</v>
      </c>
      <c r="M41" s="50">
        <v>120</v>
      </c>
      <c r="N41" s="50">
        <v>0</v>
      </c>
      <c r="O41" s="15">
        <f t="shared" si="0"/>
        <v>79</v>
      </c>
      <c r="P41" s="15">
        <f t="shared" si="1"/>
        <v>199</v>
      </c>
    </row>
    <row r="42" spans="2:20" ht="23.1" customHeight="1" x14ac:dyDescent="0.25">
      <c r="B42" s="24" t="s">
        <v>69</v>
      </c>
      <c r="C42" s="50">
        <v>20</v>
      </c>
      <c r="D42" s="50">
        <v>3</v>
      </c>
      <c r="E42" s="50">
        <v>7</v>
      </c>
      <c r="F42" s="50">
        <v>28</v>
      </c>
      <c r="G42" s="50">
        <v>0</v>
      </c>
      <c r="H42" s="50">
        <v>2</v>
      </c>
      <c r="I42" s="50">
        <v>4</v>
      </c>
      <c r="J42" s="50">
        <v>10</v>
      </c>
      <c r="K42" s="50">
        <v>1</v>
      </c>
      <c r="L42" s="50">
        <v>4</v>
      </c>
      <c r="M42" s="50">
        <v>158</v>
      </c>
      <c r="N42" s="50">
        <v>0</v>
      </c>
      <c r="O42" s="15">
        <f t="shared" si="0"/>
        <v>79</v>
      </c>
      <c r="P42" s="15">
        <f t="shared" si="1"/>
        <v>237</v>
      </c>
    </row>
    <row r="43" spans="2:20" ht="23.1" customHeight="1" x14ac:dyDescent="0.25">
      <c r="B43" s="23" t="s">
        <v>70</v>
      </c>
      <c r="C43" s="50">
        <v>17</v>
      </c>
      <c r="D43" s="50">
        <v>12</v>
      </c>
      <c r="E43" s="50">
        <v>5</v>
      </c>
      <c r="F43" s="50">
        <v>23</v>
      </c>
      <c r="G43" s="50">
        <v>0</v>
      </c>
      <c r="H43" s="50">
        <v>1</v>
      </c>
      <c r="I43" s="50">
        <v>18</v>
      </c>
      <c r="J43" s="50">
        <v>12</v>
      </c>
      <c r="K43" s="50">
        <v>1</v>
      </c>
      <c r="L43" s="50">
        <v>2</v>
      </c>
      <c r="M43" s="50">
        <v>137</v>
      </c>
      <c r="N43" s="50">
        <v>0</v>
      </c>
      <c r="O43" s="15">
        <f t="shared" si="0"/>
        <v>91</v>
      </c>
      <c r="P43" s="15">
        <f t="shared" si="1"/>
        <v>228</v>
      </c>
    </row>
    <row r="44" spans="2:20" ht="23.1" customHeight="1" x14ac:dyDescent="0.25">
      <c r="B44" s="25" t="s">
        <v>71</v>
      </c>
      <c r="C44" s="50">
        <v>26</v>
      </c>
      <c r="D44" s="50">
        <v>10</v>
      </c>
      <c r="E44" s="50">
        <v>8</v>
      </c>
      <c r="F44" s="50">
        <v>37</v>
      </c>
      <c r="G44" s="50">
        <v>1</v>
      </c>
      <c r="H44" s="50">
        <v>0</v>
      </c>
      <c r="I44" s="50">
        <v>25</v>
      </c>
      <c r="J44" s="50">
        <v>0</v>
      </c>
      <c r="K44" s="50">
        <v>0</v>
      </c>
      <c r="L44" s="50">
        <v>2</v>
      </c>
      <c r="M44" s="50">
        <v>185</v>
      </c>
      <c r="N44" s="50">
        <v>0</v>
      </c>
      <c r="O44" s="15">
        <f t="shared" si="0"/>
        <v>109</v>
      </c>
      <c r="P44" s="15">
        <f t="shared" si="1"/>
        <v>294</v>
      </c>
    </row>
    <row r="45" spans="2:20" ht="23.1" customHeight="1" x14ac:dyDescent="0.25">
      <c r="B45" s="23" t="s">
        <v>72</v>
      </c>
      <c r="C45" s="50">
        <v>32</v>
      </c>
      <c r="D45" s="50">
        <v>2</v>
      </c>
      <c r="E45" s="50">
        <v>5</v>
      </c>
      <c r="F45" s="50">
        <v>20</v>
      </c>
      <c r="G45" s="50">
        <v>0</v>
      </c>
      <c r="H45" s="50">
        <v>0</v>
      </c>
      <c r="I45" s="50">
        <v>16</v>
      </c>
      <c r="J45" s="50">
        <v>7</v>
      </c>
      <c r="K45" s="50">
        <v>0</v>
      </c>
      <c r="L45" s="50">
        <v>6</v>
      </c>
      <c r="M45" s="50">
        <v>143</v>
      </c>
      <c r="N45" s="50">
        <v>0</v>
      </c>
      <c r="O45" s="15">
        <f t="shared" si="0"/>
        <v>88</v>
      </c>
      <c r="P45" s="15">
        <f t="shared" si="1"/>
        <v>231</v>
      </c>
    </row>
    <row r="46" spans="2:20" ht="23.1" customHeight="1" x14ac:dyDescent="0.25">
      <c r="B46" s="24" t="s">
        <v>73</v>
      </c>
      <c r="C46" s="50">
        <v>29</v>
      </c>
      <c r="D46" s="50">
        <v>8</v>
      </c>
      <c r="E46" s="50">
        <v>5</v>
      </c>
      <c r="F46" s="50">
        <v>30</v>
      </c>
      <c r="G46" s="50">
        <v>0</v>
      </c>
      <c r="H46" s="50">
        <v>0</v>
      </c>
      <c r="I46" s="50">
        <v>25</v>
      </c>
      <c r="J46" s="50">
        <v>11</v>
      </c>
      <c r="K46" s="50">
        <v>2</v>
      </c>
      <c r="L46" s="50">
        <v>0</v>
      </c>
      <c r="M46" s="50">
        <v>172</v>
      </c>
      <c r="N46" s="50">
        <v>0</v>
      </c>
      <c r="O46" s="15">
        <f t="shared" si="0"/>
        <v>110</v>
      </c>
      <c r="P46" s="15">
        <f t="shared" si="1"/>
        <v>282</v>
      </c>
      <c r="R46" s="8"/>
      <c r="T46"/>
    </row>
    <row r="47" spans="2:20" ht="23.1" customHeight="1" x14ac:dyDescent="0.25">
      <c r="B47" s="24" t="s">
        <v>74</v>
      </c>
      <c r="C47" s="50">
        <v>28</v>
      </c>
      <c r="D47" s="50">
        <v>9</v>
      </c>
      <c r="E47" s="50">
        <v>3</v>
      </c>
      <c r="F47" s="50">
        <v>22</v>
      </c>
      <c r="G47" s="50">
        <v>0</v>
      </c>
      <c r="H47" s="50">
        <v>0</v>
      </c>
      <c r="I47" s="50">
        <v>10</v>
      </c>
      <c r="J47" s="50">
        <v>20</v>
      </c>
      <c r="K47" s="50">
        <v>0</v>
      </c>
      <c r="L47" s="50">
        <v>4</v>
      </c>
      <c r="M47" s="50">
        <v>178</v>
      </c>
      <c r="N47" s="50">
        <v>0</v>
      </c>
      <c r="O47" s="15">
        <f t="shared" si="0"/>
        <v>96</v>
      </c>
      <c r="P47" s="15">
        <f t="shared" si="1"/>
        <v>274</v>
      </c>
      <c r="R47" s="8"/>
      <c r="T47"/>
    </row>
    <row r="48" spans="2:20" ht="23.1" customHeight="1" x14ac:dyDescent="0.25">
      <c r="B48" s="24" t="s">
        <v>75</v>
      </c>
      <c r="C48" s="50">
        <v>33</v>
      </c>
      <c r="D48" s="50">
        <v>2</v>
      </c>
      <c r="E48" s="50">
        <v>12</v>
      </c>
      <c r="F48" s="50">
        <v>17</v>
      </c>
      <c r="G48" s="50">
        <v>0</v>
      </c>
      <c r="H48" s="50">
        <v>0</v>
      </c>
      <c r="I48" s="50">
        <v>16</v>
      </c>
      <c r="J48" s="50">
        <v>11</v>
      </c>
      <c r="K48" s="50">
        <v>1</v>
      </c>
      <c r="L48" s="50">
        <v>0</v>
      </c>
      <c r="M48" s="50">
        <v>200</v>
      </c>
      <c r="N48" s="50">
        <v>0</v>
      </c>
      <c r="O48" s="15">
        <f t="shared" si="0"/>
        <v>92</v>
      </c>
      <c r="P48" s="15">
        <f t="shared" si="1"/>
        <v>292</v>
      </c>
      <c r="R48" s="8"/>
      <c r="T48"/>
    </row>
    <row r="49" spans="2:20" ht="23.1" customHeight="1" x14ac:dyDescent="0.25">
      <c r="B49" s="23" t="s">
        <v>76</v>
      </c>
      <c r="C49" s="50">
        <v>16</v>
      </c>
      <c r="D49" s="50">
        <v>4</v>
      </c>
      <c r="E49" s="50">
        <v>11</v>
      </c>
      <c r="F49" s="50">
        <v>26</v>
      </c>
      <c r="G49" s="50">
        <v>0</v>
      </c>
      <c r="H49" s="50">
        <v>0</v>
      </c>
      <c r="I49" s="50">
        <v>4</v>
      </c>
      <c r="J49" s="50">
        <v>17</v>
      </c>
      <c r="K49" s="50">
        <v>2</v>
      </c>
      <c r="L49" s="50">
        <v>0</v>
      </c>
      <c r="M49" s="50">
        <v>198</v>
      </c>
      <c r="N49" s="50">
        <v>0</v>
      </c>
      <c r="O49" s="15">
        <f t="shared" si="0"/>
        <v>80</v>
      </c>
      <c r="P49" s="15">
        <f t="shared" si="1"/>
        <v>278</v>
      </c>
      <c r="R49" s="8"/>
      <c r="T49"/>
    </row>
    <row r="50" spans="2:20" ht="23.1" customHeight="1" x14ac:dyDescent="0.25">
      <c r="B50" s="24" t="s">
        <v>77</v>
      </c>
      <c r="C50" s="50">
        <v>21</v>
      </c>
      <c r="D50" s="50">
        <v>3</v>
      </c>
      <c r="E50" s="50">
        <v>7</v>
      </c>
      <c r="F50" s="50">
        <v>41</v>
      </c>
      <c r="G50" s="50">
        <v>0</v>
      </c>
      <c r="H50" s="50">
        <v>0</v>
      </c>
      <c r="I50" s="50">
        <v>18</v>
      </c>
      <c r="J50" s="50">
        <v>17</v>
      </c>
      <c r="K50" s="50">
        <v>1</v>
      </c>
      <c r="L50" s="50">
        <v>2</v>
      </c>
      <c r="M50" s="50">
        <v>160</v>
      </c>
      <c r="N50" s="50">
        <v>0</v>
      </c>
      <c r="O50" s="15">
        <f t="shared" si="0"/>
        <v>110</v>
      </c>
      <c r="P50" s="15">
        <f t="shared" si="1"/>
        <v>270</v>
      </c>
      <c r="R50" s="8"/>
      <c r="T50"/>
    </row>
    <row r="51" spans="2:20" ht="23.1" customHeight="1" x14ac:dyDescent="0.25">
      <c r="B51" s="24" t="s">
        <v>78</v>
      </c>
      <c r="C51" s="50">
        <v>17</v>
      </c>
      <c r="D51" s="50">
        <v>11</v>
      </c>
      <c r="E51" s="50">
        <v>4</v>
      </c>
      <c r="F51" s="50">
        <v>34</v>
      </c>
      <c r="G51" s="50">
        <v>0</v>
      </c>
      <c r="H51" s="50">
        <v>0</v>
      </c>
      <c r="I51" s="50">
        <v>7</v>
      </c>
      <c r="J51" s="50">
        <v>12</v>
      </c>
      <c r="K51" s="50">
        <v>0</v>
      </c>
      <c r="L51" s="50">
        <v>0</v>
      </c>
      <c r="M51" s="50">
        <v>174</v>
      </c>
      <c r="N51" s="50">
        <v>0</v>
      </c>
      <c r="O51" s="15">
        <f t="shared" si="0"/>
        <v>85</v>
      </c>
      <c r="P51" s="15">
        <f t="shared" si="1"/>
        <v>259</v>
      </c>
      <c r="R51" s="8"/>
      <c r="T51"/>
    </row>
    <row r="52" spans="2:20" ht="23.1" customHeight="1" x14ac:dyDescent="0.25">
      <c r="B52" s="24" t="s">
        <v>79</v>
      </c>
      <c r="C52" s="50">
        <v>11</v>
      </c>
      <c r="D52" s="50">
        <v>4</v>
      </c>
      <c r="E52" s="50">
        <v>8</v>
      </c>
      <c r="F52" s="50">
        <v>31</v>
      </c>
      <c r="G52" s="50">
        <v>0</v>
      </c>
      <c r="H52" s="50">
        <v>0</v>
      </c>
      <c r="I52" s="50">
        <v>19</v>
      </c>
      <c r="J52" s="50">
        <v>6</v>
      </c>
      <c r="K52" s="50">
        <v>0</v>
      </c>
      <c r="L52" s="50">
        <v>2</v>
      </c>
      <c r="M52" s="50">
        <v>192</v>
      </c>
      <c r="N52" s="50">
        <v>0</v>
      </c>
      <c r="O52" s="15">
        <f t="shared" si="0"/>
        <v>81</v>
      </c>
      <c r="P52" s="15">
        <f t="shared" si="1"/>
        <v>273</v>
      </c>
      <c r="R52" s="8"/>
      <c r="T52"/>
    </row>
    <row r="53" spans="2:20" ht="23.1" customHeight="1" x14ac:dyDescent="0.25">
      <c r="B53" s="23" t="s">
        <v>80</v>
      </c>
      <c r="C53" s="50">
        <v>35</v>
      </c>
      <c r="D53" s="50">
        <v>3</v>
      </c>
      <c r="E53" s="50">
        <v>5</v>
      </c>
      <c r="F53" s="50">
        <v>15</v>
      </c>
      <c r="G53" s="50">
        <v>0</v>
      </c>
      <c r="H53" s="50">
        <v>0</v>
      </c>
      <c r="I53" s="50">
        <v>4</v>
      </c>
      <c r="J53" s="50">
        <v>4</v>
      </c>
      <c r="K53" s="50">
        <v>1</v>
      </c>
      <c r="L53" s="50">
        <v>2</v>
      </c>
      <c r="M53" s="50">
        <v>270</v>
      </c>
      <c r="N53" s="50">
        <v>0</v>
      </c>
      <c r="O53" s="15">
        <f t="shared" si="0"/>
        <v>69</v>
      </c>
      <c r="P53" s="15">
        <f t="shared" si="1"/>
        <v>339</v>
      </c>
      <c r="R53" s="8"/>
      <c r="T53"/>
    </row>
    <row r="54" spans="2:20" ht="23.1" customHeight="1" x14ac:dyDescent="0.25">
      <c r="B54" s="23" t="s">
        <v>81</v>
      </c>
      <c r="C54" s="50">
        <v>37</v>
      </c>
      <c r="D54" s="50">
        <v>8</v>
      </c>
      <c r="E54" s="50">
        <v>9</v>
      </c>
      <c r="F54" s="50">
        <v>20</v>
      </c>
      <c r="G54" s="50">
        <v>0</v>
      </c>
      <c r="H54" s="50">
        <v>0</v>
      </c>
      <c r="I54" s="50">
        <v>14</v>
      </c>
      <c r="J54" s="50">
        <v>7</v>
      </c>
      <c r="K54" s="50">
        <v>3</v>
      </c>
      <c r="L54" s="50">
        <v>1</v>
      </c>
      <c r="M54" s="50">
        <v>211</v>
      </c>
      <c r="N54" s="50">
        <v>0</v>
      </c>
      <c r="O54" s="15">
        <f t="shared" si="0"/>
        <v>99</v>
      </c>
      <c r="P54" s="15">
        <f t="shared" si="1"/>
        <v>310</v>
      </c>
      <c r="R54" s="8"/>
      <c r="T54"/>
    </row>
    <row r="55" spans="2:20" ht="23.1" customHeight="1" x14ac:dyDescent="0.25">
      <c r="B55" s="23" t="s">
        <v>82</v>
      </c>
      <c r="C55" s="50">
        <v>51</v>
      </c>
      <c r="D55" s="50">
        <v>20</v>
      </c>
      <c r="E55" s="50">
        <v>2</v>
      </c>
      <c r="F55" s="50">
        <v>45</v>
      </c>
      <c r="G55" s="50">
        <v>1</v>
      </c>
      <c r="H55" s="50">
        <v>0</v>
      </c>
      <c r="I55" s="50">
        <v>17</v>
      </c>
      <c r="J55" s="50">
        <v>23</v>
      </c>
      <c r="K55" s="50">
        <v>0</v>
      </c>
      <c r="L55" s="50">
        <v>3</v>
      </c>
      <c r="M55" s="50">
        <v>180</v>
      </c>
      <c r="N55" s="50">
        <v>0</v>
      </c>
      <c r="O55" s="15">
        <f t="shared" si="0"/>
        <v>162</v>
      </c>
      <c r="P55" s="15">
        <f t="shared" si="1"/>
        <v>342</v>
      </c>
      <c r="R55" s="8"/>
      <c r="T55"/>
    </row>
    <row r="56" spans="2:20" ht="23.1" customHeight="1" x14ac:dyDescent="0.25">
      <c r="B56" s="23" t="s">
        <v>83</v>
      </c>
      <c r="C56" s="50">
        <v>31</v>
      </c>
      <c r="D56" s="50">
        <v>4</v>
      </c>
      <c r="E56" s="50">
        <v>5</v>
      </c>
      <c r="F56" s="50">
        <v>35</v>
      </c>
      <c r="G56" s="50">
        <v>0</v>
      </c>
      <c r="H56" s="50">
        <v>1</v>
      </c>
      <c r="I56" s="50">
        <v>19</v>
      </c>
      <c r="J56" s="50">
        <v>11</v>
      </c>
      <c r="K56" s="50">
        <v>4</v>
      </c>
      <c r="L56" s="50">
        <v>5</v>
      </c>
      <c r="M56" s="50">
        <v>210</v>
      </c>
      <c r="N56" s="50">
        <v>0</v>
      </c>
      <c r="O56" s="15">
        <f t="shared" si="0"/>
        <v>115</v>
      </c>
      <c r="P56" s="15">
        <f t="shared" si="1"/>
        <v>325</v>
      </c>
      <c r="R56" s="8"/>
      <c r="T56"/>
    </row>
    <row r="57" spans="2:20" ht="23.1" customHeight="1" x14ac:dyDescent="0.25">
      <c r="B57" s="23" t="s">
        <v>84</v>
      </c>
      <c r="C57" s="50">
        <v>16</v>
      </c>
      <c r="D57" s="50">
        <v>12</v>
      </c>
      <c r="E57" s="50">
        <v>9</v>
      </c>
      <c r="F57" s="50">
        <v>44</v>
      </c>
      <c r="G57" s="50">
        <v>0</v>
      </c>
      <c r="H57" s="50">
        <v>0</v>
      </c>
      <c r="I57" s="50">
        <v>8</v>
      </c>
      <c r="J57" s="50">
        <v>4</v>
      </c>
      <c r="K57" s="50">
        <v>18</v>
      </c>
      <c r="L57" s="50">
        <v>3</v>
      </c>
      <c r="M57" s="50">
        <v>265</v>
      </c>
      <c r="N57" s="50">
        <v>0</v>
      </c>
      <c r="O57" s="15">
        <f t="shared" si="0"/>
        <v>114</v>
      </c>
      <c r="P57" s="15">
        <f t="shared" si="1"/>
        <v>379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1117</v>
      </c>
      <c r="D58" s="16">
        <f t="shared" si="21"/>
        <v>424</v>
      </c>
      <c r="E58" s="16">
        <f t="shared" si="21"/>
        <v>231</v>
      </c>
      <c r="F58" s="16">
        <f t="shared" si="21"/>
        <v>1613</v>
      </c>
      <c r="G58" s="16">
        <f t="shared" si="21"/>
        <v>24</v>
      </c>
      <c r="H58" s="16">
        <f t="shared" si="21"/>
        <v>8</v>
      </c>
      <c r="I58" s="16">
        <f t="shared" si="21"/>
        <v>687</v>
      </c>
      <c r="J58" s="16">
        <f t="shared" si="21"/>
        <v>339</v>
      </c>
      <c r="K58" s="16">
        <f t="shared" si="21"/>
        <v>90</v>
      </c>
      <c r="L58" s="16">
        <f t="shared" si="21"/>
        <v>101</v>
      </c>
      <c r="M58" s="16">
        <f t="shared" si="21"/>
        <v>8447</v>
      </c>
      <c r="N58" s="16">
        <f t="shared" si="21"/>
        <v>2</v>
      </c>
      <c r="O58" s="16">
        <f t="shared" si="21"/>
        <v>4636</v>
      </c>
      <c r="P58" s="16">
        <f t="shared" si="21"/>
        <v>13083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8.5377971413284418E-2</v>
      </c>
      <c r="D59" s="43">
        <f t="shared" si="22"/>
        <v>3.2408469005579761E-2</v>
      </c>
      <c r="E59" s="43">
        <f t="shared" si="22"/>
        <v>1.7656500802568219E-2</v>
      </c>
      <c r="F59" s="43">
        <f t="shared" si="22"/>
        <v>0.12328976534433998</v>
      </c>
      <c r="G59" s="43">
        <f t="shared" si="22"/>
        <v>1.8344416418252694E-3</v>
      </c>
      <c r="H59" s="43">
        <f t="shared" si="22"/>
        <v>6.114805472750898E-4</v>
      </c>
      <c r="I59" s="43">
        <f t="shared" si="22"/>
        <v>5.2510891997248337E-2</v>
      </c>
      <c r="J59" s="43">
        <f t="shared" si="22"/>
        <v>2.5911488190781932E-2</v>
      </c>
      <c r="K59" s="43">
        <f t="shared" si="22"/>
        <v>6.8791561568447603E-3</v>
      </c>
      <c r="L59" s="43">
        <f t="shared" si="22"/>
        <v>7.7199419093480085E-3</v>
      </c>
      <c r="M59" s="43">
        <f t="shared" si="22"/>
        <v>0.64564702285408548</v>
      </c>
      <c r="N59" s="43">
        <f t="shared" si="22"/>
        <v>1.5287013681877245E-4</v>
      </c>
      <c r="R59" s="8"/>
      <c r="T59"/>
    </row>
    <row r="60" spans="2:20" ht="23.1" customHeight="1" x14ac:dyDescent="0.25">
      <c r="B60" s="42" t="s">
        <v>94</v>
      </c>
      <c r="C60" s="44">
        <f>C58/$O$58</f>
        <v>0.24094046591889559</v>
      </c>
      <c r="D60" s="44">
        <f t="shared" ref="D60:N60" si="23">D58/$O$58</f>
        <v>9.1458153580672996E-2</v>
      </c>
      <c r="E60" s="44">
        <f t="shared" si="23"/>
        <v>4.9827437446074201E-2</v>
      </c>
      <c r="F60" s="44">
        <f t="shared" si="23"/>
        <v>0.34792924935289044</v>
      </c>
      <c r="G60" s="44">
        <f t="shared" si="23"/>
        <v>5.1768766177739426E-3</v>
      </c>
      <c r="H60" s="44">
        <f t="shared" si="23"/>
        <v>1.7256255392579811E-3</v>
      </c>
      <c r="I60" s="44">
        <f t="shared" si="23"/>
        <v>0.14818809318377912</v>
      </c>
      <c r="J60" s="44">
        <f t="shared" si="23"/>
        <v>7.3123382226056952E-2</v>
      </c>
      <c r="K60" s="44">
        <f t="shared" si="23"/>
        <v>1.9413287316652286E-2</v>
      </c>
      <c r="L60" s="44">
        <f t="shared" si="23"/>
        <v>2.1786022433132012E-2</v>
      </c>
      <c r="M60" s="44"/>
      <c r="N60" s="44">
        <f t="shared" si="23"/>
        <v>4.3140638481449527E-4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K5" activeCellId="8" sqref="K5:L5 D6:E6 D6:E6 D5 C3:G3 G6:H6 G5:H5 K6:L6 K5:L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8" t="s">
        <v>23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</row>
    <row r="2" spans="2:32" ht="20.100000000000001" customHeight="1" x14ac:dyDescent="0.25">
      <c r="B2" s="59" t="s">
        <v>95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</row>
    <row r="3" spans="2:32" ht="20.100000000000001" customHeight="1" x14ac:dyDescent="0.25">
      <c r="B3" s="22" t="s">
        <v>96</v>
      </c>
      <c r="C3" s="63" t="s">
        <v>173</v>
      </c>
      <c r="D3" s="63"/>
      <c r="E3" s="63"/>
      <c r="F3" s="63"/>
      <c r="G3" s="63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51" t="str">
        <f>'23.07 Nateete-Ndeeba'!D5</f>
        <v>23.07.19</v>
      </c>
      <c r="E5" s="3"/>
      <c r="F5" s="41" t="s">
        <v>1</v>
      </c>
      <c r="G5" s="64" t="s">
        <v>177</v>
      </c>
      <c r="H5" s="65"/>
      <c r="I5" s="14"/>
      <c r="J5" s="2" t="s">
        <v>5</v>
      </c>
      <c r="K5" s="64" t="s">
        <v>179</v>
      </c>
      <c r="L5" s="65"/>
      <c r="M5" s="10"/>
      <c r="N5" s="10"/>
      <c r="O5" s="3"/>
      <c r="P5" s="3"/>
    </row>
    <row r="6" spans="2:32" ht="23.25" customHeight="1" x14ac:dyDescent="0.25">
      <c r="C6" s="2" t="s">
        <v>4</v>
      </c>
      <c r="D6" s="64" t="s">
        <v>176</v>
      </c>
      <c r="E6" s="65"/>
      <c r="F6" s="2" t="s">
        <v>2</v>
      </c>
      <c r="G6" s="64" t="s">
        <v>175</v>
      </c>
      <c r="H6" s="65"/>
      <c r="J6" s="2" t="s">
        <v>21</v>
      </c>
      <c r="K6" s="64" t="str">
        <f>'22.07 Nateete-Ndeeba'!K6:L6</f>
        <v>Felix</v>
      </c>
      <c r="L6" s="65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7" t="s">
        <v>88</v>
      </c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35</v>
      </c>
      <c r="D10" s="50">
        <v>7</v>
      </c>
      <c r="E10" s="50">
        <v>5</v>
      </c>
      <c r="F10" s="50">
        <v>22</v>
      </c>
      <c r="G10" s="50">
        <v>0</v>
      </c>
      <c r="H10" s="50">
        <v>0</v>
      </c>
      <c r="I10" s="50">
        <v>8</v>
      </c>
      <c r="J10" s="50">
        <v>2</v>
      </c>
      <c r="K10" s="50">
        <v>1</v>
      </c>
      <c r="L10" s="50">
        <v>1</v>
      </c>
      <c r="M10" s="50">
        <v>85</v>
      </c>
      <c r="N10" s="50">
        <v>0</v>
      </c>
      <c r="O10" s="15">
        <f t="shared" ref="O10:O57" si="0">SUM(C10:L10,N10)</f>
        <v>81</v>
      </c>
      <c r="P10" s="15">
        <f t="shared" ref="P10:P57" si="1">SUM(C10:N10)</f>
        <v>166</v>
      </c>
      <c r="R10" s="1" t="s">
        <v>6</v>
      </c>
      <c r="S10" s="17">
        <f t="shared" ref="S10:AF10" si="2">SUM(C10:C13)</f>
        <v>173</v>
      </c>
      <c r="T10" s="17">
        <f t="shared" si="2"/>
        <v>25</v>
      </c>
      <c r="U10" s="17">
        <f t="shared" si="2"/>
        <v>15</v>
      </c>
      <c r="V10" s="17">
        <f t="shared" si="2"/>
        <v>111</v>
      </c>
      <c r="W10" s="17">
        <f t="shared" si="2"/>
        <v>0</v>
      </c>
      <c r="X10" s="17">
        <f t="shared" si="2"/>
        <v>0</v>
      </c>
      <c r="Y10" s="17">
        <f t="shared" si="2"/>
        <v>28</v>
      </c>
      <c r="Z10" s="17">
        <f t="shared" si="2"/>
        <v>34</v>
      </c>
      <c r="AA10" s="17">
        <f t="shared" si="2"/>
        <v>8</v>
      </c>
      <c r="AB10" s="17">
        <f t="shared" si="2"/>
        <v>2</v>
      </c>
      <c r="AC10" s="17">
        <f t="shared" si="2"/>
        <v>1020</v>
      </c>
      <c r="AD10" s="17">
        <f t="shared" si="2"/>
        <v>0</v>
      </c>
      <c r="AE10" s="31">
        <f t="shared" si="2"/>
        <v>396</v>
      </c>
      <c r="AF10" s="31">
        <f t="shared" si="2"/>
        <v>1416</v>
      </c>
    </row>
    <row r="11" spans="2:32" s="6" customFormat="1" ht="23.1" customHeight="1" x14ac:dyDescent="0.25">
      <c r="B11" s="23" t="s">
        <v>38</v>
      </c>
      <c r="C11" s="50">
        <v>41</v>
      </c>
      <c r="D11" s="50">
        <v>7</v>
      </c>
      <c r="E11" s="50">
        <v>2</v>
      </c>
      <c r="F11" s="50">
        <v>23</v>
      </c>
      <c r="G11" s="50">
        <v>0</v>
      </c>
      <c r="H11" s="50">
        <v>0</v>
      </c>
      <c r="I11" s="50">
        <v>10</v>
      </c>
      <c r="J11" s="50">
        <v>9</v>
      </c>
      <c r="K11" s="50">
        <v>3</v>
      </c>
      <c r="L11" s="50">
        <v>0</v>
      </c>
      <c r="M11" s="50">
        <v>305</v>
      </c>
      <c r="N11" s="50">
        <v>0</v>
      </c>
      <c r="O11" s="15">
        <f t="shared" si="0"/>
        <v>95</v>
      </c>
      <c r="P11" s="15">
        <f t="shared" si="1"/>
        <v>400</v>
      </c>
      <c r="R11" s="1" t="s">
        <v>7</v>
      </c>
      <c r="S11" s="17">
        <f t="shared" ref="S11:AF11" si="3">SUM(C14:C17)</f>
        <v>164</v>
      </c>
      <c r="T11" s="17">
        <f t="shared" si="3"/>
        <v>17</v>
      </c>
      <c r="U11" s="17">
        <f t="shared" si="3"/>
        <v>23</v>
      </c>
      <c r="V11" s="17">
        <f t="shared" si="3"/>
        <v>160</v>
      </c>
      <c r="W11" s="17">
        <f t="shared" si="3"/>
        <v>1</v>
      </c>
      <c r="X11" s="17">
        <f t="shared" si="3"/>
        <v>1</v>
      </c>
      <c r="Y11" s="17">
        <f t="shared" si="3"/>
        <v>29</v>
      </c>
      <c r="Z11" s="17">
        <f t="shared" si="3"/>
        <v>48</v>
      </c>
      <c r="AA11" s="17">
        <f t="shared" si="3"/>
        <v>4</v>
      </c>
      <c r="AB11" s="17">
        <f t="shared" si="3"/>
        <v>1</v>
      </c>
      <c r="AC11" s="17">
        <f t="shared" si="3"/>
        <v>920</v>
      </c>
      <c r="AD11" s="17">
        <f t="shared" si="3"/>
        <v>0</v>
      </c>
      <c r="AE11" s="31">
        <f t="shared" si="3"/>
        <v>448</v>
      </c>
      <c r="AF11" s="31">
        <f t="shared" si="3"/>
        <v>1368</v>
      </c>
    </row>
    <row r="12" spans="2:32" ht="23.1" customHeight="1" x14ac:dyDescent="0.25">
      <c r="B12" s="23" t="s">
        <v>39</v>
      </c>
      <c r="C12" s="50">
        <v>51</v>
      </c>
      <c r="D12" s="50">
        <v>7</v>
      </c>
      <c r="E12" s="50">
        <v>3</v>
      </c>
      <c r="F12" s="50">
        <v>27</v>
      </c>
      <c r="G12" s="50">
        <v>0</v>
      </c>
      <c r="H12" s="50">
        <v>0</v>
      </c>
      <c r="I12" s="50">
        <v>7</v>
      </c>
      <c r="J12" s="50">
        <v>16</v>
      </c>
      <c r="K12" s="50">
        <v>2</v>
      </c>
      <c r="L12" s="50">
        <v>0</v>
      </c>
      <c r="M12" s="50">
        <v>285</v>
      </c>
      <c r="N12" s="50">
        <v>0</v>
      </c>
      <c r="O12" s="15">
        <f t="shared" si="0"/>
        <v>113</v>
      </c>
      <c r="P12" s="15">
        <f t="shared" si="1"/>
        <v>398</v>
      </c>
      <c r="R12" s="1" t="s">
        <v>8</v>
      </c>
      <c r="S12" s="17">
        <f t="shared" ref="S12:AF12" si="4">SUM(C18:C21)</f>
        <v>153</v>
      </c>
      <c r="T12" s="17">
        <f t="shared" si="4"/>
        <v>32</v>
      </c>
      <c r="U12" s="17">
        <f t="shared" si="4"/>
        <v>15</v>
      </c>
      <c r="V12" s="17">
        <f t="shared" si="4"/>
        <v>160</v>
      </c>
      <c r="W12" s="17">
        <f t="shared" si="4"/>
        <v>2</v>
      </c>
      <c r="X12" s="17">
        <f t="shared" si="4"/>
        <v>0</v>
      </c>
      <c r="Y12" s="17">
        <f t="shared" si="4"/>
        <v>24</v>
      </c>
      <c r="Z12" s="17">
        <f t="shared" si="4"/>
        <v>39</v>
      </c>
      <c r="AA12" s="17">
        <f t="shared" si="4"/>
        <v>5</v>
      </c>
      <c r="AB12" s="17">
        <f t="shared" si="4"/>
        <v>2</v>
      </c>
      <c r="AC12" s="17">
        <f t="shared" si="4"/>
        <v>995</v>
      </c>
      <c r="AD12" s="17">
        <f t="shared" si="4"/>
        <v>0</v>
      </c>
      <c r="AE12" s="31">
        <f t="shared" si="4"/>
        <v>432</v>
      </c>
      <c r="AF12" s="31">
        <f t="shared" si="4"/>
        <v>1427</v>
      </c>
    </row>
    <row r="13" spans="2:32" ht="23.1" customHeight="1" x14ac:dyDescent="0.25">
      <c r="B13" s="23" t="s">
        <v>40</v>
      </c>
      <c r="C13" s="50">
        <v>46</v>
      </c>
      <c r="D13" s="50">
        <v>4</v>
      </c>
      <c r="E13" s="50">
        <v>5</v>
      </c>
      <c r="F13" s="50">
        <v>39</v>
      </c>
      <c r="G13" s="50">
        <v>0</v>
      </c>
      <c r="H13" s="50">
        <v>0</v>
      </c>
      <c r="I13" s="50">
        <v>3</v>
      </c>
      <c r="J13" s="50">
        <v>7</v>
      </c>
      <c r="K13" s="50">
        <v>2</v>
      </c>
      <c r="L13" s="50">
        <v>1</v>
      </c>
      <c r="M13" s="50">
        <v>345</v>
      </c>
      <c r="N13" s="50">
        <v>0</v>
      </c>
      <c r="O13" s="15">
        <f t="shared" si="0"/>
        <v>107</v>
      </c>
      <c r="P13" s="15">
        <f t="shared" si="1"/>
        <v>452</v>
      </c>
      <c r="R13" s="1" t="s">
        <v>9</v>
      </c>
      <c r="S13" s="17">
        <f t="shared" ref="S13:AF13" si="5">SUM(C22:C25)</f>
        <v>212</v>
      </c>
      <c r="T13" s="17">
        <f t="shared" si="5"/>
        <v>19</v>
      </c>
      <c r="U13" s="17">
        <f t="shared" si="5"/>
        <v>22</v>
      </c>
      <c r="V13" s="17">
        <f t="shared" si="5"/>
        <v>132</v>
      </c>
      <c r="W13" s="17">
        <f t="shared" si="5"/>
        <v>1</v>
      </c>
      <c r="X13" s="17">
        <f t="shared" si="5"/>
        <v>0</v>
      </c>
      <c r="Y13" s="17">
        <f t="shared" si="5"/>
        <v>26</v>
      </c>
      <c r="Z13" s="17">
        <f t="shared" si="5"/>
        <v>37</v>
      </c>
      <c r="AA13" s="17">
        <f t="shared" si="5"/>
        <v>10</v>
      </c>
      <c r="AB13" s="17">
        <f t="shared" si="5"/>
        <v>0</v>
      </c>
      <c r="AC13" s="17">
        <f t="shared" si="5"/>
        <v>915</v>
      </c>
      <c r="AD13" s="17">
        <f t="shared" si="5"/>
        <v>0</v>
      </c>
      <c r="AE13" s="31">
        <f t="shared" si="5"/>
        <v>459</v>
      </c>
      <c r="AF13" s="31">
        <f t="shared" si="5"/>
        <v>1374</v>
      </c>
    </row>
    <row r="14" spans="2:32" ht="23.1" customHeight="1" x14ac:dyDescent="0.25">
      <c r="B14" s="23" t="s">
        <v>41</v>
      </c>
      <c r="C14" s="50">
        <v>55</v>
      </c>
      <c r="D14" s="50">
        <v>4</v>
      </c>
      <c r="E14" s="50">
        <v>3</v>
      </c>
      <c r="F14" s="50">
        <v>40</v>
      </c>
      <c r="G14" s="50">
        <v>0</v>
      </c>
      <c r="H14" s="50">
        <v>1</v>
      </c>
      <c r="I14" s="50">
        <v>10</v>
      </c>
      <c r="J14" s="50">
        <v>17</v>
      </c>
      <c r="K14" s="50">
        <v>2</v>
      </c>
      <c r="L14" s="50">
        <v>0</v>
      </c>
      <c r="M14" s="50">
        <v>295</v>
      </c>
      <c r="N14" s="50">
        <v>0</v>
      </c>
      <c r="O14" s="15">
        <f t="shared" si="0"/>
        <v>132</v>
      </c>
      <c r="P14" s="15">
        <f t="shared" si="1"/>
        <v>427</v>
      </c>
      <c r="R14" s="1" t="s">
        <v>10</v>
      </c>
      <c r="S14" s="17">
        <f t="shared" ref="S14:AF14" si="6">SUM(C26:C29)</f>
        <v>156</v>
      </c>
      <c r="T14" s="17">
        <f t="shared" si="6"/>
        <v>24</v>
      </c>
      <c r="U14" s="17">
        <f t="shared" si="6"/>
        <v>16</v>
      </c>
      <c r="V14" s="17">
        <f t="shared" si="6"/>
        <v>133</v>
      </c>
      <c r="W14" s="17">
        <f t="shared" si="6"/>
        <v>4</v>
      </c>
      <c r="X14" s="17">
        <f t="shared" si="6"/>
        <v>1</v>
      </c>
      <c r="Y14" s="17">
        <f t="shared" si="6"/>
        <v>25</v>
      </c>
      <c r="Z14" s="17">
        <f t="shared" si="6"/>
        <v>54</v>
      </c>
      <c r="AA14" s="17">
        <f t="shared" si="6"/>
        <v>11</v>
      </c>
      <c r="AB14" s="17">
        <f t="shared" si="6"/>
        <v>0</v>
      </c>
      <c r="AC14" s="17">
        <f t="shared" si="6"/>
        <v>1010</v>
      </c>
      <c r="AD14" s="17">
        <f t="shared" si="6"/>
        <v>0</v>
      </c>
      <c r="AE14" s="31">
        <f t="shared" si="6"/>
        <v>424</v>
      </c>
      <c r="AF14" s="31">
        <f t="shared" si="6"/>
        <v>1434</v>
      </c>
    </row>
    <row r="15" spans="2:32" ht="23.1" customHeight="1" x14ac:dyDescent="0.25">
      <c r="B15" s="23" t="s">
        <v>42</v>
      </c>
      <c r="C15" s="50">
        <v>30</v>
      </c>
      <c r="D15" s="50">
        <v>1</v>
      </c>
      <c r="E15" s="50">
        <v>1</v>
      </c>
      <c r="F15" s="50">
        <v>30</v>
      </c>
      <c r="G15" s="50">
        <v>0</v>
      </c>
      <c r="H15" s="50">
        <v>0</v>
      </c>
      <c r="I15" s="50">
        <v>5</v>
      </c>
      <c r="J15" s="50">
        <v>4</v>
      </c>
      <c r="K15" s="50">
        <v>0</v>
      </c>
      <c r="L15" s="50">
        <v>1</v>
      </c>
      <c r="M15" s="50">
        <v>190</v>
      </c>
      <c r="N15" s="50">
        <v>0</v>
      </c>
      <c r="O15" s="15">
        <f t="shared" si="0"/>
        <v>72</v>
      </c>
      <c r="P15" s="15">
        <f t="shared" si="1"/>
        <v>262</v>
      </c>
      <c r="R15" s="1" t="s">
        <v>11</v>
      </c>
      <c r="S15" s="17">
        <f t="shared" ref="S15:AF15" si="7">SUM(C30:C33)</f>
        <v>177</v>
      </c>
      <c r="T15" s="17">
        <f t="shared" si="7"/>
        <v>25</v>
      </c>
      <c r="U15" s="17">
        <f t="shared" si="7"/>
        <v>16</v>
      </c>
      <c r="V15" s="17">
        <f t="shared" si="7"/>
        <v>138</v>
      </c>
      <c r="W15" s="17">
        <f t="shared" si="7"/>
        <v>0</v>
      </c>
      <c r="X15" s="17">
        <f t="shared" si="7"/>
        <v>0</v>
      </c>
      <c r="Y15" s="17">
        <f t="shared" si="7"/>
        <v>27</v>
      </c>
      <c r="Z15" s="17">
        <f t="shared" si="7"/>
        <v>51</v>
      </c>
      <c r="AA15" s="17">
        <f t="shared" si="7"/>
        <v>9</v>
      </c>
      <c r="AB15" s="17">
        <f t="shared" si="7"/>
        <v>3</v>
      </c>
      <c r="AC15" s="17">
        <f t="shared" si="7"/>
        <v>785</v>
      </c>
      <c r="AD15" s="17">
        <f t="shared" si="7"/>
        <v>0</v>
      </c>
      <c r="AE15" s="31">
        <f t="shared" si="7"/>
        <v>446</v>
      </c>
      <c r="AF15" s="31">
        <f t="shared" si="7"/>
        <v>1231</v>
      </c>
    </row>
    <row r="16" spans="2:32" ht="23.1" customHeight="1" x14ac:dyDescent="0.25">
      <c r="B16" s="23" t="s">
        <v>43</v>
      </c>
      <c r="C16" s="50">
        <v>34</v>
      </c>
      <c r="D16" s="50">
        <v>5</v>
      </c>
      <c r="E16" s="50">
        <v>7</v>
      </c>
      <c r="F16" s="50">
        <v>50</v>
      </c>
      <c r="G16" s="50">
        <v>0</v>
      </c>
      <c r="H16" s="50">
        <v>0</v>
      </c>
      <c r="I16" s="50">
        <v>6</v>
      </c>
      <c r="J16" s="50">
        <v>9</v>
      </c>
      <c r="K16" s="50">
        <v>0</v>
      </c>
      <c r="L16" s="50">
        <v>0</v>
      </c>
      <c r="M16" s="50">
        <v>155</v>
      </c>
      <c r="N16" s="50">
        <v>0</v>
      </c>
      <c r="O16" s="15">
        <f t="shared" si="0"/>
        <v>111</v>
      </c>
      <c r="P16" s="15">
        <f t="shared" si="1"/>
        <v>266</v>
      </c>
      <c r="R16" s="1" t="s">
        <v>12</v>
      </c>
      <c r="S16" s="17">
        <f t="shared" ref="S16:AF16" si="8">SUM(C34:C37)</f>
        <v>110</v>
      </c>
      <c r="T16" s="17">
        <f t="shared" si="8"/>
        <v>25</v>
      </c>
      <c r="U16" s="17">
        <f t="shared" si="8"/>
        <v>10</v>
      </c>
      <c r="V16" s="17">
        <f t="shared" si="8"/>
        <v>137</v>
      </c>
      <c r="W16" s="17">
        <f t="shared" si="8"/>
        <v>1</v>
      </c>
      <c r="X16" s="17">
        <f t="shared" si="8"/>
        <v>0</v>
      </c>
      <c r="Y16" s="17">
        <f t="shared" si="8"/>
        <v>41</v>
      </c>
      <c r="Z16" s="17">
        <f t="shared" si="8"/>
        <v>31</v>
      </c>
      <c r="AA16" s="17">
        <f t="shared" si="8"/>
        <v>11</v>
      </c>
      <c r="AB16" s="17">
        <f t="shared" si="8"/>
        <v>3</v>
      </c>
      <c r="AC16" s="17">
        <f t="shared" si="8"/>
        <v>785</v>
      </c>
      <c r="AD16" s="17">
        <f t="shared" si="8"/>
        <v>0</v>
      </c>
      <c r="AE16" s="31">
        <f t="shared" si="8"/>
        <v>369</v>
      </c>
      <c r="AF16" s="31">
        <f t="shared" si="8"/>
        <v>1154</v>
      </c>
    </row>
    <row r="17" spans="2:32" ht="23.1" customHeight="1" x14ac:dyDescent="0.25">
      <c r="B17" s="23" t="s">
        <v>44</v>
      </c>
      <c r="C17" s="50">
        <v>45</v>
      </c>
      <c r="D17" s="50">
        <v>7</v>
      </c>
      <c r="E17" s="50">
        <v>12</v>
      </c>
      <c r="F17" s="50">
        <v>40</v>
      </c>
      <c r="G17" s="50">
        <v>1</v>
      </c>
      <c r="H17" s="50">
        <v>0</v>
      </c>
      <c r="I17" s="50">
        <v>8</v>
      </c>
      <c r="J17" s="50">
        <v>18</v>
      </c>
      <c r="K17" s="50">
        <v>2</v>
      </c>
      <c r="L17" s="50">
        <v>0</v>
      </c>
      <c r="M17" s="50">
        <v>280</v>
      </c>
      <c r="N17" s="50">
        <v>0</v>
      </c>
      <c r="O17" s="15">
        <f t="shared" si="0"/>
        <v>133</v>
      </c>
      <c r="P17" s="15">
        <f t="shared" si="1"/>
        <v>413</v>
      </c>
      <c r="R17" s="1" t="s">
        <v>13</v>
      </c>
      <c r="S17" s="17">
        <f t="shared" ref="S17:AF17" si="9">SUM(C38:C41)</f>
        <v>173</v>
      </c>
      <c r="T17" s="17">
        <f t="shared" si="9"/>
        <v>22</v>
      </c>
      <c r="U17" s="17">
        <f t="shared" si="9"/>
        <v>14</v>
      </c>
      <c r="V17" s="17">
        <f t="shared" si="9"/>
        <v>124</v>
      </c>
      <c r="W17" s="17">
        <f t="shared" si="9"/>
        <v>1</v>
      </c>
      <c r="X17" s="17">
        <f t="shared" si="9"/>
        <v>0</v>
      </c>
      <c r="Y17" s="17">
        <f t="shared" si="9"/>
        <v>19</v>
      </c>
      <c r="Z17" s="17">
        <f t="shared" si="9"/>
        <v>39</v>
      </c>
      <c r="AA17" s="17">
        <f t="shared" si="9"/>
        <v>17</v>
      </c>
      <c r="AB17" s="17">
        <f t="shared" si="9"/>
        <v>4</v>
      </c>
      <c r="AC17" s="17">
        <f t="shared" si="9"/>
        <v>825</v>
      </c>
      <c r="AD17" s="17">
        <f t="shared" si="9"/>
        <v>0</v>
      </c>
      <c r="AE17" s="31">
        <f t="shared" si="9"/>
        <v>413</v>
      </c>
      <c r="AF17" s="31">
        <f t="shared" si="9"/>
        <v>1238</v>
      </c>
    </row>
    <row r="18" spans="2:32" ht="23.1" customHeight="1" x14ac:dyDescent="0.25">
      <c r="B18" s="23" t="s">
        <v>45</v>
      </c>
      <c r="C18" s="50">
        <v>22</v>
      </c>
      <c r="D18" s="50">
        <v>3</v>
      </c>
      <c r="E18" s="50">
        <v>2</v>
      </c>
      <c r="F18" s="50">
        <v>44</v>
      </c>
      <c r="G18" s="50">
        <v>2</v>
      </c>
      <c r="H18" s="50">
        <v>0</v>
      </c>
      <c r="I18" s="50">
        <v>2</v>
      </c>
      <c r="J18" s="50">
        <v>4</v>
      </c>
      <c r="K18" s="50">
        <v>1</v>
      </c>
      <c r="L18" s="50">
        <v>0</v>
      </c>
      <c r="M18" s="50">
        <v>315</v>
      </c>
      <c r="N18" s="50">
        <v>0</v>
      </c>
      <c r="O18" s="15">
        <f t="shared" si="0"/>
        <v>80</v>
      </c>
      <c r="P18" s="15">
        <f t="shared" si="1"/>
        <v>395</v>
      </c>
      <c r="R18" s="1" t="s">
        <v>14</v>
      </c>
      <c r="S18" s="17">
        <f t="shared" ref="S18:AF18" si="10">SUM(C42:C45)</f>
        <v>185</v>
      </c>
      <c r="T18" s="17">
        <f t="shared" si="10"/>
        <v>20</v>
      </c>
      <c r="U18" s="17">
        <f t="shared" si="10"/>
        <v>15</v>
      </c>
      <c r="V18" s="17">
        <f t="shared" si="10"/>
        <v>127</v>
      </c>
      <c r="W18" s="17">
        <f t="shared" si="10"/>
        <v>0</v>
      </c>
      <c r="X18" s="17">
        <f t="shared" si="10"/>
        <v>0</v>
      </c>
      <c r="Y18" s="17">
        <f t="shared" si="10"/>
        <v>27</v>
      </c>
      <c r="Z18" s="17">
        <f t="shared" si="10"/>
        <v>50</v>
      </c>
      <c r="AA18" s="17">
        <f t="shared" si="10"/>
        <v>14</v>
      </c>
      <c r="AB18" s="17">
        <f t="shared" si="10"/>
        <v>3</v>
      </c>
      <c r="AC18" s="17">
        <f t="shared" si="10"/>
        <v>800</v>
      </c>
      <c r="AD18" s="17">
        <f t="shared" si="10"/>
        <v>0</v>
      </c>
      <c r="AE18" s="31">
        <f t="shared" si="10"/>
        <v>441</v>
      </c>
      <c r="AF18" s="31">
        <f t="shared" si="10"/>
        <v>1241</v>
      </c>
    </row>
    <row r="19" spans="2:32" ht="23.1" customHeight="1" x14ac:dyDescent="0.25">
      <c r="B19" s="23" t="s">
        <v>46</v>
      </c>
      <c r="C19" s="50">
        <v>47</v>
      </c>
      <c r="D19" s="50">
        <v>11</v>
      </c>
      <c r="E19" s="50">
        <v>3</v>
      </c>
      <c r="F19" s="50">
        <v>44</v>
      </c>
      <c r="G19" s="50">
        <v>0</v>
      </c>
      <c r="H19" s="50">
        <v>0</v>
      </c>
      <c r="I19" s="50">
        <v>9</v>
      </c>
      <c r="J19" s="50">
        <v>10</v>
      </c>
      <c r="K19" s="50">
        <v>0</v>
      </c>
      <c r="L19" s="50">
        <v>0</v>
      </c>
      <c r="M19" s="50">
        <v>255</v>
      </c>
      <c r="N19" s="50">
        <v>0</v>
      </c>
      <c r="O19" s="15">
        <f t="shared" si="0"/>
        <v>124</v>
      </c>
      <c r="P19" s="15">
        <f t="shared" si="1"/>
        <v>379</v>
      </c>
      <c r="R19" s="1" t="s">
        <v>15</v>
      </c>
      <c r="S19" s="17">
        <f t="shared" ref="S19:AF19" si="11">SUM(C46:C49)</f>
        <v>179</v>
      </c>
      <c r="T19" s="17">
        <f t="shared" si="11"/>
        <v>24</v>
      </c>
      <c r="U19" s="17">
        <f t="shared" si="11"/>
        <v>17</v>
      </c>
      <c r="V19" s="17">
        <f t="shared" si="11"/>
        <v>141</v>
      </c>
      <c r="W19" s="17">
        <f t="shared" si="11"/>
        <v>5</v>
      </c>
      <c r="X19" s="17">
        <f t="shared" si="11"/>
        <v>0</v>
      </c>
      <c r="Y19" s="17">
        <f t="shared" si="11"/>
        <v>23</v>
      </c>
      <c r="Z19" s="17">
        <f t="shared" si="11"/>
        <v>48</v>
      </c>
      <c r="AA19" s="17">
        <f t="shared" si="11"/>
        <v>9</v>
      </c>
      <c r="AB19" s="17">
        <f t="shared" si="11"/>
        <v>1</v>
      </c>
      <c r="AC19" s="17">
        <f t="shared" si="11"/>
        <v>640</v>
      </c>
      <c r="AD19" s="17">
        <f t="shared" si="11"/>
        <v>0</v>
      </c>
      <c r="AE19" s="31">
        <f t="shared" si="11"/>
        <v>447</v>
      </c>
      <c r="AF19" s="31">
        <f t="shared" si="11"/>
        <v>1087</v>
      </c>
    </row>
    <row r="20" spans="2:32" ht="23.1" customHeight="1" x14ac:dyDescent="0.25">
      <c r="B20" s="23" t="s">
        <v>47</v>
      </c>
      <c r="C20" s="50">
        <v>41</v>
      </c>
      <c r="D20" s="50">
        <v>8</v>
      </c>
      <c r="E20" s="50">
        <v>3</v>
      </c>
      <c r="F20" s="50">
        <v>36</v>
      </c>
      <c r="G20" s="50">
        <v>0</v>
      </c>
      <c r="H20" s="50">
        <v>0</v>
      </c>
      <c r="I20" s="50">
        <v>7</v>
      </c>
      <c r="J20" s="50">
        <v>11</v>
      </c>
      <c r="K20" s="50">
        <v>2</v>
      </c>
      <c r="L20" s="50">
        <v>0</v>
      </c>
      <c r="M20" s="50">
        <v>225</v>
      </c>
      <c r="N20" s="50">
        <v>0</v>
      </c>
      <c r="O20" s="15">
        <f t="shared" si="0"/>
        <v>108</v>
      </c>
      <c r="P20" s="15">
        <f t="shared" si="1"/>
        <v>333</v>
      </c>
      <c r="R20" s="1" t="s">
        <v>16</v>
      </c>
      <c r="S20" s="17">
        <f t="shared" ref="S20:AF20" si="12">SUM(C50:C53)</f>
        <v>165</v>
      </c>
      <c r="T20" s="17">
        <f t="shared" si="12"/>
        <v>19</v>
      </c>
      <c r="U20" s="17">
        <f t="shared" si="12"/>
        <v>17</v>
      </c>
      <c r="V20" s="17">
        <f t="shared" si="12"/>
        <v>138</v>
      </c>
      <c r="W20" s="17">
        <f t="shared" si="12"/>
        <v>4</v>
      </c>
      <c r="X20" s="17">
        <f t="shared" si="12"/>
        <v>3</v>
      </c>
      <c r="Y20" s="17">
        <f t="shared" si="12"/>
        <v>16</v>
      </c>
      <c r="Z20" s="17">
        <f t="shared" si="12"/>
        <v>57</v>
      </c>
      <c r="AA20" s="17">
        <f t="shared" si="12"/>
        <v>8</v>
      </c>
      <c r="AB20" s="17">
        <f t="shared" si="12"/>
        <v>1</v>
      </c>
      <c r="AC20" s="17">
        <f t="shared" si="12"/>
        <v>745</v>
      </c>
      <c r="AD20" s="17">
        <f t="shared" si="12"/>
        <v>0</v>
      </c>
      <c r="AE20" s="31">
        <f t="shared" si="12"/>
        <v>428</v>
      </c>
      <c r="AF20" s="31">
        <f t="shared" si="12"/>
        <v>1173</v>
      </c>
    </row>
    <row r="21" spans="2:32" ht="23.1" customHeight="1" x14ac:dyDescent="0.25">
      <c r="B21" s="23" t="s">
        <v>48</v>
      </c>
      <c r="C21" s="50">
        <v>43</v>
      </c>
      <c r="D21" s="50">
        <v>10</v>
      </c>
      <c r="E21" s="50">
        <v>7</v>
      </c>
      <c r="F21" s="50">
        <v>36</v>
      </c>
      <c r="G21" s="50">
        <v>0</v>
      </c>
      <c r="H21" s="50">
        <v>0</v>
      </c>
      <c r="I21" s="50">
        <v>6</v>
      </c>
      <c r="J21" s="50">
        <v>14</v>
      </c>
      <c r="K21" s="50">
        <v>2</v>
      </c>
      <c r="L21" s="50">
        <v>2</v>
      </c>
      <c r="M21" s="50">
        <v>200</v>
      </c>
      <c r="N21" s="50">
        <v>0</v>
      </c>
      <c r="O21" s="15">
        <f t="shared" si="0"/>
        <v>120</v>
      </c>
      <c r="P21" s="15">
        <f t="shared" si="1"/>
        <v>320</v>
      </c>
      <c r="R21" s="36" t="s">
        <v>20</v>
      </c>
      <c r="S21" s="34">
        <f t="shared" ref="S21:AF21" si="13">SUM(C54:C57)</f>
        <v>111</v>
      </c>
      <c r="T21" s="17">
        <f t="shared" si="13"/>
        <v>42</v>
      </c>
      <c r="U21" s="17">
        <f t="shared" si="13"/>
        <v>19</v>
      </c>
      <c r="V21" s="17">
        <f t="shared" si="13"/>
        <v>98</v>
      </c>
      <c r="W21" s="17">
        <f t="shared" si="13"/>
        <v>36</v>
      </c>
      <c r="X21" s="17">
        <f t="shared" si="13"/>
        <v>3</v>
      </c>
      <c r="Y21" s="17">
        <f t="shared" si="13"/>
        <v>16</v>
      </c>
      <c r="Z21" s="17">
        <f t="shared" si="13"/>
        <v>41</v>
      </c>
      <c r="AA21" s="17">
        <f t="shared" si="13"/>
        <v>6</v>
      </c>
      <c r="AB21" s="17">
        <f t="shared" si="13"/>
        <v>2</v>
      </c>
      <c r="AC21" s="17">
        <f t="shared" si="13"/>
        <v>955</v>
      </c>
      <c r="AD21" s="17">
        <f t="shared" si="13"/>
        <v>0</v>
      </c>
      <c r="AE21" s="31">
        <f t="shared" si="13"/>
        <v>374</v>
      </c>
      <c r="AF21" s="31">
        <f t="shared" si="13"/>
        <v>1329</v>
      </c>
    </row>
    <row r="22" spans="2:32" ht="23.1" customHeight="1" x14ac:dyDescent="0.25">
      <c r="B22" s="23" t="s">
        <v>49</v>
      </c>
      <c r="C22" s="50">
        <v>49</v>
      </c>
      <c r="D22" s="50">
        <v>6</v>
      </c>
      <c r="E22" s="50">
        <v>7</v>
      </c>
      <c r="F22" s="50">
        <v>34</v>
      </c>
      <c r="G22" s="50">
        <v>0</v>
      </c>
      <c r="H22" s="50">
        <v>0</v>
      </c>
      <c r="I22" s="50">
        <v>6</v>
      </c>
      <c r="J22" s="50">
        <v>9</v>
      </c>
      <c r="K22" s="50">
        <v>2</v>
      </c>
      <c r="L22" s="50">
        <v>0</v>
      </c>
      <c r="M22" s="50">
        <v>195</v>
      </c>
      <c r="N22" s="50">
        <v>0</v>
      </c>
      <c r="O22" s="15">
        <f t="shared" si="0"/>
        <v>113</v>
      </c>
      <c r="P22" s="15">
        <f t="shared" si="1"/>
        <v>308</v>
      </c>
      <c r="R22" s="38" t="s">
        <v>90</v>
      </c>
      <c r="S22" s="39">
        <f>MAX(S10:S12)</f>
        <v>173</v>
      </c>
      <c r="T22" s="39">
        <f t="shared" ref="T22:AF22" si="14">MAX(T10:T12)</f>
        <v>32</v>
      </c>
      <c r="U22" s="39">
        <f t="shared" si="14"/>
        <v>23</v>
      </c>
      <c r="V22" s="39">
        <f t="shared" si="14"/>
        <v>160</v>
      </c>
      <c r="W22" s="39">
        <f t="shared" si="14"/>
        <v>2</v>
      </c>
      <c r="X22" s="39">
        <f t="shared" si="14"/>
        <v>1</v>
      </c>
      <c r="Y22" s="39">
        <f t="shared" si="14"/>
        <v>29</v>
      </c>
      <c r="Z22" s="39">
        <f t="shared" si="14"/>
        <v>48</v>
      </c>
      <c r="AA22" s="39">
        <f t="shared" si="14"/>
        <v>8</v>
      </c>
      <c r="AB22" s="39">
        <f t="shared" si="14"/>
        <v>2</v>
      </c>
      <c r="AC22" s="39">
        <f t="shared" si="14"/>
        <v>1020</v>
      </c>
      <c r="AD22" s="39">
        <f t="shared" si="14"/>
        <v>0</v>
      </c>
      <c r="AE22" s="40">
        <f t="shared" si="14"/>
        <v>448</v>
      </c>
      <c r="AF22" s="40">
        <f t="shared" si="14"/>
        <v>1427</v>
      </c>
    </row>
    <row r="23" spans="2:32" ht="23.1" customHeight="1" x14ac:dyDescent="0.25">
      <c r="B23" s="23" t="s">
        <v>50</v>
      </c>
      <c r="C23" s="50">
        <v>41</v>
      </c>
      <c r="D23" s="50">
        <v>3</v>
      </c>
      <c r="E23" s="50">
        <v>0</v>
      </c>
      <c r="F23" s="50">
        <v>34</v>
      </c>
      <c r="G23" s="50">
        <v>0</v>
      </c>
      <c r="H23" s="50">
        <v>0</v>
      </c>
      <c r="I23" s="50">
        <v>7</v>
      </c>
      <c r="J23" s="50">
        <v>12</v>
      </c>
      <c r="K23" s="50">
        <v>0</v>
      </c>
      <c r="L23" s="50">
        <v>0</v>
      </c>
      <c r="M23" s="50">
        <v>245</v>
      </c>
      <c r="N23" s="50">
        <v>0</v>
      </c>
      <c r="O23" s="15">
        <f t="shared" si="0"/>
        <v>97</v>
      </c>
      <c r="P23" s="15">
        <f t="shared" si="1"/>
        <v>342</v>
      </c>
      <c r="R23" s="38" t="s">
        <v>91</v>
      </c>
      <c r="S23" s="39">
        <f>MAX(S13:S18)</f>
        <v>212</v>
      </c>
      <c r="T23" s="39">
        <f t="shared" ref="T23:AF23" si="15">MAX(T13:T18)</f>
        <v>25</v>
      </c>
      <c r="U23" s="39">
        <f t="shared" si="15"/>
        <v>22</v>
      </c>
      <c r="V23" s="39">
        <f t="shared" si="15"/>
        <v>138</v>
      </c>
      <c r="W23" s="39">
        <f t="shared" si="15"/>
        <v>4</v>
      </c>
      <c r="X23" s="39">
        <f t="shared" si="15"/>
        <v>1</v>
      </c>
      <c r="Y23" s="39">
        <f t="shared" si="15"/>
        <v>41</v>
      </c>
      <c r="Z23" s="39">
        <f t="shared" si="15"/>
        <v>54</v>
      </c>
      <c r="AA23" s="39">
        <f t="shared" si="15"/>
        <v>17</v>
      </c>
      <c r="AB23" s="39">
        <f t="shared" si="15"/>
        <v>4</v>
      </c>
      <c r="AC23" s="39">
        <f t="shared" si="15"/>
        <v>1010</v>
      </c>
      <c r="AD23" s="39">
        <f t="shared" si="15"/>
        <v>0</v>
      </c>
      <c r="AE23" s="40">
        <f t="shared" si="15"/>
        <v>459</v>
      </c>
      <c r="AF23" s="40">
        <f t="shared" si="15"/>
        <v>1434</v>
      </c>
    </row>
    <row r="24" spans="2:32" ht="23.1" customHeight="1" x14ac:dyDescent="0.25">
      <c r="B24" s="23" t="s">
        <v>51</v>
      </c>
      <c r="C24" s="50">
        <v>68</v>
      </c>
      <c r="D24" s="50">
        <v>7</v>
      </c>
      <c r="E24" s="50">
        <v>9</v>
      </c>
      <c r="F24" s="50">
        <v>27</v>
      </c>
      <c r="G24" s="50">
        <v>0</v>
      </c>
      <c r="H24" s="50">
        <v>0</v>
      </c>
      <c r="I24" s="50">
        <v>4</v>
      </c>
      <c r="J24" s="50">
        <v>8</v>
      </c>
      <c r="K24" s="50">
        <v>1</v>
      </c>
      <c r="L24" s="50">
        <v>0</v>
      </c>
      <c r="M24" s="50">
        <v>230</v>
      </c>
      <c r="N24" s="50">
        <v>0</v>
      </c>
      <c r="O24" s="15">
        <f t="shared" si="0"/>
        <v>124</v>
      </c>
      <c r="P24" s="15">
        <f t="shared" si="1"/>
        <v>354</v>
      </c>
      <c r="R24" s="38" t="s">
        <v>92</v>
      </c>
      <c r="S24" s="39">
        <f>MAX(S19:S21)</f>
        <v>179</v>
      </c>
      <c r="T24" s="39">
        <f t="shared" ref="T24:AF24" si="16">MAX(T19:T21)</f>
        <v>42</v>
      </c>
      <c r="U24" s="39">
        <f t="shared" si="16"/>
        <v>19</v>
      </c>
      <c r="V24" s="39">
        <f t="shared" si="16"/>
        <v>141</v>
      </c>
      <c r="W24" s="39">
        <f t="shared" si="16"/>
        <v>36</v>
      </c>
      <c r="X24" s="39">
        <f t="shared" si="16"/>
        <v>3</v>
      </c>
      <c r="Y24" s="39">
        <f t="shared" si="16"/>
        <v>23</v>
      </c>
      <c r="Z24" s="39">
        <f t="shared" si="16"/>
        <v>57</v>
      </c>
      <c r="AA24" s="39">
        <f t="shared" si="16"/>
        <v>9</v>
      </c>
      <c r="AB24" s="39">
        <f t="shared" si="16"/>
        <v>2</v>
      </c>
      <c r="AC24" s="39">
        <f t="shared" si="16"/>
        <v>955</v>
      </c>
      <c r="AD24" s="39">
        <f t="shared" si="16"/>
        <v>0</v>
      </c>
      <c r="AE24" s="40">
        <f t="shared" si="16"/>
        <v>447</v>
      </c>
      <c r="AF24" s="40">
        <f t="shared" si="16"/>
        <v>1329</v>
      </c>
    </row>
    <row r="25" spans="2:32" ht="23.1" customHeight="1" x14ac:dyDescent="0.25">
      <c r="B25" s="23" t="s">
        <v>52</v>
      </c>
      <c r="C25" s="50">
        <v>54</v>
      </c>
      <c r="D25" s="50">
        <v>3</v>
      </c>
      <c r="E25" s="50">
        <v>6</v>
      </c>
      <c r="F25" s="50">
        <v>37</v>
      </c>
      <c r="G25" s="50">
        <v>1</v>
      </c>
      <c r="H25" s="50">
        <v>0</v>
      </c>
      <c r="I25" s="50">
        <v>9</v>
      </c>
      <c r="J25" s="50">
        <v>8</v>
      </c>
      <c r="K25" s="50">
        <v>7</v>
      </c>
      <c r="L25" s="50">
        <v>0</v>
      </c>
      <c r="M25" s="50">
        <v>245</v>
      </c>
      <c r="N25" s="50">
        <v>0</v>
      </c>
      <c r="O25" s="15">
        <f t="shared" si="0"/>
        <v>125</v>
      </c>
      <c r="P25" s="15">
        <f t="shared" si="1"/>
        <v>370</v>
      </c>
      <c r="R25" s="37" t="s">
        <v>85</v>
      </c>
      <c r="S25" s="35">
        <f t="shared" ref="S25:AF25" si="17">SUM(S10:S12)</f>
        <v>490</v>
      </c>
      <c r="T25" s="16">
        <f t="shared" si="17"/>
        <v>74</v>
      </c>
      <c r="U25" s="16">
        <f t="shared" si="17"/>
        <v>53</v>
      </c>
      <c r="V25" s="16">
        <f t="shared" si="17"/>
        <v>431</v>
      </c>
      <c r="W25" s="16">
        <f t="shared" si="17"/>
        <v>3</v>
      </c>
      <c r="X25" s="16">
        <f t="shared" si="17"/>
        <v>1</v>
      </c>
      <c r="Y25" s="16">
        <f t="shared" si="17"/>
        <v>81</v>
      </c>
      <c r="Z25" s="16">
        <f t="shared" si="17"/>
        <v>121</v>
      </c>
      <c r="AA25" s="16">
        <f t="shared" si="17"/>
        <v>17</v>
      </c>
      <c r="AB25" s="16">
        <f t="shared" si="17"/>
        <v>5</v>
      </c>
      <c r="AC25" s="16">
        <f t="shared" si="17"/>
        <v>2935</v>
      </c>
      <c r="AD25" s="16">
        <f t="shared" si="17"/>
        <v>0</v>
      </c>
      <c r="AE25" s="32">
        <f t="shared" si="17"/>
        <v>1276</v>
      </c>
      <c r="AF25" s="32">
        <f t="shared" si="17"/>
        <v>4211</v>
      </c>
    </row>
    <row r="26" spans="2:32" ht="23.1" customHeight="1" x14ac:dyDescent="0.25">
      <c r="B26" s="23" t="s">
        <v>53</v>
      </c>
      <c r="C26" s="50">
        <v>20</v>
      </c>
      <c r="D26" s="50">
        <v>4</v>
      </c>
      <c r="E26" s="50">
        <v>2</v>
      </c>
      <c r="F26" s="50">
        <v>28</v>
      </c>
      <c r="G26" s="50">
        <v>2</v>
      </c>
      <c r="H26" s="50">
        <v>1</v>
      </c>
      <c r="I26" s="50">
        <v>4</v>
      </c>
      <c r="J26" s="50">
        <v>8</v>
      </c>
      <c r="K26" s="50">
        <v>1</v>
      </c>
      <c r="L26" s="50">
        <v>0</v>
      </c>
      <c r="M26" s="50">
        <v>195</v>
      </c>
      <c r="N26" s="50">
        <v>0</v>
      </c>
      <c r="O26" s="15">
        <f t="shared" si="0"/>
        <v>70</v>
      </c>
      <c r="P26" s="15">
        <f t="shared" si="1"/>
        <v>265</v>
      </c>
      <c r="R26" s="28" t="s">
        <v>86</v>
      </c>
      <c r="S26" s="16">
        <f t="shared" ref="S26:AF26" si="18">SUM(S13:S18)</f>
        <v>1013</v>
      </c>
      <c r="T26" s="16">
        <f t="shared" si="18"/>
        <v>135</v>
      </c>
      <c r="U26" s="16">
        <f t="shared" si="18"/>
        <v>93</v>
      </c>
      <c r="V26" s="16">
        <f t="shared" si="18"/>
        <v>791</v>
      </c>
      <c r="W26" s="16">
        <f t="shared" si="18"/>
        <v>7</v>
      </c>
      <c r="X26" s="16">
        <f t="shared" si="18"/>
        <v>1</v>
      </c>
      <c r="Y26" s="16">
        <f t="shared" si="18"/>
        <v>165</v>
      </c>
      <c r="Z26" s="16">
        <f t="shared" si="18"/>
        <v>262</v>
      </c>
      <c r="AA26" s="16">
        <f t="shared" si="18"/>
        <v>72</v>
      </c>
      <c r="AB26" s="16">
        <f t="shared" si="18"/>
        <v>13</v>
      </c>
      <c r="AC26" s="16">
        <f t="shared" si="18"/>
        <v>5120</v>
      </c>
      <c r="AD26" s="16">
        <f t="shared" si="18"/>
        <v>0</v>
      </c>
      <c r="AE26" s="32">
        <f t="shared" si="18"/>
        <v>2552</v>
      </c>
      <c r="AF26" s="32">
        <f t="shared" si="18"/>
        <v>7672</v>
      </c>
    </row>
    <row r="27" spans="2:32" ht="23.1" customHeight="1" x14ac:dyDescent="0.25">
      <c r="B27" s="23" t="s">
        <v>54</v>
      </c>
      <c r="C27" s="50">
        <v>55</v>
      </c>
      <c r="D27" s="50">
        <v>5</v>
      </c>
      <c r="E27" s="50">
        <v>7</v>
      </c>
      <c r="F27" s="50">
        <v>29</v>
      </c>
      <c r="G27" s="50">
        <v>1</v>
      </c>
      <c r="H27" s="50">
        <v>0</v>
      </c>
      <c r="I27" s="50">
        <v>9</v>
      </c>
      <c r="J27" s="50">
        <v>25</v>
      </c>
      <c r="K27" s="50">
        <v>10</v>
      </c>
      <c r="L27" s="50">
        <v>0</v>
      </c>
      <c r="M27" s="50">
        <v>310</v>
      </c>
      <c r="N27" s="50">
        <v>0</v>
      </c>
      <c r="O27" s="15">
        <f t="shared" si="0"/>
        <v>141</v>
      </c>
      <c r="P27" s="15">
        <f t="shared" si="1"/>
        <v>451</v>
      </c>
      <c r="R27" s="29" t="s">
        <v>87</v>
      </c>
      <c r="S27" s="16">
        <f t="shared" ref="S27:AF27" si="19">SUM(S19:S21)</f>
        <v>455</v>
      </c>
      <c r="T27" s="16">
        <f t="shared" si="19"/>
        <v>85</v>
      </c>
      <c r="U27" s="16">
        <f t="shared" si="19"/>
        <v>53</v>
      </c>
      <c r="V27" s="16">
        <f t="shared" si="19"/>
        <v>377</v>
      </c>
      <c r="W27" s="16">
        <f t="shared" si="19"/>
        <v>45</v>
      </c>
      <c r="X27" s="16">
        <f t="shared" si="19"/>
        <v>6</v>
      </c>
      <c r="Y27" s="16">
        <f t="shared" si="19"/>
        <v>55</v>
      </c>
      <c r="Z27" s="16">
        <f t="shared" si="19"/>
        <v>146</v>
      </c>
      <c r="AA27" s="16">
        <f t="shared" si="19"/>
        <v>23</v>
      </c>
      <c r="AB27" s="16">
        <f t="shared" si="19"/>
        <v>4</v>
      </c>
      <c r="AC27" s="16">
        <f t="shared" si="19"/>
        <v>2340</v>
      </c>
      <c r="AD27" s="16">
        <f t="shared" si="19"/>
        <v>0</v>
      </c>
      <c r="AE27" s="32">
        <f t="shared" si="19"/>
        <v>1249</v>
      </c>
      <c r="AF27" s="32">
        <f t="shared" si="19"/>
        <v>3589</v>
      </c>
    </row>
    <row r="28" spans="2:32" ht="23.1" customHeight="1" x14ac:dyDescent="0.25">
      <c r="B28" s="23" t="s">
        <v>55</v>
      </c>
      <c r="C28" s="50">
        <v>52</v>
      </c>
      <c r="D28" s="50">
        <v>12</v>
      </c>
      <c r="E28" s="50">
        <v>5</v>
      </c>
      <c r="F28" s="50">
        <v>38</v>
      </c>
      <c r="G28" s="50">
        <v>1</v>
      </c>
      <c r="H28" s="50">
        <v>0</v>
      </c>
      <c r="I28" s="50">
        <v>7</v>
      </c>
      <c r="J28" s="50">
        <v>16</v>
      </c>
      <c r="K28" s="50">
        <v>0</v>
      </c>
      <c r="L28" s="50">
        <v>0</v>
      </c>
      <c r="M28" s="50">
        <v>250</v>
      </c>
      <c r="N28" s="50">
        <v>0</v>
      </c>
      <c r="O28" s="15">
        <f t="shared" si="0"/>
        <v>131</v>
      </c>
      <c r="P28" s="15">
        <f t="shared" si="1"/>
        <v>381</v>
      </c>
      <c r="R28" s="5" t="s">
        <v>17</v>
      </c>
      <c r="S28" s="16">
        <f t="shared" ref="S28:AF28" si="20">SUM(S10:S21)</f>
        <v>1958</v>
      </c>
      <c r="T28" s="16">
        <f t="shared" si="20"/>
        <v>294</v>
      </c>
      <c r="U28" s="16">
        <f t="shared" si="20"/>
        <v>199</v>
      </c>
      <c r="V28" s="16">
        <f t="shared" si="20"/>
        <v>1599</v>
      </c>
      <c r="W28" s="16">
        <f t="shared" si="20"/>
        <v>55</v>
      </c>
      <c r="X28" s="16">
        <f t="shared" si="20"/>
        <v>8</v>
      </c>
      <c r="Y28" s="16">
        <f t="shared" si="20"/>
        <v>301</v>
      </c>
      <c r="Z28" s="16">
        <f t="shared" si="20"/>
        <v>529</v>
      </c>
      <c r="AA28" s="16">
        <f t="shared" si="20"/>
        <v>112</v>
      </c>
      <c r="AB28" s="16">
        <f t="shared" si="20"/>
        <v>22</v>
      </c>
      <c r="AC28" s="16">
        <f t="shared" si="20"/>
        <v>10395</v>
      </c>
      <c r="AD28" s="16">
        <f t="shared" si="20"/>
        <v>0</v>
      </c>
      <c r="AE28" s="32">
        <f t="shared" si="20"/>
        <v>5077</v>
      </c>
      <c r="AF28" s="32">
        <f t="shared" si="20"/>
        <v>15472</v>
      </c>
    </row>
    <row r="29" spans="2:32" ht="23.1" customHeight="1" x14ac:dyDescent="0.25">
      <c r="B29" s="23" t="s">
        <v>56</v>
      </c>
      <c r="C29" s="50">
        <v>29</v>
      </c>
      <c r="D29" s="50">
        <v>3</v>
      </c>
      <c r="E29" s="50">
        <v>2</v>
      </c>
      <c r="F29" s="50">
        <v>38</v>
      </c>
      <c r="G29" s="50">
        <v>0</v>
      </c>
      <c r="H29" s="50">
        <v>0</v>
      </c>
      <c r="I29" s="50">
        <v>5</v>
      </c>
      <c r="J29" s="50">
        <v>5</v>
      </c>
      <c r="K29" s="50">
        <v>0</v>
      </c>
      <c r="L29" s="50">
        <v>0</v>
      </c>
      <c r="M29" s="50">
        <v>255</v>
      </c>
      <c r="N29" s="50">
        <v>0</v>
      </c>
      <c r="O29" s="15">
        <f t="shared" si="0"/>
        <v>82</v>
      </c>
      <c r="P29" s="15">
        <f t="shared" si="1"/>
        <v>337</v>
      </c>
      <c r="R29"/>
      <c r="S29" s="20"/>
      <c r="T29" s="19"/>
    </row>
    <row r="30" spans="2:32" ht="23.1" customHeight="1" x14ac:dyDescent="0.25">
      <c r="B30" s="23" t="s">
        <v>57</v>
      </c>
      <c r="C30" s="50">
        <v>49</v>
      </c>
      <c r="D30" s="50">
        <v>8</v>
      </c>
      <c r="E30" s="50">
        <v>3</v>
      </c>
      <c r="F30" s="50">
        <v>32</v>
      </c>
      <c r="G30" s="50">
        <v>0</v>
      </c>
      <c r="H30" s="50">
        <v>0</v>
      </c>
      <c r="I30" s="50">
        <v>9</v>
      </c>
      <c r="J30" s="50">
        <v>13</v>
      </c>
      <c r="K30" s="50">
        <v>3</v>
      </c>
      <c r="L30" s="50">
        <v>2</v>
      </c>
      <c r="M30" s="50">
        <v>165</v>
      </c>
      <c r="N30" s="50">
        <v>0</v>
      </c>
      <c r="O30" s="15">
        <f t="shared" si="0"/>
        <v>119</v>
      </c>
      <c r="P30" s="15">
        <f t="shared" si="1"/>
        <v>284</v>
      </c>
    </row>
    <row r="31" spans="2:32" ht="23.1" customHeight="1" x14ac:dyDescent="0.25">
      <c r="B31" s="24" t="s">
        <v>58</v>
      </c>
      <c r="C31" s="50">
        <v>59</v>
      </c>
      <c r="D31" s="50">
        <v>5</v>
      </c>
      <c r="E31" s="50">
        <v>4</v>
      </c>
      <c r="F31" s="50">
        <v>35</v>
      </c>
      <c r="G31" s="50">
        <v>0</v>
      </c>
      <c r="H31" s="50">
        <v>0</v>
      </c>
      <c r="I31" s="50">
        <v>8</v>
      </c>
      <c r="J31" s="50">
        <v>13</v>
      </c>
      <c r="K31" s="50">
        <v>2</v>
      </c>
      <c r="L31" s="50">
        <v>0</v>
      </c>
      <c r="M31" s="50">
        <v>235</v>
      </c>
      <c r="N31" s="50">
        <v>0</v>
      </c>
      <c r="O31" s="15">
        <f t="shared" si="0"/>
        <v>126</v>
      </c>
      <c r="P31" s="15">
        <f t="shared" si="1"/>
        <v>361</v>
      </c>
    </row>
    <row r="32" spans="2:32" ht="23.1" customHeight="1" x14ac:dyDescent="0.25">
      <c r="B32" s="24" t="s">
        <v>59</v>
      </c>
      <c r="C32" s="50">
        <v>37</v>
      </c>
      <c r="D32" s="50">
        <v>8</v>
      </c>
      <c r="E32" s="50">
        <v>3</v>
      </c>
      <c r="F32" s="50">
        <v>33</v>
      </c>
      <c r="G32" s="50">
        <v>0</v>
      </c>
      <c r="H32" s="50">
        <v>0</v>
      </c>
      <c r="I32" s="50">
        <v>7</v>
      </c>
      <c r="J32" s="50">
        <v>13</v>
      </c>
      <c r="K32" s="50">
        <v>3</v>
      </c>
      <c r="L32" s="50">
        <v>0</v>
      </c>
      <c r="M32" s="50">
        <v>235</v>
      </c>
      <c r="N32" s="50">
        <v>0</v>
      </c>
      <c r="O32" s="15">
        <f t="shared" si="0"/>
        <v>104</v>
      </c>
      <c r="P32" s="15">
        <f t="shared" si="1"/>
        <v>339</v>
      </c>
    </row>
    <row r="33" spans="2:20" ht="23.1" customHeight="1" x14ac:dyDescent="0.25">
      <c r="B33" s="23" t="s">
        <v>60</v>
      </c>
      <c r="C33" s="50">
        <v>32</v>
      </c>
      <c r="D33" s="50">
        <v>4</v>
      </c>
      <c r="E33" s="50">
        <v>6</v>
      </c>
      <c r="F33" s="50">
        <v>38</v>
      </c>
      <c r="G33" s="50">
        <v>0</v>
      </c>
      <c r="H33" s="50">
        <v>0</v>
      </c>
      <c r="I33" s="50">
        <v>3</v>
      </c>
      <c r="J33" s="50">
        <v>12</v>
      </c>
      <c r="K33" s="50">
        <v>1</v>
      </c>
      <c r="L33" s="50">
        <v>1</v>
      </c>
      <c r="M33" s="50">
        <v>150</v>
      </c>
      <c r="N33" s="50">
        <v>0</v>
      </c>
      <c r="O33" s="15">
        <f t="shared" si="0"/>
        <v>97</v>
      </c>
      <c r="P33" s="15">
        <f t="shared" si="1"/>
        <v>247</v>
      </c>
    </row>
    <row r="34" spans="2:20" ht="23.1" customHeight="1" x14ac:dyDescent="0.25">
      <c r="B34" s="24" t="s">
        <v>61</v>
      </c>
      <c r="C34" s="50">
        <v>30</v>
      </c>
      <c r="D34" s="50">
        <v>6</v>
      </c>
      <c r="E34" s="50">
        <v>1</v>
      </c>
      <c r="F34" s="50">
        <v>35</v>
      </c>
      <c r="G34" s="50">
        <v>1</v>
      </c>
      <c r="H34" s="50">
        <v>0</v>
      </c>
      <c r="I34" s="50">
        <v>2</v>
      </c>
      <c r="J34" s="50">
        <v>5</v>
      </c>
      <c r="K34" s="50">
        <v>7</v>
      </c>
      <c r="L34" s="50">
        <v>1</v>
      </c>
      <c r="M34" s="50">
        <v>225</v>
      </c>
      <c r="N34" s="50">
        <v>0</v>
      </c>
      <c r="O34" s="15">
        <f t="shared" si="0"/>
        <v>88</v>
      </c>
      <c r="P34" s="15">
        <f t="shared" si="1"/>
        <v>313</v>
      </c>
    </row>
    <row r="35" spans="2:20" ht="23.1" customHeight="1" x14ac:dyDescent="0.25">
      <c r="B35" s="24" t="s">
        <v>62</v>
      </c>
      <c r="C35" s="50">
        <v>31</v>
      </c>
      <c r="D35" s="50">
        <v>6</v>
      </c>
      <c r="E35" s="50">
        <v>4</v>
      </c>
      <c r="F35" s="50">
        <v>32</v>
      </c>
      <c r="G35" s="50">
        <v>0</v>
      </c>
      <c r="H35" s="50">
        <v>0</v>
      </c>
      <c r="I35" s="50">
        <v>8</v>
      </c>
      <c r="J35" s="50">
        <v>10</v>
      </c>
      <c r="K35" s="50">
        <v>2</v>
      </c>
      <c r="L35" s="50">
        <v>2</v>
      </c>
      <c r="M35" s="50">
        <v>220</v>
      </c>
      <c r="N35" s="50">
        <v>0</v>
      </c>
      <c r="O35" s="15">
        <f t="shared" si="0"/>
        <v>95</v>
      </c>
      <c r="P35" s="15">
        <f t="shared" si="1"/>
        <v>315</v>
      </c>
    </row>
    <row r="36" spans="2:20" ht="23.1" customHeight="1" x14ac:dyDescent="0.25">
      <c r="B36" s="24" t="s">
        <v>63</v>
      </c>
      <c r="C36" s="50">
        <v>21</v>
      </c>
      <c r="D36" s="50">
        <v>8</v>
      </c>
      <c r="E36" s="50">
        <v>2</v>
      </c>
      <c r="F36" s="50">
        <v>42</v>
      </c>
      <c r="G36" s="50">
        <v>0</v>
      </c>
      <c r="H36" s="50">
        <v>0</v>
      </c>
      <c r="I36" s="50">
        <v>26</v>
      </c>
      <c r="J36" s="50">
        <v>8</v>
      </c>
      <c r="K36" s="50">
        <v>0</v>
      </c>
      <c r="L36" s="50">
        <v>0</v>
      </c>
      <c r="M36" s="50">
        <v>220</v>
      </c>
      <c r="N36" s="50">
        <v>0</v>
      </c>
      <c r="O36" s="15">
        <f t="shared" si="0"/>
        <v>107</v>
      </c>
      <c r="P36" s="15">
        <f t="shared" si="1"/>
        <v>327</v>
      </c>
    </row>
    <row r="37" spans="2:20" ht="23.1" customHeight="1" x14ac:dyDescent="0.25">
      <c r="B37" s="23" t="s">
        <v>64</v>
      </c>
      <c r="C37" s="50">
        <v>28</v>
      </c>
      <c r="D37" s="50">
        <v>5</v>
      </c>
      <c r="E37" s="50">
        <v>3</v>
      </c>
      <c r="F37" s="50">
        <v>28</v>
      </c>
      <c r="G37" s="50">
        <v>0</v>
      </c>
      <c r="H37" s="50">
        <v>0</v>
      </c>
      <c r="I37" s="50">
        <v>5</v>
      </c>
      <c r="J37" s="50">
        <v>8</v>
      </c>
      <c r="K37" s="50">
        <v>2</v>
      </c>
      <c r="L37" s="50">
        <v>0</v>
      </c>
      <c r="M37" s="50">
        <v>120</v>
      </c>
      <c r="N37" s="50">
        <v>0</v>
      </c>
      <c r="O37" s="15">
        <f t="shared" si="0"/>
        <v>79</v>
      </c>
      <c r="P37" s="15">
        <f t="shared" si="1"/>
        <v>199</v>
      </c>
    </row>
    <row r="38" spans="2:20" ht="23.1" customHeight="1" x14ac:dyDescent="0.25">
      <c r="B38" s="24" t="s">
        <v>65</v>
      </c>
      <c r="C38" s="50">
        <v>32</v>
      </c>
      <c r="D38" s="50">
        <v>1</v>
      </c>
      <c r="E38" s="50">
        <v>2</v>
      </c>
      <c r="F38" s="50">
        <v>32</v>
      </c>
      <c r="G38" s="50">
        <v>0</v>
      </c>
      <c r="H38" s="50">
        <v>0</v>
      </c>
      <c r="I38" s="50">
        <v>4</v>
      </c>
      <c r="J38" s="50">
        <v>9</v>
      </c>
      <c r="K38" s="50">
        <v>3</v>
      </c>
      <c r="L38" s="50">
        <v>3</v>
      </c>
      <c r="M38" s="50">
        <v>170</v>
      </c>
      <c r="N38" s="50">
        <v>0</v>
      </c>
      <c r="O38" s="15">
        <f t="shared" si="0"/>
        <v>86</v>
      </c>
      <c r="P38" s="15">
        <f t="shared" si="1"/>
        <v>256</v>
      </c>
    </row>
    <row r="39" spans="2:20" ht="23.1" customHeight="1" x14ac:dyDescent="0.25">
      <c r="B39" s="24" t="s">
        <v>66</v>
      </c>
      <c r="C39" s="50">
        <v>47</v>
      </c>
      <c r="D39" s="50">
        <v>7</v>
      </c>
      <c r="E39" s="50">
        <v>2</v>
      </c>
      <c r="F39" s="50">
        <v>26</v>
      </c>
      <c r="G39" s="50">
        <v>0</v>
      </c>
      <c r="H39" s="50">
        <v>0</v>
      </c>
      <c r="I39" s="50">
        <v>6</v>
      </c>
      <c r="J39" s="50">
        <v>12</v>
      </c>
      <c r="K39" s="50">
        <v>4</v>
      </c>
      <c r="L39" s="50">
        <v>1</v>
      </c>
      <c r="M39" s="50">
        <v>245</v>
      </c>
      <c r="N39" s="50">
        <v>0</v>
      </c>
      <c r="O39" s="15">
        <f t="shared" si="0"/>
        <v>105</v>
      </c>
      <c r="P39" s="15">
        <f t="shared" si="1"/>
        <v>350</v>
      </c>
    </row>
    <row r="40" spans="2:20" ht="23.1" customHeight="1" x14ac:dyDescent="0.25">
      <c r="B40" s="24" t="s">
        <v>67</v>
      </c>
      <c r="C40" s="50">
        <v>46</v>
      </c>
      <c r="D40" s="50">
        <v>4</v>
      </c>
      <c r="E40" s="50">
        <v>5</v>
      </c>
      <c r="F40" s="50">
        <v>30</v>
      </c>
      <c r="G40" s="50">
        <v>1</v>
      </c>
      <c r="H40" s="50">
        <v>0</v>
      </c>
      <c r="I40" s="50">
        <v>6</v>
      </c>
      <c r="J40" s="50">
        <v>6</v>
      </c>
      <c r="K40" s="50">
        <v>7</v>
      </c>
      <c r="L40" s="50">
        <v>0</v>
      </c>
      <c r="M40" s="50">
        <v>200</v>
      </c>
      <c r="N40" s="50">
        <v>0</v>
      </c>
      <c r="O40" s="15">
        <f t="shared" si="0"/>
        <v>105</v>
      </c>
      <c r="P40" s="15">
        <f t="shared" si="1"/>
        <v>305</v>
      </c>
    </row>
    <row r="41" spans="2:20" ht="23.1" customHeight="1" x14ac:dyDescent="0.25">
      <c r="B41" s="23" t="s">
        <v>68</v>
      </c>
      <c r="C41" s="50">
        <v>48</v>
      </c>
      <c r="D41" s="50">
        <v>10</v>
      </c>
      <c r="E41" s="50">
        <v>5</v>
      </c>
      <c r="F41" s="50">
        <v>36</v>
      </c>
      <c r="G41" s="50">
        <v>0</v>
      </c>
      <c r="H41" s="50">
        <v>0</v>
      </c>
      <c r="I41" s="50">
        <v>3</v>
      </c>
      <c r="J41" s="50">
        <v>12</v>
      </c>
      <c r="K41" s="50">
        <v>3</v>
      </c>
      <c r="L41" s="50">
        <v>0</v>
      </c>
      <c r="M41" s="50">
        <v>210</v>
      </c>
      <c r="N41" s="50">
        <v>0</v>
      </c>
      <c r="O41" s="15">
        <f t="shared" si="0"/>
        <v>117</v>
      </c>
      <c r="P41" s="15">
        <f t="shared" si="1"/>
        <v>327</v>
      </c>
    </row>
    <row r="42" spans="2:20" ht="23.1" customHeight="1" x14ac:dyDescent="0.25">
      <c r="B42" s="24" t="s">
        <v>69</v>
      </c>
      <c r="C42" s="50">
        <v>48</v>
      </c>
      <c r="D42" s="50">
        <v>2</v>
      </c>
      <c r="E42" s="50">
        <v>7</v>
      </c>
      <c r="F42" s="50">
        <v>35</v>
      </c>
      <c r="G42" s="50">
        <v>0</v>
      </c>
      <c r="H42" s="50">
        <v>0</v>
      </c>
      <c r="I42" s="50">
        <v>7</v>
      </c>
      <c r="J42" s="50">
        <v>11</v>
      </c>
      <c r="K42" s="50">
        <v>0</v>
      </c>
      <c r="L42" s="50">
        <v>0</v>
      </c>
      <c r="M42" s="50">
        <v>190</v>
      </c>
      <c r="N42" s="50">
        <v>0</v>
      </c>
      <c r="O42" s="15">
        <f t="shared" si="0"/>
        <v>110</v>
      </c>
      <c r="P42" s="15">
        <f t="shared" si="1"/>
        <v>300</v>
      </c>
    </row>
    <row r="43" spans="2:20" ht="23.1" customHeight="1" x14ac:dyDescent="0.25">
      <c r="B43" s="23" t="s">
        <v>70</v>
      </c>
      <c r="C43" s="50">
        <v>52</v>
      </c>
      <c r="D43" s="50">
        <v>6</v>
      </c>
      <c r="E43" s="50">
        <v>1</v>
      </c>
      <c r="F43" s="50">
        <v>33</v>
      </c>
      <c r="G43" s="50">
        <v>0</v>
      </c>
      <c r="H43" s="50">
        <v>0</v>
      </c>
      <c r="I43" s="50">
        <v>4</v>
      </c>
      <c r="J43" s="50">
        <v>17</v>
      </c>
      <c r="K43" s="50">
        <v>0</v>
      </c>
      <c r="L43" s="50">
        <v>0</v>
      </c>
      <c r="M43" s="50">
        <v>195</v>
      </c>
      <c r="N43" s="50">
        <v>0</v>
      </c>
      <c r="O43" s="15">
        <f t="shared" si="0"/>
        <v>113</v>
      </c>
      <c r="P43" s="15">
        <f t="shared" si="1"/>
        <v>308</v>
      </c>
    </row>
    <row r="44" spans="2:20" ht="23.1" customHeight="1" x14ac:dyDescent="0.25">
      <c r="B44" s="25" t="s">
        <v>71</v>
      </c>
      <c r="C44" s="50">
        <v>43</v>
      </c>
      <c r="D44" s="50">
        <v>6</v>
      </c>
      <c r="E44" s="50">
        <v>4</v>
      </c>
      <c r="F44" s="50">
        <v>34</v>
      </c>
      <c r="G44" s="50">
        <v>0</v>
      </c>
      <c r="H44" s="50">
        <v>0</v>
      </c>
      <c r="I44" s="50">
        <v>8</v>
      </c>
      <c r="J44" s="50">
        <v>13</v>
      </c>
      <c r="K44" s="50">
        <v>12</v>
      </c>
      <c r="L44" s="50">
        <v>0</v>
      </c>
      <c r="M44" s="50">
        <v>190</v>
      </c>
      <c r="N44" s="50">
        <v>0</v>
      </c>
      <c r="O44" s="15">
        <f t="shared" si="0"/>
        <v>120</v>
      </c>
      <c r="P44" s="15">
        <f t="shared" si="1"/>
        <v>310</v>
      </c>
    </row>
    <row r="45" spans="2:20" ht="23.1" customHeight="1" x14ac:dyDescent="0.25">
      <c r="B45" s="23" t="s">
        <v>72</v>
      </c>
      <c r="C45" s="50">
        <v>42</v>
      </c>
      <c r="D45" s="50">
        <v>6</v>
      </c>
      <c r="E45" s="50">
        <v>3</v>
      </c>
      <c r="F45" s="50">
        <v>25</v>
      </c>
      <c r="G45" s="50">
        <v>0</v>
      </c>
      <c r="H45" s="50">
        <v>0</v>
      </c>
      <c r="I45" s="50">
        <v>8</v>
      </c>
      <c r="J45" s="50">
        <v>9</v>
      </c>
      <c r="K45" s="50">
        <v>2</v>
      </c>
      <c r="L45" s="50">
        <v>3</v>
      </c>
      <c r="M45" s="50">
        <v>225</v>
      </c>
      <c r="N45" s="50">
        <v>0</v>
      </c>
      <c r="O45" s="15">
        <f t="shared" si="0"/>
        <v>98</v>
      </c>
      <c r="P45" s="15">
        <f t="shared" si="1"/>
        <v>323</v>
      </c>
    </row>
    <row r="46" spans="2:20" ht="23.1" customHeight="1" x14ac:dyDescent="0.25">
      <c r="B46" s="24" t="s">
        <v>73</v>
      </c>
      <c r="C46" s="50">
        <v>45</v>
      </c>
      <c r="D46" s="50">
        <v>4</v>
      </c>
      <c r="E46" s="50">
        <v>9</v>
      </c>
      <c r="F46" s="50">
        <v>23</v>
      </c>
      <c r="G46" s="50">
        <v>1</v>
      </c>
      <c r="H46" s="50">
        <v>0</v>
      </c>
      <c r="I46" s="50">
        <v>7</v>
      </c>
      <c r="J46" s="50">
        <v>20</v>
      </c>
      <c r="K46" s="50">
        <v>2</v>
      </c>
      <c r="L46" s="50">
        <v>0</v>
      </c>
      <c r="M46" s="50">
        <v>140</v>
      </c>
      <c r="N46" s="50">
        <v>0</v>
      </c>
      <c r="O46" s="15">
        <f t="shared" si="0"/>
        <v>111</v>
      </c>
      <c r="P46" s="15">
        <f t="shared" si="1"/>
        <v>251</v>
      </c>
      <c r="R46" s="8"/>
      <c r="T46"/>
    </row>
    <row r="47" spans="2:20" ht="23.1" customHeight="1" x14ac:dyDescent="0.25">
      <c r="B47" s="24" t="s">
        <v>74</v>
      </c>
      <c r="C47" s="50">
        <v>53</v>
      </c>
      <c r="D47" s="50">
        <v>4</v>
      </c>
      <c r="E47" s="50">
        <v>2</v>
      </c>
      <c r="F47" s="50">
        <v>32</v>
      </c>
      <c r="G47" s="50">
        <v>0</v>
      </c>
      <c r="H47" s="50">
        <v>0</v>
      </c>
      <c r="I47" s="50">
        <v>4</v>
      </c>
      <c r="J47" s="50">
        <v>9</v>
      </c>
      <c r="K47" s="50">
        <v>1</v>
      </c>
      <c r="L47" s="50">
        <v>1</v>
      </c>
      <c r="M47" s="50">
        <v>170</v>
      </c>
      <c r="N47" s="50">
        <v>0</v>
      </c>
      <c r="O47" s="15">
        <f t="shared" si="0"/>
        <v>106</v>
      </c>
      <c r="P47" s="15">
        <f t="shared" si="1"/>
        <v>276</v>
      </c>
      <c r="R47" s="8"/>
      <c r="T47"/>
    </row>
    <row r="48" spans="2:20" ht="23.1" customHeight="1" x14ac:dyDescent="0.25">
      <c r="B48" s="24" t="s">
        <v>75</v>
      </c>
      <c r="C48" s="50">
        <v>35</v>
      </c>
      <c r="D48" s="50">
        <v>7</v>
      </c>
      <c r="E48" s="50">
        <v>3</v>
      </c>
      <c r="F48" s="50">
        <v>41</v>
      </c>
      <c r="G48" s="50">
        <v>1</v>
      </c>
      <c r="H48" s="50">
        <v>0</v>
      </c>
      <c r="I48" s="50">
        <v>5</v>
      </c>
      <c r="J48" s="50">
        <v>11</v>
      </c>
      <c r="K48" s="50">
        <v>4</v>
      </c>
      <c r="L48" s="50">
        <v>0</v>
      </c>
      <c r="M48" s="50">
        <v>140</v>
      </c>
      <c r="N48" s="50">
        <v>0</v>
      </c>
      <c r="O48" s="15">
        <f t="shared" si="0"/>
        <v>107</v>
      </c>
      <c r="P48" s="15">
        <f t="shared" si="1"/>
        <v>247</v>
      </c>
      <c r="R48" s="8"/>
      <c r="T48"/>
    </row>
    <row r="49" spans="2:20" ht="23.1" customHeight="1" x14ac:dyDescent="0.25">
      <c r="B49" s="23" t="s">
        <v>76</v>
      </c>
      <c r="C49" s="50">
        <v>46</v>
      </c>
      <c r="D49" s="50">
        <v>9</v>
      </c>
      <c r="E49" s="50">
        <v>3</v>
      </c>
      <c r="F49" s="50">
        <v>45</v>
      </c>
      <c r="G49" s="50">
        <v>3</v>
      </c>
      <c r="H49" s="50">
        <v>0</v>
      </c>
      <c r="I49" s="50">
        <v>7</v>
      </c>
      <c r="J49" s="50">
        <v>8</v>
      </c>
      <c r="K49" s="50">
        <v>2</v>
      </c>
      <c r="L49" s="50">
        <v>0</v>
      </c>
      <c r="M49" s="50">
        <v>190</v>
      </c>
      <c r="N49" s="50">
        <v>0</v>
      </c>
      <c r="O49" s="15">
        <f t="shared" si="0"/>
        <v>123</v>
      </c>
      <c r="P49" s="15">
        <f t="shared" si="1"/>
        <v>313</v>
      </c>
      <c r="R49" s="8"/>
      <c r="T49"/>
    </row>
    <row r="50" spans="2:20" ht="23.1" customHeight="1" x14ac:dyDescent="0.25">
      <c r="B50" s="24" t="s">
        <v>77</v>
      </c>
      <c r="C50" s="50">
        <v>44</v>
      </c>
      <c r="D50" s="50">
        <v>9</v>
      </c>
      <c r="E50" s="50">
        <v>2</v>
      </c>
      <c r="F50" s="50">
        <v>56</v>
      </c>
      <c r="G50" s="50">
        <v>0</v>
      </c>
      <c r="H50" s="50">
        <v>0</v>
      </c>
      <c r="I50" s="50">
        <v>3</v>
      </c>
      <c r="J50" s="50">
        <v>8</v>
      </c>
      <c r="K50" s="50">
        <v>1</v>
      </c>
      <c r="L50" s="50">
        <v>0</v>
      </c>
      <c r="M50" s="50">
        <v>160</v>
      </c>
      <c r="N50" s="50">
        <v>0</v>
      </c>
      <c r="O50" s="15">
        <f t="shared" si="0"/>
        <v>123</v>
      </c>
      <c r="P50" s="15">
        <f t="shared" si="1"/>
        <v>283</v>
      </c>
      <c r="R50" s="8"/>
      <c r="T50"/>
    </row>
    <row r="51" spans="2:20" ht="23.1" customHeight="1" x14ac:dyDescent="0.25">
      <c r="B51" s="24" t="s">
        <v>78</v>
      </c>
      <c r="C51" s="50">
        <v>42</v>
      </c>
      <c r="D51" s="50">
        <v>2</v>
      </c>
      <c r="E51" s="50">
        <v>4</v>
      </c>
      <c r="F51" s="50">
        <v>19</v>
      </c>
      <c r="G51" s="50">
        <v>0</v>
      </c>
      <c r="H51" s="50">
        <v>1</v>
      </c>
      <c r="I51" s="50">
        <v>1</v>
      </c>
      <c r="J51" s="50">
        <v>15</v>
      </c>
      <c r="K51" s="50">
        <v>1</v>
      </c>
      <c r="L51" s="50">
        <v>1</v>
      </c>
      <c r="M51" s="50">
        <v>190</v>
      </c>
      <c r="N51" s="50">
        <v>0</v>
      </c>
      <c r="O51" s="15">
        <f t="shared" si="0"/>
        <v>86</v>
      </c>
      <c r="P51" s="15">
        <f t="shared" si="1"/>
        <v>276</v>
      </c>
      <c r="R51" s="8"/>
      <c r="T51"/>
    </row>
    <row r="52" spans="2:20" ht="23.1" customHeight="1" x14ac:dyDescent="0.25">
      <c r="B52" s="24" t="s">
        <v>79</v>
      </c>
      <c r="C52" s="50">
        <v>39</v>
      </c>
      <c r="D52" s="50">
        <v>4</v>
      </c>
      <c r="E52" s="50">
        <v>6</v>
      </c>
      <c r="F52" s="50">
        <v>32</v>
      </c>
      <c r="G52" s="50">
        <v>3</v>
      </c>
      <c r="H52" s="50">
        <v>1</v>
      </c>
      <c r="I52" s="50">
        <v>4</v>
      </c>
      <c r="J52" s="50">
        <v>19</v>
      </c>
      <c r="K52" s="50">
        <v>3</v>
      </c>
      <c r="L52" s="50">
        <v>0</v>
      </c>
      <c r="M52" s="50">
        <v>175</v>
      </c>
      <c r="N52" s="50">
        <v>0</v>
      </c>
      <c r="O52" s="15">
        <f t="shared" si="0"/>
        <v>111</v>
      </c>
      <c r="P52" s="15">
        <f t="shared" si="1"/>
        <v>286</v>
      </c>
      <c r="R52" s="8"/>
      <c r="T52"/>
    </row>
    <row r="53" spans="2:20" ht="23.1" customHeight="1" x14ac:dyDescent="0.25">
      <c r="B53" s="23" t="s">
        <v>80</v>
      </c>
      <c r="C53" s="50">
        <v>40</v>
      </c>
      <c r="D53" s="50">
        <v>4</v>
      </c>
      <c r="E53" s="50">
        <v>5</v>
      </c>
      <c r="F53" s="50">
        <v>31</v>
      </c>
      <c r="G53" s="50">
        <v>1</v>
      </c>
      <c r="H53" s="50">
        <v>1</v>
      </c>
      <c r="I53" s="50">
        <v>8</v>
      </c>
      <c r="J53" s="50">
        <v>15</v>
      </c>
      <c r="K53" s="50">
        <v>3</v>
      </c>
      <c r="L53" s="50">
        <v>0</v>
      </c>
      <c r="M53" s="50">
        <v>220</v>
      </c>
      <c r="N53" s="50">
        <v>0</v>
      </c>
      <c r="O53" s="15">
        <f t="shared" si="0"/>
        <v>108</v>
      </c>
      <c r="P53" s="15">
        <f t="shared" si="1"/>
        <v>328</v>
      </c>
      <c r="R53" s="8"/>
      <c r="T53"/>
    </row>
    <row r="54" spans="2:20" ht="23.1" customHeight="1" x14ac:dyDescent="0.25">
      <c r="B54" s="23" t="s">
        <v>81</v>
      </c>
      <c r="C54" s="50">
        <v>27</v>
      </c>
      <c r="D54" s="50">
        <v>4</v>
      </c>
      <c r="E54" s="50">
        <v>1</v>
      </c>
      <c r="F54" s="50">
        <v>22</v>
      </c>
      <c r="G54" s="50">
        <v>2</v>
      </c>
      <c r="H54" s="50">
        <v>2</v>
      </c>
      <c r="I54" s="50">
        <v>4</v>
      </c>
      <c r="J54" s="50">
        <v>10</v>
      </c>
      <c r="K54" s="50">
        <v>1</v>
      </c>
      <c r="L54" s="50">
        <v>0</v>
      </c>
      <c r="M54" s="50">
        <v>235</v>
      </c>
      <c r="N54" s="50">
        <v>0</v>
      </c>
      <c r="O54" s="15">
        <f t="shared" si="0"/>
        <v>73</v>
      </c>
      <c r="P54" s="15">
        <f t="shared" si="1"/>
        <v>308</v>
      </c>
      <c r="R54" s="8"/>
      <c r="T54"/>
    </row>
    <row r="55" spans="2:20" ht="23.1" customHeight="1" x14ac:dyDescent="0.25">
      <c r="B55" s="23" t="s">
        <v>82</v>
      </c>
      <c r="C55" s="50">
        <v>30</v>
      </c>
      <c r="D55" s="50">
        <v>3</v>
      </c>
      <c r="E55" s="50">
        <v>5</v>
      </c>
      <c r="F55" s="50">
        <v>25</v>
      </c>
      <c r="G55" s="50">
        <v>0</v>
      </c>
      <c r="H55" s="50">
        <v>0</v>
      </c>
      <c r="I55" s="50">
        <v>4</v>
      </c>
      <c r="J55" s="50">
        <v>10</v>
      </c>
      <c r="K55" s="50">
        <v>2</v>
      </c>
      <c r="L55" s="50">
        <v>1</v>
      </c>
      <c r="M55" s="50">
        <v>250</v>
      </c>
      <c r="N55" s="50">
        <v>0</v>
      </c>
      <c r="O55" s="15">
        <f t="shared" si="0"/>
        <v>80</v>
      </c>
      <c r="P55" s="15">
        <f t="shared" si="1"/>
        <v>330</v>
      </c>
      <c r="R55" s="8"/>
      <c r="T55"/>
    </row>
    <row r="56" spans="2:20" ht="23.1" customHeight="1" x14ac:dyDescent="0.25">
      <c r="B56" s="23" t="s">
        <v>83</v>
      </c>
      <c r="C56" s="50">
        <v>54</v>
      </c>
      <c r="D56" s="50">
        <v>7</v>
      </c>
      <c r="E56" s="50">
        <v>7</v>
      </c>
      <c r="F56" s="50">
        <v>48</v>
      </c>
      <c r="G56" s="50">
        <v>1</v>
      </c>
      <c r="H56" s="50">
        <v>0</v>
      </c>
      <c r="I56" s="50">
        <v>5</v>
      </c>
      <c r="J56" s="50">
        <v>14</v>
      </c>
      <c r="K56" s="50">
        <v>1</v>
      </c>
      <c r="L56" s="50">
        <v>1</v>
      </c>
      <c r="M56" s="50">
        <v>245</v>
      </c>
      <c r="N56" s="50">
        <v>0</v>
      </c>
      <c r="O56" s="15">
        <f t="shared" si="0"/>
        <v>138</v>
      </c>
      <c r="P56" s="15">
        <f t="shared" si="1"/>
        <v>383</v>
      </c>
      <c r="R56" s="8"/>
      <c r="T56"/>
    </row>
    <row r="57" spans="2:20" ht="23.1" customHeight="1" x14ac:dyDescent="0.25">
      <c r="B57" s="23" t="s">
        <v>84</v>
      </c>
      <c r="C57" s="50">
        <v>0</v>
      </c>
      <c r="D57" s="50">
        <v>28</v>
      </c>
      <c r="E57" s="50">
        <v>6</v>
      </c>
      <c r="F57" s="50">
        <v>3</v>
      </c>
      <c r="G57" s="50">
        <v>33</v>
      </c>
      <c r="H57" s="50">
        <v>1</v>
      </c>
      <c r="I57" s="50">
        <v>3</v>
      </c>
      <c r="J57" s="50">
        <v>7</v>
      </c>
      <c r="K57" s="50">
        <v>2</v>
      </c>
      <c r="L57" s="50">
        <v>0</v>
      </c>
      <c r="M57" s="50">
        <v>225</v>
      </c>
      <c r="N57" s="50">
        <v>0</v>
      </c>
      <c r="O57" s="15">
        <f t="shared" si="0"/>
        <v>83</v>
      </c>
      <c r="P57" s="15">
        <f t="shared" si="1"/>
        <v>308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1958</v>
      </c>
      <c r="D58" s="16">
        <f t="shared" si="21"/>
        <v>294</v>
      </c>
      <c r="E58" s="16">
        <f t="shared" si="21"/>
        <v>199</v>
      </c>
      <c r="F58" s="16">
        <f t="shared" si="21"/>
        <v>1599</v>
      </c>
      <c r="G58" s="16">
        <f t="shared" si="21"/>
        <v>55</v>
      </c>
      <c r="H58" s="16">
        <f t="shared" si="21"/>
        <v>8</v>
      </c>
      <c r="I58" s="16">
        <f t="shared" si="21"/>
        <v>301</v>
      </c>
      <c r="J58" s="16">
        <f t="shared" si="21"/>
        <v>529</v>
      </c>
      <c r="K58" s="16">
        <f t="shared" si="21"/>
        <v>112</v>
      </c>
      <c r="L58" s="16">
        <f t="shared" si="21"/>
        <v>22</v>
      </c>
      <c r="M58" s="16">
        <f t="shared" si="21"/>
        <v>10395</v>
      </c>
      <c r="N58" s="16">
        <f t="shared" si="21"/>
        <v>0</v>
      </c>
      <c r="O58" s="16">
        <f t="shared" si="21"/>
        <v>5077</v>
      </c>
      <c r="P58" s="16">
        <f t="shared" si="21"/>
        <v>15472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0.1265511892450879</v>
      </c>
      <c r="D59" s="43">
        <f t="shared" si="22"/>
        <v>1.9002068252326785E-2</v>
      </c>
      <c r="E59" s="43">
        <f t="shared" si="22"/>
        <v>1.2861944157187177E-2</v>
      </c>
      <c r="F59" s="43">
        <f t="shared" si="22"/>
        <v>0.10334798345398138</v>
      </c>
      <c r="G59" s="43">
        <f t="shared" si="22"/>
        <v>3.5548086866597725E-3</v>
      </c>
      <c r="H59" s="43">
        <f t="shared" si="22"/>
        <v>5.1706308169596695E-4</v>
      </c>
      <c r="I59" s="43">
        <f t="shared" si="22"/>
        <v>1.9454498448810757E-2</v>
      </c>
      <c r="J59" s="43">
        <f t="shared" si="22"/>
        <v>3.4190796277145809E-2</v>
      </c>
      <c r="K59" s="43">
        <f t="shared" si="22"/>
        <v>7.2388831437435368E-3</v>
      </c>
      <c r="L59" s="43">
        <f t="shared" si="22"/>
        <v>1.4219234746639089E-3</v>
      </c>
      <c r="M59" s="43">
        <f t="shared" si="22"/>
        <v>0.67185884177869704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0.38566082332085877</v>
      </c>
      <c r="D60" s="44">
        <f t="shared" ref="D60:N60" si="23">D58/$O$58</f>
        <v>5.7908213511916488E-2</v>
      </c>
      <c r="E60" s="44">
        <f t="shared" si="23"/>
        <v>3.9196375812487687E-2</v>
      </c>
      <c r="F60" s="44">
        <f t="shared" si="23"/>
        <v>0.31494977348828046</v>
      </c>
      <c r="G60" s="44">
        <f t="shared" si="23"/>
        <v>1.0833169194406146E-2</v>
      </c>
      <c r="H60" s="44">
        <f t="shared" si="23"/>
        <v>1.5757337010045302E-3</v>
      </c>
      <c r="I60" s="44">
        <f t="shared" si="23"/>
        <v>5.9286980500295447E-2</v>
      </c>
      <c r="J60" s="44">
        <f t="shared" si="23"/>
        <v>0.10419539097892457</v>
      </c>
      <c r="K60" s="44">
        <f t="shared" si="23"/>
        <v>2.2060271814063424E-2</v>
      </c>
      <c r="L60" s="44">
        <f t="shared" si="23"/>
        <v>4.3332676777624582E-3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K5" activeCellId="8" sqref="K5:L5 D6:E6 D6:E6 D5 C3:G3 G6:H6 G5:H5 K6:L6 K5:L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8" t="s">
        <v>23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</row>
    <row r="2" spans="2:32" ht="20.100000000000001" customHeight="1" x14ac:dyDescent="0.25">
      <c r="B2" s="59" t="s">
        <v>95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</row>
    <row r="3" spans="2:32" ht="20.100000000000001" customHeight="1" x14ac:dyDescent="0.25">
      <c r="B3" s="22" t="s">
        <v>96</v>
      </c>
      <c r="C3" s="63" t="str">
        <f>'22.07 Nateete-Ndeeba'!C3:G3</f>
        <v>MCC - C1 - STN07 - MASAKA ROAD</v>
      </c>
      <c r="D3" s="63"/>
      <c r="E3" s="63"/>
      <c r="F3" s="63"/>
      <c r="G3" s="63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51" t="s">
        <v>163</v>
      </c>
      <c r="E5" s="3"/>
      <c r="F5" s="41" t="s">
        <v>1</v>
      </c>
      <c r="G5" s="64" t="str">
        <f>'22.07 Nateete-Ndeeba'!G5:H5</f>
        <v>Rhino Funeral Services</v>
      </c>
      <c r="H5" s="65"/>
      <c r="I5" s="14"/>
      <c r="J5" s="2" t="s">
        <v>5</v>
      </c>
      <c r="K5" s="64" t="s">
        <v>180</v>
      </c>
      <c r="L5" s="65"/>
      <c r="M5" s="10"/>
      <c r="N5" s="10"/>
      <c r="O5" s="3"/>
      <c r="P5" s="3"/>
    </row>
    <row r="6" spans="2:32" ht="23.25" customHeight="1" x14ac:dyDescent="0.25">
      <c r="C6" s="2" t="s">
        <v>4</v>
      </c>
      <c r="D6" s="64" t="str">
        <f>'22.07 Nateete-Ndeeba'!D6:E6</f>
        <v>Nateete</v>
      </c>
      <c r="E6" s="65"/>
      <c r="F6" s="2" t="s">
        <v>2</v>
      </c>
      <c r="G6" s="64" t="str">
        <f>'22.07 Nateete-Ndeeba'!G6:H6</f>
        <v>Ndeeba</v>
      </c>
      <c r="H6" s="65"/>
      <c r="J6" s="2" t="s">
        <v>21</v>
      </c>
      <c r="K6" s="64" t="str">
        <f>'22.07 Nateete-Ndeeba'!K6:L6</f>
        <v>Felix</v>
      </c>
      <c r="L6" s="65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7" t="s">
        <v>88</v>
      </c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38</v>
      </c>
      <c r="D10" s="50">
        <v>3</v>
      </c>
      <c r="E10" s="50">
        <v>2</v>
      </c>
      <c r="F10" s="50">
        <v>18</v>
      </c>
      <c r="G10" s="50">
        <v>0</v>
      </c>
      <c r="H10" s="50">
        <v>0</v>
      </c>
      <c r="I10" s="50">
        <v>13</v>
      </c>
      <c r="J10" s="50">
        <v>2</v>
      </c>
      <c r="K10" s="50">
        <v>1</v>
      </c>
      <c r="L10" s="50">
        <v>1</v>
      </c>
      <c r="M10" s="50">
        <v>65</v>
      </c>
      <c r="N10" s="50">
        <v>0</v>
      </c>
      <c r="O10" s="15">
        <f t="shared" ref="O10:O57" si="0">SUM(C10:L10,N10)</f>
        <v>78</v>
      </c>
      <c r="P10" s="15">
        <f t="shared" ref="P10:P57" si="1">SUM(C10:N10)</f>
        <v>143</v>
      </c>
      <c r="R10" s="1" t="s">
        <v>6</v>
      </c>
      <c r="S10" s="17">
        <f t="shared" ref="S10:AF10" si="2">SUM(C10:C13)</f>
        <v>186</v>
      </c>
      <c r="T10" s="17">
        <f t="shared" si="2"/>
        <v>13</v>
      </c>
      <c r="U10" s="17">
        <f t="shared" si="2"/>
        <v>15</v>
      </c>
      <c r="V10" s="17">
        <f t="shared" si="2"/>
        <v>117</v>
      </c>
      <c r="W10" s="17">
        <f t="shared" si="2"/>
        <v>1</v>
      </c>
      <c r="X10" s="17">
        <f t="shared" si="2"/>
        <v>1</v>
      </c>
      <c r="Y10" s="17">
        <f t="shared" si="2"/>
        <v>34</v>
      </c>
      <c r="Z10" s="17">
        <f t="shared" si="2"/>
        <v>45</v>
      </c>
      <c r="AA10" s="17">
        <f t="shared" si="2"/>
        <v>3</v>
      </c>
      <c r="AB10" s="17">
        <f t="shared" si="2"/>
        <v>5</v>
      </c>
      <c r="AC10" s="17">
        <f t="shared" si="2"/>
        <v>415</v>
      </c>
      <c r="AD10" s="17">
        <f t="shared" si="2"/>
        <v>0</v>
      </c>
      <c r="AE10" s="31">
        <f t="shared" si="2"/>
        <v>420</v>
      </c>
      <c r="AF10" s="31">
        <f t="shared" si="2"/>
        <v>835</v>
      </c>
    </row>
    <row r="11" spans="2:32" s="6" customFormat="1" ht="23.1" customHeight="1" x14ac:dyDescent="0.25">
      <c r="B11" s="23" t="s">
        <v>38</v>
      </c>
      <c r="C11" s="50">
        <v>56</v>
      </c>
      <c r="D11" s="50">
        <v>3</v>
      </c>
      <c r="E11" s="50">
        <v>3</v>
      </c>
      <c r="F11" s="50">
        <v>31</v>
      </c>
      <c r="G11" s="50">
        <v>1</v>
      </c>
      <c r="H11" s="50">
        <v>1</v>
      </c>
      <c r="I11" s="50">
        <v>10</v>
      </c>
      <c r="J11" s="50">
        <v>15</v>
      </c>
      <c r="K11" s="50">
        <v>1</v>
      </c>
      <c r="L11" s="50">
        <v>2</v>
      </c>
      <c r="M11" s="50">
        <v>110</v>
      </c>
      <c r="N11" s="50">
        <v>0</v>
      </c>
      <c r="O11" s="15">
        <f t="shared" si="0"/>
        <v>123</v>
      </c>
      <c r="P11" s="15">
        <f t="shared" si="1"/>
        <v>233</v>
      </c>
      <c r="R11" s="1" t="s">
        <v>7</v>
      </c>
      <c r="S11" s="17">
        <f t="shared" ref="S11:AF11" si="3">SUM(C14:C17)</f>
        <v>238</v>
      </c>
      <c r="T11" s="17">
        <f t="shared" si="3"/>
        <v>15</v>
      </c>
      <c r="U11" s="17">
        <f t="shared" si="3"/>
        <v>8</v>
      </c>
      <c r="V11" s="17">
        <f t="shared" si="3"/>
        <v>227</v>
      </c>
      <c r="W11" s="17">
        <f t="shared" si="3"/>
        <v>4</v>
      </c>
      <c r="X11" s="17">
        <f t="shared" si="3"/>
        <v>3</v>
      </c>
      <c r="Y11" s="17">
        <f t="shared" si="3"/>
        <v>49</v>
      </c>
      <c r="Z11" s="17">
        <f t="shared" si="3"/>
        <v>79</v>
      </c>
      <c r="AA11" s="17">
        <f t="shared" si="3"/>
        <v>6</v>
      </c>
      <c r="AB11" s="17">
        <f t="shared" si="3"/>
        <v>26</v>
      </c>
      <c r="AC11" s="17">
        <f t="shared" si="3"/>
        <v>710</v>
      </c>
      <c r="AD11" s="17">
        <f t="shared" si="3"/>
        <v>1</v>
      </c>
      <c r="AE11" s="31">
        <f t="shared" si="3"/>
        <v>656</v>
      </c>
      <c r="AF11" s="31">
        <f t="shared" si="3"/>
        <v>1366</v>
      </c>
    </row>
    <row r="12" spans="2:32" ht="23.1" customHeight="1" x14ac:dyDescent="0.25">
      <c r="B12" s="23" t="s">
        <v>39</v>
      </c>
      <c r="C12" s="50">
        <v>46</v>
      </c>
      <c r="D12" s="50">
        <v>5</v>
      </c>
      <c r="E12" s="50">
        <v>5</v>
      </c>
      <c r="F12" s="50">
        <v>28</v>
      </c>
      <c r="G12" s="50">
        <v>0</v>
      </c>
      <c r="H12" s="50">
        <v>0</v>
      </c>
      <c r="I12" s="50">
        <v>6</v>
      </c>
      <c r="J12" s="50">
        <v>13</v>
      </c>
      <c r="K12" s="50">
        <v>1</v>
      </c>
      <c r="L12" s="50">
        <v>0</v>
      </c>
      <c r="M12" s="50">
        <v>135</v>
      </c>
      <c r="N12" s="50">
        <v>0</v>
      </c>
      <c r="O12" s="15">
        <f t="shared" si="0"/>
        <v>104</v>
      </c>
      <c r="P12" s="15">
        <f t="shared" si="1"/>
        <v>239</v>
      </c>
      <c r="R12" s="1" t="s">
        <v>8</v>
      </c>
      <c r="S12" s="17">
        <f t="shared" ref="S12:AF12" si="4">SUM(C18:C21)</f>
        <v>197</v>
      </c>
      <c r="T12" s="17">
        <f t="shared" si="4"/>
        <v>27</v>
      </c>
      <c r="U12" s="17">
        <f t="shared" si="4"/>
        <v>21</v>
      </c>
      <c r="V12" s="17">
        <f t="shared" si="4"/>
        <v>139</v>
      </c>
      <c r="W12" s="17">
        <f t="shared" si="4"/>
        <v>2</v>
      </c>
      <c r="X12" s="17">
        <f t="shared" si="4"/>
        <v>1</v>
      </c>
      <c r="Y12" s="17">
        <f t="shared" si="4"/>
        <v>27</v>
      </c>
      <c r="Z12" s="17">
        <f t="shared" si="4"/>
        <v>68</v>
      </c>
      <c r="AA12" s="17">
        <f t="shared" si="4"/>
        <v>5</v>
      </c>
      <c r="AB12" s="17">
        <f t="shared" si="4"/>
        <v>2</v>
      </c>
      <c r="AC12" s="17">
        <f t="shared" si="4"/>
        <v>720</v>
      </c>
      <c r="AD12" s="17">
        <f t="shared" si="4"/>
        <v>0</v>
      </c>
      <c r="AE12" s="31">
        <f t="shared" si="4"/>
        <v>489</v>
      </c>
      <c r="AF12" s="31">
        <f t="shared" si="4"/>
        <v>1209</v>
      </c>
    </row>
    <row r="13" spans="2:32" ht="23.1" customHeight="1" x14ac:dyDescent="0.25">
      <c r="B13" s="23" t="s">
        <v>40</v>
      </c>
      <c r="C13" s="50">
        <v>46</v>
      </c>
      <c r="D13" s="50">
        <v>2</v>
      </c>
      <c r="E13" s="50">
        <v>5</v>
      </c>
      <c r="F13" s="50">
        <v>40</v>
      </c>
      <c r="G13" s="50">
        <v>0</v>
      </c>
      <c r="H13" s="50">
        <v>0</v>
      </c>
      <c r="I13" s="50">
        <v>5</v>
      </c>
      <c r="J13" s="50">
        <v>15</v>
      </c>
      <c r="K13" s="50">
        <v>0</v>
      </c>
      <c r="L13" s="50">
        <v>2</v>
      </c>
      <c r="M13" s="50">
        <v>105</v>
      </c>
      <c r="N13" s="50">
        <v>0</v>
      </c>
      <c r="O13" s="15">
        <f t="shared" si="0"/>
        <v>115</v>
      </c>
      <c r="P13" s="15">
        <f t="shared" si="1"/>
        <v>220</v>
      </c>
      <c r="R13" s="1" t="s">
        <v>9</v>
      </c>
      <c r="S13" s="17">
        <f t="shared" ref="S13:AF13" si="5">SUM(C22:C25)</f>
        <v>205</v>
      </c>
      <c r="T13" s="17">
        <f t="shared" si="5"/>
        <v>19</v>
      </c>
      <c r="U13" s="17">
        <f t="shared" si="5"/>
        <v>22</v>
      </c>
      <c r="V13" s="17">
        <f t="shared" si="5"/>
        <v>134</v>
      </c>
      <c r="W13" s="17">
        <f t="shared" si="5"/>
        <v>2</v>
      </c>
      <c r="X13" s="17">
        <f t="shared" si="5"/>
        <v>2</v>
      </c>
      <c r="Y13" s="17">
        <f t="shared" si="5"/>
        <v>28</v>
      </c>
      <c r="Z13" s="17">
        <f t="shared" si="5"/>
        <v>67</v>
      </c>
      <c r="AA13" s="17">
        <f t="shared" si="5"/>
        <v>10</v>
      </c>
      <c r="AB13" s="17">
        <f t="shared" si="5"/>
        <v>5</v>
      </c>
      <c r="AC13" s="17">
        <f t="shared" si="5"/>
        <v>775</v>
      </c>
      <c r="AD13" s="17">
        <f t="shared" si="5"/>
        <v>0</v>
      </c>
      <c r="AE13" s="31">
        <f t="shared" si="5"/>
        <v>494</v>
      </c>
      <c r="AF13" s="31">
        <f t="shared" si="5"/>
        <v>1269</v>
      </c>
    </row>
    <row r="14" spans="2:32" ht="23.1" customHeight="1" x14ac:dyDescent="0.25">
      <c r="B14" s="23" t="s">
        <v>41</v>
      </c>
      <c r="C14" s="50">
        <v>62</v>
      </c>
      <c r="D14" s="50">
        <v>4</v>
      </c>
      <c r="E14" s="50">
        <v>3</v>
      </c>
      <c r="F14" s="50">
        <v>27</v>
      </c>
      <c r="G14" s="50">
        <v>1</v>
      </c>
      <c r="H14" s="50">
        <v>0</v>
      </c>
      <c r="I14" s="50">
        <v>9</v>
      </c>
      <c r="J14" s="50">
        <v>17</v>
      </c>
      <c r="K14" s="50">
        <v>0</v>
      </c>
      <c r="L14" s="50">
        <v>3</v>
      </c>
      <c r="M14" s="50">
        <v>150</v>
      </c>
      <c r="N14" s="50">
        <v>0</v>
      </c>
      <c r="O14" s="15">
        <f t="shared" si="0"/>
        <v>126</v>
      </c>
      <c r="P14" s="15">
        <f t="shared" si="1"/>
        <v>276</v>
      </c>
      <c r="R14" s="1" t="s">
        <v>10</v>
      </c>
      <c r="S14" s="17">
        <f t="shared" ref="S14:AF14" si="6">SUM(C26:C29)</f>
        <v>204</v>
      </c>
      <c r="T14" s="17">
        <f t="shared" si="6"/>
        <v>25</v>
      </c>
      <c r="U14" s="17">
        <f t="shared" si="6"/>
        <v>15</v>
      </c>
      <c r="V14" s="17">
        <f t="shared" si="6"/>
        <v>127</v>
      </c>
      <c r="W14" s="17">
        <f t="shared" si="6"/>
        <v>3</v>
      </c>
      <c r="X14" s="17">
        <f t="shared" si="6"/>
        <v>2</v>
      </c>
      <c r="Y14" s="17">
        <f t="shared" si="6"/>
        <v>26</v>
      </c>
      <c r="Z14" s="17">
        <f t="shared" si="6"/>
        <v>70</v>
      </c>
      <c r="AA14" s="17">
        <f t="shared" si="6"/>
        <v>13</v>
      </c>
      <c r="AB14" s="17">
        <f t="shared" si="6"/>
        <v>9</v>
      </c>
      <c r="AC14" s="17">
        <f t="shared" si="6"/>
        <v>735</v>
      </c>
      <c r="AD14" s="17">
        <f t="shared" si="6"/>
        <v>0</v>
      </c>
      <c r="AE14" s="31">
        <f t="shared" si="6"/>
        <v>494</v>
      </c>
      <c r="AF14" s="31">
        <f t="shared" si="6"/>
        <v>1229</v>
      </c>
    </row>
    <row r="15" spans="2:32" ht="23.1" customHeight="1" x14ac:dyDescent="0.25">
      <c r="B15" s="23" t="s">
        <v>42</v>
      </c>
      <c r="C15" s="50">
        <v>64</v>
      </c>
      <c r="D15" s="50">
        <v>1</v>
      </c>
      <c r="E15" s="50">
        <v>2</v>
      </c>
      <c r="F15" s="50">
        <v>36</v>
      </c>
      <c r="G15" s="50">
        <v>1</v>
      </c>
      <c r="H15" s="50">
        <v>2</v>
      </c>
      <c r="I15" s="50">
        <v>7</v>
      </c>
      <c r="J15" s="50">
        <v>15</v>
      </c>
      <c r="K15" s="50">
        <v>5</v>
      </c>
      <c r="L15" s="50">
        <v>0</v>
      </c>
      <c r="M15" s="50">
        <v>200</v>
      </c>
      <c r="N15" s="50">
        <v>0</v>
      </c>
      <c r="O15" s="15">
        <f t="shared" si="0"/>
        <v>133</v>
      </c>
      <c r="P15" s="15">
        <f t="shared" si="1"/>
        <v>333</v>
      </c>
      <c r="R15" s="1" t="s">
        <v>11</v>
      </c>
      <c r="S15" s="17">
        <f t="shared" ref="S15:AF15" si="7">SUM(C30:C33)</f>
        <v>220</v>
      </c>
      <c r="T15" s="17">
        <f t="shared" si="7"/>
        <v>22</v>
      </c>
      <c r="U15" s="17">
        <f t="shared" si="7"/>
        <v>14</v>
      </c>
      <c r="V15" s="17">
        <f t="shared" si="7"/>
        <v>147</v>
      </c>
      <c r="W15" s="17">
        <f t="shared" si="7"/>
        <v>5</v>
      </c>
      <c r="X15" s="17">
        <f t="shared" si="7"/>
        <v>0</v>
      </c>
      <c r="Y15" s="17">
        <f t="shared" si="7"/>
        <v>29</v>
      </c>
      <c r="Z15" s="17">
        <f t="shared" si="7"/>
        <v>82</v>
      </c>
      <c r="AA15" s="17">
        <f t="shared" si="7"/>
        <v>8</v>
      </c>
      <c r="AB15" s="17">
        <f t="shared" si="7"/>
        <v>2</v>
      </c>
      <c r="AC15" s="17">
        <f t="shared" si="7"/>
        <v>830</v>
      </c>
      <c r="AD15" s="17">
        <f t="shared" si="7"/>
        <v>0</v>
      </c>
      <c r="AE15" s="31">
        <f t="shared" si="7"/>
        <v>529</v>
      </c>
      <c r="AF15" s="31">
        <f t="shared" si="7"/>
        <v>1359</v>
      </c>
    </row>
    <row r="16" spans="2:32" ht="23.1" customHeight="1" x14ac:dyDescent="0.25">
      <c r="B16" s="23" t="s">
        <v>43</v>
      </c>
      <c r="C16" s="50">
        <v>50</v>
      </c>
      <c r="D16" s="50">
        <v>0</v>
      </c>
      <c r="E16" s="50">
        <v>1</v>
      </c>
      <c r="F16" s="50">
        <v>120</v>
      </c>
      <c r="G16" s="50">
        <v>0</v>
      </c>
      <c r="H16" s="50">
        <v>1</v>
      </c>
      <c r="I16" s="50">
        <v>16</v>
      </c>
      <c r="J16" s="50">
        <v>22</v>
      </c>
      <c r="K16" s="50">
        <v>0</v>
      </c>
      <c r="L16" s="50">
        <v>0</v>
      </c>
      <c r="M16" s="50">
        <v>175</v>
      </c>
      <c r="N16" s="50">
        <v>0</v>
      </c>
      <c r="O16" s="15">
        <f t="shared" si="0"/>
        <v>210</v>
      </c>
      <c r="P16" s="15">
        <f t="shared" si="1"/>
        <v>385</v>
      </c>
      <c r="R16" s="1" t="s">
        <v>12</v>
      </c>
      <c r="S16" s="17">
        <f t="shared" ref="S16:AF16" si="8">SUM(C34:C37)</f>
        <v>172</v>
      </c>
      <c r="T16" s="17">
        <f t="shared" si="8"/>
        <v>22</v>
      </c>
      <c r="U16" s="17">
        <f t="shared" si="8"/>
        <v>15</v>
      </c>
      <c r="V16" s="17">
        <f t="shared" si="8"/>
        <v>100</v>
      </c>
      <c r="W16" s="17">
        <f t="shared" si="8"/>
        <v>0</v>
      </c>
      <c r="X16" s="17">
        <f t="shared" si="8"/>
        <v>0</v>
      </c>
      <c r="Y16" s="17">
        <f t="shared" si="8"/>
        <v>25</v>
      </c>
      <c r="Z16" s="17">
        <f t="shared" si="8"/>
        <v>57</v>
      </c>
      <c r="AA16" s="17">
        <f t="shared" si="8"/>
        <v>15</v>
      </c>
      <c r="AB16" s="17">
        <f t="shared" si="8"/>
        <v>3</v>
      </c>
      <c r="AC16" s="17">
        <f t="shared" si="8"/>
        <v>755</v>
      </c>
      <c r="AD16" s="17">
        <f t="shared" si="8"/>
        <v>0</v>
      </c>
      <c r="AE16" s="31">
        <f t="shared" si="8"/>
        <v>409</v>
      </c>
      <c r="AF16" s="31">
        <f t="shared" si="8"/>
        <v>1164</v>
      </c>
    </row>
    <row r="17" spans="2:32" ht="23.1" customHeight="1" x14ac:dyDescent="0.25">
      <c r="B17" s="23" t="s">
        <v>44</v>
      </c>
      <c r="C17" s="50">
        <v>62</v>
      </c>
      <c r="D17" s="50">
        <v>10</v>
      </c>
      <c r="E17" s="50">
        <v>2</v>
      </c>
      <c r="F17" s="50">
        <v>44</v>
      </c>
      <c r="G17" s="50">
        <v>2</v>
      </c>
      <c r="H17" s="50">
        <v>0</v>
      </c>
      <c r="I17" s="50">
        <v>17</v>
      </c>
      <c r="J17" s="50">
        <v>25</v>
      </c>
      <c r="K17" s="50">
        <v>1</v>
      </c>
      <c r="L17" s="50">
        <v>23</v>
      </c>
      <c r="M17" s="50">
        <v>185</v>
      </c>
      <c r="N17" s="50">
        <v>1</v>
      </c>
      <c r="O17" s="15">
        <f t="shared" si="0"/>
        <v>187</v>
      </c>
      <c r="P17" s="15">
        <f t="shared" si="1"/>
        <v>372</v>
      </c>
      <c r="R17" s="1" t="s">
        <v>13</v>
      </c>
      <c r="S17" s="17">
        <f t="shared" ref="S17:AF17" si="9">SUM(C38:C41)</f>
        <v>171</v>
      </c>
      <c r="T17" s="17">
        <f t="shared" si="9"/>
        <v>21</v>
      </c>
      <c r="U17" s="17">
        <f t="shared" si="9"/>
        <v>13</v>
      </c>
      <c r="V17" s="17">
        <f t="shared" si="9"/>
        <v>108</v>
      </c>
      <c r="W17" s="17">
        <f t="shared" si="9"/>
        <v>2</v>
      </c>
      <c r="X17" s="17">
        <f t="shared" si="9"/>
        <v>1</v>
      </c>
      <c r="Y17" s="17">
        <f t="shared" si="9"/>
        <v>17</v>
      </c>
      <c r="Z17" s="17">
        <f t="shared" si="9"/>
        <v>55</v>
      </c>
      <c r="AA17" s="17">
        <f t="shared" si="9"/>
        <v>13</v>
      </c>
      <c r="AB17" s="17">
        <f t="shared" si="9"/>
        <v>1</v>
      </c>
      <c r="AC17" s="17">
        <f t="shared" si="9"/>
        <v>765</v>
      </c>
      <c r="AD17" s="17">
        <f t="shared" si="9"/>
        <v>0</v>
      </c>
      <c r="AE17" s="31">
        <f t="shared" si="9"/>
        <v>402</v>
      </c>
      <c r="AF17" s="31">
        <f t="shared" si="9"/>
        <v>1167</v>
      </c>
    </row>
    <row r="18" spans="2:32" ht="23.1" customHeight="1" x14ac:dyDescent="0.25">
      <c r="B18" s="23" t="s">
        <v>45</v>
      </c>
      <c r="C18" s="50">
        <v>53</v>
      </c>
      <c r="D18" s="50">
        <v>7</v>
      </c>
      <c r="E18" s="50">
        <v>3</v>
      </c>
      <c r="F18" s="50">
        <v>28</v>
      </c>
      <c r="G18" s="50">
        <v>1</v>
      </c>
      <c r="H18" s="50">
        <v>1</v>
      </c>
      <c r="I18" s="50">
        <v>12</v>
      </c>
      <c r="J18" s="50">
        <v>20</v>
      </c>
      <c r="K18" s="50">
        <v>1</v>
      </c>
      <c r="L18" s="50">
        <v>1</v>
      </c>
      <c r="M18" s="50">
        <v>155</v>
      </c>
      <c r="N18" s="50">
        <v>0</v>
      </c>
      <c r="O18" s="15">
        <f t="shared" si="0"/>
        <v>127</v>
      </c>
      <c r="P18" s="15">
        <f t="shared" si="1"/>
        <v>282</v>
      </c>
      <c r="R18" s="1" t="s">
        <v>14</v>
      </c>
      <c r="S18" s="17">
        <f t="shared" ref="S18:AF18" si="10">SUM(C42:C45)</f>
        <v>163</v>
      </c>
      <c r="T18" s="17">
        <f t="shared" si="10"/>
        <v>18</v>
      </c>
      <c r="U18" s="17">
        <f t="shared" si="10"/>
        <v>13</v>
      </c>
      <c r="V18" s="17">
        <f t="shared" si="10"/>
        <v>122</v>
      </c>
      <c r="W18" s="17">
        <f t="shared" si="10"/>
        <v>1</v>
      </c>
      <c r="X18" s="17">
        <f t="shared" si="10"/>
        <v>0</v>
      </c>
      <c r="Y18" s="17">
        <f t="shared" si="10"/>
        <v>17</v>
      </c>
      <c r="Z18" s="17">
        <f t="shared" si="10"/>
        <v>41</v>
      </c>
      <c r="AA18" s="17">
        <f t="shared" si="10"/>
        <v>11</v>
      </c>
      <c r="AB18" s="17">
        <f t="shared" si="10"/>
        <v>0</v>
      </c>
      <c r="AC18" s="17">
        <f t="shared" si="10"/>
        <v>780</v>
      </c>
      <c r="AD18" s="17">
        <f t="shared" si="10"/>
        <v>0</v>
      </c>
      <c r="AE18" s="31">
        <f t="shared" si="10"/>
        <v>386</v>
      </c>
      <c r="AF18" s="31">
        <f t="shared" si="10"/>
        <v>1166</v>
      </c>
    </row>
    <row r="19" spans="2:32" ht="23.1" customHeight="1" x14ac:dyDescent="0.25">
      <c r="B19" s="23" t="s">
        <v>46</v>
      </c>
      <c r="C19" s="50">
        <v>41</v>
      </c>
      <c r="D19" s="50">
        <v>3</v>
      </c>
      <c r="E19" s="50">
        <v>3</v>
      </c>
      <c r="F19" s="50">
        <v>41</v>
      </c>
      <c r="G19" s="50">
        <v>1</v>
      </c>
      <c r="H19" s="50">
        <v>0</v>
      </c>
      <c r="I19" s="50">
        <v>6</v>
      </c>
      <c r="J19" s="50">
        <v>9</v>
      </c>
      <c r="K19" s="50">
        <v>0</v>
      </c>
      <c r="L19" s="50">
        <v>0</v>
      </c>
      <c r="M19" s="50">
        <v>145</v>
      </c>
      <c r="N19" s="50">
        <v>0</v>
      </c>
      <c r="O19" s="15">
        <f t="shared" si="0"/>
        <v>104</v>
      </c>
      <c r="P19" s="15">
        <f t="shared" si="1"/>
        <v>249</v>
      </c>
      <c r="R19" s="1" t="s">
        <v>15</v>
      </c>
      <c r="S19" s="17">
        <f t="shared" ref="S19:AF19" si="11">SUM(C46:C49)</f>
        <v>189</v>
      </c>
      <c r="T19" s="17">
        <f t="shared" si="11"/>
        <v>22</v>
      </c>
      <c r="U19" s="17">
        <f t="shared" si="11"/>
        <v>24</v>
      </c>
      <c r="V19" s="17">
        <f t="shared" si="11"/>
        <v>109</v>
      </c>
      <c r="W19" s="17">
        <f t="shared" si="11"/>
        <v>2</v>
      </c>
      <c r="X19" s="17">
        <f t="shared" si="11"/>
        <v>0</v>
      </c>
      <c r="Y19" s="17">
        <f t="shared" si="11"/>
        <v>13</v>
      </c>
      <c r="Z19" s="17">
        <f t="shared" si="11"/>
        <v>58</v>
      </c>
      <c r="AA19" s="17">
        <f t="shared" si="11"/>
        <v>4</v>
      </c>
      <c r="AB19" s="17">
        <f t="shared" si="11"/>
        <v>0</v>
      </c>
      <c r="AC19" s="17">
        <f t="shared" si="11"/>
        <v>715</v>
      </c>
      <c r="AD19" s="17">
        <f t="shared" si="11"/>
        <v>0</v>
      </c>
      <c r="AE19" s="31">
        <f t="shared" si="11"/>
        <v>421</v>
      </c>
      <c r="AF19" s="31">
        <f t="shared" si="11"/>
        <v>1136</v>
      </c>
    </row>
    <row r="20" spans="2:32" ht="23.1" customHeight="1" x14ac:dyDescent="0.25">
      <c r="B20" s="23" t="s">
        <v>47</v>
      </c>
      <c r="C20" s="50">
        <v>50</v>
      </c>
      <c r="D20" s="50">
        <v>11</v>
      </c>
      <c r="E20" s="50">
        <v>10</v>
      </c>
      <c r="F20" s="50">
        <v>36</v>
      </c>
      <c r="G20" s="50">
        <v>0</v>
      </c>
      <c r="H20" s="50">
        <v>0</v>
      </c>
      <c r="I20" s="50">
        <v>7</v>
      </c>
      <c r="J20" s="50">
        <v>14</v>
      </c>
      <c r="K20" s="50">
        <v>2</v>
      </c>
      <c r="L20" s="50">
        <v>0</v>
      </c>
      <c r="M20" s="50">
        <v>195</v>
      </c>
      <c r="N20" s="50">
        <v>0</v>
      </c>
      <c r="O20" s="15">
        <f t="shared" si="0"/>
        <v>130</v>
      </c>
      <c r="P20" s="15">
        <f t="shared" si="1"/>
        <v>325</v>
      </c>
      <c r="R20" s="1" t="s">
        <v>16</v>
      </c>
      <c r="S20" s="17">
        <f t="shared" ref="S20:AF20" si="12">SUM(C50:C53)</f>
        <v>170</v>
      </c>
      <c r="T20" s="17">
        <f t="shared" si="12"/>
        <v>12</v>
      </c>
      <c r="U20" s="17">
        <f t="shared" si="12"/>
        <v>7</v>
      </c>
      <c r="V20" s="17">
        <f t="shared" si="12"/>
        <v>132</v>
      </c>
      <c r="W20" s="17">
        <f t="shared" si="12"/>
        <v>0</v>
      </c>
      <c r="X20" s="17">
        <f t="shared" si="12"/>
        <v>3</v>
      </c>
      <c r="Y20" s="17">
        <f t="shared" si="12"/>
        <v>11</v>
      </c>
      <c r="Z20" s="17">
        <f t="shared" si="12"/>
        <v>50</v>
      </c>
      <c r="AA20" s="17">
        <f t="shared" si="12"/>
        <v>15</v>
      </c>
      <c r="AB20" s="17">
        <f t="shared" si="12"/>
        <v>0</v>
      </c>
      <c r="AC20" s="17">
        <f t="shared" si="12"/>
        <v>665</v>
      </c>
      <c r="AD20" s="17">
        <f t="shared" si="12"/>
        <v>0</v>
      </c>
      <c r="AE20" s="31">
        <f t="shared" si="12"/>
        <v>400</v>
      </c>
      <c r="AF20" s="31">
        <f t="shared" si="12"/>
        <v>1065</v>
      </c>
    </row>
    <row r="21" spans="2:32" ht="23.1" customHeight="1" x14ac:dyDescent="0.25">
      <c r="B21" s="23" t="s">
        <v>48</v>
      </c>
      <c r="C21" s="50">
        <v>53</v>
      </c>
      <c r="D21" s="50">
        <v>6</v>
      </c>
      <c r="E21" s="50">
        <v>5</v>
      </c>
      <c r="F21" s="50">
        <v>34</v>
      </c>
      <c r="G21" s="50">
        <v>0</v>
      </c>
      <c r="H21" s="50">
        <v>0</v>
      </c>
      <c r="I21" s="50">
        <v>2</v>
      </c>
      <c r="J21" s="50">
        <v>25</v>
      </c>
      <c r="K21" s="50">
        <v>2</v>
      </c>
      <c r="L21" s="50">
        <v>1</v>
      </c>
      <c r="M21" s="50">
        <v>225</v>
      </c>
      <c r="N21" s="50">
        <v>0</v>
      </c>
      <c r="O21" s="15">
        <f t="shared" si="0"/>
        <v>128</v>
      </c>
      <c r="P21" s="15">
        <f t="shared" si="1"/>
        <v>353</v>
      </c>
      <c r="R21" s="36" t="s">
        <v>20</v>
      </c>
      <c r="S21" s="34">
        <f t="shared" ref="S21:AF21" si="13">SUM(C54:C57)</f>
        <v>156</v>
      </c>
      <c r="T21" s="17">
        <f t="shared" si="13"/>
        <v>19</v>
      </c>
      <c r="U21" s="17">
        <f t="shared" si="13"/>
        <v>11</v>
      </c>
      <c r="V21" s="17">
        <f t="shared" si="13"/>
        <v>168</v>
      </c>
      <c r="W21" s="17">
        <f t="shared" si="13"/>
        <v>7</v>
      </c>
      <c r="X21" s="17">
        <f t="shared" si="13"/>
        <v>4</v>
      </c>
      <c r="Y21" s="17">
        <f t="shared" si="13"/>
        <v>20</v>
      </c>
      <c r="Z21" s="17">
        <f t="shared" si="13"/>
        <v>50</v>
      </c>
      <c r="AA21" s="17">
        <f t="shared" si="13"/>
        <v>5</v>
      </c>
      <c r="AB21" s="17">
        <f t="shared" si="13"/>
        <v>5</v>
      </c>
      <c r="AC21" s="17">
        <f t="shared" si="13"/>
        <v>635</v>
      </c>
      <c r="AD21" s="17">
        <f t="shared" si="13"/>
        <v>0</v>
      </c>
      <c r="AE21" s="31">
        <f t="shared" si="13"/>
        <v>445</v>
      </c>
      <c r="AF21" s="31">
        <f t="shared" si="13"/>
        <v>1080</v>
      </c>
    </row>
    <row r="22" spans="2:32" ht="23.1" customHeight="1" x14ac:dyDescent="0.25">
      <c r="B22" s="23" t="s">
        <v>49</v>
      </c>
      <c r="C22" s="50">
        <v>50</v>
      </c>
      <c r="D22" s="50">
        <v>2</v>
      </c>
      <c r="E22" s="50">
        <v>9</v>
      </c>
      <c r="F22" s="50">
        <v>31</v>
      </c>
      <c r="G22" s="50">
        <v>0</v>
      </c>
      <c r="H22" s="50">
        <v>0</v>
      </c>
      <c r="I22" s="50">
        <v>12</v>
      </c>
      <c r="J22" s="50">
        <v>18</v>
      </c>
      <c r="K22" s="50">
        <v>5</v>
      </c>
      <c r="L22" s="50">
        <v>0</v>
      </c>
      <c r="M22" s="50">
        <v>200</v>
      </c>
      <c r="N22" s="50">
        <v>0</v>
      </c>
      <c r="O22" s="15">
        <f t="shared" si="0"/>
        <v>127</v>
      </c>
      <c r="P22" s="15">
        <f t="shared" si="1"/>
        <v>327</v>
      </c>
      <c r="R22" s="38" t="s">
        <v>90</v>
      </c>
      <c r="S22" s="39">
        <f>MAX(S10:S12)</f>
        <v>238</v>
      </c>
      <c r="T22" s="39">
        <f t="shared" ref="T22:AF22" si="14">MAX(T10:T12)</f>
        <v>27</v>
      </c>
      <c r="U22" s="39">
        <f t="shared" si="14"/>
        <v>21</v>
      </c>
      <c r="V22" s="39">
        <f t="shared" si="14"/>
        <v>227</v>
      </c>
      <c r="W22" s="39">
        <f t="shared" si="14"/>
        <v>4</v>
      </c>
      <c r="X22" s="39">
        <f t="shared" si="14"/>
        <v>3</v>
      </c>
      <c r="Y22" s="39">
        <f t="shared" si="14"/>
        <v>49</v>
      </c>
      <c r="Z22" s="39">
        <f t="shared" si="14"/>
        <v>79</v>
      </c>
      <c r="AA22" s="39">
        <f t="shared" si="14"/>
        <v>6</v>
      </c>
      <c r="AB22" s="39">
        <f t="shared" si="14"/>
        <v>26</v>
      </c>
      <c r="AC22" s="39">
        <f t="shared" si="14"/>
        <v>720</v>
      </c>
      <c r="AD22" s="39">
        <f t="shared" si="14"/>
        <v>1</v>
      </c>
      <c r="AE22" s="40">
        <f t="shared" si="14"/>
        <v>656</v>
      </c>
      <c r="AF22" s="40">
        <f t="shared" si="14"/>
        <v>1366</v>
      </c>
    </row>
    <row r="23" spans="2:32" ht="23.1" customHeight="1" x14ac:dyDescent="0.25">
      <c r="B23" s="23" t="s">
        <v>50</v>
      </c>
      <c r="C23" s="50">
        <v>57</v>
      </c>
      <c r="D23" s="50">
        <v>3</v>
      </c>
      <c r="E23" s="50">
        <v>6</v>
      </c>
      <c r="F23" s="50">
        <v>40</v>
      </c>
      <c r="G23" s="50">
        <v>1</v>
      </c>
      <c r="H23" s="50">
        <v>1</v>
      </c>
      <c r="I23" s="50">
        <v>10</v>
      </c>
      <c r="J23" s="50">
        <v>20</v>
      </c>
      <c r="K23" s="50">
        <v>2</v>
      </c>
      <c r="L23" s="50">
        <v>0</v>
      </c>
      <c r="M23" s="50">
        <v>170</v>
      </c>
      <c r="N23" s="50">
        <v>0</v>
      </c>
      <c r="O23" s="15">
        <f t="shared" si="0"/>
        <v>140</v>
      </c>
      <c r="P23" s="15">
        <f t="shared" si="1"/>
        <v>310</v>
      </c>
      <c r="R23" s="38" t="s">
        <v>91</v>
      </c>
      <c r="S23" s="39">
        <f>MAX(S13:S18)</f>
        <v>220</v>
      </c>
      <c r="T23" s="39">
        <f t="shared" ref="T23:AF23" si="15">MAX(T13:T18)</f>
        <v>25</v>
      </c>
      <c r="U23" s="39">
        <f t="shared" si="15"/>
        <v>22</v>
      </c>
      <c r="V23" s="39">
        <f t="shared" si="15"/>
        <v>147</v>
      </c>
      <c r="W23" s="39">
        <f t="shared" si="15"/>
        <v>5</v>
      </c>
      <c r="X23" s="39">
        <f t="shared" si="15"/>
        <v>2</v>
      </c>
      <c r="Y23" s="39">
        <f t="shared" si="15"/>
        <v>29</v>
      </c>
      <c r="Z23" s="39">
        <f t="shared" si="15"/>
        <v>82</v>
      </c>
      <c r="AA23" s="39">
        <f t="shared" si="15"/>
        <v>15</v>
      </c>
      <c r="AB23" s="39">
        <f t="shared" si="15"/>
        <v>9</v>
      </c>
      <c r="AC23" s="39">
        <f t="shared" si="15"/>
        <v>830</v>
      </c>
      <c r="AD23" s="39">
        <f t="shared" si="15"/>
        <v>0</v>
      </c>
      <c r="AE23" s="40">
        <f t="shared" si="15"/>
        <v>529</v>
      </c>
      <c r="AF23" s="40">
        <f t="shared" si="15"/>
        <v>1359</v>
      </c>
    </row>
    <row r="24" spans="2:32" ht="23.1" customHeight="1" x14ac:dyDescent="0.25">
      <c r="B24" s="23" t="s">
        <v>51</v>
      </c>
      <c r="C24" s="50">
        <v>51</v>
      </c>
      <c r="D24" s="50">
        <v>7</v>
      </c>
      <c r="E24" s="50">
        <v>5</v>
      </c>
      <c r="F24" s="50">
        <v>31</v>
      </c>
      <c r="G24" s="50">
        <v>1</v>
      </c>
      <c r="H24" s="50">
        <v>0</v>
      </c>
      <c r="I24" s="50">
        <v>4</v>
      </c>
      <c r="J24" s="50">
        <v>9</v>
      </c>
      <c r="K24" s="50">
        <v>2</v>
      </c>
      <c r="L24" s="50">
        <v>2</v>
      </c>
      <c r="M24" s="50">
        <v>195</v>
      </c>
      <c r="N24" s="50">
        <v>0</v>
      </c>
      <c r="O24" s="15">
        <f t="shared" si="0"/>
        <v>112</v>
      </c>
      <c r="P24" s="15">
        <f t="shared" si="1"/>
        <v>307</v>
      </c>
      <c r="R24" s="38" t="s">
        <v>92</v>
      </c>
      <c r="S24" s="39">
        <f>MAX(S19:S21)</f>
        <v>189</v>
      </c>
      <c r="T24" s="39">
        <f t="shared" ref="T24:AF24" si="16">MAX(T19:T21)</f>
        <v>22</v>
      </c>
      <c r="U24" s="39">
        <f t="shared" si="16"/>
        <v>24</v>
      </c>
      <c r="V24" s="39">
        <f t="shared" si="16"/>
        <v>168</v>
      </c>
      <c r="W24" s="39">
        <f t="shared" si="16"/>
        <v>7</v>
      </c>
      <c r="X24" s="39">
        <f t="shared" si="16"/>
        <v>4</v>
      </c>
      <c r="Y24" s="39">
        <f t="shared" si="16"/>
        <v>20</v>
      </c>
      <c r="Z24" s="39">
        <f t="shared" si="16"/>
        <v>58</v>
      </c>
      <c r="AA24" s="39">
        <f t="shared" si="16"/>
        <v>15</v>
      </c>
      <c r="AB24" s="39">
        <f t="shared" si="16"/>
        <v>5</v>
      </c>
      <c r="AC24" s="39">
        <f t="shared" si="16"/>
        <v>715</v>
      </c>
      <c r="AD24" s="39">
        <f t="shared" si="16"/>
        <v>0</v>
      </c>
      <c r="AE24" s="40">
        <f t="shared" si="16"/>
        <v>445</v>
      </c>
      <c r="AF24" s="40">
        <f t="shared" si="16"/>
        <v>1136</v>
      </c>
    </row>
    <row r="25" spans="2:32" ht="23.1" customHeight="1" x14ac:dyDescent="0.25">
      <c r="B25" s="23" t="s">
        <v>52</v>
      </c>
      <c r="C25" s="50">
        <v>47</v>
      </c>
      <c r="D25" s="50">
        <v>7</v>
      </c>
      <c r="E25" s="50">
        <v>2</v>
      </c>
      <c r="F25" s="50">
        <v>32</v>
      </c>
      <c r="G25" s="50">
        <v>0</v>
      </c>
      <c r="H25" s="50">
        <v>1</v>
      </c>
      <c r="I25" s="50">
        <v>2</v>
      </c>
      <c r="J25" s="50">
        <v>20</v>
      </c>
      <c r="K25" s="50">
        <v>1</v>
      </c>
      <c r="L25" s="50">
        <v>3</v>
      </c>
      <c r="M25" s="50">
        <v>210</v>
      </c>
      <c r="N25" s="50">
        <v>0</v>
      </c>
      <c r="O25" s="15">
        <f t="shared" si="0"/>
        <v>115</v>
      </c>
      <c r="P25" s="15">
        <f t="shared" si="1"/>
        <v>325</v>
      </c>
      <c r="R25" s="37" t="s">
        <v>85</v>
      </c>
      <c r="S25" s="35">
        <f t="shared" ref="S25:AF25" si="17">SUM(S10:S12)</f>
        <v>621</v>
      </c>
      <c r="T25" s="16">
        <f t="shared" si="17"/>
        <v>55</v>
      </c>
      <c r="U25" s="16">
        <f t="shared" si="17"/>
        <v>44</v>
      </c>
      <c r="V25" s="16">
        <f t="shared" si="17"/>
        <v>483</v>
      </c>
      <c r="W25" s="16">
        <f t="shared" si="17"/>
        <v>7</v>
      </c>
      <c r="X25" s="16">
        <f t="shared" si="17"/>
        <v>5</v>
      </c>
      <c r="Y25" s="16">
        <f t="shared" si="17"/>
        <v>110</v>
      </c>
      <c r="Z25" s="16">
        <f t="shared" si="17"/>
        <v>192</v>
      </c>
      <c r="AA25" s="16">
        <f t="shared" si="17"/>
        <v>14</v>
      </c>
      <c r="AB25" s="16">
        <f t="shared" si="17"/>
        <v>33</v>
      </c>
      <c r="AC25" s="16">
        <f t="shared" si="17"/>
        <v>1845</v>
      </c>
      <c r="AD25" s="16">
        <f t="shared" si="17"/>
        <v>1</v>
      </c>
      <c r="AE25" s="32">
        <f t="shared" si="17"/>
        <v>1565</v>
      </c>
      <c r="AF25" s="32">
        <f t="shared" si="17"/>
        <v>3410</v>
      </c>
    </row>
    <row r="26" spans="2:32" ht="23.1" customHeight="1" x14ac:dyDescent="0.25">
      <c r="B26" s="23" t="s">
        <v>53</v>
      </c>
      <c r="C26" s="50">
        <v>53</v>
      </c>
      <c r="D26" s="50">
        <v>4</v>
      </c>
      <c r="E26" s="50">
        <v>2</v>
      </c>
      <c r="F26" s="50">
        <v>33</v>
      </c>
      <c r="G26" s="50">
        <v>0</v>
      </c>
      <c r="H26" s="50">
        <v>0</v>
      </c>
      <c r="I26" s="50">
        <v>8</v>
      </c>
      <c r="J26" s="50">
        <v>20</v>
      </c>
      <c r="K26" s="50">
        <v>3</v>
      </c>
      <c r="L26" s="50">
        <v>4</v>
      </c>
      <c r="M26" s="50">
        <v>160</v>
      </c>
      <c r="N26" s="50">
        <v>0</v>
      </c>
      <c r="O26" s="15">
        <f t="shared" si="0"/>
        <v>127</v>
      </c>
      <c r="P26" s="15">
        <f t="shared" si="1"/>
        <v>287</v>
      </c>
      <c r="R26" s="28" t="s">
        <v>86</v>
      </c>
      <c r="S26" s="16">
        <f t="shared" ref="S26:AF26" si="18">SUM(S13:S18)</f>
        <v>1135</v>
      </c>
      <c r="T26" s="16">
        <f t="shared" si="18"/>
        <v>127</v>
      </c>
      <c r="U26" s="16">
        <f t="shared" si="18"/>
        <v>92</v>
      </c>
      <c r="V26" s="16">
        <f t="shared" si="18"/>
        <v>738</v>
      </c>
      <c r="W26" s="16">
        <f t="shared" si="18"/>
        <v>13</v>
      </c>
      <c r="X26" s="16">
        <f t="shared" si="18"/>
        <v>5</v>
      </c>
      <c r="Y26" s="16">
        <f t="shared" si="18"/>
        <v>142</v>
      </c>
      <c r="Z26" s="16">
        <f t="shared" si="18"/>
        <v>372</v>
      </c>
      <c r="AA26" s="16">
        <f t="shared" si="18"/>
        <v>70</v>
      </c>
      <c r="AB26" s="16">
        <f t="shared" si="18"/>
        <v>20</v>
      </c>
      <c r="AC26" s="16">
        <f t="shared" si="18"/>
        <v>4640</v>
      </c>
      <c r="AD26" s="16">
        <f t="shared" si="18"/>
        <v>0</v>
      </c>
      <c r="AE26" s="32">
        <f t="shared" si="18"/>
        <v>2714</v>
      </c>
      <c r="AF26" s="32">
        <f t="shared" si="18"/>
        <v>7354</v>
      </c>
    </row>
    <row r="27" spans="2:32" ht="23.1" customHeight="1" x14ac:dyDescent="0.25">
      <c r="B27" s="23" t="s">
        <v>54</v>
      </c>
      <c r="C27" s="50">
        <v>51</v>
      </c>
      <c r="D27" s="50">
        <v>3</v>
      </c>
      <c r="E27" s="50">
        <v>4</v>
      </c>
      <c r="F27" s="50">
        <v>36</v>
      </c>
      <c r="G27" s="50">
        <v>0</v>
      </c>
      <c r="H27" s="50">
        <v>0</v>
      </c>
      <c r="I27" s="50">
        <v>4</v>
      </c>
      <c r="J27" s="50">
        <v>15</v>
      </c>
      <c r="K27" s="50">
        <v>2</v>
      </c>
      <c r="L27" s="50">
        <v>1</v>
      </c>
      <c r="M27" s="50">
        <v>190</v>
      </c>
      <c r="N27" s="50">
        <v>0</v>
      </c>
      <c r="O27" s="15">
        <f t="shared" si="0"/>
        <v>116</v>
      </c>
      <c r="P27" s="15">
        <f t="shared" si="1"/>
        <v>306</v>
      </c>
      <c r="R27" s="29" t="s">
        <v>87</v>
      </c>
      <c r="S27" s="16">
        <f t="shared" ref="S27:AF27" si="19">SUM(S19:S21)</f>
        <v>515</v>
      </c>
      <c r="T27" s="16">
        <f t="shared" si="19"/>
        <v>53</v>
      </c>
      <c r="U27" s="16">
        <f t="shared" si="19"/>
        <v>42</v>
      </c>
      <c r="V27" s="16">
        <f t="shared" si="19"/>
        <v>409</v>
      </c>
      <c r="W27" s="16">
        <f t="shared" si="19"/>
        <v>9</v>
      </c>
      <c r="X27" s="16">
        <f t="shared" si="19"/>
        <v>7</v>
      </c>
      <c r="Y27" s="16">
        <f t="shared" si="19"/>
        <v>44</v>
      </c>
      <c r="Z27" s="16">
        <f t="shared" si="19"/>
        <v>158</v>
      </c>
      <c r="AA27" s="16">
        <f t="shared" si="19"/>
        <v>24</v>
      </c>
      <c r="AB27" s="16">
        <f t="shared" si="19"/>
        <v>5</v>
      </c>
      <c r="AC27" s="16">
        <f t="shared" si="19"/>
        <v>2015</v>
      </c>
      <c r="AD27" s="16">
        <f t="shared" si="19"/>
        <v>0</v>
      </c>
      <c r="AE27" s="32">
        <f t="shared" si="19"/>
        <v>1266</v>
      </c>
      <c r="AF27" s="32">
        <f t="shared" si="19"/>
        <v>3281</v>
      </c>
    </row>
    <row r="28" spans="2:32" ht="23.1" customHeight="1" x14ac:dyDescent="0.25">
      <c r="B28" s="23" t="s">
        <v>55</v>
      </c>
      <c r="C28" s="50">
        <v>59</v>
      </c>
      <c r="D28" s="50">
        <v>14</v>
      </c>
      <c r="E28" s="50">
        <v>6</v>
      </c>
      <c r="F28" s="50">
        <v>27</v>
      </c>
      <c r="G28" s="50">
        <v>0</v>
      </c>
      <c r="H28" s="50">
        <v>0</v>
      </c>
      <c r="I28" s="50">
        <v>4</v>
      </c>
      <c r="J28" s="50">
        <v>18</v>
      </c>
      <c r="K28" s="50">
        <v>2</v>
      </c>
      <c r="L28" s="50">
        <v>3</v>
      </c>
      <c r="M28" s="50">
        <v>175</v>
      </c>
      <c r="N28" s="50">
        <v>0</v>
      </c>
      <c r="O28" s="15">
        <f t="shared" si="0"/>
        <v>133</v>
      </c>
      <c r="P28" s="15">
        <f t="shared" si="1"/>
        <v>308</v>
      </c>
      <c r="R28" s="5" t="s">
        <v>17</v>
      </c>
      <c r="S28" s="16">
        <f t="shared" ref="S28:AF28" si="20">SUM(S10:S21)</f>
        <v>2271</v>
      </c>
      <c r="T28" s="16">
        <f t="shared" si="20"/>
        <v>235</v>
      </c>
      <c r="U28" s="16">
        <f t="shared" si="20"/>
        <v>178</v>
      </c>
      <c r="V28" s="16">
        <f t="shared" si="20"/>
        <v>1630</v>
      </c>
      <c r="W28" s="16">
        <f t="shared" si="20"/>
        <v>29</v>
      </c>
      <c r="X28" s="16">
        <f t="shared" si="20"/>
        <v>17</v>
      </c>
      <c r="Y28" s="16">
        <f t="shared" si="20"/>
        <v>296</v>
      </c>
      <c r="Z28" s="16">
        <f t="shared" si="20"/>
        <v>722</v>
      </c>
      <c r="AA28" s="16">
        <f t="shared" si="20"/>
        <v>108</v>
      </c>
      <c r="AB28" s="16">
        <f t="shared" si="20"/>
        <v>58</v>
      </c>
      <c r="AC28" s="16">
        <f t="shared" si="20"/>
        <v>8500</v>
      </c>
      <c r="AD28" s="16">
        <f t="shared" si="20"/>
        <v>1</v>
      </c>
      <c r="AE28" s="32">
        <f t="shared" si="20"/>
        <v>5545</v>
      </c>
      <c r="AF28" s="32">
        <f t="shared" si="20"/>
        <v>14045</v>
      </c>
    </row>
    <row r="29" spans="2:32" ht="23.1" customHeight="1" x14ac:dyDescent="0.25">
      <c r="B29" s="23" t="s">
        <v>56</v>
      </c>
      <c r="C29" s="50">
        <v>41</v>
      </c>
      <c r="D29" s="50">
        <v>4</v>
      </c>
      <c r="E29" s="50">
        <v>3</v>
      </c>
      <c r="F29" s="50">
        <v>31</v>
      </c>
      <c r="G29" s="50">
        <v>3</v>
      </c>
      <c r="H29" s="50">
        <v>2</v>
      </c>
      <c r="I29" s="50">
        <v>10</v>
      </c>
      <c r="J29" s="50">
        <v>17</v>
      </c>
      <c r="K29" s="50">
        <v>6</v>
      </c>
      <c r="L29" s="50">
        <v>1</v>
      </c>
      <c r="M29" s="50">
        <v>210</v>
      </c>
      <c r="N29" s="50">
        <v>0</v>
      </c>
      <c r="O29" s="15">
        <f t="shared" si="0"/>
        <v>118</v>
      </c>
      <c r="P29" s="15">
        <f t="shared" si="1"/>
        <v>328</v>
      </c>
      <c r="R29"/>
      <c r="S29" s="20"/>
      <c r="T29" s="19"/>
    </row>
    <row r="30" spans="2:32" ht="23.1" customHeight="1" x14ac:dyDescent="0.25">
      <c r="B30" s="23" t="s">
        <v>57</v>
      </c>
      <c r="C30" s="50">
        <v>77</v>
      </c>
      <c r="D30" s="50">
        <v>9</v>
      </c>
      <c r="E30" s="50">
        <v>4</v>
      </c>
      <c r="F30" s="50">
        <v>40</v>
      </c>
      <c r="G30" s="50">
        <v>0</v>
      </c>
      <c r="H30" s="50">
        <v>0</v>
      </c>
      <c r="I30" s="50">
        <v>8</v>
      </c>
      <c r="J30" s="50">
        <v>21</v>
      </c>
      <c r="K30" s="50">
        <v>2</v>
      </c>
      <c r="L30" s="50">
        <v>1</v>
      </c>
      <c r="M30" s="50">
        <v>225</v>
      </c>
      <c r="N30" s="50">
        <v>0</v>
      </c>
      <c r="O30" s="15">
        <f t="shared" si="0"/>
        <v>162</v>
      </c>
      <c r="P30" s="15">
        <f t="shared" si="1"/>
        <v>387</v>
      </c>
    </row>
    <row r="31" spans="2:32" ht="23.1" customHeight="1" x14ac:dyDescent="0.25">
      <c r="B31" s="24" t="s">
        <v>58</v>
      </c>
      <c r="C31" s="50">
        <v>27</v>
      </c>
      <c r="D31" s="50">
        <v>3</v>
      </c>
      <c r="E31" s="50">
        <v>0</v>
      </c>
      <c r="F31" s="50">
        <v>29</v>
      </c>
      <c r="G31" s="50">
        <v>0</v>
      </c>
      <c r="H31" s="50">
        <v>0</v>
      </c>
      <c r="I31" s="50">
        <v>9</v>
      </c>
      <c r="J31" s="50">
        <v>24</v>
      </c>
      <c r="K31" s="50">
        <v>3</v>
      </c>
      <c r="L31" s="50">
        <v>0</v>
      </c>
      <c r="M31" s="50">
        <v>160</v>
      </c>
      <c r="N31" s="50">
        <v>0</v>
      </c>
      <c r="O31" s="15">
        <f t="shared" si="0"/>
        <v>95</v>
      </c>
      <c r="P31" s="15">
        <f t="shared" si="1"/>
        <v>255</v>
      </c>
    </row>
    <row r="32" spans="2:32" ht="23.1" customHeight="1" x14ac:dyDescent="0.25">
      <c r="B32" s="24" t="s">
        <v>59</v>
      </c>
      <c r="C32" s="50">
        <v>57</v>
      </c>
      <c r="D32" s="50">
        <v>3</v>
      </c>
      <c r="E32" s="50">
        <v>4</v>
      </c>
      <c r="F32" s="50">
        <v>36</v>
      </c>
      <c r="G32" s="50">
        <v>1</v>
      </c>
      <c r="H32" s="50">
        <v>0</v>
      </c>
      <c r="I32" s="50">
        <v>4</v>
      </c>
      <c r="J32" s="50">
        <v>18</v>
      </c>
      <c r="K32" s="50">
        <v>3</v>
      </c>
      <c r="L32" s="50">
        <v>1</v>
      </c>
      <c r="M32" s="50">
        <v>260</v>
      </c>
      <c r="N32" s="50">
        <v>0</v>
      </c>
      <c r="O32" s="15">
        <f t="shared" si="0"/>
        <v>127</v>
      </c>
      <c r="P32" s="15">
        <f t="shared" si="1"/>
        <v>387</v>
      </c>
    </row>
    <row r="33" spans="2:20" ht="23.1" customHeight="1" x14ac:dyDescent="0.25">
      <c r="B33" s="23" t="s">
        <v>60</v>
      </c>
      <c r="C33" s="50">
        <v>59</v>
      </c>
      <c r="D33" s="50">
        <v>7</v>
      </c>
      <c r="E33" s="50">
        <v>6</v>
      </c>
      <c r="F33" s="50">
        <v>42</v>
      </c>
      <c r="G33" s="50">
        <v>4</v>
      </c>
      <c r="H33" s="50">
        <v>0</v>
      </c>
      <c r="I33" s="50">
        <v>8</v>
      </c>
      <c r="J33" s="50">
        <v>19</v>
      </c>
      <c r="K33" s="50">
        <v>0</v>
      </c>
      <c r="L33" s="50">
        <v>0</v>
      </c>
      <c r="M33" s="50">
        <v>185</v>
      </c>
      <c r="N33" s="50">
        <v>0</v>
      </c>
      <c r="O33" s="15">
        <f t="shared" si="0"/>
        <v>145</v>
      </c>
      <c r="P33" s="15">
        <f t="shared" si="1"/>
        <v>330</v>
      </c>
    </row>
    <row r="34" spans="2:20" ht="23.1" customHeight="1" x14ac:dyDescent="0.25">
      <c r="B34" s="24" t="s">
        <v>61</v>
      </c>
      <c r="C34" s="50">
        <v>36</v>
      </c>
      <c r="D34" s="50">
        <v>4</v>
      </c>
      <c r="E34" s="50">
        <v>3</v>
      </c>
      <c r="F34" s="50">
        <v>22</v>
      </c>
      <c r="G34" s="50">
        <v>0</v>
      </c>
      <c r="H34" s="50">
        <v>0</v>
      </c>
      <c r="I34" s="50">
        <v>5</v>
      </c>
      <c r="J34" s="50">
        <v>12</v>
      </c>
      <c r="K34" s="50">
        <v>1</v>
      </c>
      <c r="L34" s="50">
        <v>2</v>
      </c>
      <c r="M34" s="50">
        <v>200</v>
      </c>
      <c r="N34" s="50">
        <v>0</v>
      </c>
      <c r="O34" s="15">
        <f t="shared" si="0"/>
        <v>85</v>
      </c>
      <c r="P34" s="15">
        <f t="shared" si="1"/>
        <v>285</v>
      </c>
    </row>
    <row r="35" spans="2:20" ht="23.1" customHeight="1" x14ac:dyDescent="0.25">
      <c r="B35" s="24" t="s">
        <v>62</v>
      </c>
      <c r="C35" s="50">
        <v>26</v>
      </c>
      <c r="D35" s="50">
        <v>5</v>
      </c>
      <c r="E35" s="50">
        <v>5</v>
      </c>
      <c r="F35" s="50">
        <v>20</v>
      </c>
      <c r="G35" s="50">
        <v>0</v>
      </c>
      <c r="H35" s="50">
        <v>0</v>
      </c>
      <c r="I35" s="50">
        <v>9</v>
      </c>
      <c r="J35" s="50">
        <v>15</v>
      </c>
      <c r="K35" s="50">
        <v>4</v>
      </c>
      <c r="L35" s="50">
        <v>1</v>
      </c>
      <c r="M35" s="50">
        <v>210</v>
      </c>
      <c r="N35" s="50">
        <v>0</v>
      </c>
      <c r="O35" s="15">
        <f t="shared" si="0"/>
        <v>85</v>
      </c>
      <c r="P35" s="15">
        <f t="shared" si="1"/>
        <v>295</v>
      </c>
    </row>
    <row r="36" spans="2:20" ht="23.1" customHeight="1" x14ac:dyDescent="0.25">
      <c r="B36" s="24" t="s">
        <v>63</v>
      </c>
      <c r="C36" s="50">
        <v>51</v>
      </c>
      <c r="D36" s="50">
        <v>3</v>
      </c>
      <c r="E36" s="50">
        <v>1</v>
      </c>
      <c r="F36" s="50">
        <v>25</v>
      </c>
      <c r="G36" s="50">
        <v>0</v>
      </c>
      <c r="H36" s="50">
        <v>0</v>
      </c>
      <c r="I36" s="50">
        <v>5</v>
      </c>
      <c r="J36" s="50">
        <v>8</v>
      </c>
      <c r="K36" s="50">
        <v>6</v>
      </c>
      <c r="L36" s="50">
        <v>0</v>
      </c>
      <c r="M36" s="50">
        <v>170</v>
      </c>
      <c r="N36" s="50">
        <v>0</v>
      </c>
      <c r="O36" s="15">
        <f t="shared" si="0"/>
        <v>99</v>
      </c>
      <c r="P36" s="15">
        <f t="shared" si="1"/>
        <v>269</v>
      </c>
    </row>
    <row r="37" spans="2:20" ht="23.1" customHeight="1" x14ac:dyDescent="0.25">
      <c r="B37" s="23" t="s">
        <v>64</v>
      </c>
      <c r="C37" s="50">
        <v>59</v>
      </c>
      <c r="D37" s="50">
        <v>10</v>
      </c>
      <c r="E37" s="50">
        <v>6</v>
      </c>
      <c r="F37" s="50">
        <v>33</v>
      </c>
      <c r="G37" s="50">
        <v>0</v>
      </c>
      <c r="H37" s="50">
        <v>0</v>
      </c>
      <c r="I37" s="50">
        <v>6</v>
      </c>
      <c r="J37" s="50">
        <v>22</v>
      </c>
      <c r="K37" s="50">
        <v>4</v>
      </c>
      <c r="L37" s="50">
        <v>0</v>
      </c>
      <c r="M37" s="50">
        <v>175</v>
      </c>
      <c r="N37" s="50">
        <v>0</v>
      </c>
      <c r="O37" s="15">
        <f t="shared" si="0"/>
        <v>140</v>
      </c>
      <c r="P37" s="15">
        <f t="shared" si="1"/>
        <v>315</v>
      </c>
    </row>
    <row r="38" spans="2:20" ht="23.1" customHeight="1" x14ac:dyDescent="0.25">
      <c r="B38" s="24" t="s">
        <v>65</v>
      </c>
      <c r="C38" s="50">
        <v>44</v>
      </c>
      <c r="D38" s="50">
        <v>8</v>
      </c>
      <c r="E38" s="50">
        <v>1</v>
      </c>
      <c r="F38" s="50">
        <v>27</v>
      </c>
      <c r="G38" s="50">
        <v>1</v>
      </c>
      <c r="H38" s="50">
        <v>0</v>
      </c>
      <c r="I38" s="50">
        <v>5</v>
      </c>
      <c r="J38" s="50">
        <v>16</v>
      </c>
      <c r="K38" s="50">
        <v>6</v>
      </c>
      <c r="L38" s="50">
        <v>0</v>
      </c>
      <c r="M38" s="50">
        <v>185</v>
      </c>
      <c r="N38" s="50">
        <v>0</v>
      </c>
      <c r="O38" s="15">
        <f t="shared" si="0"/>
        <v>108</v>
      </c>
      <c r="P38" s="15">
        <f t="shared" si="1"/>
        <v>293</v>
      </c>
    </row>
    <row r="39" spans="2:20" ht="23.1" customHeight="1" x14ac:dyDescent="0.25">
      <c r="B39" s="24" t="s">
        <v>66</v>
      </c>
      <c r="C39" s="50">
        <v>52</v>
      </c>
      <c r="D39" s="50">
        <v>5</v>
      </c>
      <c r="E39" s="50">
        <v>3</v>
      </c>
      <c r="F39" s="50">
        <v>34</v>
      </c>
      <c r="G39" s="50">
        <v>1</v>
      </c>
      <c r="H39" s="50">
        <v>0</v>
      </c>
      <c r="I39" s="50">
        <v>5</v>
      </c>
      <c r="J39" s="50">
        <v>15</v>
      </c>
      <c r="K39" s="50">
        <v>5</v>
      </c>
      <c r="L39" s="50">
        <v>0</v>
      </c>
      <c r="M39" s="50">
        <v>220</v>
      </c>
      <c r="N39" s="50">
        <v>0</v>
      </c>
      <c r="O39" s="15">
        <f t="shared" si="0"/>
        <v>120</v>
      </c>
      <c r="P39" s="15">
        <f t="shared" si="1"/>
        <v>340</v>
      </c>
    </row>
    <row r="40" spans="2:20" ht="23.1" customHeight="1" x14ac:dyDescent="0.25">
      <c r="B40" s="24" t="s">
        <v>67</v>
      </c>
      <c r="C40" s="50">
        <v>47</v>
      </c>
      <c r="D40" s="50">
        <v>5</v>
      </c>
      <c r="E40" s="50">
        <v>8</v>
      </c>
      <c r="F40" s="50">
        <v>26</v>
      </c>
      <c r="G40" s="50">
        <v>0</v>
      </c>
      <c r="H40" s="50">
        <v>1</v>
      </c>
      <c r="I40" s="50">
        <v>6</v>
      </c>
      <c r="J40" s="50">
        <v>13</v>
      </c>
      <c r="K40" s="50">
        <v>1</v>
      </c>
      <c r="L40" s="50">
        <v>1</v>
      </c>
      <c r="M40" s="50">
        <v>200</v>
      </c>
      <c r="N40" s="50">
        <v>0</v>
      </c>
      <c r="O40" s="15">
        <f t="shared" si="0"/>
        <v>108</v>
      </c>
      <c r="P40" s="15">
        <f t="shared" si="1"/>
        <v>308</v>
      </c>
    </row>
    <row r="41" spans="2:20" ht="23.1" customHeight="1" x14ac:dyDescent="0.25">
      <c r="B41" s="23" t="s">
        <v>68</v>
      </c>
      <c r="C41" s="50">
        <v>28</v>
      </c>
      <c r="D41" s="50">
        <v>3</v>
      </c>
      <c r="E41" s="50">
        <v>1</v>
      </c>
      <c r="F41" s="50">
        <v>21</v>
      </c>
      <c r="G41" s="50">
        <v>0</v>
      </c>
      <c r="H41" s="50">
        <v>0</v>
      </c>
      <c r="I41" s="50">
        <v>1</v>
      </c>
      <c r="J41" s="50">
        <v>11</v>
      </c>
      <c r="K41" s="50">
        <v>1</v>
      </c>
      <c r="L41" s="50">
        <v>0</v>
      </c>
      <c r="M41" s="50">
        <v>160</v>
      </c>
      <c r="N41" s="50">
        <v>0</v>
      </c>
      <c r="O41" s="15">
        <f t="shared" si="0"/>
        <v>66</v>
      </c>
      <c r="P41" s="15">
        <f t="shared" si="1"/>
        <v>226</v>
      </c>
    </row>
    <row r="42" spans="2:20" ht="23.1" customHeight="1" x14ac:dyDescent="0.25">
      <c r="B42" s="24" t="s">
        <v>69</v>
      </c>
      <c r="C42" s="50">
        <v>40</v>
      </c>
      <c r="D42" s="50">
        <v>2</v>
      </c>
      <c r="E42" s="50">
        <v>4</v>
      </c>
      <c r="F42" s="50">
        <v>17</v>
      </c>
      <c r="G42" s="50">
        <v>0</v>
      </c>
      <c r="H42" s="50">
        <v>0</v>
      </c>
      <c r="I42" s="50">
        <v>2</v>
      </c>
      <c r="J42" s="50">
        <v>9</v>
      </c>
      <c r="K42" s="50">
        <v>1</v>
      </c>
      <c r="L42" s="50">
        <v>0</v>
      </c>
      <c r="M42" s="50">
        <v>135</v>
      </c>
      <c r="N42" s="50">
        <v>0</v>
      </c>
      <c r="O42" s="15">
        <f t="shared" si="0"/>
        <v>75</v>
      </c>
      <c r="P42" s="15">
        <f t="shared" si="1"/>
        <v>210</v>
      </c>
    </row>
    <row r="43" spans="2:20" ht="23.1" customHeight="1" x14ac:dyDescent="0.25">
      <c r="B43" s="23" t="s">
        <v>70</v>
      </c>
      <c r="C43" s="50">
        <v>36</v>
      </c>
      <c r="D43" s="50">
        <v>7</v>
      </c>
      <c r="E43" s="50">
        <v>2</v>
      </c>
      <c r="F43" s="50">
        <v>25</v>
      </c>
      <c r="G43" s="50">
        <v>1</v>
      </c>
      <c r="H43" s="50">
        <v>0</v>
      </c>
      <c r="I43" s="50">
        <v>6</v>
      </c>
      <c r="J43" s="50">
        <v>7</v>
      </c>
      <c r="K43" s="50">
        <v>4</v>
      </c>
      <c r="L43" s="50">
        <v>0</v>
      </c>
      <c r="M43" s="50">
        <v>225</v>
      </c>
      <c r="N43" s="50">
        <v>0</v>
      </c>
      <c r="O43" s="15">
        <f t="shared" si="0"/>
        <v>88</v>
      </c>
      <c r="P43" s="15">
        <f t="shared" si="1"/>
        <v>313</v>
      </c>
    </row>
    <row r="44" spans="2:20" ht="23.1" customHeight="1" x14ac:dyDescent="0.25">
      <c r="B44" s="25" t="s">
        <v>71</v>
      </c>
      <c r="C44" s="50">
        <v>41</v>
      </c>
      <c r="D44" s="50">
        <v>4</v>
      </c>
      <c r="E44" s="50">
        <v>2</v>
      </c>
      <c r="F44" s="50">
        <v>55</v>
      </c>
      <c r="G44" s="50">
        <v>0</v>
      </c>
      <c r="H44" s="50">
        <v>0</v>
      </c>
      <c r="I44" s="50">
        <v>2</v>
      </c>
      <c r="J44" s="50">
        <v>16</v>
      </c>
      <c r="K44" s="50">
        <v>1</v>
      </c>
      <c r="L44" s="50">
        <v>0</v>
      </c>
      <c r="M44" s="50">
        <v>205</v>
      </c>
      <c r="N44" s="50">
        <v>0</v>
      </c>
      <c r="O44" s="15">
        <f t="shared" si="0"/>
        <v>121</v>
      </c>
      <c r="P44" s="15">
        <f t="shared" si="1"/>
        <v>326</v>
      </c>
    </row>
    <row r="45" spans="2:20" ht="23.1" customHeight="1" x14ac:dyDescent="0.25">
      <c r="B45" s="23" t="s">
        <v>72</v>
      </c>
      <c r="C45" s="50">
        <v>46</v>
      </c>
      <c r="D45" s="50">
        <v>5</v>
      </c>
      <c r="E45" s="50">
        <v>5</v>
      </c>
      <c r="F45" s="50">
        <v>25</v>
      </c>
      <c r="G45" s="50">
        <v>0</v>
      </c>
      <c r="H45" s="50">
        <v>0</v>
      </c>
      <c r="I45" s="50">
        <v>7</v>
      </c>
      <c r="J45" s="50">
        <v>9</v>
      </c>
      <c r="K45" s="50">
        <v>5</v>
      </c>
      <c r="L45" s="50">
        <v>0</v>
      </c>
      <c r="M45" s="50">
        <v>215</v>
      </c>
      <c r="N45" s="50">
        <v>0</v>
      </c>
      <c r="O45" s="15">
        <f t="shared" si="0"/>
        <v>102</v>
      </c>
      <c r="P45" s="15">
        <f t="shared" si="1"/>
        <v>317</v>
      </c>
    </row>
    <row r="46" spans="2:20" ht="23.1" customHeight="1" x14ac:dyDescent="0.25">
      <c r="B46" s="24" t="s">
        <v>73</v>
      </c>
      <c r="C46" s="50">
        <v>64</v>
      </c>
      <c r="D46" s="50">
        <v>10</v>
      </c>
      <c r="E46" s="50">
        <v>8</v>
      </c>
      <c r="F46" s="50">
        <v>33</v>
      </c>
      <c r="G46" s="50">
        <v>0</v>
      </c>
      <c r="H46" s="50">
        <v>0</v>
      </c>
      <c r="I46" s="50">
        <v>4</v>
      </c>
      <c r="J46" s="50">
        <v>19</v>
      </c>
      <c r="K46" s="50">
        <v>0</v>
      </c>
      <c r="L46" s="50">
        <v>0</v>
      </c>
      <c r="M46" s="50">
        <v>165</v>
      </c>
      <c r="N46" s="50">
        <v>0</v>
      </c>
      <c r="O46" s="15">
        <f t="shared" si="0"/>
        <v>138</v>
      </c>
      <c r="P46" s="15">
        <f t="shared" si="1"/>
        <v>303</v>
      </c>
      <c r="R46" s="8"/>
      <c r="T46"/>
    </row>
    <row r="47" spans="2:20" ht="23.1" customHeight="1" x14ac:dyDescent="0.25">
      <c r="B47" s="24" t="s">
        <v>74</v>
      </c>
      <c r="C47" s="50">
        <v>35</v>
      </c>
      <c r="D47" s="50">
        <v>7</v>
      </c>
      <c r="E47" s="50">
        <v>2</v>
      </c>
      <c r="F47" s="50">
        <v>16</v>
      </c>
      <c r="G47" s="50">
        <v>0</v>
      </c>
      <c r="H47" s="50">
        <v>0</v>
      </c>
      <c r="I47" s="50">
        <v>2</v>
      </c>
      <c r="J47" s="50">
        <v>17</v>
      </c>
      <c r="K47" s="50">
        <v>0</v>
      </c>
      <c r="L47" s="50">
        <v>0</v>
      </c>
      <c r="M47" s="50">
        <v>185</v>
      </c>
      <c r="N47" s="50">
        <v>0</v>
      </c>
      <c r="O47" s="15">
        <f t="shared" si="0"/>
        <v>79</v>
      </c>
      <c r="P47" s="15">
        <f t="shared" si="1"/>
        <v>264</v>
      </c>
      <c r="R47" s="8"/>
      <c r="T47"/>
    </row>
    <row r="48" spans="2:20" ht="23.1" customHeight="1" x14ac:dyDescent="0.25">
      <c r="B48" s="24" t="s">
        <v>75</v>
      </c>
      <c r="C48" s="50">
        <v>53</v>
      </c>
      <c r="D48" s="50">
        <v>4</v>
      </c>
      <c r="E48" s="50">
        <v>8</v>
      </c>
      <c r="F48" s="50">
        <v>31</v>
      </c>
      <c r="G48" s="50">
        <v>0</v>
      </c>
      <c r="H48" s="50">
        <v>0</v>
      </c>
      <c r="I48" s="50">
        <v>4</v>
      </c>
      <c r="J48" s="50">
        <v>10</v>
      </c>
      <c r="K48" s="50">
        <v>2</v>
      </c>
      <c r="L48" s="50">
        <v>0</v>
      </c>
      <c r="M48" s="50">
        <v>175</v>
      </c>
      <c r="N48" s="50">
        <v>0</v>
      </c>
      <c r="O48" s="15">
        <f t="shared" si="0"/>
        <v>112</v>
      </c>
      <c r="P48" s="15">
        <f t="shared" si="1"/>
        <v>287</v>
      </c>
      <c r="R48" s="8"/>
      <c r="T48"/>
    </row>
    <row r="49" spans="2:20" ht="23.1" customHeight="1" x14ac:dyDescent="0.25">
      <c r="B49" s="23" t="s">
        <v>76</v>
      </c>
      <c r="C49" s="50">
        <v>37</v>
      </c>
      <c r="D49" s="50">
        <v>1</v>
      </c>
      <c r="E49" s="50">
        <v>6</v>
      </c>
      <c r="F49" s="50">
        <v>29</v>
      </c>
      <c r="G49" s="50">
        <v>2</v>
      </c>
      <c r="H49" s="50">
        <v>0</v>
      </c>
      <c r="I49" s="50">
        <v>3</v>
      </c>
      <c r="J49" s="50">
        <v>12</v>
      </c>
      <c r="K49" s="50">
        <v>2</v>
      </c>
      <c r="L49" s="50">
        <v>0</v>
      </c>
      <c r="M49" s="50">
        <v>190</v>
      </c>
      <c r="N49" s="50">
        <v>0</v>
      </c>
      <c r="O49" s="15">
        <f t="shared" si="0"/>
        <v>92</v>
      </c>
      <c r="P49" s="15">
        <f t="shared" si="1"/>
        <v>282</v>
      </c>
      <c r="R49" s="8"/>
      <c r="T49"/>
    </row>
    <row r="50" spans="2:20" ht="23.1" customHeight="1" x14ac:dyDescent="0.25">
      <c r="B50" s="24" t="s">
        <v>77</v>
      </c>
      <c r="C50" s="50">
        <v>34</v>
      </c>
      <c r="D50" s="50">
        <v>3</v>
      </c>
      <c r="E50" s="50">
        <v>2</v>
      </c>
      <c r="F50" s="50">
        <v>29</v>
      </c>
      <c r="G50" s="50">
        <v>0</v>
      </c>
      <c r="H50" s="50">
        <v>1</v>
      </c>
      <c r="I50" s="50">
        <v>0</v>
      </c>
      <c r="J50" s="50">
        <v>17</v>
      </c>
      <c r="K50" s="50">
        <v>4</v>
      </c>
      <c r="L50" s="50">
        <v>0</v>
      </c>
      <c r="M50" s="50">
        <v>190</v>
      </c>
      <c r="N50" s="50">
        <v>0</v>
      </c>
      <c r="O50" s="15">
        <f t="shared" si="0"/>
        <v>90</v>
      </c>
      <c r="P50" s="15">
        <f t="shared" si="1"/>
        <v>280</v>
      </c>
      <c r="R50" s="8"/>
      <c r="T50"/>
    </row>
    <row r="51" spans="2:20" ht="23.1" customHeight="1" x14ac:dyDescent="0.25">
      <c r="B51" s="24" t="s">
        <v>78</v>
      </c>
      <c r="C51" s="50">
        <v>46</v>
      </c>
      <c r="D51" s="50">
        <v>4</v>
      </c>
      <c r="E51" s="50">
        <v>1</v>
      </c>
      <c r="F51" s="50">
        <v>38</v>
      </c>
      <c r="G51" s="50">
        <v>0</v>
      </c>
      <c r="H51" s="50">
        <v>1</v>
      </c>
      <c r="I51" s="50">
        <v>2</v>
      </c>
      <c r="J51" s="50">
        <v>11</v>
      </c>
      <c r="K51" s="50">
        <v>5</v>
      </c>
      <c r="L51" s="50">
        <v>0</v>
      </c>
      <c r="M51" s="50">
        <v>200</v>
      </c>
      <c r="N51" s="50">
        <v>0</v>
      </c>
      <c r="O51" s="15">
        <f t="shared" si="0"/>
        <v>108</v>
      </c>
      <c r="P51" s="15">
        <f t="shared" si="1"/>
        <v>308</v>
      </c>
      <c r="R51" s="8"/>
      <c r="T51"/>
    </row>
    <row r="52" spans="2:20" ht="23.1" customHeight="1" x14ac:dyDescent="0.25">
      <c r="B52" s="24" t="s">
        <v>79</v>
      </c>
      <c r="C52" s="50">
        <v>53</v>
      </c>
      <c r="D52" s="50">
        <v>3</v>
      </c>
      <c r="E52" s="50">
        <v>3</v>
      </c>
      <c r="F52" s="50">
        <v>29</v>
      </c>
      <c r="G52" s="50">
        <v>0</v>
      </c>
      <c r="H52" s="50">
        <v>1</v>
      </c>
      <c r="I52" s="50">
        <v>3</v>
      </c>
      <c r="J52" s="50">
        <v>11</v>
      </c>
      <c r="K52" s="50">
        <v>2</v>
      </c>
      <c r="L52" s="50">
        <v>0</v>
      </c>
      <c r="M52" s="50">
        <v>165</v>
      </c>
      <c r="N52" s="50">
        <v>0</v>
      </c>
      <c r="O52" s="15">
        <f t="shared" si="0"/>
        <v>105</v>
      </c>
      <c r="P52" s="15">
        <f t="shared" si="1"/>
        <v>270</v>
      </c>
      <c r="R52" s="8"/>
      <c r="T52"/>
    </row>
    <row r="53" spans="2:20" ht="23.1" customHeight="1" x14ac:dyDescent="0.25">
      <c r="B53" s="23" t="s">
        <v>80</v>
      </c>
      <c r="C53" s="50">
        <v>37</v>
      </c>
      <c r="D53" s="50">
        <v>2</v>
      </c>
      <c r="E53" s="50">
        <v>1</v>
      </c>
      <c r="F53" s="50">
        <v>36</v>
      </c>
      <c r="G53" s="50">
        <v>0</v>
      </c>
      <c r="H53" s="50">
        <v>0</v>
      </c>
      <c r="I53" s="50">
        <v>6</v>
      </c>
      <c r="J53" s="50">
        <v>11</v>
      </c>
      <c r="K53" s="50">
        <v>4</v>
      </c>
      <c r="L53" s="50">
        <v>0</v>
      </c>
      <c r="M53" s="50">
        <v>110</v>
      </c>
      <c r="N53" s="50">
        <v>0</v>
      </c>
      <c r="O53" s="15">
        <f t="shared" si="0"/>
        <v>97</v>
      </c>
      <c r="P53" s="15">
        <f t="shared" si="1"/>
        <v>207</v>
      </c>
      <c r="R53" s="8"/>
      <c r="T53"/>
    </row>
    <row r="54" spans="2:20" ht="23.1" customHeight="1" x14ac:dyDescent="0.25">
      <c r="B54" s="23" t="s">
        <v>81</v>
      </c>
      <c r="C54" s="50">
        <v>40</v>
      </c>
      <c r="D54" s="50">
        <v>5</v>
      </c>
      <c r="E54" s="50">
        <v>4</v>
      </c>
      <c r="F54" s="50">
        <v>44</v>
      </c>
      <c r="G54" s="50">
        <v>2</v>
      </c>
      <c r="H54" s="50">
        <v>0</v>
      </c>
      <c r="I54" s="50">
        <v>8</v>
      </c>
      <c r="J54" s="50">
        <v>17</v>
      </c>
      <c r="K54" s="50">
        <v>0</v>
      </c>
      <c r="L54" s="50">
        <v>3</v>
      </c>
      <c r="M54" s="50">
        <v>150</v>
      </c>
      <c r="N54" s="50">
        <v>0</v>
      </c>
      <c r="O54" s="15">
        <f t="shared" si="0"/>
        <v>123</v>
      </c>
      <c r="P54" s="15">
        <f t="shared" si="1"/>
        <v>273</v>
      </c>
      <c r="R54" s="8"/>
      <c r="T54"/>
    </row>
    <row r="55" spans="2:20" ht="23.1" customHeight="1" x14ac:dyDescent="0.25">
      <c r="B55" s="23" t="s">
        <v>82</v>
      </c>
      <c r="C55" s="50">
        <v>38</v>
      </c>
      <c r="D55" s="50">
        <v>6</v>
      </c>
      <c r="E55" s="50">
        <v>1</v>
      </c>
      <c r="F55" s="50">
        <v>39</v>
      </c>
      <c r="G55" s="50">
        <v>2</v>
      </c>
      <c r="H55" s="50">
        <v>0</v>
      </c>
      <c r="I55" s="50">
        <v>3</v>
      </c>
      <c r="J55" s="50">
        <v>11</v>
      </c>
      <c r="K55" s="50">
        <v>2</v>
      </c>
      <c r="L55" s="50">
        <v>1</v>
      </c>
      <c r="M55" s="50">
        <v>105</v>
      </c>
      <c r="N55" s="50">
        <v>0</v>
      </c>
      <c r="O55" s="15">
        <f t="shared" si="0"/>
        <v>103</v>
      </c>
      <c r="P55" s="15">
        <f t="shared" si="1"/>
        <v>208</v>
      </c>
      <c r="R55" s="8"/>
      <c r="T55"/>
    </row>
    <row r="56" spans="2:20" ht="23.1" customHeight="1" x14ac:dyDescent="0.25">
      <c r="B56" s="23" t="s">
        <v>83</v>
      </c>
      <c r="C56" s="50">
        <v>34</v>
      </c>
      <c r="D56" s="50">
        <v>4</v>
      </c>
      <c r="E56" s="50">
        <v>2</v>
      </c>
      <c r="F56" s="50">
        <v>43</v>
      </c>
      <c r="G56" s="50">
        <v>2</v>
      </c>
      <c r="H56" s="50">
        <v>3</v>
      </c>
      <c r="I56" s="50">
        <v>4</v>
      </c>
      <c r="J56" s="50">
        <v>15</v>
      </c>
      <c r="K56" s="50">
        <v>2</v>
      </c>
      <c r="L56" s="50">
        <v>1</v>
      </c>
      <c r="M56" s="50">
        <v>180</v>
      </c>
      <c r="N56" s="50">
        <v>0</v>
      </c>
      <c r="O56" s="15">
        <f t="shared" si="0"/>
        <v>110</v>
      </c>
      <c r="P56" s="15">
        <f t="shared" si="1"/>
        <v>290</v>
      </c>
      <c r="R56" s="8"/>
      <c r="T56"/>
    </row>
    <row r="57" spans="2:20" ht="23.1" customHeight="1" x14ac:dyDescent="0.25">
      <c r="B57" s="23" t="s">
        <v>84</v>
      </c>
      <c r="C57" s="50">
        <v>44</v>
      </c>
      <c r="D57" s="50">
        <v>4</v>
      </c>
      <c r="E57" s="50">
        <v>4</v>
      </c>
      <c r="F57" s="50">
        <v>42</v>
      </c>
      <c r="G57" s="50">
        <v>1</v>
      </c>
      <c r="H57" s="50">
        <v>1</v>
      </c>
      <c r="I57" s="50">
        <v>5</v>
      </c>
      <c r="J57" s="50">
        <v>7</v>
      </c>
      <c r="K57" s="50">
        <v>1</v>
      </c>
      <c r="L57" s="50">
        <v>0</v>
      </c>
      <c r="M57" s="50">
        <v>200</v>
      </c>
      <c r="N57" s="50">
        <v>0</v>
      </c>
      <c r="O57" s="15">
        <f t="shared" si="0"/>
        <v>109</v>
      </c>
      <c r="P57" s="15">
        <f t="shared" si="1"/>
        <v>309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2271</v>
      </c>
      <c r="D58" s="16">
        <f t="shared" si="21"/>
        <v>235</v>
      </c>
      <c r="E58" s="16">
        <f t="shared" si="21"/>
        <v>178</v>
      </c>
      <c r="F58" s="16">
        <f t="shared" si="21"/>
        <v>1630</v>
      </c>
      <c r="G58" s="16">
        <f t="shared" si="21"/>
        <v>29</v>
      </c>
      <c r="H58" s="16">
        <f t="shared" si="21"/>
        <v>17</v>
      </c>
      <c r="I58" s="16">
        <f t="shared" si="21"/>
        <v>296</v>
      </c>
      <c r="J58" s="16">
        <f t="shared" si="21"/>
        <v>722</v>
      </c>
      <c r="K58" s="16">
        <f t="shared" si="21"/>
        <v>108</v>
      </c>
      <c r="L58" s="16">
        <f t="shared" si="21"/>
        <v>58</v>
      </c>
      <c r="M58" s="16">
        <f t="shared" si="21"/>
        <v>8500</v>
      </c>
      <c r="N58" s="16">
        <f t="shared" si="21"/>
        <v>1</v>
      </c>
      <c r="O58" s="16">
        <f t="shared" si="21"/>
        <v>5545</v>
      </c>
      <c r="P58" s="16">
        <f t="shared" si="21"/>
        <v>14045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0.16169455322178711</v>
      </c>
      <c r="D59" s="43">
        <f t="shared" si="22"/>
        <v>1.673193307226771E-2</v>
      </c>
      <c r="E59" s="43">
        <f t="shared" si="22"/>
        <v>1.2673549305802776E-2</v>
      </c>
      <c r="F59" s="43">
        <f t="shared" si="22"/>
        <v>0.11605553577785689</v>
      </c>
      <c r="G59" s="43">
        <f t="shared" si="22"/>
        <v>2.0647917408330367E-3</v>
      </c>
      <c r="H59" s="43">
        <f t="shared" si="22"/>
        <v>1.2103951584193663E-3</v>
      </c>
      <c r="I59" s="43">
        <f t="shared" si="22"/>
        <v>2.1075115699537201E-2</v>
      </c>
      <c r="J59" s="43">
        <f t="shared" si="22"/>
        <v>5.1406194375222501E-2</v>
      </c>
      <c r="K59" s="43">
        <f t="shared" si="22"/>
        <v>7.6895692417230333E-3</v>
      </c>
      <c r="L59" s="43">
        <f t="shared" si="22"/>
        <v>4.1295834816660734E-3</v>
      </c>
      <c r="M59" s="43">
        <f t="shared" si="22"/>
        <v>0.6051975792096832</v>
      </c>
      <c r="N59" s="43">
        <f t="shared" si="22"/>
        <v>7.1199715201139191E-5</v>
      </c>
      <c r="R59" s="8"/>
      <c r="T59"/>
    </row>
    <row r="60" spans="2:20" ht="23.1" customHeight="1" x14ac:dyDescent="0.25">
      <c r="B60" s="42" t="s">
        <v>94</v>
      </c>
      <c r="C60" s="44">
        <f>C58/$O$58</f>
        <v>0.40955816050495941</v>
      </c>
      <c r="D60" s="44">
        <f t="shared" ref="D60:N60" si="23">D58/$O$58</f>
        <v>4.2380522993688011E-2</v>
      </c>
      <c r="E60" s="44">
        <f t="shared" si="23"/>
        <v>3.2100991884580703E-2</v>
      </c>
      <c r="F60" s="44">
        <f t="shared" si="23"/>
        <v>0.2939585211902615</v>
      </c>
      <c r="G60" s="44">
        <f t="shared" si="23"/>
        <v>5.2299368800721368E-3</v>
      </c>
      <c r="H60" s="44">
        <f t="shared" si="23"/>
        <v>3.0658250676284943E-3</v>
      </c>
      <c r="I60" s="44">
        <f t="shared" si="23"/>
        <v>5.3381424706943195E-2</v>
      </c>
      <c r="J60" s="44">
        <f t="shared" si="23"/>
        <v>0.13020739404869253</v>
      </c>
      <c r="K60" s="44">
        <f t="shared" si="23"/>
        <v>1.9477006311992787E-2</v>
      </c>
      <c r="L60" s="44">
        <f t="shared" si="23"/>
        <v>1.0459873760144274E-2</v>
      </c>
      <c r="M60" s="44"/>
      <c r="N60" s="44">
        <f t="shared" si="23"/>
        <v>1.8034265103697024E-4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K5" activeCellId="8" sqref="K5:L5 D6:E6 D6:E6 D5 C3:G3 G6:H6 G5:H5 K6:L6 K5:L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8" t="s">
        <v>23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</row>
    <row r="2" spans="2:32" ht="20.100000000000001" customHeight="1" x14ac:dyDescent="0.25">
      <c r="B2" s="59" t="s">
        <v>95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</row>
    <row r="3" spans="2:32" ht="20.100000000000001" customHeight="1" x14ac:dyDescent="0.25">
      <c r="B3" s="22" t="s">
        <v>96</v>
      </c>
      <c r="C3" s="63" t="str">
        <f>'22.07 Ndeeba-Nateete'!C3:G3</f>
        <v>MCC - C1 - STN07 - MASAKA ROAD</v>
      </c>
      <c r="D3" s="63"/>
      <c r="E3" s="63"/>
      <c r="F3" s="63"/>
      <c r="G3" s="63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51" t="str">
        <f>'24.07 Nateete-Ndeeba'!D5</f>
        <v>24.07.19</v>
      </c>
      <c r="E5" s="3"/>
      <c r="F5" s="41" t="s">
        <v>1</v>
      </c>
      <c r="G5" s="64" t="str">
        <f>'22.07 Nateete-Ndeeba'!G5:H5</f>
        <v>Rhino Funeral Services</v>
      </c>
      <c r="H5" s="65"/>
      <c r="I5" s="14"/>
      <c r="J5" s="2" t="s">
        <v>5</v>
      </c>
      <c r="K5" s="64" t="s">
        <v>179</v>
      </c>
      <c r="L5" s="65"/>
      <c r="M5" s="10"/>
      <c r="N5" s="10"/>
      <c r="O5" s="3"/>
      <c r="P5" s="3"/>
    </row>
    <row r="6" spans="2:32" ht="23.25" customHeight="1" x14ac:dyDescent="0.25">
      <c r="C6" s="2" t="s">
        <v>4</v>
      </c>
      <c r="D6" s="64" t="str">
        <f>'22.07 Ndeeba-Nateete'!D6:E6</f>
        <v>Ndeeba</v>
      </c>
      <c r="E6" s="65"/>
      <c r="F6" s="2" t="s">
        <v>2</v>
      </c>
      <c r="G6" s="64" t="str">
        <f>'22.07 Ndeeba-Nateete'!G6:H6</f>
        <v>Nateete</v>
      </c>
      <c r="H6" s="65"/>
      <c r="J6" s="2" t="s">
        <v>21</v>
      </c>
      <c r="K6" s="64" t="str">
        <f>'22.07 Nateete-Ndeeba'!K6:L6</f>
        <v>Felix</v>
      </c>
      <c r="L6" s="65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7" t="s">
        <v>88</v>
      </c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12</v>
      </c>
      <c r="D10" s="50">
        <v>3</v>
      </c>
      <c r="E10" s="50">
        <v>3</v>
      </c>
      <c r="F10" s="50">
        <v>17</v>
      </c>
      <c r="G10" s="50">
        <v>1</v>
      </c>
      <c r="H10" s="50">
        <v>0</v>
      </c>
      <c r="I10" s="50">
        <v>4</v>
      </c>
      <c r="J10" s="50">
        <v>2</v>
      </c>
      <c r="K10" s="50">
        <v>0</v>
      </c>
      <c r="L10" s="50">
        <v>0</v>
      </c>
      <c r="M10" s="50">
        <v>82</v>
      </c>
      <c r="N10" s="50">
        <v>0</v>
      </c>
      <c r="O10" s="15">
        <f t="shared" ref="O10:O57" si="0">SUM(C10:L10,N10)</f>
        <v>42</v>
      </c>
      <c r="P10" s="15">
        <f t="shared" ref="P10:P57" si="1">SUM(C10:N10)</f>
        <v>124</v>
      </c>
      <c r="R10" s="1" t="s">
        <v>6</v>
      </c>
      <c r="S10" s="17">
        <f t="shared" ref="S10:AF10" si="2">SUM(C10:C13)</f>
        <v>49</v>
      </c>
      <c r="T10" s="17">
        <f t="shared" si="2"/>
        <v>19</v>
      </c>
      <c r="U10" s="17">
        <f t="shared" si="2"/>
        <v>7</v>
      </c>
      <c r="V10" s="17">
        <f t="shared" si="2"/>
        <v>80</v>
      </c>
      <c r="W10" s="17">
        <f t="shared" si="2"/>
        <v>2</v>
      </c>
      <c r="X10" s="17">
        <f t="shared" si="2"/>
        <v>1</v>
      </c>
      <c r="Y10" s="17">
        <f t="shared" si="2"/>
        <v>24</v>
      </c>
      <c r="Z10" s="17">
        <f t="shared" si="2"/>
        <v>4</v>
      </c>
      <c r="AA10" s="17">
        <f t="shared" si="2"/>
        <v>0</v>
      </c>
      <c r="AB10" s="17">
        <f t="shared" si="2"/>
        <v>2</v>
      </c>
      <c r="AC10" s="17">
        <f t="shared" si="2"/>
        <v>476</v>
      </c>
      <c r="AD10" s="17">
        <f t="shared" si="2"/>
        <v>0</v>
      </c>
      <c r="AE10" s="31">
        <f t="shared" si="2"/>
        <v>188</v>
      </c>
      <c r="AF10" s="31">
        <f t="shared" si="2"/>
        <v>664</v>
      </c>
    </row>
    <row r="11" spans="2:32" s="6" customFormat="1" ht="23.1" customHeight="1" x14ac:dyDescent="0.25">
      <c r="B11" s="23" t="s">
        <v>38</v>
      </c>
      <c r="C11" s="50">
        <v>4</v>
      </c>
      <c r="D11" s="50">
        <v>3</v>
      </c>
      <c r="E11" s="50">
        <v>0</v>
      </c>
      <c r="F11" s="50">
        <v>17</v>
      </c>
      <c r="G11" s="50">
        <v>0</v>
      </c>
      <c r="H11" s="50">
        <v>0</v>
      </c>
      <c r="I11" s="50">
        <v>1</v>
      </c>
      <c r="J11" s="50">
        <v>1</v>
      </c>
      <c r="K11" s="50">
        <v>0</v>
      </c>
      <c r="L11" s="50">
        <v>0</v>
      </c>
      <c r="M11" s="50">
        <v>95</v>
      </c>
      <c r="N11" s="50">
        <v>0</v>
      </c>
      <c r="O11" s="15">
        <f t="shared" si="0"/>
        <v>26</v>
      </c>
      <c r="P11" s="15">
        <f t="shared" si="1"/>
        <v>121</v>
      </c>
      <c r="R11" s="1" t="s">
        <v>7</v>
      </c>
      <c r="S11" s="17">
        <f t="shared" ref="S11:AF11" si="3">SUM(C14:C17)</f>
        <v>76</v>
      </c>
      <c r="T11" s="17">
        <f t="shared" si="3"/>
        <v>24</v>
      </c>
      <c r="U11" s="17">
        <f t="shared" si="3"/>
        <v>7</v>
      </c>
      <c r="V11" s="17">
        <f t="shared" si="3"/>
        <v>141</v>
      </c>
      <c r="W11" s="17">
        <f t="shared" si="3"/>
        <v>6</v>
      </c>
      <c r="X11" s="17">
        <f t="shared" si="3"/>
        <v>0</v>
      </c>
      <c r="Y11" s="17">
        <f t="shared" si="3"/>
        <v>30</v>
      </c>
      <c r="Z11" s="17">
        <f t="shared" si="3"/>
        <v>13</v>
      </c>
      <c r="AA11" s="17">
        <f t="shared" si="3"/>
        <v>0</v>
      </c>
      <c r="AB11" s="17">
        <f t="shared" si="3"/>
        <v>1</v>
      </c>
      <c r="AC11" s="17">
        <f t="shared" si="3"/>
        <v>871</v>
      </c>
      <c r="AD11" s="17">
        <f t="shared" si="3"/>
        <v>0</v>
      </c>
      <c r="AE11" s="31">
        <f t="shared" si="3"/>
        <v>298</v>
      </c>
      <c r="AF11" s="31">
        <f t="shared" si="3"/>
        <v>1169</v>
      </c>
    </row>
    <row r="12" spans="2:32" ht="23.1" customHeight="1" x14ac:dyDescent="0.25">
      <c r="B12" s="23" t="s">
        <v>39</v>
      </c>
      <c r="C12" s="50">
        <v>13</v>
      </c>
      <c r="D12" s="50">
        <v>5</v>
      </c>
      <c r="E12" s="50">
        <v>0</v>
      </c>
      <c r="F12" s="50">
        <v>18</v>
      </c>
      <c r="G12" s="50">
        <v>0</v>
      </c>
      <c r="H12" s="50">
        <v>1</v>
      </c>
      <c r="I12" s="50">
        <v>9</v>
      </c>
      <c r="J12" s="50">
        <v>0</v>
      </c>
      <c r="K12" s="50">
        <v>0</v>
      </c>
      <c r="L12" s="50">
        <v>1</v>
      </c>
      <c r="M12" s="50">
        <v>89</v>
      </c>
      <c r="N12" s="50">
        <v>0</v>
      </c>
      <c r="O12" s="15">
        <f t="shared" si="0"/>
        <v>47</v>
      </c>
      <c r="P12" s="15">
        <f t="shared" si="1"/>
        <v>136</v>
      </c>
      <c r="R12" s="1" t="s">
        <v>8</v>
      </c>
      <c r="S12" s="17">
        <f t="shared" ref="S12:AF12" si="4">SUM(C18:C21)</f>
        <v>140</v>
      </c>
      <c r="T12" s="17">
        <f t="shared" si="4"/>
        <v>59</v>
      </c>
      <c r="U12" s="17">
        <f t="shared" si="4"/>
        <v>13</v>
      </c>
      <c r="V12" s="17">
        <f t="shared" si="4"/>
        <v>268</v>
      </c>
      <c r="W12" s="17">
        <f t="shared" si="4"/>
        <v>18</v>
      </c>
      <c r="X12" s="17">
        <f t="shared" si="4"/>
        <v>1</v>
      </c>
      <c r="Y12" s="17">
        <f t="shared" si="4"/>
        <v>84</v>
      </c>
      <c r="Z12" s="17">
        <f t="shared" si="4"/>
        <v>14</v>
      </c>
      <c r="AA12" s="17">
        <f t="shared" si="4"/>
        <v>3</v>
      </c>
      <c r="AB12" s="17">
        <f t="shared" si="4"/>
        <v>2</v>
      </c>
      <c r="AC12" s="17">
        <f t="shared" si="4"/>
        <v>842</v>
      </c>
      <c r="AD12" s="17">
        <f t="shared" si="4"/>
        <v>0</v>
      </c>
      <c r="AE12" s="31">
        <f t="shared" si="4"/>
        <v>602</v>
      </c>
      <c r="AF12" s="31">
        <f t="shared" si="4"/>
        <v>1444</v>
      </c>
    </row>
    <row r="13" spans="2:32" ht="23.1" customHeight="1" x14ac:dyDescent="0.25">
      <c r="B13" s="23" t="s">
        <v>40</v>
      </c>
      <c r="C13" s="50">
        <v>20</v>
      </c>
      <c r="D13" s="50">
        <v>8</v>
      </c>
      <c r="E13" s="50">
        <v>4</v>
      </c>
      <c r="F13" s="50">
        <v>28</v>
      </c>
      <c r="G13" s="50">
        <v>1</v>
      </c>
      <c r="H13" s="50">
        <v>0</v>
      </c>
      <c r="I13" s="50">
        <v>10</v>
      </c>
      <c r="J13" s="50">
        <v>1</v>
      </c>
      <c r="K13" s="50">
        <v>0</v>
      </c>
      <c r="L13" s="50">
        <v>1</v>
      </c>
      <c r="M13" s="50">
        <v>210</v>
      </c>
      <c r="N13" s="50">
        <v>0</v>
      </c>
      <c r="O13" s="15">
        <f t="shared" si="0"/>
        <v>73</v>
      </c>
      <c r="P13" s="15">
        <f t="shared" si="1"/>
        <v>283</v>
      </c>
      <c r="R13" s="1" t="s">
        <v>9</v>
      </c>
      <c r="S13" s="17">
        <f t="shared" ref="S13:AF13" si="5">SUM(C22:C25)</f>
        <v>97</v>
      </c>
      <c r="T13" s="17">
        <f t="shared" si="5"/>
        <v>42</v>
      </c>
      <c r="U13" s="17">
        <f t="shared" si="5"/>
        <v>21</v>
      </c>
      <c r="V13" s="17">
        <f t="shared" si="5"/>
        <v>183</v>
      </c>
      <c r="W13" s="17">
        <f t="shared" si="5"/>
        <v>7</v>
      </c>
      <c r="X13" s="17">
        <f t="shared" si="5"/>
        <v>6</v>
      </c>
      <c r="Y13" s="17">
        <f t="shared" si="5"/>
        <v>61</v>
      </c>
      <c r="Z13" s="17">
        <f t="shared" si="5"/>
        <v>26</v>
      </c>
      <c r="AA13" s="17">
        <f t="shared" si="5"/>
        <v>6</v>
      </c>
      <c r="AB13" s="17">
        <f t="shared" si="5"/>
        <v>9</v>
      </c>
      <c r="AC13" s="17">
        <f t="shared" si="5"/>
        <v>739</v>
      </c>
      <c r="AD13" s="17">
        <f t="shared" si="5"/>
        <v>0</v>
      </c>
      <c r="AE13" s="31">
        <f t="shared" si="5"/>
        <v>458</v>
      </c>
      <c r="AF13" s="31">
        <f t="shared" si="5"/>
        <v>1197</v>
      </c>
    </row>
    <row r="14" spans="2:32" ht="23.1" customHeight="1" x14ac:dyDescent="0.25">
      <c r="B14" s="23" t="s">
        <v>41</v>
      </c>
      <c r="C14" s="50">
        <v>11</v>
      </c>
      <c r="D14" s="50">
        <v>10</v>
      </c>
      <c r="E14" s="50">
        <v>0</v>
      </c>
      <c r="F14" s="50">
        <v>36</v>
      </c>
      <c r="G14" s="50">
        <v>1</v>
      </c>
      <c r="H14" s="50">
        <v>0</v>
      </c>
      <c r="I14" s="50">
        <v>8</v>
      </c>
      <c r="J14" s="50">
        <v>4</v>
      </c>
      <c r="K14" s="50">
        <v>0</v>
      </c>
      <c r="L14" s="50">
        <v>0</v>
      </c>
      <c r="M14" s="50">
        <v>188</v>
      </c>
      <c r="N14" s="50">
        <v>0</v>
      </c>
      <c r="O14" s="15">
        <f t="shared" si="0"/>
        <v>70</v>
      </c>
      <c r="P14" s="15">
        <f t="shared" si="1"/>
        <v>258</v>
      </c>
      <c r="R14" s="1" t="s">
        <v>10</v>
      </c>
      <c r="S14" s="17">
        <f t="shared" ref="S14:AF14" si="6">SUM(C26:C29)</f>
        <v>96</v>
      </c>
      <c r="T14" s="17">
        <f t="shared" si="6"/>
        <v>32</v>
      </c>
      <c r="U14" s="17">
        <f t="shared" si="6"/>
        <v>17</v>
      </c>
      <c r="V14" s="17">
        <f t="shared" si="6"/>
        <v>158</v>
      </c>
      <c r="W14" s="17">
        <f t="shared" si="6"/>
        <v>1</v>
      </c>
      <c r="X14" s="17">
        <f t="shared" si="6"/>
        <v>2</v>
      </c>
      <c r="Y14" s="17">
        <f t="shared" si="6"/>
        <v>51</v>
      </c>
      <c r="Z14" s="17">
        <f t="shared" si="6"/>
        <v>15</v>
      </c>
      <c r="AA14" s="17">
        <f t="shared" si="6"/>
        <v>10</v>
      </c>
      <c r="AB14" s="17">
        <f t="shared" si="6"/>
        <v>13</v>
      </c>
      <c r="AC14" s="17">
        <f t="shared" si="6"/>
        <v>620</v>
      </c>
      <c r="AD14" s="17">
        <f t="shared" si="6"/>
        <v>0</v>
      </c>
      <c r="AE14" s="31">
        <f t="shared" si="6"/>
        <v>395</v>
      </c>
      <c r="AF14" s="31">
        <f t="shared" si="6"/>
        <v>1015</v>
      </c>
    </row>
    <row r="15" spans="2:32" ht="23.1" customHeight="1" x14ac:dyDescent="0.25">
      <c r="B15" s="23" t="s">
        <v>42</v>
      </c>
      <c r="C15" s="50">
        <v>30</v>
      </c>
      <c r="D15" s="50">
        <v>6</v>
      </c>
      <c r="E15" s="50">
        <v>1</v>
      </c>
      <c r="F15" s="50">
        <v>31</v>
      </c>
      <c r="G15" s="50">
        <v>4</v>
      </c>
      <c r="H15" s="50">
        <v>0</v>
      </c>
      <c r="I15" s="50">
        <v>4</v>
      </c>
      <c r="J15" s="50">
        <v>3</v>
      </c>
      <c r="K15" s="50">
        <v>0</v>
      </c>
      <c r="L15" s="50">
        <v>1</v>
      </c>
      <c r="M15" s="50">
        <v>195</v>
      </c>
      <c r="N15" s="50">
        <v>0</v>
      </c>
      <c r="O15" s="15">
        <f t="shared" si="0"/>
        <v>80</v>
      </c>
      <c r="P15" s="15">
        <f t="shared" si="1"/>
        <v>275</v>
      </c>
      <c r="R15" s="1" t="s">
        <v>11</v>
      </c>
      <c r="S15" s="17">
        <f t="shared" ref="S15:AF15" si="7">SUM(C30:C33)</f>
        <v>115</v>
      </c>
      <c r="T15" s="17">
        <f t="shared" si="7"/>
        <v>52</v>
      </c>
      <c r="U15" s="17">
        <f t="shared" si="7"/>
        <v>17</v>
      </c>
      <c r="V15" s="17">
        <f t="shared" si="7"/>
        <v>155</v>
      </c>
      <c r="W15" s="17">
        <f t="shared" si="7"/>
        <v>2</v>
      </c>
      <c r="X15" s="17">
        <f t="shared" si="7"/>
        <v>0</v>
      </c>
      <c r="Y15" s="17">
        <f t="shared" si="7"/>
        <v>116</v>
      </c>
      <c r="Z15" s="17">
        <f t="shared" si="7"/>
        <v>33</v>
      </c>
      <c r="AA15" s="17">
        <f t="shared" si="7"/>
        <v>9</v>
      </c>
      <c r="AB15" s="17">
        <f t="shared" si="7"/>
        <v>8</v>
      </c>
      <c r="AC15" s="17">
        <f t="shared" si="7"/>
        <v>777</v>
      </c>
      <c r="AD15" s="17">
        <f t="shared" si="7"/>
        <v>0</v>
      </c>
      <c r="AE15" s="31">
        <f t="shared" si="7"/>
        <v>507</v>
      </c>
      <c r="AF15" s="31">
        <f t="shared" si="7"/>
        <v>1284</v>
      </c>
    </row>
    <row r="16" spans="2:32" ht="23.1" customHeight="1" x14ac:dyDescent="0.25">
      <c r="B16" s="23" t="s">
        <v>43</v>
      </c>
      <c r="C16" s="50">
        <v>3</v>
      </c>
      <c r="D16" s="50">
        <v>0</v>
      </c>
      <c r="E16" s="50">
        <v>2</v>
      </c>
      <c r="F16" s="50">
        <v>29</v>
      </c>
      <c r="G16" s="50">
        <v>1</v>
      </c>
      <c r="H16" s="50">
        <v>0</v>
      </c>
      <c r="I16" s="50">
        <v>5</v>
      </c>
      <c r="J16" s="50">
        <v>2</v>
      </c>
      <c r="K16" s="50">
        <v>0</v>
      </c>
      <c r="L16" s="50">
        <v>0</v>
      </c>
      <c r="M16" s="50">
        <v>200</v>
      </c>
      <c r="N16" s="50">
        <v>0</v>
      </c>
      <c r="O16" s="15">
        <f t="shared" si="0"/>
        <v>42</v>
      </c>
      <c r="P16" s="15">
        <f t="shared" si="1"/>
        <v>242</v>
      </c>
      <c r="R16" s="1" t="s">
        <v>12</v>
      </c>
      <c r="S16" s="17">
        <f t="shared" ref="S16:AF16" si="8">SUM(C34:C37)</f>
        <v>83</v>
      </c>
      <c r="T16" s="17">
        <f t="shared" si="8"/>
        <v>25</v>
      </c>
      <c r="U16" s="17">
        <f t="shared" si="8"/>
        <v>19</v>
      </c>
      <c r="V16" s="17">
        <f t="shared" si="8"/>
        <v>160</v>
      </c>
      <c r="W16" s="17">
        <f t="shared" si="8"/>
        <v>0</v>
      </c>
      <c r="X16" s="17">
        <f t="shared" si="8"/>
        <v>0</v>
      </c>
      <c r="Y16" s="17">
        <f t="shared" si="8"/>
        <v>47</v>
      </c>
      <c r="Z16" s="17">
        <f t="shared" si="8"/>
        <v>20</v>
      </c>
      <c r="AA16" s="17">
        <f t="shared" si="8"/>
        <v>11</v>
      </c>
      <c r="AB16" s="17">
        <f t="shared" si="8"/>
        <v>4</v>
      </c>
      <c r="AC16" s="17">
        <f t="shared" si="8"/>
        <v>650</v>
      </c>
      <c r="AD16" s="17">
        <f t="shared" si="8"/>
        <v>0</v>
      </c>
      <c r="AE16" s="31">
        <f t="shared" si="8"/>
        <v>369</v>
      </c>
      <c r="AF16" s="31">
        <f t="shared" si="8"/>
        <v>1019</v>
      </c>
    </row>
    <row r="17" spans="2:32" ht="23.1" customHeight="1" x14ac:dyDescent="0.25">
      <c r="B17" s="23" t="s">
        <v>44</v>
      </c>
      <c r="C17" s="50">
        <v>32</v>
      </c>
      <c r="D17" s="50">
        <v>8</v>
      </c>
      <c r="E17" s="50">
        <v>4</v>
      </c>
      <c r="F17" s="50">
        <v>45</v>
      </c>
      <c r="G17" s="50">
        <v>0</v>
      </c>
      <c r="H17" s="50">
        <v>0</v>
      </c>
      <c r="I17" s="50">
        <v>13</v>
      </c>
      <c r="J17" s="50">
        <v>4</v>
      </c>
      <c r="K17" s="50">
        <v>0</v>
      </c>
      <c r="L17" s="50">
        <v>0</v>
      </c>
      <c r="M17" s="50">
        <v>288</v>
      </c>
      <c r="N17" s="50">
        <v>0</v>
      </c>
      <c r="O17" s="15">
        <f t="shared" si="0"/>
        <v>106</v>
      </c>
      <c r="P17" s="15">
        <f t="shared" si="1"/>
        <v>394</v>
      </c>
      <c r="R17" s="1" t="s">
        <v>13</v>
      </c>
      <c r="S17" s="17">
        <f t="shared" ref="S17:AF17" si="9">SUM(C38:C41)</f>
        <v>108</v>
      </c>
      <c r="T17" s="17">
        <f t="shared" si="9"/>
        <v>36</v>
      </c>
      <c r="U17" s="17">
        <f t="shared" si="9"/>
        <v>8</v>
      </c>
      <c r="V17" s="17">
        <f t="shared" si="9"/>
        <v>128</v>
      </c>
      <c r="W17" s="17">
        <f t="shared" si="9"/>
        <v>2</v>
      </c>
      <c r="X17" s="17">
        <f t="shared" si="9"/>
        <v>0</v>
      </c>
      <c r="Y17" s="17">
        <f t="shared" si="9"/>
        <v>52</v>
      </c>
      <c r="Z17" s="17">
        <f t="shared" si="9"/>
        <v>34</v>
      </c>
      <c r="AA17" s="17">
        <f t="shared" si="9"/>
        <v>11</v>
      </c>
      <c r="AB17" s="17">
        <f t="shared" si="9"/>
        <v>3</v>
      </c>
      <c r="AC17" s="17">
        <f t="shared" si="9"/>
        <v>260</v>
      </c>
      <c r="AD17" s="17">
        <f t="shared" si="9"/>
        <v>0</v>
      </c>
      <c r="AE17" s="31">
        <f t="shared" si="9"/>
        <v>382</v>
      </c>
      <c r="AF17" s="31">
        <f t="shared" si="9"/>
        <v>642</v>
      </c>
    </row>
    <row r="18" spans="2:32" ht="23.1" customHeight="1" x14ac:dyDescent="0.25">
      <c r="B18" s="23" t="s">
        <v>45</v>
      </c>
      <c r="C18" s="50">
        <v>34</v>
      </c>
      <c r="D18" s="50">
        <v>12</v>
      </c>
      <c r="E18" s="50">
        <v>6</v>
      </c>
      <c r="F18" s="50">
        <v>86</v>
      </c>
      <c r="G18" s="50">
        <v>0</v>
      </c>
      <c r="H18" s="50">
        <v>0</v>
      </c>
      <c r="I18" s="50">
        <v>20</v>
      </c>
      <c r="J18" s="50">
        <v>6</v>
      </c>
      <c r="K18" s="50">
        <v>0</v>
      </c>
      <c r="L18" s="50">
        <v>0</v>
      </c>
      <c r="M18" s="50">
        <v>230</v>
      </c>
      <c r="N18" s="50">
        <v>0</v>
      </c>
      <c r="O18" s="15">
        <f t="shared" si="0"/>
        <v>164</v>
      </c>
      <c r="P18" s="15">
        <f t="shared" si="1"/>
        <v>394</v>
      </c>
      <c r="R18" s="1" t="s">
        <v>14</v>
      </c>
      <c r="S18" s="17">
        <f t="shared" ref="S18:AF18" si="10">SUM(C42:C45)</f>
        <v>43</v>
      </c>
      <c r="T18" s="17">
        <f t="shared" si="10"/>
        <v>14</v>
      </c>
      <c r="U18" s="17">
        <f t="shared" si="10"/>
        <v>10</v>
      </c>
      <c r="V18" s="17">
        <f t="shared" si="10"/>
        <v>94</v>
      </c>
      <c r="W18" s="17">
        <f t="shared" si="10"/>
        <v>2</v>
      </c>
      <c r="X18" s="17">
        <f t="shared" si="10"/>
        <v>0</v>
      </c>
      <c r="Y18" s="17">
        <f t="shared" si="10"/>
        <v>42</v>
      </c>
      <c r="Z18" s="17">
        <f t="shared" si="10"/>
        <v>66</v>
      </c>
      <c r="AA18" s="17">
        <f t="shared" si="10"/>
        <v>27</v>
      </c>
      <c r="AB18" s="17">
        <f t="shared" si="10"/>
        <v>7</v>
      </c>
      <c r="AC18" s="17">
        <f t="shared" si="10"/>
        <v>614</v>
      </c>
      <c r="AD18" s="17">
        <f t="shared" si="10"/>
        <v>0</v>
      </c>
      <c r="AE18" s="31">
        <f t="shared" si="10"/>
        <v>305</v>
      </c>
      <c r="AF18" s="31">
        <f t="shared" si="10"/>
        <v>919</v>
      </c>
    </row>
    <row r="19" spans="2:32" ht="23.1" customHeight="1" x14ac:dyDescent="0.25">
      <c r="B19" s="23" t="s">
        <v>46</v>
      </c>
      <c r="C19" s="50">
        <v>45</v>
      </c>
      <c r="D19" s="50">
        <v>11</v>
      </c>
      <c r="E19" s="50">
        <v>4</v>
      </c>
      <c r="F19" s="50">
        <v>68</v>
      </c>
      <c r="G19" s="50">
        <v>15</v>
      </c>
      <c r="H19" s="50">
        <v>0</v>
      </c>
      <c r="I19" s="50">
        <v>22</v>
      </c>
      <c r="J19" s="50">
        <v>2</v>
      </c>
      <c r="K19" s="50">
        <v>1</v>
      </c>
      <c r="L19" s="50">
        <v>0</v>
      </c>
      <c r="M19" s="50">
        <v>190</v>
      </c>
      <c r="N19" s="50">
        <v>0</v>
      </c>
      <c r="O19" s="15">
        <f t="shared" si="0"/>
        <v>168</v>
      </c>
      <c r="P19" s="15">
        <f t="shared" si="1"/>
        <v>358</v>
      </c>
      <c r="R19" s="1" t="s">
        <v>15</v>
      </c>
      <c r="S19" s="17">
        <f t="shared" ref="S19:AF19" si="11">SUM(C46:C49)</f>
        <v>126</v>
      </c>
      <c r="T19" s="17">
        <f t="shared" si="11"/>
        <v>45</v>
      </c>
      <c r="U19" s="17">
        <f t="shared" si="11"/>
        <v>17</v>
      </c>
      <c r="V19" s="17">
        <f t="shared" si="11"/>
        <v>132</v>
      </c>
      <c r="W19" s="17">
        <f t="shared" si="11"/>
        <v>5</v>
      </c>
      <c r="X19" s="17">
        <f t="shared" si="11"/>
        <v>5</v>
      </c>
      <c r="Y19" s="17">
        <f t="shared" si="11"/>
        <v>56</v>
      </c>
      <c r="Z19" s="17">
        <f t="shared" si="11"/>
        <v>28</v>
      </c>
      <c r="AA19" s="17">
        <f t="shared" si="11"/>
        <v>5</v>
      </c>
      <c r="AB19" s="17">
        <f t="shared" si="11"/>
        <v>5</v>
      </c>
      <c r="AC19" s="17">
        <f t="shared" si="11"/>
        <v>586</v>
      </c>
      <c r="AD19" s="17">
        <f t="shared" si="11"/>
        <v>0</v>
      </c>
      <c r="AE19" s="31">
        <f t="shared" si="11"/>
        <v>424</v>
      </c>
      <c r="AF19" s="31">
        <f t="shared" si="11"/>
        <v>1010</v>
      </c>
    </row>
    <row r="20" spans="2:32" ht="23.1" customHeight="1" x14ac:dyDescent="0.25">
      <c r="B20" s="23" t="s">
        <v>47</v>
      </c>
      <c r="C20" s="50">
        <v>48</v>
      </c>
      <c r="D20" s="50">
        <v>17</v>
      </c>
      <c r="E20" s="50">
        <v>1</v>
      </c>
      <c r="F20" s="50">
        <v>60</v>
      </c>
      <c r="G20" s="50">
        <v>0</v>
      </c>
      <c r="H20" s="50">
        <v>1</v>
      </c>
      <c r="I20" s="50">
        <v>24</v>
      </c>
      <c r="J20" s="50">
        <v>4</v>
      </c>
      <c r="K20" s="50">
        <v>0</v>
      </c>
      <c r="L20" s="50">
        <v>1</v>
      </c>
      <c r="M20" s="50">
        <v>195</v>
      </c>
      <c r="N20" s="50">
        <v>0</v>
      </c>
      <c r="O20" s="15">
        <f t="shared" si="0"/>
        <v>156</v>
      </c>
      <c r="P20" s="15">
        <f t="shared" si="1"/>
        <v>351</v>
      </c>
      <c r="R20" s="1" t="s">
        <v>16</v>
      </c>
      <c r="S20" s="17">
        <f t="shared" ref="S20:AF20" si="12">SUM(C50:C53)</f>
        <v>158</v>
      </c>
      <c r="T20" s="17">
        <f t="shared" si="12"/>
        <v>45</v>
      </c>
      <c r="U20" s="17">
        <f t="shared" si="12"/>
        <v>18</v>
      </c>
      <c r="V20" s="17">
        <f t="shared" si="12"/>
        <v>105</v>
      </c>
      <c r="W20" s="17">
        <f t="shared" si="12"/>
        <v>2</v>
      </c>
      <c r="X20" s="17">
        <f t="shared" si="12"/>
        <v>1</v>
      </c>
      <c r="Y20" s="17">
        <f t="shared" si="12"/>
        <v>60</v>
      </c>
      <c r="Z20" s="17">
        <f t="shared" si="12"/>
        <v>39</v>
      </c>
      <c r="AA20" s="17">
        <f t="shared" si="12"/>
        <v>13</v>
      </c>
      <c r="AB20" s="17">
        <f t="shared" si="12"/>
        <v>8</v>
      </c>
      <c r="AC20" s="17">
        <f t="shared" si="12"/>
        <v>526</v>
      </c>
      <c r="AD20" s="17">
        <f t="shared" si="12"/>
        <v>0</v>
      </c>
      <c r="AE20" s="31">
        <f t="shared" si="12"/>
        <v>449</v>
      </c>
      <c r="AF20" s="31">
        <f t="shared" si="12"/>
        <v>975</v>
      </c>
    </row>
    <row r="21" spans="2:32" ht="23.1" customHeight="1" x14ac:dyDescent="0.25">
      <c r="B21" s="23" t="s">
        <v>48</v>
      </c>
      <c r="C21" s="50">
        <v>13</v>
      </c>
      <c r="D21" s="50">
        <v>19</v>
      </c>
      <c r="E21" s="50">
        <v>2</v>
      </c>
      <c r="F21" s="50">
        <v>54</v>
      </c>
      <c r="G21" s="50">
        <v>3</v>
      </c>
      <c r="H21" s="50">
        <v>0</v>
      </c>
      <c r="I21" s="50">
        <v>18</v>
      </c>
      <c r="J21" s="50">
        <v>2</v>
      </c>
      <c r="K21" s="50">
        <v>2</v>
      </c>
      <c r="L21" s="50">
        <v>1</v>
      </c>
      <c r="M21" s="50">
        <v>227</v>
      </c>
      <c r="N21" s="50">
        <v>0</v>
      </c>
      <c r="O21" s="15">
        <f t="shared" si="0"/>
        <v>114</v>
      </c>
      <c r="P21" s="15">
        <f t="shared" si="1"/>
        <v>341</v>
      </c>
      <c r="R21" s="36" t="s">
        <v>20</v>
      </c>
      <c r="S21" s="34">
        <f t="shared" ref="S21:AF21" si="13">SUM(C54:C57)</f>
        <v>156</v>
      </c>
      <c r="T21" s="17">
        <f t="shared" si="13"/>
        <v>94</v>
      </c>
      <c r="U21" s="17">
        <f t="shared" si="13"/>
        <v>9</v>
      </c>
      <c r="V21" s="17">
        <f t="shared" si="13"/>
        <v>97</v>
      </c>
      <c r="W21" s="17">
        <f t="shared" si="13"/>
        <v>2</v>
      </c>
      <c r="X21" s="17">
        <f t="shared" si="13"/>
        <v>1</v>
      </c>
      <c r="Y21" s="17">
        <f t="shared" si="13"/>
        <v>60</v>
      </c>
      <c r="Z21" s="17">
        <f t="shared" si="13"/>
        <v>60</v>
      </c>
      <c r="AA21" s="17">
        <f t="shared" si="13"/>
        <v>3</v>
      </c>
      <c r="AB21" s="17">
        <f t="shared" si="13"/>
        <v>9</v>
      </c>
      <c r="AC21" s="17">
        <f t="shared" si="13"/>
        <v>608</v>
      </c>
      <c r="AD21" s="17">
        <f t="shared" si="13"/>
        <v>0</v>
      </c>
      <c r="AE21" s="31">
        <f t="shared" si="13"/>
        <v>491</v>
      </c>
      <c r="AF21" s="31">
        <f t="shared" si="13"/>
        <v>1099</v>
      </c>
    </row>
    <row r="22" spans="2:32" ht="23.1" customHeight="1" x14ac:dyDescent="0.25">
      <c r="B22" s="23" t="s">
        <v>49</v>
      </c>
      <c r="C22" s="50">
        <v>34</v>
      </c>
      <c r="D22" s="50">
        <v>12</v>
      </c>
      <c r="E22" s="50">
        <v>21</v>
      </c>
      <c r="F22" s="50">
        <v>64</v>
      </c>
      <c r="G22" s="50">
        <v>0</v>
      </c>
      <c r="H22" s="50">
        <v>3</v>
      </c>
      <c r="I22" s="50">
        <v>2</v>
      </c>
      <c r="J22" s="50">
        <v>1</v>
      </c>
      <c r="K22" s="50">
        <v>1</v>
      </c>
      <c r="L22" s="50">
        <v>3</v>
      </c>
      <c r="M22" s="50">
        <v>234</v>
      </c>
      <c r="N22" s="50">
        <v>0</v>
      </c>
      <c r="O22" s="15">
        <f t="shared" si="0"/>
        <v>141</v>
      </c>
      <c r="P22" s="15">
        <f t="shared" si="1"/>
        <v>375</v>
      </c>
      <c r="R22" s="38" t="s">
        <v>90</v>
      </c>
      <c r="S22" s="39">
        <f>MAX(S10:S12)</f>
        <v>140</v>
      </c>
      <c r="T22" s="39">
        <f t="shared" ref="T22:AF22" si="14">MAX(T10:T12)</f>
        <v>59</v>
      </c>
      <c r="U22" s="39">
        <f t="shared" si="14"/>
        <v>13</v>
      </c>
      <c r="V22" s="39">
        <f t="shared" si="14"/>
        <v>268</v>
      </c>
      <c r="W22" s="39">
        <f t="shared" si="14"/>
        <v>18</v>
      </c>
      <c r="X22" s="39">
        <f t="shared" si="14"/>
        <v>1</v>
      </c>
      <c r="Y22" s="39">
        <f t="shared" si="14"/>
        <v>84</v>
      </c>
      <c r="Z22" s="39">
        <f t="shared" si="14"/>
        <v>14</v>
      </c>
      <c r="AA22" s="39">
        <f t="shared" si="14"/>
        <v>3</v>
      </c>
      <c r="AB22" s="39">
        <f t="shared" si="14"/>
        <v>2</v>
      </c>
      <c r="AC22" s="39">
        <f t="shared" si="14"/>
        <v>871</v>
      </c>
      <c r="AD22" s="39">
        <f t="shared" si="14"/>
        <v>0</v>
      </c>
      <c r="AE22" s="40">
        <f t="shared" si="14"/>
        <v>602</v>
      </c>
      <c r="AF22" s="40">
        <f t="shared" si="14"/>
        <v>1444</v>
      </c>
    </row>
    <row r="23" spans="2:32" ht="23.1" customHeight="1" x14ac:dyDescent="0.25">
      <c r="B23" s="23" t="s">
        <v>50</v>
      </c>
      <c r="C23" s="50">
        <v>24</v>
      </c>
      <c r="D23" s="50">
        <v>7</v>
      </c>
      <c r="E23" s="50">
        <v>0</v>
      </c>
      <c r="F23" s="50">
        <v>38</v>
      </c>
      <c r="G23" s="50">
        <v>0</v>
      </c>
      <c r="H23" s="50">
        <v>0</v>
      </c>
      <c r="I23" s="50">
        <v>15</v>
      </c>
      <c r="J23" s="50">
        <v>4</v>
      </c>
      <c r="K23" s="50">
        <v>0</v>
      </c>
      <c r="L23" s="50">
        <v>0</v>
      </c>
      <c r="M23" s="50">
        <v>112</v>
      </c>
      <c r="N23" s="50">
        <v>0</v>
      </c>
      <c r="O23" s="15">
        <f t="shared" si="0"/>
        <v>88</v>
      </c>
      <c r="P23" s="15">
        <f t="shared" si="1"/>
        <v>200</v>
      </c>
      <c r="R23" s="38" t="s">
        <v>91</v>
      </c>
      <c r="S23" s="39">
        <f>MAX(S13:S18)</f>
        <v>115</v>
      </c>
      <c r="T23" s="39">
        <f t="shared" ref="T23:AF23" si="15">MAX(T13:T18)</f>
        <v>52</v>
      </c>
      <c r="U23" s="39">
        <f t="shared" si="15"/>
        <v>21</v>
      </c>
      <c r="V23" s="39">
        <f t="shared" si="15"/>
        <v>183</v>
      </c>
      <c r="W23" s="39">
        <f t="shared" si="15"/>
        <v>7</v>
      </c>
      <c r="X23" s="39">
        <f t="shared" si="15"/>
        <v>6</v>
      </c>
      <c r="Y23" s="39">
        <f t="shared" si="15"/>
        <v>116</v>
      </c>
      <c r="Z23" s="39">
        <f t="shared" si="15"/>
        <v>66</v>
      </c>
      <c r="AA23" s="39">
        <f t="shared" si="15"/>
        <v>27</v>
      </c>
      <c r="AB23" s="39">
        <f t="shared" si="15"/>
        <v>13</v>
      </c>
      <c r="AC23" s="39">
        <f t="shared" si="15"/>
        <v>777</v>
      </c>
      <c r="AD23" s="39">
        <f t="shared" si="15"/>
        <v>0</v>
      </c>
      <c r="AE23" s="40">
        <f t="shared" si="15"/>
        <v>507</v>
      </c>
      <c r="AF23" s="40">
        <f t="shared" si="15"/>
        <v>1284</v>
      </c>
    </row>
    <row r="24" spans="2:32" ht="23.1" customHeight="1" x14ac:dyDescent="0.25">
      <c r="B24" s="23" t="s">
        <v>51</v>
      </c>
      <c r="C24" s="50">
        <v>28</v>
      </c>
      <c r="D24" s="50">
        <v>11</v>
      </c>
      <c r="E24" s="50">
        <v>0</v>
      </c>
      <c r="F24" s="50">
        <v>30</v>
      </c>
      <c r="G24" s="50">
        <v>6</v>
      </c>
      <c r="H24" s="50">
        <v>3</v>
      </c>
      <c r="I24" s="50">
        <v>25</v>
      </c>
      <c r="J24" s="50">
        <v>12</v>
      </c>
      <c r="K24" s="50">
        <v>3</v>
      </c>
      <c r="L24" s="50">
        <v>3</v>
      </c>
      <c r="M24" s="50">
        <v>173</v>
      </c>
      <c r="N24" s="50">
        <v>0</v>
      </c>
      <c r="O24" s="15">
        <f t="shared" si="0"/>
        <v>121</v>
      </c>
      <c r="P24" s="15">
        <f t="shared" si="1"/>
        <v>294</v>
      </c>
      <c r="R24" s="38" t="s">
        <v>92</v>
      </c>
      <c r="S24" s="39">
        <f>MAX(S19:S21)</f>
        <v>158</v>
      </c>
      <c r="T24" s="39">
        <f t="shared" ref="T24:AF24" si="16">MAX(T19:T21)</f>
        <v>94</v>
      </c>
      <c r="U24" s="39">
        <f t="shared" si="16"/>
        <v>18</v>
      </c>
      <c r="V24" s="39">
        <f t="shared" si="16"/>
        <v>132</v>
      </c>
      <c r="W24" s="39">
        <f t="shared" si="16"/>
        <v>5</v>
      </c>
      <c r="X24" s="39">
        <f t="shared" si="16"/>
        <v>5</v>
      </c>
      <c r="Y24" s="39">
        <f t="shared" si="16"/>
        <v>60</v>
      </c>
      <c r="Z24" s="39">
        <f t="shared" si="16"/>
        <v>60</v>
      </c>
      <c r="AA24" s="39">
        <f t="shared" si="16"/>
        <v>13</v>
      </c>
      <c r="AB24" s="39">
        <f t="shared" si="16"/>
        <v>9</v>
      </c>
      <c r="AC24" s="39">
        <f t="shared" si="16"/>
        <v>608</v>
      </c>
      <c r="AD24" s="39">
        <f t="shared" si="16"/>
        <v>0</v>
      </c>
      <c r="AE24" s="40">
        <f t="shared" si="16"/>
        <v>491</v>
      </c>
      <c r="AF24" s="40">
        <f t="shared" si="16"/>
        <v>1099</v>
      </c>
    </row>
    <row r="25" spans="2:32" ht="23.1" customHeight="1" x14ac:dyDescent="0.25">
      <c r="B25" s="23" t="s">
        <v>52</v>
      </c>
      <c r="C25" s="50">
        <v>11</v>
      </c>
      <c r="D25" s="50">
        <v>12</v>
      </c>
      <c r="E25" s="50">
        <v>0</v>
      </c>
      <c r="F25" s="50">
        <v>51</v>
      </c>
      <c r="G25" s="50">
        <v>1</v>
      </c>
      <c r="H25" s="50">
        <v>0</v>
      </c>
      <c r="I25" s="50">
        <v>19</v>
      </c>
      <c r="J25" s="50">
        <v>9</v>
      </c>
      <c r="K25" s="50">
        <v>2</v>
      </c>
      <c r="L25" s="50">
        <v>3</v>
      </c>
      <c r="M25" s="50">
        <v>220</v>
      </c>
      <c r="N25" s="50">
        <v>0</v>
      </c>
      <c r="O25" s="15">
        <f t="shared" si="0"/>
        <v>108</v>
      </c>
      <c r="P25" s="15">
        <f t="shared" si="1"/>
        <v>328</v>
      </c>
      <c r="R25" s="37" t="s">
        <v>85</v>
      </c>
      <c r="S25" s="35">
        <f t="shared" ref="S25:AF25" si="17">SUM(S10:S12)</f>
        <v>265</v>
      </c>
      <c r="T25" s="16">
        <f t="shared" si="17"/>
        <v>102</v>
      </c>
      <c r="U25" s="16">
        <f t="shared" si="17"/>
        <v>27</v>
      </c>
      <c r="V25" s="16">
        <f t="shared" si="17"/>
        <v>489</v>
      </c>
      <c r="W25" s="16">
        <f t="shared" si="17"/>
        <v>26</v>
      </c>
      <c r="X25" s="16">
        <f t="shared" si="17"/>
        <v>2</v>
      </c>
      <c r="Y25" s="16">
        <f t="shared" si="17"/>
        <v>138</v>
      </c>
      <c r="Z25" s="16">
        <f t="shared" si="17"/>
        <v>31</v>
      </c>
      <c r="AA25" s="16">
        <f t="shared" si="17"/>
        <v>3</v>
      </c>
      <c r="AB25" s="16">
        <f t="shared" si="17"/>
        <v>5</v>
      </c>
      <c r="AC25" s="16">
        <f t="shared" si="17"/>
        <v>2189</v>
      </c>
      <c r="AD25" s="16">
        <f t="shared" si="17"/>
        <v>0</v>
      </c>
      <c r="AE25" s="32">
        <f t="shared" si="17"/>
        <v>1088</v>
      </c>
      <c r="AF25" s="32">
        <f t="shared" si="17"/>
        <v>3277</v>
      </c>
    </row>
    <row r="26" spans="2:32" ht="23.1" customHeight="1" x14ac:dyDescent="0.25">
      <c r="B26" s="23" t="s">
        <v>53</v>
      </c>
      <c r="C26" s="50">
        <v>23</v>
      </c>
      <c r="D26" s="50">
        <v>6</v>
      </c>
      <c r="E26" s="50">
        <v>1</v>
      </c>
      <c r="F26" s="50">
        <v>42</v>
      </c>
      <c r="G26" s="50">
        <v>0</v>
      </c>
      <c r="H26" s="50">
        <v>1</v>
      </c>
      <c r="I26" s="50">
        <v>19</v>
      </c>
      <c r="J26" s="50">
        <v>7</v>
      </c>
      <c r="K26" s="50">
        <v>1</v>
      </c>
      <c r="L26" s="50">
        <v>5</v>
      </c>
      <c r="M26" s="50">
        <v>150</v>
      </c>
      <c r="N26" s="50">
        <v>0</v>
      </c>
      <c r="O26" s="15">
        <f t="shared" si="0"/>
        <v>105</v>
      </c>
      <c r="P26" s="15">
        <f t="shared" si="1"/>
        <v>255</v>
      </c>
      <c r="R26" s="28" t="s">
        <v>86</v>
      </c>
      <c r="S26" s="16">
        <f t="shared" ref="S26:AF26" si="18">SUM(S13:S18)</f>
        <v>542</v>
      </c>
      <c r="T26" s="16">
        <f t="shared" si="18"/>
        <v>201</v>
      </c>
      <c r="U26" s="16">
        <f t="shared" si="18"/>
        <v>92</v>
      </c>
      <c r="V26" s="16">
        <f t="shared" si="18"/>
        <v>878</v>
      </c>
      <c r="W26" s="16">
        <f t="shared" si="18"/>
        <v>14</v>
      </c>
      <c r="X26" s="16">
        <f t="shared" si="18"/>
        <v>8</v>
      </c>
      <c r="Y26" s="16">
        <f t="shared" si="18"/>
        <v>369</v>
      </c>
      <c r="Z26" s="16">
        <f t="shared" si="18"/>
        <v>194</v>
      </c>
      <c r="AA26" s="16">
        <f t="shared" si="18"/>
        <v>74</v>
      </c>
      <c r="AB26" s="16">
        <f t="shared" si="18"/>
        <v>44</v>
      </c>
      <c r="AC26" s="16">
        <f t="shared" si="18"/>
        <v>3660</v>
      </c>
      <c r="AD26" s="16">
        <f t="shared" si="18"/>
        <v>0</v>
      </c>
      <c r="AE26" s="32">
        <f t="shared" si="18"/>
        <v>2416</v>
      </c>
      <c r="AF26" s="32">
        <f t="shared" si="18"/>
        <v>6076</v>
      </c>
    </row>
    <row r="27" spans="2:32" ht="23.1" customHeight="1" x14ac:dyDescent="0.25">
      <c r="B27" s="23" t="s">
        <v>54</v>
      </c>
      <c r="C27" s="50">
        <v>34</v>
      </c>
      <c r="D27" s="50">
        <v>12</v>
      </c>
      <c r="E27" s="50">
        <v>9</v>
      </c>
      <c r="F27" s="50">
        <v>45</v>
      </c>
      <c r="G27" s="50">
        <v>0</v>
      </c>
      <c r="H27" s="50">
        <v>0</v>
      </c>
      <c r="I27" s="50">
        <v>7</v>
      </c>
      <c r="J27" s="50">
        <v>2</v>
      </c>
      <c r="K27" s="50">
        <v>0</v>
      </c>
      <c r="L27" s="50">
        <v>3</v>
      </c>
      <c r="M27" s="50">
        <v>135</v>
      </c>
      <c r="N27" s="50">
        <v>0</v>
      </c>
      <c r="O27" s="15">
        <f t="shared" si="0"/>
        <v>112</v>
      </c>
      <c r="P27" s="15">
        <f t="shared" si="1"/>
        <v>247</v>
      </c>
      <c r="R27" s="29" t="s">
        <v>87</v>
      </c>
      <c r="S27" s="16">
        <f t="shared" ref="S27:AF27" si="19">SUM(S19:S21)</f>
        <v>440</v>
      </c>
      <c r="T27" s="16">
        <f t="shared" si="19"/>
        <v>184</v>
      </c>
      <c r="U27" s="16">
        <f t="shared" si="19"/>
        <v>44</v>
      </c>
      <c r="V27" s="16">
        <f t="shared" si="19"/>
        <v>334</v>
      </c>
      <c r="W27" s="16">
        <f t="shared" si="19"/>
        <v>9</v>
      </c>
      <c r="X27" s="16">
        <f t="shared" si="19"/>
        <v>7</v>
      </c>
      <c r="Y27" s="16">
        <f t="shared" si="19"/>
        <v>176</v>
      </c>
      <c r="Z27" s="16">
        <f t="shared" si="19"/>
        <v>127</v>
      </c>
      <c r="AA27" s="16">
        <f t="shared" si="19"/>
        <v>21</v>
      </c>
      <c r="AB27" s="16">
        <f t="shared" si="19"/>
        <v>22</v>
      </c>
      <c r="AC27" s="16">
        <f t="shared" si="19"/>
        <v>1720</v>
      </c>
      <c r="AD27" s="16">
        <f t="shared" si="19"/>
        <v>0</v>
      </c>
      <c r="AE27" s="32">
        <f t="shared" si="19"/>
        <v>1364</v>
      </c>
      <c r="AF27" s="32">
        <f t="shared" si="19"/>
        <v>3084</v>
      </c>
    </row>
    <row r="28" spans="2:32" ht="23.1" customHeight="1" x14ac:dyDescent="0.25">
      <c r="B28" s="23" t="s">
        <v>55</v>
      </c>
      <c r="C28" s="50">
        <v>7</v>
      </c>
      <c r="D28" s="50">
        <v>11</v>
      </c>
      <c r="E28" s="50">
        <v>2</v>
      </c>
      <c r="F28" s="50">
        <v>30</v>
      </c>
      <c r="G28" s="50">
        <v>0</v>
      </c>
      <c r="H28" s="50">
        <v>1</v>
      </c>
      <c r="I28" s="50">
        <v>14</v>
      </c>
      <c r="J28" s="50">
        <v>2</v>
      </c>
      <c r="K28" s="50">
        <v>8</v>
      </c>
      <c r="L28" s="50">
        <v>5</v>
      </c>
      <c r="M28" s="50">
        <v>160</v>
      </c>
      <c r="N28" s="50">
        <v>0</v>
      </c>
      <c r="O28" s="15">
        <f t="shared" si="0"/>
        <v>80</v>
      </c>
      <c r="P28" s="15">
        <f t="shared" si="1"/>
        <v>240</v>
      </c>
      <c r="R28" s="5" t="s">
        <v>17</v>
      </c>
      <c r="S28" s="16">
        <f t="shared" ref="S28:AF28" si="20">SUM(S10:S21)</f>
        <v>1247</v>
      </c>
      <c r="T28" s="16">
        <f t="shared" si="20"/>
        <v>487</v>
      </c>
      <c r="U28" s="16">
        <f t="shared" si="20"/>
        <v>163</v>
      </c>
      <c r="V28" s="16">
        <f t="shared" si="20"/>
        <v>1701</v>
      </c>
      <c r="W28" s="16">
        <f t="shared" si="20"/>
        <v>49</v>
      </c>
      <c r="X28" s="16">
        <f t="shared" si="20"/>
        <v>17</v>
      </c>
      <c r="Y28" s="16">
        <f t="shared" si="20"/>
        <v>683</v>
      </c>
      <c r="Z28" s="16">
        <f t="shared" si="20"/>
        <v>352</v>
      </c>
      <c r="AA28" s="16">
        <f t="shared" si="20"/>
        <v>98</v>
      </c>
      <c r="AB28" s="16">
        <f t="shared" si="20"/>
        <v>71</v>
      </c>
      <c r="AC28" s="16">
        <f t="shared" si="20"/>
        <v>7569</v>
      </c>
      <c r="AD28" s="16">
        <f t="shared" si="20"/>
        <v>0</v>
      </c>
      <c r="AE28" s="32">
        <f t="shared" si="20"/>
        <v>4868</v>
      </c>
      <c r="AF28" s="32">
        <f t="shared" si="20"/>
        <v>12437</v>
      </c>
    </row>
    <row r="29" spans="2:32" ht="23.1" customHeight="1" x14ac:dyDescent="0.25">
      <c r="B29" s="23" t="s">
        <v>56</v>
      </c>
      <c r="C29" s="50">
        <v>32</v>
      </c>
      <c r="D29" s="50">
        <v>3</v>
      </c>
      <c r="E29" s="50">
        <v>5</v>
      </c>
      <c r="F29" s="50">
        <v>41</v>
      </c>
      <c r="G29" s="50">
        <v>1</v>
      </c>
      <c r="H29" s="50">
        <v>0</v>
      </c>
      <c r="I29" s="50">
        <v>11</v>
      </c>
      <c r="J29" s="50">
        <v>4</v>
      </c>
      <c r="K29" s="50">
        <v>1</v>
      </c>
      <c r="L29" s="50">
        <v>0</v>
      </c>
      <c r="M29" s="50">
        <v>175</v>
      </c>
      <c r="N29" s="50">
        <v>0</v>
      </c>
      <c r="O29" s="15">
        <f t="shared" si="0"/>
        <v>98</v>
      </c>
      <c r="P29" s="15">
        <f t="shared" si="1"/>
        <v>273</v>
      </c>
      <c r="R29"/>
      <c r="S29" s="20"/>
      <c r="T29" s="19"/>
    </row>
    <row r="30" spans="2:32" ht="23.1" customHeight="1" x14ac:dyDescent="0.25">
      <c r="B30" s="23" t="s">
        <v>57</v>
      </c>
      <c r="C30" s="50">
        <v>19</v>
      </c>
      <c r="D30" s="50">
        <v>14</v>
      </c>
      <c r="E30" s="50">
        <v>5</v>
      </c>
      <c r="F30" s="50">
        <v>18</v>
      </c>
      <c r="G30" s="50">
        <v>1</v>
      </c>
      <c r="H30" s="50">
        <v>0</v>
      </c>
      <c r="I30" s="50">
        <v>12</v>
      </c>
      <c r="J30" s="50">
        <v>7</v>
      </c>
      <c r="K30" s="50">
        <v>2</v>
      </c>
      <c r="L30" s="50">
        <v>2</v>
      </c>
      <c r="M30" s="50">
        <v>210</v>
      </c>
      <c r="N30" s="50">
        <v>0</v>
      </c>
      <c r="O30" s="15">
        <f t="shared" si="0"/>
        <v>80</v>
      </c>
      <c r="P30" s="15">
        <f t="shared" si="1"/>
        <v>290</v>
      </c>
    </row>
    <row r="31" spans="2:32" ht="23.1" customHeight="1" x14ac:dyDescent="0.25">
      <c r="B31" s="24" t="s">
        <v>58</v>
      </c>
      <c r="C31" s="50">
        <v>46</v>
      </c>
      <c r="D31" s="50">
        <v>13</v>
      </c>
      <c r="E31" s="50">
        <v>3</v>
      </c>
      <c r="F31" s="50">
        <v>28</v>
      </c>
      <c r="G31" s="50">
        <v>0</v>
      </c>
      <c r="H31" s="50">
        <v>0</v>
      </c>
      <c r="I31" s="50">
        <v>45</v>
      </c>
      <c r="J31" s="50">
        <v>12</v>
      </c>
      <c r="K31" s="50">
        <v>3</v>
      </c>
      <c r="L31" s="50">
        <v>2</v>
      </c>
      <c r="M31" s="50">
        <v>174</v>
      </c>
      <c r="N31" s="50">
        <v>0</v>
      </c>
      <c r="O31" s="15">
        <f t="shared" si="0"/>
        <v>152</v>
      </c>
      <c r="P31" s="15">
        <f t="shared" si="1"/>
        <v>326</v>
      </c>
    </row>
    <row r="32" spans="2:32" ht="23.1" customHeight="1" x14ac:dyDescent="0.25">
      <c r="B32" s="24" t="s">
        <v>59</v>
      </c>
      <c r="C32" s="50">
        <v>16</v>
      </c>
      <c r="D32" s="50">
        <v>13</v>
      </c>
      <c r="E32" s="50">
        <v>6</v>
      </c>
      <c r="F32" s="50">
        <v>36</v>
      </c>
      <c r="G32" s="50">
        <v>1</v>
      </c>
      <c r="H32" s="50">
        <v>0</v>
      </c>
      <c r="I32" s="50">
        <v>19</v>
      </c>
      <c r="J32" s="50">
        <v>10</v>
      </c>
      <c r="K32" s="50">
        <v>4</v>
      </c>
      <c r="L32" s="50">
        <v>2</v>
      </c>
      <c r="M32" s="50">
        <v>170</v>
      </c>
      <c r="N32" s="50">
        <v>0</v>
      </c>
      <c r="O32" s="15">
        <f t="shared" si="0"/>
        <v>107</v>
      </c>
      <c r="P32" s="15">
        <f t="shared" si="1"/>
        <v>277</v>
      </c>
    </row>
    <row r="33" spans="2:20" ht="23.1" customHeight="1" x14ac:dyDescent="0.25">
      <c r="B33" s="23" t="s">
        <v>60</v>
      </c>
      <c r="C33" s="50">
        <v>34</v>
      </c>
      <c r="D33" s="50">
        <v>12</v>
      </c>
      <c r="E33" s="50">
        <v>3</v>
      </c>
      <c r="F33" s="50">
        <v>73</v>
      </c>
      <c r="G33" s="50">
        <v>0</v>
      </c>
      <c r="H33" s="50">
        <v>0</v>
      </c>
      <c r="I33" s="50">
        <v>40</v>
      </c>
      <c r="J33" s="50">
        <v>4</v>
      </c>
      <c r="K33" s="50">
        <v>0</v>
      </c>
      <c r="L33" s="50">
        <v>2</v>
      </c>
      <c r="M33" s="50">
        <v>223</v>
      </c>
      <c r="N33" s="50">
        <v>0</v>
      </c>
      <c r="O33" s="15">
        <f t="shared" si="0"/>
        <v>168</v>
      </c>
      <c r="P33" s="15">
        <f t="shared" si="1"/>
        <v>391</v>
      </c>
    </row>
    <row r="34" spans="2:20" ht="23.1" customHeight="1" x14ac:dyDescent="0.25">
      <c r="B34" s="24" t="s">
        <v>61</v>
      </c>
      <c r="C34" s="50">
        <v>22</v>
      </c>
      <c r="D34" s="50">
        <v>10</v>
      </c>
      <c r="E34" s="50">
        <v>5</v>
      </c>
      <c r="F34" s="50">
        <v>50</v>
      </c>
      <c r="G34" s="50">
        <v>0</v>
      </c>
      <c r="H34" s="50">
        <v>0</v>
      </c>
      <c r="I34" s="50">
        <v>10</v>
      </c>
      <c r="J34" s="50">
        <v>4</v>
      </c>
      <c r="K34" s="50">
        <v>2</v>
      </c>
      <c r="L34" s="50">
        <v>1</v>
      </c>
      <c r="M34" s="50">
        <v>185</v>
      </c>
      <c r="N34" s="50">
        <v>0</v>
      </c>
      <c r="O34" s="15">
        <f t="shared" si="0"/>
        <v>104</v>
      </c>
      <c r="P34" s="15">
        <f t="shared" si="1"/>
        <v>289</v>
      </c>
    </row>
    <row r="35" spans="2:20" ht="23.1" customHeight="1" x14ac:dyDescent="0.25">
      <c r="B35" s="24" t="s">
        <v>62</v>
      </c>
      <c r="C35" s="50">
        <v>35</v>
      </c>
      <c r="D35" s="50">
        <v>0</v>
      </c>
      <c r="E35" s="50">
        <v>1</v>
      </c>
      <c r="F35" s="50">
        <v>40</v>
      </c>
      <c r="G35" s="50">
        <v>0</v>
      </c>
      <c r="H35" s="50">
        <v>0</v>
      </c>
      <c r="I35" s="50">
        <v>16</v>
      </c>
      <c r="J35" s="50">
        <v>4</v>
      </c>
      <c r="K35" s="50">
        <v>3</v>
      </c>
      <c r="L35" s="50">
        <v>1</v>
      </c>
      <c r="M35" s="50">
        <v>175</v>
      </c>
      <c r="N35" s="50">
        <v>0</v>
      </c>
      <c r="O35" s="15">
        <f t="shared" si="0"/>
        <v>100</v>
      </c>
      <c r="P35" s="15">
        <f t="shared" si="1"/>
        <v>275</v>
      </c>
    </row>
    <row r="36" spans="2:20" ht="23.1" customHeight="1" x14ac:dyDescent="0.25">
      <c r="B36" s="24" t="s">
        <v>63</v>
      </c>
      <c r="C36" s="50">
        <v>15</v>
      </c>
      <c r="D36" s="50">
        <v>6</v>
      </c>
      <c r="E36" s="50">
        <v>4</v>
      </c>
      <c r="F36" s="50">
        <v>43</v>
      </c>
      <c r="G36" s="50">
        <v>0</v>
      </c>
      <c r="H36" s="50">
        <v>0</v>
      </c>
      <c r="I36" s="50">
        <v>8</v>
      </c>
      <c r="J36" s="50">
        <v>2</v>
      </c>
      <c r="K36" s="50">
        <v>0</v>
      </c>
      <c r="L36" s="50">
        <v>0</v>
      </c>
      <c r="M36" s="50">
        <v>130</v>
      </c>
      <c r="N36" s="50">
        <v>0</v>
      </c>
      <c r="O36" s="15">
        <f t="shared" si="0"/>
        <v>78</v>
      </c>
      <c r="P36" s="15">
        <f t="shared" si="1"/>
        <v>208</v>
      </c>
    </row>
    <row r="37" spans="2:20" ht="23.1" customHeight="1" x14ac:dyDescent="0.25">
      <c r="B37" s="23" t="s">
        <v>64</v>
      </c>
      <c r="C37" s="50">
        <v>11</v>
      </c>
      <c r="D37" s="50">
        <v>9</v>
      </c>
      <c r="E37" s="50">
        <v>9</v>
      </c>
      <c r="F37" s="50">
        <v>27</v>
      </c>
      <c r="G37" s="50">
        <v>0</v>
      </c>
      <c r="H37" s="50">
        <v>0</v>
      </c>
      <c r="I37" s="50">
        <v>13</v>
      </c>
      <c r="J37" s="50">
        <v>10</v>
      </c>
      <c r="K37" s="50">
        <v>6</v>
      </c>
      <c r="L37" s="50">
        <v>2</v>
      </c>
      <c r="M37" s="50">
        <v>160</v>
      </c>
      <c r="N37" s="50">
        <v>0</v>
      </c>
      <c r="O37" s="15">
        <f t="shared" si="0"/>
        <v>87</v>
      </c>
      <c r="P37" s="15">
        <f t="shared" si="1"/>
        <v>247</v>
      </c>
    </row>
    <row r="38" spans="2:20" ht="23.1" customHeight="1" x14ac:dyDescent="0.25">
      <c r="B38" s="24" t="s">
        <v>65</v>
      </c>
      <c r="C38" s="50">
        <v>33</v>
      </c>
      <c r="D38" s="50">
        <v>5</v>
      </c>
      <c r="E38" s="50">
        <v>2</v>
      </c>
      <c r="F38" s="50">
        <v>11</v>
      </c>
      <c r="G38" s="50">
        <v>1</v>
      </c>
      <c r="H38" s="50">
        <v>0</v>
      </c>
      <c r="I38" s="50">
        <v>4</v>
      </c>
      <c r="J38" s="50">
        <v>11</v>
      </c>
      <c r="K38" s="50">
        <v>5</v>
      </c>
      <c r="L38" s="50">
        <v>0</v>
      </c>
      <c r="M38" s="50">
        <v>72</v>
      </c>
      <c r="N38" s="50">
        <v>0</v>
      </c>
      <c r="O38" s="15">
        <f t="shared" si="0"/>
        <v>72</v>
      </c>
      <c r="P38" s="15">
        <f t="shared" si="1"/>
        <v>144</v>
      </c>
    </row>
    <row r="39" spans="2:20" ht="23.1" customHeight="1" x14ac:dyDescent="0.25">
      <c r="B39" s="24" t="s">
        <v>66</v>
      </c>
      <c r="C39" s="50">
        <v>41</v>
      </c>
      <c r="D39" s="50">
        <v>23</v>
      </c>
      <c r="E39" s="50">
        <v>0</v>
      </c>
      <c r="F39" s="50">
        <v>55</v>
      </c>
      <c r="G39" s="50">
        <v>1</v>
      </c>
      <c r="H39" s="50">
        <v>0</v>
      </c>
      <c r="I39" s="50">
        <v>28</v>
      </c>
      <c r="J39" s="50">
        <v>1</v>
      </c>
      <c r="K39" s="50">
        <v>0</v>
      </c>
      <c r="L39" s="50">
        <v>1</v>
      </c>
      <c r="M39" s="50">
        <v>91</v>
      </c>
      <c r="N39" s="50">
        <v>0</v>
      </c>
      <c r="O39" s="15">
        <f t="shared" si="0"/>
        <v>150</v>
      </c>
      <c r="P39" s="15">
        <f t="shared" si="1"/>
        <v>241</v>
      </c>
    </row>
    <row r="40" spans="2:20" ht="23.1" customHeight="1" x14ac:dyDescent="0.25">
      <c r="B40" s="24" t="s">
        <v>67</v>
      </c>
      <c r="C40" s="50">
        <v>27</v>
      </c>
      <c r="D40" s="50">
        <v>5</v>
      </c>
      <c r="E40" s="50">
        <v>3</v>
      </c>
      <c r="F40" s="50">
        <v>49</v>
      </c>
      <c r="G40" s="50">
        <v>0</v>
      </c>
      <c r="H40" s="50">
        <v>0</v>
      </c>
      <c r="I40" s="50">
        <v>12</v>
      </c>
      <c r="J40" s="50">
        <v>19</v>
      </c>
      <c r="K40" s="50">
        <v>3</v>
      </c>
      <c r="L40" s="50">
        <v>1</v>
      </c>
      <c r="M40" s="50">
        <v>37</v>
      </c>
      <c r="N40" s="50">
        <v>0</v>
      </c>
      <c r="O40" s="15">
        <f t="shared" si="0"/>
        <v>119</v>
      </c>
      <c r="P40" s="15">
        <f t="shared" si="1"/>
        <v>156</v>
      </c>
    </row>
    <row r="41" spans="2:20" ht="23.1" customHeight="1" x14ac:dyDescent="0.25">
      <c r="B41" s="23" t="s">
        <v>68</v>
      </c>
      <c r="C41" s="50">
        <v>7</v>
      </c>
      <c r="D41" s="50">
        <v>3</v>
      </c>
      <c r="E41" s="50">
        <v>3</v>
      </c>
      <c r="F41" s="50">
        <v>13</v>
      </c>
      <c r="G41" s="50">
        <v>0</v>
      </c>
      <c r="H41" s="50">
        <v>0</v>
      </c>
      <c r="I41" s="50">
        <v>8</v>
      </c>
      <c r="J41" s="50">
        <v>3</v>
      </c>
      <c r="K41" s="50">
        <v>3</v>
      </c>
      <c r="L41" s="50">
        <v>1</v>
      </c>
      <c r="M41" s="50">
        <v>60</v>
      </c>
      <c r="N41" s="50">
        <v>0</v>
      </c>
      <c r="O41" s="15">
        <f t="shared" si="0"/>
        <v>41</v>
      </c>
      <c r="P41" s="15">
        <f t="shared" si="1"/>
        <v>101</v>
      </c>
    </row>
    <row r="42" spans="2:20" ht="23.1" customHeight="1" x14ac:dyDescent="0.25">
      <c r="B42" s="24" t="s">
        <v>69</v>
      </c>
      <c r="C42" s="50">
        <v>15</v>
      </c>
      <c r="D42" s="50">
        <v>0</v>
      </c>
      <c r="E42" s="50">
        <v>0</v>
      </c>
      <c r="F42" s="50">
        <v>13</v>
      </c>
      <c r="G42" s="50">
        <v>1</v>
      </c>
      <c r="H42" s="50">
        <v>0</v>
      </c>
      <c r="I42" s="50">
        <v>12</v>
      </c>
      <c r="J42" s="50">
        <v>8</v>
      </c>
      <c r="K42" s="50">
        <v>4</v>
      </c>
      <c r="L42" s="50">
        <v>1</v>
      </c>
      <c r="M42" s="50">
        <v>105</v>
      </c>
      <c r="N42" s="50">
        <v>0</v>
      </c>
      <c r="O42" s="15">
        <f t="shared" si="0"/>
        <v>54</v>
      </c>
      <c r="P42" s="15">
        <f t="shared" si="1"/>
        <v>159</v>
      </c>
    </row>
    <row r="43" spans="2:20" ht="23.1" customHeight="1" x14ac:dyDescent="0.25">
      <c r="B43" s="23" t="s">
        <v>70</v>
      </c>
      <c r="C43" s="50">
        <v>10</v>
      </c>
      <c r="D43" s="50">
        <v>4</v>
      </c>
      <c r="E43" s="50">
        <v>0</v>
      </c>
      <c r="F43" s="50">
        <v>45</v>
      </c>
      <c r="G43" s="50">
        <v>0</v>
      </c>
      <c r="H43" s="50">
        <v>0</v>
      </c>
      <c r="I43" s="50">
        <v>2</v>
      </c>
      <c r="J43" s="50">
        <v>45</v>
      </c>
      <c r="K43" s="50">
        <v>2</v>
      </c>
      <c r="L43" s="50">
        <v>4</v>
      </c>
      <c r="M43" s="50">
        <v>150</v>
      </c>
      <c r="N43" s="50">
        <v>0</v>
      </c>
      <c r="O43" s="15">
        <f t="shared" si="0"/>
        <v>112</v>
      </c>
      <c r="P43" s="15">
        <f t="shared" si="1"/>
        <v>262</v>
      </c>
    </row>
    <row r="44" spans="2:20" ht="23.1" customHeight="1" x14ac:dyDescent="0.25">
      <c r="B44" s="25" t="s">
        <v>71</v>
      </c>
      <c r="C44" s="50">
        <v>15</v>
      </c>
      <c r="D44" s="50">
        <v>6</v>
      </c>
      <c r="E44" s="50">
        <v>0</v>
      </c>
      <c r="F44" s="50">
        <v>20</v>
      </c>
      <c r="G44" s="50">
        <v>0</v>
      </c>
      <c r="H44" s="50">
        <v>0</v>
      </c>
      <c r="I44" s="50">
        <v>16</v>
      </c>
      <c r="J44" s="50">
        <v>9</v>
      </c>
      <c r="K44" s="50">
        <v>20</v>
      </c>
      <c r="L44" s="50">
        <v>2</v>
      </c>
      <c r="M44" s="50">
        <v>155</v>
      </c>
      <c r="N44" s="50">
        <v>0</v>
      </c>
      <c r="O44" s="15">
        <f t="shared" si="0"/>
        <v>88</v>
      </c>
      <c r="P44" s="15">
        <f t="shared" si="1"/>
        <v>243</v>
      </c>
    </row>
    <row r="45" spans="2:20" ht="23.1" customHeight="1" x14ac:dyDescent="0.25">
      <c r="B45" s="23" t="s">
        <v>72</v>
      </c>
      <c r="C45" s="50">
        <v>3</v>
      </c>
      <c r="D45" s="50">
        <v>4</v>
      </c>
      <c r="E45" s="50">
        <v>10</v>
      </c>
      <c r="F45" s="50">
        <v>16</v>
      </c>
      <c r="G45" s="50">
        <v>1</v>
      </c>
      <c r="H45" s="50">
        <v>0</v>
      </c>
      <c r="I45" s="50">
        <v>12</v>
      </c>
      <c r="J45" s="50">
        <v>4</v>
      </c>
      <c r="K45" s="50">
        <v>1</v>
      </c>
      <c r="L45" s="50">
        <v>0</v>
      </c>
      <c r="M45" s="50">
        <v>204</v>
      </c>
      <c r="N45" s="50">
        <v>0</v>
      </c>
      <c r="O45" s="15">
        <f t="shared" si="0"/>
        <v>51</v>
      </c>
      <c r="P45" s="15">
        <f t="shared" si="1"/>
        <v>255</v>
      </c>
    </row>
    <row r="46" spans="2:20" ht="23.1" customHeight="1" x14ac:dyDescent="0.25">
      <c r="B46" s="24" t="s">
        <v>73</v>
      </c>
      <c r="C46" s="50">
        <v>18</v>
      </c>
      <c r="D46" s="50">
        <v>3</v>
      </c>
      <c r="E46" s="50">
        <v>7</v>
      </c>
      <c r="F46" s="50">
        <v>49</v>
      </c>
      <c r="G46" s="50">
        <v>0</v>
      </c>
      <c r="H46" s="50">
        <v>2</v>
      </c>
      <c r="I46" s="50">
        <v>19</v>
      </c>
      <c r="J46" s="50">
        <v>4</v>
      </c>
      <c r="K46" s="50">
        <v>0</v>
      </c>
      <c r="L46" s="50">
        <v>3</v>
      </c>
      <c r="M46" s="50">
        <v>170</v>
      </c>
      <c r="N46" s="50">
        <v>0</v>
      </c>
      <c r="O46" s="15">
        <f t="shared" si="0"/>
        <v>105</v>
      </c>
      <c r="P46" s="15">
        <f t="shared" si="1"/>
        <v>275</v>
      </c>
      <c r="R46" s="8"/>
      <c r="T46"/>
    </row>
    <row r="47" spans="2:20" ht="23.1" customHeight="1" x14ac:dyDescent="0.25">
      <c r="B47" s="24" t="s">
        <v>74</v>
      </c>
      <c r="C47" s="50">
        <v>27</v>
      </c>
      <c r="D47" s="50">
        <v>13</v>
      </c>
      <c r="E47" s="50">
        <v>4</v>
      </c>
      <c r="F47" s="50">
        <v>23</v>
      </c>
      <c r="G47" s="50">
        <v>5</v>
      </c>
      <c r="H47" s="50">
        <v>2</v>
      </c>
      <c r="I47" s="50">
        <v>24</v>
      </c>
      <c r="J47" s="50">
        <v>8</v>
      </c>
      <c r="K47" s="50">
        <v>2</v>
      </c>
      <c r="L47" s="50">
        <v>1</v>
      </c>
      <c r="M47" s="50">
        <v>102</v>
      </c>
      <c r="N47" s="50">
        <v>0</v>
      </c>
      <c r="O47" s="15">
        <f t="shared" si="0"/>
        <v>109</v>
      </c>
      <c r="P47" s="15">
        <f t="shared" si="1"/>
        <v>211</v>
      </c>
      <c r="R47" s="8"/>
      <c r="T47"/>
    </row>
    <row r="48" spans="2:20" ht="23.1" customHeight="1" x14ac:dyDescent="0.25">
      <c r="B48" s="24" t="s">
        <v>75</v>
      </c>
      <c r="C48" s="50">
        <v>52</v>
      </c>
      <c r="D48" s="50">
        <v>21</v>
      </c>
      <c r="E48" s="50">
        <v>2</v>
      </c>
      <c r="F48" s="50">
        <v>33</v>
      </c>
      <c r="G48" s="50">
        <v>0</v>
      </c>
      <c r="H48" s="50">
        <v>0</v>
      </c>
      <c r="I48" s="50">
        <v>8</v>
      </c>
      <c r="J48" s="50">
        <v>12</v>
      </c>
      <c r="K48" s="50">
        <v>2</v>
      </c>
      <c r="L48" s="50">
        <v>0</v>
      </c>
      <c r="M48" s="50">
        <v>136</v>
      </c>
      <c r="N48" s="50">
        <v>0</v>
      </c>
      <c r="O48" s="15">
        <f t="shared" si="0"/>
        <v>130</v>
      </c>
      <c r="P48" s="15">
        <f t="shared" si="1"/>
        <v>266</v>
      </c>
      <c r="R48" s="8"/>
      <c r="T48"/>
    </row>
    <row r="49" spans="2:20" ht="23.1" customHeight="1" x14ac:dyDescent="0.25">
      <c r="B49" s="23" t="s">
        <v>76</v>
      </c>
      <c r="C49" s="50">
        <v>29</v>
      </c>
      <c r="D49" s="50">
        <v>8</v>
      </c>
      <c r="E49" s="50">
        <v>4</v>
      </c>
      <c r="F49" s="50">
        <v>27</v>
      </c>
      <c r="G49" s="50">
        <v>0</v>
      </c>
      <c r="H49" s="50">
        <v>1</v>
      </c>
      <c r="I49" s="50">
        <v>5</v>
      </c>
      <c r="J49" s="50">
        <v>4</v>
      </c>
      <c r="K49" s="50">
        <v>1</v>
      </c>
      <c r="L49" s="50">
        <v>1</v>
      </c>
      <c r="M49" s="50">
        <v>178</v>
      </c>
      <c r="N49" s="50">
        <v>0</v>
      </c>
      <c r="O49" s="15">
        <f t="shared" si="0"/>
        <v>80</v>
      </c>
      <c r="P49" s="15">
        <f t="shared" si="1"/>
        <v>258</v>
      </c>
      <c r="R49" s="8"/>
      <c r="T49"/>
    </row>
    <row r="50" spans="2:20" ht="23.1" customHeight="1" x14ac:dyDescent="0.25">
      <c r="B50" s="24" t="s">
        <v>77</v>
      </c>
      <c r="C50" s="50">
        <v>33</v>
      </c>
      <c r="D50" s="50">
        <v>3</v>
      </c>
      <c r="E50" s="50">
        <v>1</v>
      </c>
      <c r="F50" s="50">
        <v>3</v>
      </c>
      <c r="G50" s="50">
        <v>0</v>
      </c>
      <c r="H50" s="50">
        <v>1</v>
      </c>
      <c r="I50" s="50">
        <v>13</v>
      </c>
      <c r="J50" s="50">
        <v>5</v>
      </c>
      <c r="K50" s="50">
        <v>3</v>
      </c>
      <c r="L50" s="50">
        <v>2</v>
      </c>
      <c r="M50" s="50">
        <v>60</v>
      </c>
      <c r="N50" s="50">
        <v>0</v>
      </c>
      <c r="O50" s="15">
        <f t="shared" si="0"/>
        <v>64</v>
      </c>
      <c r="P50" s="15">
        <f t="shared" si="1"/>
        <v>124</v>
      </c>
      <c r="R50" s="8"/>
      <c r="T50"/>
    </row>
    <row r="51" spans="2:20" ht="23.1" customHeight="1" x14ac:dyDescent="0.25">
      <c r="B51" s="24" t="s">
        <v>78</v>
      </c>
      <c r="C51" s="50">
        <v>45</v>
      </c>
      <c r="D51" s="50">
        <v>8</v>
      </c>
      <c r="E51" s="50">
        <v>3</v>
      </c>
      <c r="F51" s="50">
        <v>26</v>
      </c>
      <c r="G51" s="50">
        <v>1</v>
      </c>
      <c r="H51" s="50">
        <v>0</v>
      </c>
      <c r="I51" s="50">
        <v>14</v>
      </c>
      <c r="J51" s="50">
        <v>11</v>
      </c>
      <c r="K51" s="50">
        <v>7</v>
      </c>
      <c r="L51" s="50">
        <v>1</v>
      </c>
      <c r="M51" s="50">
        <v>140</v>
      </c>
      <c r="N51" s="50">
        <v>0</v>
      </c>
      <c r="O51" s="15">
        <f t="shared" si="0"/>
        <v>116</v>
      </c>
      <c r="P51" s="15">
        <f t="shared" si="1"/>
        <v>256</v>
      </c>
      <c r="R51" s="8"/>
      <c r="T51"/>
    </row>
    <row r="52" spans="2:20" ht="23.1" customHeight="1" x14ac:dyDescent="0.25">
      <c r="B52" s="24" t="s">
        <v>79</v>
      </c>
      <c r="C52" s="50">
        <v>45</v>
      </c>
      <c r="D52" s="50">
        <v>9</v>
      </c>
      <c r="E52" s="50">
        <v>8</v>
      </c>
      <c r="F52" s="50">
        <v>21</v>
      </c>
      <c r="G52" s="50">
        <v>0</v>
      </c>
      <c r="H52" s="50">
        <v>0</v>
      </c>
      <c r="I52" s="50">
        <v>15</v>
      </c>
      <c r="J52" s="50">
        <v>7</v>
      </c>
      <c r="K52" s="50">
        <v>0</v>
      </c>
      <c r="L52" s="50">
        <v>3</v>
      </c>
      <c r="M52" s="50">
        <v>154</v>
      </c>
      <c r="N52" s="50">
        <v>0</v>
      </c>
      <c r="O52" s="15">
        <f t="shared" si="0"/>
        <v>108</v>
      </c>
      <c r="P52" s="15">
        <f t="shared" si="1"/>
        <v>262</v>
      </c>
      <c r="R52" s="8"/>
      <c r="T52"/>
    </row>
    <row r="53" spans="2:20" ht="23.1" customHeight="1" x14ac:dyDescent="0.25">
      <c r="B53" s="23" t="s">
        <v>80</v>
      </c>
      <c r="C53" s="50">
        <v>35</v>
      </c>
      <c r="D53" s="50">
        <v>25</v>
      </c>
      <c r="E53" s="50">
        <v>6</v>
      </c>
      <c r="F53" s="50">
        <v>55</v>
      </c>
      <c r="G53" s="50">
        <v>1</v>
      </c>
      <c r="H53" s="50">
        <v>0</v>
      </c>
      <c r="I53" s="50">
        <v>18</v>
      </c>
      <c r="J53" s="50">
        <v>16</v>
      </c>
      <c r="K53" s="50">
        <v>3</v>
      </c>
      <c r="L53" s="50">
        <v>2</v>
      </c>
      <c r="M53" s="50">
        <v>172</v>
      </c>
      <c r="N53" s="50">
        <v>0</v>
      </c>
      <c r="O53" s="15">
        <f t="shared" si="0"/>
        <v>161</v>
      </c>
      <c r="P53" s="15">
        <f t="shared" si="1"/>
        <v>333</v>
      </c>
      <c r="R53" s="8"/>
      <c r="T53"/>
    </row>
    <row r="54" spans="2:20" ht="23.1" customHeight="1" x14ac:dyDescent="0.25">
      <c r="B54" s="23" t="s">
        <v>81</v>
      </c>
      <c r="C54" s="50">
        <v>60</v>
      </c>
      <c r="D54" s="50">
        <v>34</v>
      </c>
      <c r="E54" s="50">
        <v>0</v>
      </c>
      <c r="F54" s="50">
        <v>40</v>
      </c>
      <c r="G54" s="50">
        <v>0</v>
      </c>
      <c r="H54" s="50">
        <v>0</v>
      </c>
      <c r="I54" s="50">
        <v>14</v>
      </c>
      <c r="J54" s="50">
        <v>10</v>
      </c>
      <c r="K54" s="50">
        <v>2</v>
      </c>
      <c r="L54" s="50">
        <v>1</v>
      </c>
      <c r="M54" s="50">
        <v>205</v>
      </c>
      <c r="N54" s="50">
        <v>0</v>
      </c>
      <c r="O54" s="15">
        <f t="shared" si="0"/>
        <v>161</v>
      </c>
      <c r="P54" s="15">
        <f t="shared" si="1"/>
        <v>366</v>
      </c>
      <c r="R54" s="8"/>
      <c r="T54"/>
    </row>
    <row r="55" spans="2:20" ht="23.1" customHeight="1" x14ac:dyDescent="0.25">
      <c r="B55" s="23" t="s">
        <v>82</v>
      </c>
      <c r="C55" s="50">
        <v>47</v>
      </c>
      <c r="D55" s="50">
        <v>13</v>
      </c>
      <c r="E55" s="50">
        <v>2</v>
      </c>
      <c r="F55" s="50">
        <v>34</v>
      </c>
      <c r="G55" s="50">
        <v>0</v>
      </c>
      <c r="H55" s="50">
        <v>0</v>
      </c>
      <c r="I55" s="50">
        <v>10</v>
      </c>
      <c r="J55" s="50">
        <v>26</v>
      </c>
      <c r="K55" s="50">
        <v>1</v>
      </c>
      <c r="L55" s="50">
        <v>3</v>
      </c>
      <c r="M55" s="50">
        <v>140</v>
      </c>
      <c r="N55" s="50">
        <v>0</v>
      </c>
      <c r="O55" s="15">
        <f t="shared" si="0"/>
        <v>136</v>
      </c>
      <c r="P55" s="15">
        <f t="shared" si="1"/>
        <v>276</v>
      </c>
      <c r="R55" s="8"/>
      <c r="T55"/>
    </row>
    <row r="56" spans="2:20" ht="23.1" customHeight="1" x14ac:dyDescent="0.25">
      <c r="B56" s="23" t="s">
        <v>83</v>
      </c>
      <c r="C56" s="50">
        <v>37</v>
      </c>
      <c r="D56" s="50">
        <v>29</v>
      </c>
      <c r="E56" s="50">
        <v>0</v>
      </c>
      <c r="F56" s="50">
        <v>0</v>
      </c>
      <c r="G56" s="50">
        <v>2</v>
      </c>
      <c r="H56" s="50">
        <v>1</v>
      </c>
      <c r="I56" s="50">
        <v>23</v>
      </c>
      <c r="J56" s="50">
        <v>15</v>
      </c>
      <c r="K56" s="50">
        <v>0</v>
      </c>
      <c r="L56" s="50">
        <v>1</v>
      </c>
      <c r="M56" s="50">
        <v>175</v>
      </c>
      <c r="N56" s="50">
        <v>0</v>
      </c>
      <c r="O56" s="15">
        <f t="shared" si="0"/>
        <v>108</v>
      </c>
      <c r="P56" s="15">
        <f t="shared" si="1"/>
        <v>283</v>
      </c>
      <c r="R56" s="8"/>
      <c r="T56"/>
    </row>
    <row r="57" spans="2:20" ht="23.1" customHeight="1" x14ac:dyDescent="0.25">
      <c r="B57" s="23" t="s">
        <v>84</v>
      </c>
      <c r="C57" s="50">
        <v>12</v>
      </c>
      <c r="D57" s="50">
        <v>18</v>
      </c>
      <c r="E57" s="50">
        <v>7</v>
      </c>
      <c r="F57" s="50">
        <v>23</v>
      </c>
      <c r="G57" s="50">
        <v>0</v>
      </c>
      <c r="H57" s="50">
        <v>0</v>
      </c>
      <c r="I57" s="50">
        <v>13</v>
      </c>
      <c r="J57" s="50">
        <v>9</v>
      </c>
      <c r="K57" s="50">
        <v>0</v>
      </c>
      <c r="L57" s="50">
        <v>4</v>
      </c>
      <c r="M57" s="50">
        <v>88</v>
      </c>
      <c r="N57" s="50">
        <v>0</v>
      </c>
      <c r="O57" s="15">
        <f t="shared" si="0"/>
        <v>86</v>
      </c>
      <c r="P57" s="15">
        <f t="shared" si="1"/>
        <v>174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1247</v>
      </c>
      <c r="D58" s="16">
        <f t="shared" si="21"/>
        <v>487</v>
      </c>
      <c r="E58" s="16">
        <f t="shared" si="21"/>
        <v>163</v>
      </c>
      <c r="F58" s="16">
        <f t="shared" si="21"/>
        <v>1701</v>
      </c>
      <c r="G58" s="16">
        <f t="shared" si="21"/>
        <v>49</v>
      </c>
      <c r="H58" s="16">
        <f t="shared" si="21"/>
        <v>17</v>
      </c>
      <c r="I58" s="16">
        <f t="shared" si="21"/>
        <v>683</v>
      </c>
      <c r="J58" s="16">
        <f t="shared" si="21"/>
        <v>352</v>
      </c>
      <c r="K58" s="16">
        <f t="shared" si="21"/>
        <v>98</v>
      </c>
      <c r="L58" s="16">
        <f t="shared" si="21"/>
        <v>71</v>
      </c>
      <c r="M58" s="16">
        <f t="shared" si="21"/>
        <v>7569</v>
      </c>
      <c r="N58" s="16">
        <f t="shared" si="21"/>
        <v>0</v>
      </c>
      <c r="O58" s="16">
        <f t="shared" si="21"/>
        <v>4868</v>
      </c>
      <c r="P58" s="16">
        <f t="shared" si="21"/>
        <v>12437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0.10026533729999196</v>
      </c>
      <c r="D59" s="43">
        <f t="shared" si="22"/>
        <v>3.9157353059419475E-2</v>
      </c>
      <c r="E59" s="43">
        <f t="shared" si="22"/>
        <v>1.3106054514754361E-2</v>
      </c>
      <c r="F59" s="43">
        <f t="shared" si="22"/>
        <v>0.13676931735949183</v>
      </c>
      <c r="G59" s="43">
        <f t="shared" si="22"/>
        <v>3.9398568786684889E-3</v>
      </c>
      <c r="H59" s="43">
        <f t="shared" si="22"/>
        <v>1.3668891211707002E-3</v>
      </c>
      <c r="I59" s="43">
        <f t="shared" si="22"/>
        <v>5.4916780574093431E-2</v>
      </c>
      <c r="J59" s="43">
        <f t="shared" si="22"/>
        <v>2.8302645332475677E-2</v>
      </c>
      <c r="K59" s="43">
        <f t="shared" si="22"/>
        <v>7.8797137573369778E-3</v>
      </c>
      <c r="L59" s="43">
        <f t="shared" si="22"/>
        <v>5.7087722119482194E-3</v>
      </c>
      <c r="M59" s="43">
        <f t="shared" si="22"/>
        <v>0.60858727989064887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0.25616269515201312</v>
      </c>
      <c r="D60" s="44">
        <f t="shared" ref="D60:N60" si="23">D58/$O$58</f>
        <v>0.10004108463434676</v>
      </c>
      <c r="E60" s="44">
        <f t="shared" si="23"/>
        <v>3.3483976992604768E-2</v>
      </c>
      <c r="F60" s="44">
        <f t="shared" si="23"/>
        <v>0.34942481511914542</v>
      </c>
      <c r="G60" s="44">
        <f t="shared" si="23"/>
        <v>1.0065735414954808E-2</v>
      </c>
      <c r="H60" s="44">
        <f t="shared" si="23"/>
        <v>3.4921939194741168E-3</v>
      </c>
      <c r="I60" s="44">
        <f t="shared" si="23"/>
        <v>0.140304026294166</v>
      </c>
      <c r="J60" s="44">
        <f t="shared" si="23"/>
        <v>7.2308956450287593E-2</v>
      </c>
      <c r="K60" s="44">
        <f t="shared" si="23"/>
        <v>2.0131470829909615E-2</v>
      </c>
      <c r="L60" s="44">
        <f t="shared" si="23"/>
        <v>1.4585045193097782E-2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topLeftCell="B1" zoomScale="60" workbookViewId="0">
      <selection activeCell="K5" activeCellId="8" sqref="K5:L5 D6:E6 D6:E6 D5 C3:G3 G6:H6 G5:H5 K6:L6 K5:L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8" t="s">
        <v>23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</row>
    <row r="2" spans="2:32" ht="20.100000000000001" customHeight="1" x14ac:dyDescent="0.25">
      <c r="B2" s="59" t="s">
        <v>95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</row>
    <row r="3" spans="2:32" ht="20.100000000000001" customHeight="1" x14ac:dyDescent="0.25">
      <c r="B3" s="22" t="s">
        <v>96</v>
      </c>
      <c r="C3" s="63" t="str">
        <f>'22.07 Nateete-Ndeeba'!C3:G3</f>
        <v>MCC - C1 - STN07 - MASAKA ROAD</v>
      </c>
      <c r="D3" s="63"/>
      <c r="E3" s="63"/>
      <c r="F3" s="63"/>
      <c r="G3" s="63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51" t="s">
        <v>164</v>
      </c>
      <c r="E5" s="3"/>
      <c r="F5" s="41" t="s">
        <v>1</v>
      </c>
      <c r="G5" s="64" t="str">
        <f>'24.07 Ndeeba-Nateete'!G5:H5</f>
        <v>Rhino Funeral Services</v>
      </c>
      <c r="H5" s="65"/>
      <c r="I5" s="14"/>
      <c r="J5" s="2" t="s">
        <v>5</v>
      </c>
      <c r="K5" s="64" t="s">
        <v>180</v>
      </c>
      <c r="L5" s="65"/>
      <c r="M5" s="10"/>
      <c r="N5" s="10"/>
      <c r="O5" s="3"/>
      <c r="P5" s="3"/>
    </row>
    <row r="6" spans="2:32" ht="23.25" customHeight="1" x14ac:dyDescent="0.25">
      <c r="C6" s="2" t="s">
        <v>4</v>
      </c>
      <c r="D6" s="64" t="str">
        <f>'22.07 Nateete-Ndeeba'!D6:E6</f>
        <v>Nateete</v>
      </c>
      <c r="E6" s="65"/>
      <c r="F6" s="2" t="s">
        <v>2</v>
      </c>
      <c r="G6" s="64" t="str">
        <f>'22.07 Nateete-Ndeeba'!G6:H6</f>
        <v>Ndeeba</v>
      </c>
      <c r="H6" s="65"/>
      <c r="J6" s="2" t="s">
        <v>21</v>
      </c>
      <c r="K6" s="64" t="str">
        <f>'24.07 Ndeeba-Nateete'!K6:L6</f>
        <v>Felix</v>
      </c>
      <c r="L6" s="65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7" t="s">
        <v>88</v>
      </c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60</v>
      </c>
      <c r="D10" s="50">
        <v>8</v>
      </c>
      <c r="E10" s="50">
        <v>4</v>
      </c>
      <c r="F10" s="50">
        <v>27</v>
      </c>
      <c r="G10" s="50">
        <v>0</v>
      </c>
      <c r="H10" s="50">
        <v>0</v>
      </c>
      <c r="I10" s="50">
        <v>16</v>
      </c>
      <c r="J10" s="50">
        <v>10</v>
      </c>
      <c r="K10" s="50">
        <v>3</v>
      </c>
      <c r="L10" s="50">
        <v>0</v>
      </c>
      <c r="M10" s="50">
        <v>115</v>
      </c>
      <c r="N10" s="50">
        <v>0</v>
      </c>
      <c r="O10" s="15">
        <f t="shared" ref="O10:O57" si="0">SUM(C10:L10,N10)</f>
        <v>128</v>
      </c>
      <c r="P10" s="15">
        <f t="shared" ref="P10:P57" si="1">SUM(C10:N10)</f>
        <v>243</v>
      </c>
      <c r="R10" s="1" t="s">
        <v>6</v>
      </c>
      <c r="S10" s="17">
        <f t="shared" ref="S10:AF10" si="2">SUM(C10:C13)</f>
        <v>231</v>
      </c>
      <c r="T10" s="17">
        <f t="shared" si="2"/>
        <v>26</v>
      </c>
      <c r="U10" s="17">
        <f t="shared" si="2"/>
        <v>22</v>
      </c>
      <c r="V10" s="17">
        <f t="shared" si="2"/>
        <v>110</v>
      </c>
      <c r="W10" s="17">
        <f t="shared" si="2"/>
        <v>2</v>
      </c>
      <c r="X10" s="17">
        <f t="shared" si="2"/>
        <v>0</v>
      </c>
      <c r="Y10" s="17">
        <f t="shared" si="2"/>
        <v>51</v>
      </c>
      <c r="Z10" s="17">
        <f t="shared" si="2"/>
        <v>33</v>
      </c>
      <c r="AA10" s="17">
        <f t="shared" si="2"/>
        <v>4</v>
      </c>
      <c r="AB10" s="17">
        <f t="shared" si="2"/>
        <v>2</v>
      </c>
      <c r="AC10" s="17">
        <f t="shared" si="2"/>
        <v>565</v>
      </c>
      <c r="AD10" s="17">
        <f t="shared" si="2"/>
        <v>0</v>
      </c>
      <c r="AE10" s="31">
        <f t="shared" si="2"/>
        <v>481</v>
      </c>
      <c r="AF10" s="31">
        <f t="shared" si="2"/>
        <v>1046</v>
      </c>
    </row>
    <row r="11" spans="2:32" s="6" customFormat="1" ht="23.1" customHeight="1" x14ac:dyDescent="0.25">
      <c r="B11" s="23" t="s">
        <v>38</v>
      </c>
      <c r="C11" s="50">
        <v>62</v>
      </c>
      <c r="D11" s="50">
        <v>7</v>
      </c>
      <c r="E11" s="50">
        <v>7</v>
      </c>
      <c r="F11" s="50">
        <v>28</v>
      </c>
      <c r="G11" s="50">
        <v>0</v>
      </c>
      <c r="H11" s="50">
        <v>0</v>
      </c>
      <c r="I11" s="50">
        <v>16</v>
      </c>
      <c r="J11" s="50">
        <v>3</v>
      </c>
      <c r="K11" s="50">
        <v>0</v>
      </c>
      <c r="L11" s="50">
        <v>0</v>
      </c>
      <c r="M11" s="50">
        <v>95</v>
      </c>
      <c r="N11" s="50">
        <v>0</v>
      </c>
      <c r="O11" s="15">
        <f t="shared" si="0"/>
        <v>123</v>
      </c>
      <c r="P11" s="15">
        <f t="shared" si="1"/>
        <v>218</v>
      </c>
      <c r="R11" s="1" t="s">
        <v>7</v>
      </c>
      <c r="S11" s="17">
        <f t="shared" ref="S11:AF11" si="3">SUM(C14:C17)</f>
        <v>164</v>
      </c>
      <c r="T11" s="17">
        <f t="shared" si="3"/>
        <v>20</v>
      </c>
      <c r="U11" s="17">
        <f t="shared" si="3"/>
        <v>11</v>
      </c>
      <c r="V11" s="17">
        <f t="shared" si="3"/>
        <v>95</v>
      </c>
      <c r="W11" s="17">
        <f t="shared" si="3"/>
        <v>2</v>
      </c>
      <c r="X11" s="17">
        <f t="shared" si="3"/>
        <v>0</v>
      </c>
      <c r="Y11" s="17">
        <f t="shared" si="3"/>
        <v>24</v>
      </c>
      <c r="Z11" s="17">
        <f t="shared" si="3"/>
        <v>60</v>
      </c>
      <c r="AA11" s="17">
        <f t="shared" si="3"/>
        <v>5</v>
      </c>
      <c r="AB11" s="17">
        <f t="shared" si="3"/>
        <v>4</v>
      </c>
      <c r="AC11" s="17">
        <f t="shared" si="3"/>
        <v>935</v>
      </c>
      <c r="AD11" s="17">
        <f t="shared" si="3"/>
        <v>0</v>
      </c>
      <c r="AE11" s="31">
        <f t="shared" si="3"/>
        <v>385</v>
      </c>
      <c r="AF11" s="31">
        <f t="shared" si="3"/>
        <v>1320</v>
      </c>
    </row>
    <row r="12" spans="2:32" ht="23.1" customHeight="1" x14ac:dyDescent="0.25">
      <c r="B12" s="23" t="s">
        <v>39</v>
      </c>
      <c r="C12" s="50">
        <v>58</v>
      </c>
      <c r="D12" s="50">
        <v>7</v>
      </c>
      <c r="E12" s="50">
        <v>7</v>
      </c>
      <c r="F12" s="50">
        <v>29</v>
      </c>
      <c r="G12" s="50">
        <v>0</v>
      </c>
      <c r="H12" s="50">
        <v>0</v>
      </c>
      <c r="I12" s="50">
        <v>8</v>
      </c>
      <c r="J12" s="50">
        <v>2</v>
      </c>
      <c r="K12" s="50">
        <v>1</v>
      </c>
      <c r="L12" s="50">
        <v>1</v>
      </c>
      <c r="M12" s="50">
        <v>145</v>
      </c>
      <c r="N12" s="50">
        <v>0</v>
      </c>
      <c r="O12" s="15">
        <f t="shared" si="0"/>
        <v>113</v>
      </c>
      <c r="P12" s="15">
        <f t="shared" si="1"/>
        <v>258</v>
      </c>
      <c r="R12" s="1" t="s">
        <v>8</v>
      </c>
      <c r="S12" s="17">
        <f t="shared" ref="S12:AF12" si="4">SUM(C18:C21)</f>
        <v>177</v>
      </c>
      <c r="T12" s="17">
        <f t="shared" si="4"/>
        <v>22</v>
      </c>
      <c r="U12" s="17">
        <f t="shared" si="4"/>
        <v>20</v>
      </c>
      <c r="V12" s="17">
        <f t="shared" si="4"/>
        <v>111</v>
      </c>
      <c r="W12" s="17">
        <f t="shared" si="4"/>
        <v>5</v>
      </c>
      <c r="X12" s="17">
        <f t="shared" si="4"/>
        <v>1</v>
      </c>
      <c r="Y12" s="17">
        <f t="shared" si="4"/>
        <v>23</v>
      </c>
      <c r="Z12" s="17">
        <f t="shared" si="4"/>
        <v>60</v>
      </c>
      <c r="AA12" s="17">
        <f t="shared" si="4"/>
        <v>13</v>
      </c>
      <c r="AB12" s="17">
        <f t="shared" si="4"/>
        <v>0</v>
      </c>
      <c r="AC12" s="17">
        <f t="shared" si="4"/>
        <v>855</v>
      </c>
      <c r="AD12" s="17">
        <f t="shared" si="4"/>
        <v>0</v>
      </c>
      <c r="AE12" s="31">
        <f t="shared" si="4"/>
        <v>432</v>
      </c>
      <c r="AF12" s="31">
        <f t="shared" si="4"/>
        <v>1287</v>
      </c>
    </row>
    <row r="13" spans="2:32" ht="23.1" customHeight="1" x14ac:dyDescent="0.25">
      <c r="B13" s="23" t="s">
        <v>40</v>
      </c>
      <c r="C13" s="50">
        <v>51</v>
      </c>
      <c r="D13" s="50">
        <v>4</v>
      </c>
      <c r="E13" s="50">
        <v>4</v>
      </c>
      <c r="F13" s="50">
        <v>26</v>
      </c>
      <c r="G13" s="50">
        <v>2</v>
      </c>
      <c r="H13" s="50">
        <v>0</v>
      </c>
      <c r="I13" s="50">
        <v>11</v>
      </c>
      <c r="J13" s="50">
        <v>18</v>
      </c>
      <c r="K13" s="50">
        <v>0</v>
      </c>
      <c r="L13" s="50">
        <v>1</v>
      </c>
      <c r="M13" s="50">
        <v>210</v>
      </c>
      <c r="N13" s="50">
        <v>0</v>
      </c>
      <c r="O13" s="15">
        <f t="shared" si="0"/>
        <v>117</v>
      </c>
      <c r="P13" s="15">
        <f t="shared" si="1"/>
        <v>327</v>
      </c>
      <c r="R13" s="1" t="s">
        <v>9</v>
      </c>
      <c r="S13" s="17">
        <f t="shared" ref="S13:AF13" si="5">SUM(C22:C25)</f>
        <v>151</v>
      </c>
      <c r="T13" s="17">
        <f t="shared" si="5"/>
        <v>9</v>
      </c>
      <c r="U13" s="17">
        <f t="shared" si="5"/>
        <v>10</v>
      </c>
      <c r="V13" s="17">
        <f t="shared" si="5"/>
        <v>124</v>
      </c>
      <c r="W13" s="17">
        <f t="shared" si="5"/>
        <v>3</v>
      </c>
      <c r="X13" s="17">
        <f t="shared" si="5"/>
        <v>0</v>
      </c>
      <c r="Y13" s="17">
        <f t="shared" si="5"/>
        <v>11</v>
      </c>
      <c r="Z13" s="17">
        <f t="shared" si="5"/>
        <v>63</v>
      </c>
      <c r="AA13" s="17">
        <f t="shared" si="5"/>
        <v>4</v>
      </c>
      <c r="AB13" s="17">
        <f t="shared" si="5"/>
        <v>0</v>
      </c>
      <c r="AC13" s="17">
        <f t="shared" si="5"/>
        <v>780</v>
      </c>
      <c r="AD13" s="17">
        <f t="shared" si="5"/>
        <v>0</v>
      </c>
      <c r="AE13" s="31">
        <f t="shared" si="5"/>
        <v>375</v>
      </c>
      <c r="AF13" s="31">
        <f t="shared" si="5"/>
        <v>1155</v>
      </c>
    </row>
    <row r="14" spans="2:32" ht="23.1" customHeight="1" x14ac:dyDescent="0.25">
      <c r="B14" s="23" t="s">
        <v>41</v>
      </c>
      <c r="C14" s="50">
        <v>27</v>
      </c>
      <c r="D14" s="50">
        <v>0</v>
      </c>
      <c r="E14" s="50">
        <v>2</v>
      </c>
      <c r="F14" s="50">
        <v>22</v>
      </c>
      <c r="G14" s="50">
        <v>1</v>
      </c>
      <c r="H14" s="50">
        <v>0</v>
      </c>
      <c r="I14" s="50">
        <v>4</v>
      </c>
      <c r="J14" s="50">
        <v>8</v>
      </c>
      <c r="K14" s="50">
        <v>2</v>
      </c>
      <c r="L14" s="50">
        <v>0</v>
      </c>
      <c r="M14" s="50">
        <v>210</v>
      </c>
      <c r="N14" s="50">
        <v>0</v>
      </c>
      <c r="O14" s="15">
        <f t="shared" si="0"/>
        <v>66</v>
      </c>
      <c r="P14" s="15">
        <f t="shared" si="1"/>
        <v>276</v>
      </c>
      <c r="R14" s="1" t="s">
        <v>10</v>
      </c>
      <c r="S14" s="17">
        <f t="shared" ref="S14:AF14" si="6">SUM(C26:C29)</f>
        <v>153</v>
      </c>
      <c r="T14" s="17">
        <f t="shared" si="6"/>
        <v>18</v>
      </c>
      <c r="U14" s="17">
        <f t="shared" si="6"/>
        <v>7</v>
      </c>
      <c r="V14" s="17">
        <f t="shared" si="6"/>
        <v>92</v>
      </c>
      <c r="W14" s="17">
        <f t="shared" si="6"/>
        <v>0</v>
      </c>
      <c r="X14" s="17">
        <f t="shared" si="6"/>
        <v>0</v>
      </c>
      <c r="Y14" s="17">
        <f t="shared" si="6"/>
        <v>9</v>
      </c>
      <c r="Z14" s="17">
        <f t="shared" si="6"/>
        <v>45</v>
      </c>
      <c r="AA14" s="17">
        <f t="shared" si="6"/>
        <v>12</v>
      </c>
      <c r="AB14" s="17">
        <f t="shared" si="6"/>
        <v>0</v>
      </c>
      <c r="AC14" s="17">
        <f t="shared" si="6"/>
        <v>825</v>
      </c>
      <c r="AD14" s="17">
        <f t="shared" si="6"/>
        <v>0</v>
      </c>
      <c r="AE14" s="31">
        <f t="shared" si="6"/>
        <v>336</v>
      </c>
      <c r="AF14" s="31">
        <f t="shared" si="6"/>
        <v>1161</v>
      </c>
    </row>
    <row r="15" spans="2:32" ht="23.1" customHeight="1" x14ac:dyDescent="0.25">
      <c r="B15" s="23" t="s">
        <v>42</v>
      </c>
      <c r="C15" s="50">
        <v>43</v>
      </c>
      <c r="D15" s="50">
        <v>5</v>
      </c>
      <c r="E15" s="50">
        <v>1</v>
      </c>
      <c r="F15" s="50">
        <v>23</v>
      </c>
      <c r="G15" s="50">
        <v>0</v>
      </c>
      <c r="H15" s="50">
        <v>0</v>
      </c>
      <c r="I15" s="50">
        <v>5</v>
      </c>
      <c r="J15" s="50">
        <v>10</v>
      </c>
      <c r="K15" s="50">
        <v>0</v>
      </c>
      <c r="L15" s="50">
        <v>1</v>
      </c>
      <c r="M15" s="50">
        <v>250</v>
      </c>
      <c r="N15" s="50">
        <v>0</v>
      </c>
      <c r="O15" s="15">
        <f t="shared" si="0"/>
        <v>88</v>
      </c>
      <c r="P15" s="15">
        <f t="shared" si="1"/>
        <v>338</v>
      </c>
      <c r="R15" s="1" t="s">
        <v>11</v>
      </c>
      <c r="S15" s="17">
        <f t="shared" ref="S15:AF15" si="7">SUM(C30:C33)</f>
        <v>156</v>
      </c>
      <c r="T15" s="17">
        <f t="shared" si="7"/>
        <v>14</v>
      </c>
      <c r="U15" s="17">
        <f t="shared" si="7"/>
        <v>9</v>
      </c>
      <c r="V15" s="17">
        <f t="shared" si="7"/>
        <v>111</v>
      </c>
      <c r="W15" s="17">
        <f t="shared" si="7"/>
        <v>2</v>
      </c>
      <c r="X15" s="17">
        <f t="shared" si="7"/>
        <v>2</v>
      </c>
      <c r="Y15" s="17">
        <f t="shared" si="7"/>
        <v>12</v>
      </c>
      <c r="Z15" s="17">
        <f t="shared" si="7"/>
        <v>40</v>
      </c>
      <c r="AA15" s="17">
        <f t="shared" si="7"/>
        <v>6</v>
      </c>
      <c r="AB15" s="17">
        <f t="shared" si="7"/>
        <v>0</v>
      </c>
      <c r="AC15" s="17">
        <f t="shared" si="7"/>
        <v>750</v>
      </c>
      <c r="AD15" s="17">
        <f t="shared" si="7"/>
        <v>0</v>
      </c>
      <c r="AE15" s="31">
        <f t="shared" si="7"/>
        <v>352</v>
      </c>
      <c r="AF15" s="31">
        <f t="shared" si="7"/>
        <v>1102</v>
      </c>
    </row>
    <row r="16" spans="2:32" ht="23.1" customHeight="1" x14ac:dyDescent="0.25">
      <c r="B16" s="23" t="s">
        <v>43</v>
      </c>
      <c r="C16" s="50">
        <v>50</v>
      </c>
      <c r="D16" s="50">
        <v>9</v>
      </c>
      <c r="E16" s="50">
        <v>4</v>
      </c>
      <c r="F16" s="50">
        <v>35</v>
      </c>
      <c r="G16" s="50">
        <v>1</v>
      </c>
      <c r="H16" s="50">
        <v>0</v>
      </c>
      <c r="I16" s="50">
        <v>8</v>
      </c>
      <c r="J16" s="50">
        <v>26</v>
      </c>
      <c r="K16" s="50">
        <v>1</v>
      </c>
      <c r="L16" s="50">
        <v>3</v>
      </c>
      <c r="M16" s="50">
        <v>270</v>
      </c>
      <c r="N16" s="50">
        <v>0</v>
      </c>
      <c r="O16" s="15">
        <f t="shared" si="0"/>
        <v>137</v>
      </c>
      <c r="P16" s="15">
        <f t="shared" si="1"/>
        <v>407</v>
      </c>
      <c r="R16" s="1" t="s">
        <v>12</v>
      </c>
      <c r="S16" s="17">
        <f t="shared" ref="S16:AF16" si="8">SUM(C34:C37)</f>
        <v>135</v>
      </c>
      <c r="T16" s="17">
        <f t="shared" si="8"/>
        <v>23</v>
      </c>
      <c r="U16" s="17">
        <f t="shared" si="8"/>
        <v>12</v>
      </c>
      <c r="V16" s="17">
        <f t="shared" si="8"/>
        <v>85</v>
      </c>
      <c r="W16" s="17">
        <f t="shared" si="8"/>
        <v>20</v>
      </c>
      <c r="X16" s="17">
        <f t="shared" si="8"/>
        <v>0</v>
      </c>
      <c r="Y16" s="17">
        <f t="shared" si="8"/>
        <v>6</v>
      </c>
      <c r="Z16" s="17">
        <f t="shared" si="8"/>
        <v>40</v>
      </c>
      <c r="AA16" s="17">
        <f t="shared" si="8"/>
        <v>10</v>
      </c>
      <c r="AB16" s="17">
        <f t="shared" si="8"/>
        <v>3</v>
      </c>
      <c r="AC16" s="17">
        <f t="shared" si="8"/>
        <v>803</v>
      </c>
      <c r="AD16" s="17">
        <f t="shared" si="8"/>
        <v>0</v>
      </c>
      <c r="AE16" s="31">
        <f t="shared" si="8"/>
        <v>334</v>
      </c>
      <c r="AF16" s="31">
        <f t="shared" si="8"/>
        <v>1137</v>
      </c>
    </row>
    <row r="17" spans="2:32" ht="23.1" customHeight="1" x14ac:dyDescent="0.25">
      <c r="B17" s="23" t="s">
        <v>44</v>
      </c>
      <c r="C17" s="50">
        <v>44</v>
      </c>
      <c r="D17" s="50">
        <v>6</v>
      </c>
      <c r="E17" s="50">
        <v>4</v>
      </c>
      <c r="F17" s="50">
        <v>15</v>
      </c>
      <c r="G17" s="50">
        <v>0</v>
      </c>
      <c r="H17" s="50">
        <v>0</v>
      </c>
      <c r="I17" s="50">
        <v>7</v>
      </c>
      <c r="J17" s="50">
        <v>16</v>
      </c>
      <c r="K17" s="50">
        <v>2</v>
      </c>
      <c r="L17" s="50">
        <v>0</v>
      </c>
      <c r="M17" s="50">
        <v>205</v>
      </c>
      <c r="N17" s="50">
        <v>0</v>
      </c>
      <c r="O17" s="15">
        <f t="shared" si="0"/>
        <v>94</v>
      </c>
      <c r="P17" s="15">
        <f t="shared" si="1"/>
        <v>299</v>
      </c>
      <c r="R17" s="1" t="s">
        <v>13</v>
      </c>
      <c r="S17" s="17">
        <f t="shared" ref="S17:AF17" si="9">SUM(C38:C41)</f>
        <v>155</v>
      </c>
      <c r="T17" s="17">
        <f t="shared" si="9"/>
        <v>16</v>
      </c>
      <c r="U17" s="17">
        <f t="shared" si="9"/>
        <v>12</v>
      </c>
      <c r="V17" s="17">
        <f t="shared" si="9"/>
        <v>89</v>
      </c>
      <c r="W17" s="17">
        <f t="shared" si="9"/>
        <v>0</v>
      </c>
      <c r="X17" s="17">
        <f t="shared" si="9"/>
        <v>1</v>
      </c>
      <c r="Y17" s="17">
        <f t="shared" si="9"/>
        <v>11</v>
      </c>
      <c r="Z17" s="17">
        <f t="shared" si="9"/>
        <v>53</v>
      </c>
      <c r="AA17" s="17">
        <f t="shared" si="9"/>
        <v>15</v>
      </c>
      <c r="AB17" s="17">
        <f t="shared" si="9"/>
        <v>3</v>
      </c>
      <c r="AC17" s="17">
        <f t="shared" si="9"/>
        <v>725</v>
      </c>
      <c r="AD17" s="17">
        <f t="shared" si="9"/>
        <v>0</v>
      </c>
      <c r="AE17" s="31">
        <f t="shared" si="9"/>
        <v>355</v>
      </c>
      <c r="AF17" s="31">
        <f t="shared" si="9"/>
        <v>1080</v>
      </c>
    </row>
    <row r="18" spans="2:32" ht="23.1" customHeight="1" x14ac:dyDescent="0.25">
      <c r="B18" s="23" t="s">
        <v>45</v>
      </c>
      <c r="C18" s="50">
        <v>51</v>
      </c>
      <c r="D18" s="50">
        <v>7</v>
      </c>
      <c r="E18" s="50">
        <v>4</v>
      </c>
      <c r="F18" s="50">
        <v>39</v>
      </c>
      <c r="G18" s="50">
        <v>0</v>
      </c>
      <c r="H18" s="50">
        <v>0</v>
      </c>
      <c r="I18" s="50">
        <v>7</v>
      </c>
      <c r="J18" s="50">
        <v>20</v>
      </c>
      <c r="K18" s="50">
        <v>1</v>
      </c>
      <c r="L18" s="50">
        <v>0</v>
      </c>
      <c r="M18" s="50">
        <v>215</v>
      </c>
      <c r="N18" s="50">
        <v>0</v>
      </c>
      <c r="O18" s="15">
        <f t="shared" si="0"/>
        <v>129</v>
      </c>
      <c r="P18" s="15">
        <f t="shared" si="1"/>
        <v>344</v>
      </c>
      <c r="R18" s="1" t="s">
        <v>14</v>
      </c>
      <c r="S18" s="17">
        <f t="shared" ref="S18:AF18" si="10">SUM(C42:C45)</f>
        <v>150</v>
      </c>
      <c r="T18" s="17">
        <f t="shared" si="10"/>
        <v>32</v>
      </c>
      <c r="U18" s="17">
        <f t="shared" si="10"/>
        <v>21</v>
      </c>
      <c r="V18" s="17">
        <f t="shared" si="10"/>
        <v>112</v>
      </c>
      <c r="W18" s="17">
        <f t="shared" si="10"/>
        <v>0</v>
      </c>
      <c r="X18" s="17">
        <f t="shared" si="10"/>
        <v>0</v>
      </c>
      <c r="Y18" s="17">
        <f t="shared" si="10"/>
        <v>13</v>
      </c>
      <c r="Z18" s="17">
        <f t="shared" si="10"/>
        <v>60</v>
      </c>
      <c r="AA18" s="17">
        <f t="shared" si="10"/>
        <v>6</v>
      </c>
      <c r="AB18" s="17">
        <f t="shared" si="10"/>
        <v>0</v>
      </c>
      <c r="AC18" s="17">
        <f t="shared" si="10"/>
        <v>865</v>
      </c>
      <c r="AD18" s="17">
        <f t="shared" si="10"/>
        <v>0</v>
      </c>
      <c r="AE18" s="31">
        <f t="shared" si="10"/>
        <v>394</v>
      </c>
      <c r="AF18" s="31">
        <f t="shared" si="10"/>
        <v>1259</v>
      </c>
    </row>
    <row r="19" spans="2:32" ht="23.1" customHeight="1" x14ac:dyDescent="0.25">
      <c r="B19" s="23" t="s">
        <v>46</v>
      </c>
      <c r="C19" s="50">
        <v>30</v>
      </c>
      <c r="D19" s="50">
        <v>8</v>
      </c>
      <c r="E19" s="50">
        <v>3</v>
      </c>
      <c r="F19" s="50">
        <v>24</v>
      </c>
      <c r="G19" s="50">
        <v>2</v>
      </c>
      <c r="H19" s="50">
        <v>1</v>
      </c>
      <c r="I19" s="50">
        <v>7</v>
      </c>
      <c r="J19" s="50">
        <v>7</v>
      </c>
      <c r="K19" s="50">
        <v>6</v>
      </c>
      <c r="L19" s="50">
        <v>0</v>
      </c>
      <c r="M19" s="50">
        <v>210</v>
      </c>
      <c r="N19" s="50">
        <v>0</v>
      </c>
      <c r="O19" s="15">
        <f t="shared" si="0"/>
        <v>88</v>
      </c>
      <c r="P19" s="15">
        <f t="shared" si="1"/>
        <v>298</v>
      </c>
      <c r="R19" s="1" t="s">
        <v>15</v>
      </c>
      <c r="S19" s="17">
        <f t="shared" ref="S19:AF19" si="11">SUM(C46:C49)</f>
        <v>188</v>
      </c>
      <c r="T19" s="17">
        <f t="shared" si="11"/>
        <v>29</v>
      </c>
      <c r="U19" s="17">
        <f t="shared" si="11"/>
        <v>16</v>
      </c>
      <c r="V19" s="17">
        <f t="shared" si="11"/>
        <v>129</v>
      </c>
      <c r="W19" s="17">
        <f t="shared" si="11"/>
        <v>2</v>
      </c>
      <c r="X19" s="17">
        <f t="shared" si="11"/>
        <v>1</v>
      </c>
      <c r="Y19" s="17">
        <f t="shared" si="11"/>
        <v>10</v>
      </c>
      <c r="Z19" s="17">
        <f t="shared" si="11"/>
        <v>55</v>
      </c>
      <c r="AA19" s="17">
        <f t="shared" si="11"/>
        <v>10</v>
      </c>
      <c r="AB19" s="17">
        <f t="shared" si="11"/>
        <v>0</v>
      </c>
      <c r="AC19" s="17">
        <f t="shared" si="11"/>
        <v>840</v>
      </c>
      <c r="AD19" s="17">
        <f t="shared" si="11"/>
        <v>0</v>
      </c>
      <c r="AE19" s="31">
        <f t="shared" si="11"/>
        <v>440</v>
      </c>
      <c r="AF19" s="31">
        <f t="shared" si="11"/>
        <v>1280</v>
      </c>
    </row>
    <row r="20" spans="2:32" ht="23.1" customHeight="1" x14ac:dyDescent="0.25">
      <c r="B20" s="23" t="s">
        <v>47</v>
      </c>
      <c r="C20" s="50">
        <v>46</v>
      </c>
      <c r="D20" s="50">
        <v>3</v>
      </c>
      <c r="E20" s="50">
        <v>8</v>
      </c>
      <c r="F20" s="50">
        <v>19</v>
      </c>
      <c r="G20" s="50">
        <v>1</v>
      </c>
      <c r="H20" s="50">
        <v>0</v>
      </c>
      <c r="I20" s="50">
        <v>5</v>
      </c>
      <c r="J20" s="50">
        <v>13</v>
      </c>
      <c r="K20" s="50">
        <v>2</v>
      </c>
      <c r="L20" s="50">
        <v>0</v>
      </c>
      <c r="M20" s="50">
        <v>220</v>
      </c>
      <c r="N20" s="50">
        <v>0</v>
      </c>
      <c r="O20" s="15">
        <f t="shared" si="0"/>
        <v>97</v>
      </c>
      <c r="P20" s="15">
        <f t="shared" si="1"/>
        <v>317</v>
      </c>
      <c r="R20" s="1" t="s">
        <v>16</v>
      </c>
      <c r="S20" s="17">
        <f t="shared" ref="S20:AF20" si="12">SUM(C50:C53)</f>
        <v>189</v>
      </c>
      <c r="T20" s="17">
        <f t="shared" si="12"/>
        <v>18</v>
      </c>
      <c r="U20" s="17">
        <f t="shared" si="12"/>
        <v>11</v>
      </c>
      <c r="V20" s="17">
        <f t="shared" si="12"/>
        <v>123</v>
      </c>
      <c r="W20" s="17">
        <f t="shared" si="12"/>
        <v>0</v>
      </c>
      <c r="X20" s="17">
        <f t="shared" si="12"/>
        <v>1</v>
      </c>
      <c r="Y20" s="17">
        <f t="shared" si="12"/>
        <v>22</v>
      </c>
      <c r="Z20" s="17">
        <f t="shared" si="12"/>
        <v>52</v>
      </c>
      <c r="AA20" s="17">
        <f t="shared" si="12"/>
        <v>18</v>
      </c>
      <c r="AB20" s="17">
        <f t="shared" si="12"/>
        <v>1</v>
      </c>
      <c r="AC20" s="17">
        <f t="shared" si="12"/>
        <v>775</v>
      </c>
      <c r="AD20" s="17">
        <f t="shared" si="12"/>
        <v>0</v>
      </c>
      <c r="AE20" s="31">
        <f t="shared" si="12"/>
        <v>435</v>
      </c>
      <c r="AF20" s="31">
        <f t="shared" si="12"/>
        <v>1210</v>
      </c>
    </row>
    <row r="21" spans="2:32" ht="23.1" customHeight="1" x14ac:dyDescent="0.25">
      <c r="B21" s="23" t="s">
        <v>48</v>
      </c>
      <c r="C21" s="50">
        <v>50</v>
      </c>
      <c r="D21" s="50">
        <v>4</v>
      </c>
      <c r="E21" s="50">
        <v>5</v>
      </c>
      <c r="F21" s="50">
        <v>29</v>
      </c>
      <c r="G21" s="50">
        <v>2</v>
      </c>
      <c r="H21" s="50">
        <v>0</v>
      </c>
      <c r="I21" s="50">
        <v>4</v>
      </c>
      <c r="J21" s="50">
        <v>20</v>
      </c>
      <c r="K21" s="50">
        <v>4</v>
      </c>
      <c r="L21" s="50">
        <v>0</v>
      </c>
      <c r="M21" s="50">
        <v>210</v>
      </c>
      <c r="N21" s="50">
        <v>0</v>
      </c>
      <c r="O21" s="15">
        <f t="shared" si="0"/>
        <v>118</v>
      </c>
      <c r="P21" s="15">
        <f t="shared" si="1"/>
        <v>328</v>
      </c>
      <c r="R21" s="36" t="s">
        <v>20</v>
      </c>
      <c r="S21" s="34">
        <f t="shared" ref="S21:AF21" si="13">SUM(C54:C57)</f>
        <v>144</v>
      </c>
      <c r="T21" s="17">
        <f t="shared" si="13"/>
        <v>29</v>
      </c>
      <c r="U21" s="17">
        <f t="shared" si="13"/>
        <v>16</v>
      </c>
      <c r="V21" s="17">
        <f t="shared" si="13"/>
        <v>125</v>
      </c>
      <c r="W21" s="17">
        <f t="shared" si="13"/>
        <v>3</v>
      </c>
      <c r="X21" s="17">
        <f t="shared" si="13"/>
        <v>1</v>
      </c>
      <c r="Y21" s="17">
        <f t="shared" si="13"/>
        <v>15</v>
      </c>
      <c r="Z21" s="17">
        <f t="shared" si="13"/>
        <v>44</v>
      </c>
      <c r="AA21" s="17">
        <f t="shared" si="13"/>
        <v>10</v>
      </c>
      <c r="AB21" s="17">
        <f t="shared" si="13"/>
        <v>2</v>
      </c>
      <c r="AC21" s="17">
        <f t="shared" si="13"/>
        <v>720</v>
      </c>
      <c r="AD21" s="17">
        <f t="shared" si="13"/>
        <v>0</v>
      </c>
      <c r="AE21" s="31">
        <f t="shared" si="13"/>
        <v>389</v>
      </c>
      <c r="AF21" s="31">
        <f t="shared" si="13"/>
        <v>1109</v>
      </c>
    </row>
    <row r="22" spans="2:32" ht="23.1" customHeight="1" x14ac:dyDescent="0.25">
      <c r="B22" s="23" t="s">
        <v>49</v>
      </c>
      <c r="C22" s="50">
        <v>29</v>
      </c>
      <c r="D22" s="50">
        <v>5</v>
      </c>
      <c r="E22" s="50">
        <v>2</v>
      </c>
      <c r="F22" s="50">
        <v>41</v>
      </c>
      <c r="G22" s="50">
        <v>0</v>
      </c>
      <c r="H22" s="50">
        <v>0</v>
      </c>
      <c r="I22" s="50">
        <v>2</v>
      </c>
      <c r="J22" s="50">
        <v>15</v>
      </c>
      <c r="K22" s="50">
        <v>0</v>
      </c>
      <c r="L22" s="50">
        <v>0</v>
      </c>
      <c r="M22" s="50">
        <v>145</v>
      </c>
      <c r="N22" s="50">
        <v>0</v>
      </c>
      <c r="O22" s="15">
        <f t="shared" si="0"/>
        <v>94</v>
      </c>
      <c r="P22" s="15">
        <f t="shared" si="1"/>
        <v>239</v>
      </c>
      <c r="R22" s="38" t="s">
        <v>90</v>
      </c>
      <c r="S22" s="39">
        <f>MAX(S10:S12)</f>
        <v>231</v>
      </c>
      <c r="T22" s="39">
        <f t="shared" ref="T22:AF22" si="14">MAX(T10:T12)</f>
        <v>26</v>
      </c>
      <c r="U22" s="39">
        <f t="shared" si="14"/>
        <v>22</v>
      </c>
      <c r="V22" s="39">
        <f t="shared" si="14"/>
        <v>111</v>
      </c>
      <c r="W22" s="39">
        <f t="shared" si="14"/>
        <v>5</v>
      </c>
      <c r="X22" s="39">
        <f t="shared" si="14"/>
        <v>1</v>
      </c>
      <c r="Y22" s="39">
        <f t="shared" si="14"/>
        <v>51</v>
      </c>
      <c r="Z22" s="39">
        <f t="shared" si="14"/>
        <v>60</v>
      </c>
      <c r="AA22" s="39">
        <f t="shared" si="14"/>
        <v>13</v>
      </c>
      <c r="AB22" s="39">
        <f t="shared" si="14"/>
        <v>4</v>
      </c>
      <c r="AC22" s="39">
        <f t="shared" si="14"/>
        <v>935</v>
      </c>
      <c r="AD22" s="39">
        <f t="shared" si="14"/>
        <v>0</v>
      </c>
      <c r="AE22" s="40">
        <f t="shared" si="14"/>
        <v>481</v>
      </c>
      <c r="AF22" s="40">
        <f t="shared" si="14"/>
        <v>1320</v>
      </c>
    </row>
    <row r="23" spans="2:32" ht="23.1" customHeight="1" x14ac:dyDescent="0.25">
      <c r="B23" s="23" t="s">
        <v>50</v>
      </c>
      <c r="C23" s="50">
        <v>45</v>
      </c>
      <c r="D23" s="50">
        <v>2</v>
      </c>
      <c r="E23" s="50">
        <v>0</v>
      </c>
      <c r="F23" s="50">
        <v>26</v>
      </c>
      <c r="G23" s="50">
        <v>1</v>
      </c>
      <c r="H23" s="50">
        <v>0</v>
      </c>
      <c r="I23" s="50">
        <v>3</v>
      </c>
      <c r="J23" s="50">
        <v>18</v>
      </c>
      <c r="K23" s="50">
        <v>2</v>
      </c>
      <c r="L23" s="50">
        <v>0</v>
      </c>
      <c r="M23" s="50">
        <v>215</v>
      </c>
      <c r="N23" s="50">
        <v>0</v>
      </c>
      <c r="O23" s="15">
        <f t="shared" si="0"/>
        <v>97</v>
      </c>
      <c r="P23" s="15">
        <f t="shared" si="1"/>
        <v>312</v>
      </c>
      <c r="R23" s="38" t="s">
        <v>91</v>
      </c>
      <c r="S23" s="39">
        <f>MAX(S13:S18)</f>
        <v>156</v>
      </c>
      <c r="T23" s="39">
        <f t="shared" ref="T23:AF23" si="15">MAX(T13:T18)</f>
        <v>32</v>
      </c>
      <c r="U23" s="39">
        <f t="shared" si="15"/>
        <v>21</v>
      </c>
      <c r="V23" s="39">
        <f t="shared" si="15"/>
        <v>124</v>
      </c>
      <c r="W23" s="39">
        <f t="shared" si="15"/>
        <v>20</v>
      </c>
      <c r="X23" s="39">
        <f t="shared" si="15"/>
        <v>2</v>
      </c>
      <c r="Y23" s="39">
        <f t="shared" si="15"/>
        <v>13</v>
      </c>
      <c r="Z23" s="39">
        <f t="shared" si="15"/>
        <v>63</v>
      </c>
      <c r="AA23" s="39">
        <f t="shared" si="15"/>
        <v>15</v>
      </c>
      <c r="AB23" s="39">
        <f t="shared" si="15"/>
        <v>3</v>
      </c>
      <c r="AC23" s="39">
        <f t="shared" si="15"/>
        <v>865</v>
      </c>
      <c r="AD23" s="39">
        <f t="shared" si="15"/>
        <v>0</v>
      </c>
      <c r="AE23" s="40">
        <f t="shared" si="15"/>
        <v>394</v>
      </c>
      <c r="AF23" s="40">
        <f t="shared" si="15"/>
        <v>1259</v>
      </c>
    </row>
    <row r="24" spans="2:32" ht="23.1" customHeight="1" x14ac:dyDescent="0.25">
      <c r="B24" s="23" t="s">
        <v>51</v>
      </c>
      <c r="C24" s="50">
        <v>42</v>
      </c>
      <c r="D24" s="50">
        <v>2</v>
      </c>
      <c r="E24" s="50">
        <v>5</v>
      </c>
      <c r="F24" s="50">
        <v>31</v>
      </c>
      <c r="G24" s="50">
        <v>2</v>
      </c>
      <c r="H24" s="50">
        <v>0</v>
      </c>
      <c r="I24" s="50">
        <v>3</v>
      </c>
      <c r="J24" s="50">
        <v>14</v>
      </c>
      <c r="K24" s="50">
        <v>1</v>
      </c>
      <c r="L24" s="50">
        <v>0</v>
      </c>
      <c r="M24" s="50">
        <v>190</v>
      </c>
      <c r="N24" s="50">
        <v>0</v>
      </c>
      <c r="O24" s="15">
        <f t="shared" si="0"/>
        <v>100</v>
      </c>
      <c r="P24" s="15">
        <f t="shared" si="1"/>
        <v>290</v>
      </c>
      <c r="R24" s="38" t="s">
        <v>92</v>
      </c>
      <c r="S24" s="39">
        <f>MAX(S19:S21)</f>
        <v>189</v>
      </c>
      <c r="T24" s="39">
        <f t="shared" ref="T24:AF24" si="16">MAX(T19:T21)</f>
        <v>29</v>
      </c>
      <c r="U24" s="39">
        <f t="shared" si="16"/>
        <v>16</v>
      </c>
      <c r="V24" s="39">
        <f t="shared" si="16"/>
        <v>129</v>
      </c>
      <c r="W24" s="39">
        <f t="shared" si="16"/>
        <v>3</v>
      </c>
      <c r="X24" s="39">
        <f t="shared" si="16"/>
        <v>1</v>
      </c>
      <c r="Y24" s="39">
        <f t="shared" si="16"/>
        <v>22</v>
      </c>
      <c r="Z24" s="39">
        <f t="shared" si="16"/>
        <v>55</v>
      </c>
      <c r="AA24" s="39">
        <f t="shared" si="16"/>
        <v>18</v>
      </c>
      <c r="AB24" s="39">
        <f t="shared" si="16"/>
        <v>2</v>
      </c>
      <c r="AC24" s="39">
        <f t="shared" si="16"/>
        <v>840</v>
      </c>
      <c r="AD24" s="39">
        <f t="shared" si="16"/>
        <v>0</v>
      </c>
      <c r="AE24" s="40">
        <f t="shared" si="16"/>
        <v>440</v>
      </c>
      <c r="AF24" s="40">
        <f t="shared" si="16"/>
        <v>1280</v>
      </c>
    </row>
    <row r="25" spans="2:32" ht="23.1" customHeight="1" x14ac:dyDescent="0.25">
      <c r="B25" s="23" t="s">
        <v>52</v>
      </c>
      <c r="C25" s="50">
        <v>35</v>
      </c>
      <c r="D25" s="50">
        <v>0</v>
      </c>
      <c r="E25" s="50">
        <v>3</v>
      </c>
      <c r="F25" s="50">
        <v>26</v>
      </c>
      <c r="G25" s="50">
        <v>0</v>
      </c>
      <c r="H25" s="50">
        <v>0</v>
      </c>
      <c r="I25" s="50">
        <v>3</v>
      </c>
      <c r="J25" s="50">
        <v>16</v>
      </c>
      <c r="K25" s="50">
        <v>1</v>
      </c>
      <c r="L25" s="50">
        <v>0</v>
      </c>
      <c r="M25" s="50">
        <v>230</v>
      </c>
      <c r="N25" s="50">
        <v>0</v>
      </c>
      <c r="O25" s="15">
        <f t="shared" si="0"/>
        <v>84</v>
      </c>
      <c r="P25" s="15">
        <f t="shared" si="1"/>
        <v>314</v>
      </c>
      <c r="R25" s="37" t="s">
        <v>85</v>
      </c>
      <c r="S25" s="35">
        <f t="shared" ref="S25:AF25" si="17">SUM(S10:S12)</f>
        <v>572</v>
      </c>
      <c r="T25" s="16">
        <f t="shared" si="17"/>
        <v>68</v>
      </c>
      <c r="U25" s="16">
        <f t="shared" si="17"/>
        <v>53</v>
      </c>
      <c r="V25" s="16">
        <f t="shared" si="17"/>
        <v>316</v>
      </c>
      <c r="W25" s="16">
        <f t="shared" si="17"/>
        <v>9</v>
      </c>
      <c r="X25" s="16">
        <f t="shared" si="17"/>
        <v>1</v>
      </c>
      <c r="Y25" s="16">
        <f t="shared" si="17"/>
        <v>98</v>
      </c>
      <c r="Z25" s="16">
        <f t="shared" si="17"/>
        <v>153</v>
      </c>
      <c r="AA25" s="16">
        <f t="shared" si="17"/>
        <v>22</v>
      </c>
      <c r="AB25" s="16">
        <f t="shared" si="17"/>
        <v>6</v>
      </c>
      <c r="AC25" s="16">
        <f t="shared" si="17"/>
        <v>2355</v>
      </c>
      <c r="AD25" s="16">
        <f t="shared" si="17"/>
        <v>0</v>
      </c>
      <c r="AE25" s="32">
        <f t="shared" si="17"/>
        <v>1298</v>
      </c>
      <c r="AF25" s="32">
        <f t="shared" si="17"/>
        <v>3653</v>
      </c>
    </row>
    <row r="26" spans="2:32" ht="23.1" customHeight="1" x14ac:dyDescent="0.25">
      <c r="B26" s="23" t="s">
        <v>53</v>
      </c>
      <c r="C26" s="50">
        <v>32</v>
      </c>
      <c r="D26" s="50">
        <v>6</v>
      </c>
      <c r="E26" s="50">
        <v>1</v>
      </c>
      <c r="F26" s="50">
        <v>19</v>
      </c>
      <c r="G26" s="50">
        <v>0</v>
      </c>
      <c r="H26" s="50">
        <v>0</v>
      </c>
      <c r="I26" s="50">
        <v>1</v>
      </c>
      <c r="J26" s="50">
        <v>13</v>
      </c>
      <c r="K26" s="50">
        <v>2</v>
      </c>
      <c r="L26" s="50">
        <v>0</v>
      </c>
      <c r="M26" s="50">
        <v>240</v>
      </c>
      <c r="N26" s="50">
        <v>0</v>
      </c>
      <c r="O26" s="15">
        <f t="shared" si="0"/>
        <v>74</v>
      </c>
      <c r="P26" s="15">
        <f t="shared" si="1"/>
        <v>314</v>
      </c>
      <c r="R26" s="28" t="s">
        <v>86</v>
      </c>
      <c r="S26" s="16">
        <f t="shared" ref="S26:AF26" si="18">SUM(S13:S18)</f>
        <v>900</v>
      </c>
      <c r="T26" s="16">
        <f t="shared" si="18"/>
        <v>112</v>
      </c>
      <c r="U26" s="16">
        <f t="shared" si="18"/>
        <v>71</v>
      </c>
      <c r="V26" s="16">
        <f t="shared" si="18"/>
        <v>613</v>
      </c>
      <c r="W26" s="16">
        <f t="shared" si="18"/>
        <v>25</v>
      </c>
      <c r="X26" s="16">
        <f t="shared" si="18"/>
        <v>3</v>
      </c>
      <c r="Y26" s="16">
        <f t="shared" si="18"/>
        <v>62</v>
      </c>
      <c r="Z26" s="16">
        <f t="shared" si="18"/>
        <v>301</v>
      </c>
      <c r="AA26" s="16">
        <f t="shared" si="18"/>
        <v>53</v>
      </c>
      <c r="AB26" s="16">
        <f t="shared" si="18"/>
        <v>6</v>
      </c>
      <c r="AC26" s="16">
        <f t="shared" si="18"/>
        <v>4748</v>
      </c>
      <c r="AD26" s="16">
        <f t="shared" si="18"/>
        <v>0</v>
      </c>
      <c r="AE26" s="32">
        <f t="shared" si="18"/>
        <v>2146</v>
      </c>
      <c r="AF26" s="32">
        <f t="shared" si="18"/>
        <v>6894</v>
      </c>
    </row>
    <row r="27" spans="2:32" ht="23.1" customHeight="1" x14ac:dyDescent="0.25">
      <c r="B27" s="23" t="s">
        <v>54</v>
      </c>
      <c r="C27" s="50">
        <v>46</v>
      </c>
      <c r="D27" s="50">
        <v>7</v>
      </c>
      <c r="E27" s="50">
        <v>2</v>
      </c>
      <c r="F27" s="50">
        <v>33</v>
      </c>
      <c r="G27" s="50">
        <v>0</v>
      </c>
      <c r="H27" s="50">
        <v>0</v>
      </c>
      <c r="I27" s="50">
        <v>3</v>
      </c>
      <c r="J27" s="50">
        <v>14</v>
      </c>
      <c r="K27" s="50">
        <v>3</v>
      </c>
      <c r="L27" s="50">
        <v>0</v>
      </c>
      <c r="M27" s="50">
        <v>210</v>
      </c>
      <c r="N27" s="50">
        <v>0</v>
      </c>
      <c r="O27" s="15">
        <f t="shared" si="0"/>
        <v>108</v>
      </c>
      <c r="P27" s="15">
        <f t="shared" si="1"/>
        <v>318</v>
      </c>
      <c r="R27" s="29" t="s">
        <v>87</v>
      </c>
      <c r="S27" s="16">
        <f t="shared" ref="S27:AF27" si="19">SUM(S19:S21)</f>
        <v>521</v>
      </c>
      <c r="T27" s="16">
        <f t="shared" si="19"/>
        <v>76</v>
      </c>
      <c r="U27" s="16">
        <f t="shared" si="19"/>
        <v>43</v>
      </c>
      <c r="V27" s="16">
        <f t="shared" si="19"/>
        <v>377</v>
      </c>
      <c r="W27" s="16">
        <f t="shared" si="19"/>
        <v>5</v>
      </c>
      <c r="X27" s="16">
        <f t="shared" si="19"/>
        <v>3</v>
      </c>
      <c r="Y27" s="16">
        <f t="shared" si="19"/>
        <v>47</v>
      </c>
      <c r="Z27" s="16">
        <f t="shared" si="19"/>
        <v>151</v>
      </c>
      <c r="AA27" s="16">
        <f t="shared" si="19"/>
        <v>38</v>
      </c>
      <c r="AB27" s="16">
        <f t="shared" si="19"/>
        <v>3</v>
      </c>
      <c r="AC27" s="16">
        <f t="shared" si="19"/>
        <v>2335</v>
      </c>
      <c r="AD27" s="16">
        <f t="shared" si="19"/>
        <v>0</v>
      </c>
      <c r="AE27" s="32">
        <f t="shared" si="19"/>
        <v>1264</v>
      </c>
      <c r="AF27" s="32">
        <f t="shared" si="19"/>
        <v>3599</v>
      </c>
    </row>
    <row r="28" spans="2:32" ht="23.1" customHeight="1" x14ac:dyDescent="0.25">
      <c r="B28" s="23" t="s">
        <v>55</v>
      </c>
      <c r="C28" s="50">
        <v>37</v>
      </c>
      <c r="D28" s="50">
        <v>3</v>
      </c>
      <c r="E28" s="50">
        <v>2</v>
      </c>
      <c r="F28" s="50">
        <v>16</v>
      </c>
      <c r="G28" s="50">
        <v>0</v>
      </c>
      <c r="H28" s="50">
        <v>0</v>
      </c>
      <c r="I28" s="50">
        <v>5</v>
      </c>
      <c r="J28" s="50">
        <v>8</v>
      </c>
      <c r="K28" s="50">
        <v>0</v>
      </c>
      <c r="L28" s="50">
        <v>0</v>
      </c>
      <c r="M28" s="50">
        <v>225</v>
      </c>
      <c r="N28" s="50">
        <v>0</v>
      </c>
      <c r="O28" s="15">
        <f t="shared" si="0"/>
        <v>71</v>
      </c>
      <c r="P28" s="15">
        <f t="shared" si="1"/>
        <v>296</v>
      </c>
      <c r="R28" s="5" t="s">
        <v>17</v>
      </c>
      <c r="S28" s="16">
        <f t="shared" ref="S28:AF28" si="20">SUM(S10:S21)</f>
        <v>1993</v>
      </c>
      <c r="T28" s="16">
        <f t="shared" si="20"/>
        <v>256</v>
      </c>
      <c r="U28" s="16">
        <f t="shared" si="20"/>
        <v>167</v>
      </c>
      <c r="V28" s="16">
        <f t="shared" si="20"/>
        <v>1306</v>
      </c>
      <c r="W28" s="16">
        <f t="shared" si="20"/>
        <v>39</v>
      </c>
      <c r="X28" s="16">
        <f t="shared" si="20"/>
        <v>7</v>
      </c>
      <c r="Y28" s="16">
        <f t="shared" si="20"/>
        <v>207</v>
      </c>
      <c r="Z28" s="16">
        <f t="shared" si="20"/>
        <v>605</v>
      </c>
      <c r="AA28" s="16">
        <f t="shared" si="20"/>
        <v>113</v>
      </c>
      <c r="AB28" s="16">
        <f t="shared" si="20"/>
        <v>15</v>
      </c>
      <c r="AC28" s="16">
        <f t="shared" si="20"/>
        <v>9438</v>
      </c>
      <c r="AD28" s="16">
        <f t="shared" si="20"/>
        <v>0</v>
      </c>
      <c r="AE28" s="32">
        <f t="shared" si="20"/>
        <v>4708</v>
      </c>
      <c r="AF28" s="32">
        <f t="shared" si="20"/>
        <v>14146</v>
      </c>
    </row>
    <row r="29" spans="2:32" ht="23.1" customHeight="1" x14ac:dyDescent="0.25">
      <c r="B29" s="23" t="s">
        <v>56</v>
      </c>
      <c r="C29" s="50">
        <v>38</v>
      </c>
      <c r="D29" s="50">
        <v>2</v>
      </c>
      <c r="E29" s="50">
        <v>2</v>
      </c>
      <c r="F29" s="50">
        <v>24</v>
      </c>
      <c r="G29" s="50">
        <v>0</v>
      </c>
      <c r="H29" s="50">
        <v>0</v>
      </c>
      <c r="I29" s="50">
        <v>0</v>
      </c>
      <c r="J29" s="50">
        <v>10</v>
      </c>
      <c r="K29" s="50">
        <v>7</v>
      </c>
      <c r="L29" s="50">
        <v>0</v>
      </c>
      <c r="M29" s="50">
        <v>150</v>
      </c>
      <c r="N29" s="50">
        <v>0</v>
      </c>
      <c r="O29" s="15">
        <f t="shared" si="0"/>
        <v>83</v>
      </c>
      <c r="P29" s="15">
        <f t="shared" si="1"/>
        <v>233</v>
      </c>
      <c r="R29"/>
      <c r="S29" s="20"/>
      <c r="T29" s="19"/>
    </row>
    <row r="30" spans="2:32" ht="23.1" customHeight="1" x14ac:dyDescent="0.25">
      <c r="B30" s="23" t="s">
        <v>57</v>
      </c>
      <c r="C30" s="50">
        <v>42</v>
      </c>
      <c r="D30" s="50">
        <v>3</v>
      </c>
      <c r="E30" s="50">
        <v>1</v>
      </c>
      <c r="F30" s="50">
        <v>20</v>
      </c>
      <c r="G30" s="50">
        <v>0</v>
      </c>
      <c r="H30" s="50">
        <v>0</v>
      </c>
      <c r="I30" s="50">
        <v>0</v>
      </c>
      <c r="J30" s="50">
        <v>8</v>
      </c>
      <c r="K30" s="50">
        <v>0</v>
      </c>
      <c r="L30" s="50">
        <v>0</v>
      </c>
      <c r="M30" s="50">
        <v>170</v>
      </c>
      <c r="N30" s="50">
        <v>0</v>
      </c>
      <c r="O30" s="15">
        <f t="shared" si="0"/>
        <v>74</v>
      </c>
      <c r="P30" s="15">
        <f t="shared" si="1"/>
        <v>244</v>
      </c>
    </row>
    <row r="31" spans="2:32" ht="23.1" customHeight="1" x14ac:dyDescent="0.25">
      <c r="B31" s="24" t="s">
        <v>58</v>
      </c>
      <c r="C31" s="50">
        <v>32</v>
      </c>
      <c r="D31" s="50">
        <v>4</v>
      </c>
      <c r="E31" s="50">
        <v>3</v>
      </c>
      <c r="F31" s="50">
        <v>21</v>
      </c>
      <c r="G31" s="50">
        <v>0</v>
      </c>
      <c r="H31" s="50">
        <v>0</v>
      </c>
      <c r="I31" s="50">
        <v>9</v>
      </c>
      <c r="J31" s="50">
        <v>6</v>
      </c>
      <c r="K31" s="50">
        <v>1</v>
      </c>
      <c r="L31" s="50">
        <v>0</v>
      </c>
      <c r="M31" s="50">
        <v>180</v>
      </c>
      <c r="N31" s="50">
        <v>0</v>
      </c>
      <c r="O31" s="15">
        <f t="shared" si="0"/>
        <v>76</v>
      </c>
      <c r="P31" s="15">
        <f t="shared" si="1"/>
        <v>256</v>
      </c>
    </row>
    <row r="32" spans="2:32" ht="23.1" customHeight="1" x14ac:dyDescent="0.25">
      <c r="B32" s="24" t="s">
        <v>59</v>
      </c>
      <c r="C32" s="50">
        <v>45</v>
      </c>
      <c r="D32" s="50">
        <v>3</v>
      </c>
      <c r="E32" s="50">
        <v>3</v>
      </c>
      <c r="F32" s="50">
        <v>37</v>
      </c>
      <c r="G32" s="50">
        <v>1</v>
      </c>
      <c r="H32" s="50">
        <v>1</v>
      </c>
      <c r="I32" s="50">
        <v>1</v>
      </c>
      <c r="J32" s="50">
        <v>12</v>
      </c>
      <c r="K32" s="50">
        <v>2</v>
      </c>
      <c r="L32" s="50">
        <v>0</v>
      </c>
      <c r="M32" s="50">
        <v>235</v>
      </c>
      <c r="N32" s="50">
        <v>0</v>
      </c>
      <c r="O32" s="15">
        <f t="shared" si="0"/>
        <v>105</v>
      </c>
      <c r="P32" s="15">
        <f t="shared" si="1"/>
        <v>340</v>
      </c>
    </row>
    <row r="33" spans="2:20" ht="23.1" customHeight="1" x14ac:dyDescent="0.25">
      <c r="B33" s="23" t="s">
        <v>60</v>
      </c>
      <c r="C33" s="50">
        <v>37</v>
      </c>
      <c r="D33" s="50">
        <v>4</v>
      </c>
      <c r="E33" s="50">
        <v>2</v>
      </c>
      <c r="F33" s="50">
        <v>33</v>
      </c>
      <c r="G33" s="50">
        <v>1</v>
      </c>
      <c r="H33" s="50">
        <v>1</v>
      </c>
      <c r="I33" s="50">
        <v>2</v>
      </c>
      <c r="J33" s="50">
        <v>14</v>
      </c>
      <c r="K33" s="50">
        <v>3</v>
      </c>
      <c r="L33" s="50">
        <v>0</v>
      </c>
      <c r="M33" s="50">
        <v>165</v>
      </c>
      <c r="N33" s="50">
        <v>0</v>
      </c>
      <c r="O33" s="15">
        <f t="shared" si="0"/>
        <v>97</v>
      </c>
      <c r="P33" s="15">
        <f t="shared" si="1"/>
        <v>262</v>
      </c>
    </row>
    <row r="34" spans="2:20" ht="23.1" customHeight="1" x14ac:dyDescent="0.25">
      <c r="B34" s="24" t="s">
        <v>61</v>
      </c>
      <c r="C34" s="50">
        <v>24</v>
      </c>
      <c r="D34" s="50">
        <v>5</v>
      </c>
      <c r="E34" s="50">
        <v>1</v>
      </c>
      <c r="F34" s="50">
        <v>16</v>
      </c>
      <c r="G34" s="50">
        <v>0</v>
      </c>
      <c r="H34" s="50">
        <v>0</v>
      </c>
      <c r="I34" s="50">
        <v>3</v>
      </c>
      <c r="J34" s="50">
        <v>8</v>
      </c>
      <c r="K34" s="50">
        <v>2</v>
      </c>
      <c r="L34" s="50">
        <v>0</v>
      </c>
      <c r="M34" s="50">
        <v>190</v>
      </c>
      <c r="N34" s="50">
        <v>0</v>
      </c>
      <c r="O34" s="15">
        <f t="shared" si="0"/>
        <v>59</v>
      </c>
      <c r="P34" s="15">
        <f t="shared" si="1"/>
        <v>249</v>
      </c>
    </row>
    <row r="35" spans="2:20" ht="23.1" customHeight="1" x14ac:dyDescent="0.25">
      <c r="B35" s="24" t="s">
        <v>62</v>
      </c>
      <c r="C35" s="50">
        <v>37</v>
      </c>
      <c r="D35" s="50">
        <v>3</v>
      </c>
      <c r="E35" s="50">
        <v>3</v>
      </c>
      <c r="F35" s="50">
        <v>30</v>
      </c>
      <c r="G35" s="50">
        <v>0</v>
      </c>
      <c r="H35" s="50">
        <v>0</v>
      </c>
      <c r="I35" s="50">
        <v>2</v>
      </c>
      <c r="J35" s="50">
        <v>4</v>
      </c>
      <c r="K35" s="50">
        <v>6</v>
      </c>
      <c r="L35" s="50">
        <v>0</v>
      </c>
      <c r="M35" s="50">
        <v>225</v>
      </c>
      <c r="N35" s="50">
        <v>0</v>
      </c>
      <c r="O35" s="15">
        <f t="shared" si="0"/>
        <v>85</v>
      </c>
      <c r="P35" s="15">
        <f t="shared" si="1"/>
        <v>310</v>
      </c>
    </row>
    <row r="36" spans="2:20" ht="23.1" customHeight="1" x14ac:dyDescent="0.25">
      <c r="B36" s="24" t="s">
        <v>63</v>
      </c>
      <c r="C36" s="50">
        <v>33</v>
      </c>
      <c r="D36" s="50">
        <v>9</v>
      </c>
      <c r="E36" s="50">
        <v>6</v>
      </c>
      <c r="F36" s="50">
        <v>19</v>
      </c>
      <c r="G36" s="50">
        <v>0</v>
      </c>
      <c r="H36" s="50">
        <v>0</v>
      </c>
      <c r="I36" s="50">
        <v>0</v>
      </c>
      <c r="J36" s="50">
        <v>8</v>
      </c>
      <c r="K36" s="50">
        <v>1</v>
      </c>
      <c r="L36" s="50">
        <v>1</v>
      </c>
      <c r="M36" s="50">
        <v>175</v>
      </c>
      <c r="N36" s="50">
        <v>0</v>
      </c>
      <c r="O36" s="15">
        <f t="shared" si="0"/>
        <v>77</v>
      </c>
      <c r="P36" s="15">
        <f t="shared" si="1"/>
        <v>252</v>
      </c>
    </row>
    <row r="37" spans="2:20" ht="23.1" customHeight="1" x14ac:dyDescent="0.25">
      <c r="B37" s="23" t="s">
        <v>64</v>
      </c>
      <c r="C37" s="50">
        <v>41</v>
      </c>
      <c r="D37" s="50">
        <v>6</v>
      </c>
      <c r="E37" s="50">
        <v>2</v>
      </c>
      <c r="F37" s="50">
        <v>20</v>
      </c>
      <c r="G37" s="50">
        <v>20</v>
      </c>
      <c r="H37" s="50">
        <v>0</v>
      </c>
      <c r="I37" s="50">
        <v>1</v>
      </c>
      <c r="J37" s="50">
        <v>20</v>
      </c>
      <c r="K37" s="50">
        <v>1</v>
      </c>
      <c r="L37" s="50">
        <v>2</v>
      </c>
      <c r="M37" s="50">
        <v>213</v>
      </c>
      <c r="N37" s="50">
        <v>0</v>
      </c>
      <c r="O37" s="15">
        <f t="shared" si="0"/>
        <v>113</v>
      </c>
      <c r="P37" s="15">
        <f t="shared" si="1"/>
        <v>326</v>
      </c>
    </row>
    <row r="38" spans="2:20" ht="23.1" customHeight="1" x14ac:dyDescent="0.25">
      <c r="B38" s="24" t="s">
        <v>65</v>
      </c>
      <c r="C38" s="50">
        <v>45</v>
      </c>
      <c r="D38" s="50">
        <v>5</v>
      </c>
      <c r="E38" s="50">
        <v>5</v>
      </c>
      <c r="F38" s="50">
        <v>23</v>
      </c>
      <c r="G38" s="50">
        <v>0</v>
      </c>
      <c r="H38" s="50">
        <v>0</v>
      </c>
      <c r="I38" s="50">
        <v>7</v>
      </c>
      <c r="J38" s="50">
        <v>10</v>
      </c>
      <c r="K38" s="50">
        <v>4</v>
      </c>
      <c r="L38" s="50">
        <v>0</v>
      </c>
      <c r="M38" s="50">
        <v>120</v>
      </c>
      <c r="N38" s="50">
        <v>0</v>
      </c>
      <c r="O38" s="15">
        <f t="shared" si="0"/>
        <v>99</v>
      </c>
      <c r="P38" s="15">
        <f t="shared" si="1"/>
        <v>219</v>
      </c>
    </row>
    <row r="39" spans="2:20" ht="23.1" customHeight="1" x14ac:dyDescent="0.25">
      <c r="B39" s="24" t="s">
        <v>66</v>
      </c>
      <c r="C39" s="50">
        <v>32</v>
      </c>
      <c r="D39" s="50">
        <v>3</v>
      </c>
      <c r="E39" s="50">
        <v>3</v>
      </c>
      <c r="F39" s="50">
        <v>21</v>
      </c>
      <c r="G39" s="50">
        <v>0</v>
      </c>
      <c r="H39" s="50">
        <v>1</v>
      </c>
      <c r="I39" s="50">
        <v>2</v>
      </c>
      <c r="J39" s="50">
        <v>17</v>
      </c>
      <c r="K39" s="50">
        <v>6</v>
      </c>
      <c r="L39" s="50">
        <v>1</v>
      </c>
      <c r="M39" s="50">
        <v>160</v>
      </c>
      <c r="N39" s="50">
        <v>0</v>
      </c>
      <c r="O39" s="15">
        <f t="shared" si="0"/>
        <v>86</v>
      </c>
      <c r="P39" s="15">
        <f t="shared" si="1"/>
        <v>246</v>
      </c>
    </row>
    <row r="40" spans="2:20" ht="23.1" customHeight="1" x14ac:dyDescent="0.25">
      <c r="B40" s="24" t="s">
        <v>67</v>
      </c>
      <c r="C40" s="50">
        <v>44</v>
      </c>
      <c r="D40" s="50">
        <v>5</v>
      </c>
      <c r="E40" s="50">
        <v>3</v>
      </c>
      <c r="F40" s="50">
        <v>20</v>
      </c>
      <c r="G40" s="50">
        <v>0</v>
      </c>
      <c r="H40" s="50">
        <v>0</v>
      </c>
      <c r="I40" s="50">
        <v>1</v>
      </c>
      <c r="J40" s="50">
        <v>17</v>
      </c>
      <c r="K40" s="50">
        <v>4</v>
      </c>
      <c r="L40" s="50">
        <v>0</v>
      </c>
      <c r="M40" s="50">
        <v>205</v>
      </c>
      <c r="N40" s="50">
        <v>0</v>
      </c>
      <c r="O40" s="15">
        <f t="shared" si="0"/>
        <v>94</v>
      </c>
      <c r="P40" s="15">
        <f t="shared" si="1"/>
        <v>299</v>
      </c>
    </row>
    <row r="41" spans="2:20" ht="23.1" customHeight="1" x14ac:dyDescent="0.25">
      <c r="B41" s="23" t="s">
        <v>68</v>
      </c>
      <c r="C41" s="50">
        <v>34</v>
      </c>
      <c r="D41" s="50">
        <v>3</v>
      </c>
      <c r="E41" s="50">
        <v>1</v>
      </c>
      <c r="F41" s="50">
        <v>25</v>
      </c>
      <c r="G41" s="50">
        <v>0</v>
      </c>
      <c r="H41" s="50">
        <v>0</v>
      </c>
      <c r="I41" s="50">
        <v>1</v>
      </c>
      <c r="J41" s="50">
        <v>9</v>
      </c>
      <c r="K41" s="50">
        <v>1</v>
      </c>
      <c r="L41" s="50">
        <v>2</v>
      </c>
      <c r="M41" s="50">
        <v>240</v>
      </c>
      <c r="N41" s="50">
        <v>0</v>
      </c>
      <c r="O41" s="15">
        <f t="shared" si="0"/>
        <v>76</v>
      </c>
      <c r="P41" s="15">
        <f t="shared" si="1"/>
        <v>316</v>
      </c>
    </row>
    <row r="42" spans="2:20" ht="23.1" customHeight="1" x14ac:dyDescent="0.25">
      <c r="B42" s="24" t="s">
        <v>69</v>
      </c>
      <c r="C42" s="50">
        <v>37</v>
      </c>
      <c r="D42" s="50">
        <v>7</v>
      </c>
      <c r="E42" s="50">
        <v>7</v>
      </c>
      <c r="F42" s="50">
        <v>36</v>
      </c>
      <c r="G42" s="50">
        <v>0</v>
      </c>
      <c r="H42" s="50">
        <v>0</v>
      </c>
      <c r="I42" s="50">
        <v>4</v>
      </c>
      <c r="J42" s="50">
        <v>19</v>
      </c>
      <c r="K42" s="50">
        <v>1</v>
      </c>
      <c r="L42" s="50">
        <v>0</v>
      </c>
      <c r="M42" s="50">
        <v>145</v>
      </c>
      <c r="N42" s="50">
        <v>0</v>
      </c>
      <c r="O42" s="15">
        <f t="shared" si="0"/>
        <v>111</v>
      </c>
      <c r="P42" s="15">
        <f t="shared" si="1"/>
        <v>256</v>
      </c>
    </row>
    <row r="43" spans="2:20" ht="23.1" customHeight="1" x14ac:dyDescent="0.25">
      <c r="B43" s="23" t="s">
        <v>70</v>
      </c>
      <c r="C43" s="50">
        <v>37</v>
      </c>
      <c r="D43" s="50">
        <v>4</v>
      </c>
      <c r="E43" s="50">
        <v>4</v>
      </c>
      <c r="F43" s="50">
        <v>30</v>
      </c>
      <c r="G43" s="50">
        <v>0</v>
      </c>
      <c r="H43" s="50">
        <v>0</v>
      </c>
      <c r="I43" s="50">
        <v>3</v>
      </c>
      <c r="J43" s="50">
        <v>15</v>
      </c>
      <c r="K43" s="50">
        <v>1</v>
      </c>
      <c r="L43" s="50">
        <v>0</v>
      </c>
      <c r="M43" s="50">
        <v>200</v>
      </c>
      <c r="N43" s="50">
        <v>0</v>
      </c>
      <c r="O43" s="15">
        <f t="shared" si="0"/>
        <v>94</v>
      </c>
      <c r="P43" s="15">
        <f t="shared" si="1"/>
        <v>294</v>
      </c>
    </row>
    <row r="44" spans="2:20" ht="23.1" customHeight="1" x14ac:dyDescent="0.25">
      <c r="B44" s="25" t="s">
        <v>71</v>
      </c>
      <c r="C44" s="50">
        <v>27</v>
      </c>
      <c r="D44" s="50">
        <v>7</v>
      </c>
      <c r="E44" s="50">
        <v>5</v>
      </c>
      <c r="F44" s="50">
        <v>23</v>
      </c>
      <c r="G44" s="50">
        <v>0</v>
      </c>
      <c r="H44" s="50">
        <v>0</v>
      </c>
      <c r="I44" s="50">
        <v>5</v>
      </c>
      <c r="J44" s="50">
        <v>12</v>
      </c>
      <c r="K44" s="50">
        <v>1</v>
      </c>
      <c r="L44" s="50">
        <v>0</v>
      </c>
      <c r="M44" s="50">
        <v>255</v>
      </c>
      <c r="N44" s="50">
        <v>0</v>
      </c>
      <c r="O44" s="15">
        <f t="shared" si="0"/>
        <v>80</v>
      </c>
      <c r="P44" s="15">
        <f t="shared" si="1"/>
        <v>335</v>
      </c>
    </row>
    <row r="45" spans="2:20" ht="23.1" customHeight="1" x14ac:dyDescent="0.25">
      <c r="B45" s="23" t="s">
        <v>72</v>
      </c>
      <c r="C45" s="50">
        <v>49</v>
      </c>
      <c r="D45" s="50">
        <v>14</v>
      </c>
      <c r="E45" s="50">
        <v>5</v>
      </c>
      <c r="F45" s="50">
        <v>23</v>
      </c>
      <c r="G45" s="50">
        <v>0</v>
      </c>
      <c r="H45" s="50">
        <v>0</v>
      </c>
      <c r="I45" s="50">
        <v>1</v>
      </c>
      <c r="J45" s="50">
        <v>14</v>
      </c>
      <c r="K45" s="50">
        <v>3</v>
      </c>
      <c r="L45" s="50">
        <v>0</v>
      </c>
      <c r="M45" s="50">
        <v>265</v>
      </c>
      <c r="N45" s="50">
        <v>0</v>
      </c>
      <c r="O45" s="15">
        <f t="shared" si="0"/>
        <v>109</v>
      </c>
      <c r="P45" s="15">
        <f t="shared" si="1"/>
        <v>374</v>
      </c>
    </row>
    <row r="46" spans="2:20" ht="23.1" customHeight="1" x14ac:dyDescent="0.25">
      <c r="B46" s="24" t="s">
        <v>73</v>
      </c>
      <c r="C46" s="50">
        <v>49</v>
      </c>
      <c r="D46" s="50">
        <v>7</v>
      </c>
      <c r="E46" s="50">
        <v>5</v>
      </c>
      <c r="F46" s="50">
        <v>33</v>
      </c>
      <c r="G46" s="50">
        <v>1</v>
      </c>
      <c r="H46" s="50">
        <v>0</v>
      </c>
      <c r="I46" s="50">
        <v>1</v>
      </c>
      <c r="J46" s="50">
        <v>11</v>
      </c>
      <c r="K46" s="50">
        <v>4</v>
      </c>
      <c r="L46" s="50">
        <v>0</v>
      </c>
      <c r="M46" s="50">
        <v>210</v>
      </c>
      <c r="N46" s="50">
        <v>0</v>
      </c>
      <c r="O46" s="15">
        <f t="shared" si="0"/>
        <v>111</v>
      </c>
      <c r="P46" s="15">
        <f t="shared" si="1"/>
        <v>321</v>
      </c>
      <c r="R46" s="8"/>
      <c r="T46"/>
    </row>
    <row r="47" spans="2:20" ht="23.1" customHeight="1" x14ac:dyDescent="0.25">
      <c r="B47" s="24" t="s">
        <v>74</v>
      </c>
      <c r="C47" s="50">
        <v>39</v>
      </c>
      <c r="D47" s="50">
        <v>5</v>
      </c>
      <c r="E47" s="50">
        <v>8</v>
      </c>
      <c r="F47" s="50">
        <v>39</v>
      </c>
      <c r="G47" s="50">
        <v>0</v>
      </c>
      <c r="H47" s="50">
        <v>0</v>
      </c>
      <c r="I47" s="50">
        <v>4</v>
      </c>
      <c r="J47" s="50">
        <v>9</v>
      </c>
      <c r="K47" s="50">
        <v>0</v>
      </c>
      <c r="L47" s="50">
        <v>0</v>
      </c>
      <c r="M47" s="50">
        <v>210</v>
      </c>
      <c r="N47" s="50">
        <v>0</v>
      </c>
      <c r="O47" s="15">
        <f t="shared" si="0"/>
        <v>104</v>
      </c>
      <c r="P47" s="15">
        <f t="shared" si="1"/>
        <v>314</v>
      </c>
      <c r="R47" s="8"/>
      <c r="T47"/>
    </row>
    <row r="48" spans="2:20" ht="23.1" customHeight="1" x14ac:dyDescent="0.25">
      <c r="B48" s="24" t="s">
        <v>75</v>
      </c>
      <c r="C48" s="50">
        <v>51</v>
      </c>
      <c r="D48" s="50">
        <v>12</v>
      </c>
      <c r="E48" s="50">
        <v>3</v>
      </c>
      <c r="F48" s="50">
        <v>29</v>
      </c>
      <c r="G48" s="50">
        <v>0</v>
      </c>
      <c r="H48" s="50">
        <v>0</v>
      </c>
      <c r="I48" s="50">
        <v>3</v>
      </c>
      <c r="J48" s="50">
        <v>19</v>
      </c>
      <c r="K48" s="50">
        <v>3</v>
      </c>
      <c r="L48" s="50">
        <v>0</v>
      </c>
      <c r="M48" s="50">
        <v>225</v>
      </c>
      <c r="N48" s="50">
        <v>0</v>
      </c>
      <c r="O48" s="15">
        <f t="shared" si="0"/>
        <v>120</v>
      </c>
      <c r="P48" s="15">
        <f t="shared" si="1"/>
        <v>345</v>
      </c>
      <c r="R48" s="8"/>
      <c r="T48"/>
    </row>
    <row r="49" spans="2:20" ht="23.1" customHeight="1" x14ac:dyDescent="0.25">
      <c r="B49" s="23" t="s">
        <v>76</v>
      </c>
      <c r="C49" s="50">
        <v>49</v>
      </c>
      <c r="D49" s="50">
        <v>5</v>
      </c>
      <c r="E49" s="50">
        <v>0</v>
      </c>
      <c r="F49" s="50">
        <v>28</v>
      </c>
      <c r="G49" s="50">
        <v>1</v>
      </c>
      <c r="H49" s="50">
        <v>1</v>
      </c>
      <c r="I49" s="50">
        <v>2</v>
      </c>
      <c r="J49" s="50">
        <v>16</v>
      </c>
      <c r="K49" s="50">
        <v>3</v>
      </c>
      <c r="L49" s="50">
        <v>0</v>
      </c>
      <c r="M49" s="50">
        <v>195</v>
      </c>
      <c r="N49" s="50">
        <v>0</v>
      </c>
      <c r="O49" s="15">
        <f t="shared" si="0"/>
        <v>105</v>
      </c>
      <c r="P49" s="15">
        <f t="shared" si="1"/>
        <v>300</v>
      </c>
      <c r="R49" s="8"/>
      <c r="T49"/>
    </row>
    <row r="50" spans="2:20" ht="23.1" customHeight="1" x14ac:dyDescent="0.25">
      <c r="B50" s="24" t="s">
        <v>77</v>
      </c>
      <c r="C50" s="50">
        <v>31</v>
      </c>
      <c r="D50" s="50">
        <v>5</v>
      </c>
      <c r="E50" s="50">
        <v>7</v>
      </c>
      <c r="F50" s="50">
        <v>25</v>
      </c>
      <c r="G50" s="50">
        <v>0</v>
      </c>
      <c r="H50" s="50">
        <v>0</v>
      </c>
      <c r="I50" s="50">
        <v>6</v>
      </c>
      <c r="J50" s="50">
        <v>5</v>
      </c>
      <c r="K50" s="50">
        <v>2</v>
      </c>
      <c r="L50" s="50">
        <v>1</v>
      </c>
      <c r="M50" s="50">
        <v>170</v>
      </c>
      <c r="N50" s="50">
        <v>0</v>
      </c>
      <c r="O50" s="15">
        <f t="shared" si="0"/>
        <v>82</v>
      </c>
      <c r="P50" s="15">
        <f t="shared" si="1"/>
        <v>252</v>
      </c>
      <c r="R50" s="8"/>
      <c r="T50"/>
    </row>
    <row r="51" spans="2:20" ht="23.1" customHeight="1" x14ac:dyDescent="0.25">
      <c r="B51" s="24" t="s">
        <v>78</v>
      </c>
      <c r="C51" s="50">
        <v>54</v>
      </c>
      <c r="D51" s="50">
        <v>7</v>
      </c>
      <c r="E51" s="50">
        <v>1</v>
      </c>
      <c r="F51" s="50">
        <v>39</v>
      </c>
      <c r="G51" s="50">
        <v>0</v>
      </c>
      <c r="H51" s="50">
        <v>1</v>
      </c>
      <c r="I51" s="50">
        <v>7</v>
      </c>
      <c r="J51" s="50">
        <v>18</v>
      </c>
      <c r="K51" s="50">
        <v>3</v>
      </c>
      <c r="L51" s="50">
        <v>0</v>
      </c>
      <c r="M51" s="50">
        <v>220</v>
      </c>
      <c r="N51" s="50">
        <v>0</v>
      </c>
      <c r="O51" s="15">
        <f t="shared" si="0"/>
        <v>130</v>
      </c>
      <c r="P51" s="15">
        <f t="shared" si="1"/>
        <v>350</v>
      </c>
      <c r="R51" s="8"/>
      <c r="T51"/>
    </row>
    <row r="52" spans="2:20" ht="23.1" customHeight="1" x14ac:dyDescent="0.25">
      <c r="B52" s="24" t="s">
        <v>79</v>
      </c>
      <c r="C52" s="50">
        <v>57</v>
      </c>
      <c r="D52" s="50">
        <v>4</v>
      </c>
      <c r="E52" s="50">
        <v>2</v>
      </c>
      <c r="F52" s="50">
        <v>24</v>
      </c>
      <c r="G52" s="50">
        <v>0</v>
      </c>
      <c r="H52" s="50">
        <v>0</v>
      </c>
      <c r="I52" s="50">
        <v>4</v>
      </c>
      <c r="J52" s="50">
        <v>11</v>
      </c>
      <c r="K52" s="50">
        <v>6</v>
      </c>
      <c r="L52" s="50">
        <v>0</v>
      </c>
      <c r="M52" s="50">
        <v>215</v>
      </c>
      <c r="N52" s="50">
        <v>0</v>
      </c>
      <c r="O52" s="15">
        <f t="shared" si="0"/>
        <v>108</v>
      </c>
      <c r="P52" s="15">
        <f t="shared" si="1"/>
        <v>323</v>
      </c>
      <c r="R52" s="8"/>
      <c r="T52"/>
    </row>
    <row r="53" spans="2:20" ht="23.1" customHeight="1" x14ac:dyDescent="0.25">
      <c r="B53" s="23" t="s">
        <v>80</v>
      </c>
      <c r="C53" s="50">
        <v>47</v>
      </c>
      <c r="D53" s="50">
        <v>2</v>
      </c>
      <c r="E53" s="50">
        <v>1</v>
      </c>
      <c r="F53" s="50">
        <v>35</v>
      </c>
      <c r="G53" s="50">
        <v>0</v>
      </c>
      <c r="H53" s="50">
        <v>0</v>
      </c>
      <c r="I53" s="50">
        <v>5</v>
      </c>
      <c r="J53" s="50">
        <v>18</v>
      </c>
      <c r="K53" s="50">
        <v>7</v>
      </c>
      <c r="L53" s="50">
        <v>0</v>
      </c>
      <c r="M53" s="50">
        <v>170</v>
      </c>
      <c r="N53" s="50">
        <v>0</v>
      </c>
      <c r="O53" s="15">
        <f t="shared" si="0"/>
        <v>115</v>
      </c>
      <c r="P53" s="15">
        <f t="shared" si="1"/>
        <v>285</v>
      </c>
      <c r="R53" s="8"/>
      <c r="T53"/>
    </row>
    <row r="54" spans="2:20" ht="23.1" customHeight="1" x14ac:dyDescent="0.25">
      <c r="B54" s="23" t="s">
        <v>81</v>
      </c>
      <c r="C54" s="50">
        <v>39</v>
      </c>
      <c r="D54" s="50">
        <v>4</v>
      </c>
      <c r="E54" s="50">
        <v>4</v>
      </c>
      <c r="F54" s="50">
        <v>31</v>
      </c>
      <c r="G54" s="50">
        <v>0</v>
      </c>
      <c r="H54" s="50">
        <v>0</v>
      </c>
      <c r="I54" s="50">
        <v>3</v>
      </c>
      <c r="J54" s="50">
        <v>5</v>
      </c>
      <c r="K54" s="50">
        <v>1</v>
      </c>
      <c r="L54" s="50">
        <v>1</v>
      </c>
      <c r="M54" s="50">
        <v>130</v>
      </c>
      <c r="N54" s="50">
        <v>0</v>
      </c>
      <c r="O54" s="15">
        <f t="shared" si="0"/>
        <v>88</v>
      </c>
      <c r="P54" s="15">
        <f t="shared" si="1"/>
        <v>218</v>
      </c>
      <c r="R54" s="8"/>
      <c r="T54"/>
    </row>
    <row r="55" spans="2:20" ht="23.1" customHeight="1" x14ac:dyDescent="0.25">
      <c r="B55" s="23" t="s">
        <v>82</v>
      </c>
      <c r="C55" s="50">
        <v>33</v>
      </c>
      <c r="D55" s="50">
        <v>4</v>
      </c>
      <c r="E55" s="50">
        <v>3</v>
      </c>
      <c r="F55" s="50">
        <v>36</v>
      </c>
      <c r="G55" s="50">
        <v>3</v>
      </c>
      <c r="H55" s="50">
        <v>0</v>
      </c>
      <c r="I55" s="50">
        <v>4</v>
      </c>
      <c r="J55" s="50">
        <v>14</v>
      </c>
      <c r="K55" s="50">
        <v>0</v>
      </c>
      <c r="L55" s="50">
        <v>1</v>
      </c>
      <c r="M55" s="50">
        <v>205</v>
      </c>
      <c r="N55" s="50">
        <v>0</v>
      </c>
      <c r="O55" s="15">
        <f t="shared" si="0"/>
        <v>98</v>
      </c>
      <c r="P55" s="15">
        <f t="shared" si="1"/>
        <v>303</v>
      </c>
      <c r="R55" s="8"/>
      <c r="T55"/>
    </row>
    <row r="56" spans="2:20" ht="23.1" customHeight="1" x14ac:dyDescent="0.25">
      <c r="B56" s="23" t="s">
        <v>83</v>
      </c>
      <c r="C56" s="50">
        <v>33</v>
      </c>
      <c r="D56" s="50">
        <v>12</v>
      </c>
      <c r="E56" s="50">
        <v>7</v>
      </c>
      <c r="F56" s="50">
        <v>27</v>
      </c>
      <c r="G56" s="50">
        <v>0</v>
      </c>
      <c r="H56" s="50">
        <v>1</v>
      </c>
      <c r="I56" s="50">
        <v>5</v>
      </c>
      <c r="J56" s="50">
        <v>16</v>
      </c>
      <c r="K56" s="50">
        <v>6</v>
      </c>
      <c r="L56" s="50">
        <v>0</v>
      </c>
      <c r="M56" s="50">
        <v>170</v>
      </c>
      <c r="N56" s="50">
        <v>0</v>
      </c>
      <c r="O56" s="15">
        <f t="shared" si="0"/>
        <v>107</v>
      </c>
      <c r="P56" s="15">
        <f t="shared" si="1"/>
        <v>277</v>
      </c>
      <c r="R56" s="8"/>
      <c r="T56"/>
    </row>
    <row r="57" spans="2:20" ht="23.1" customHeight="1" x14ac:dyDescent="0.25">
      <c r="B57" s="23" t="s">
        <v>84</v>
      </c>
      <c r="C57" s="50">
        <v>39</v>
      </c>
      <c r="D57" s="50">
        <v>9</v>
      </c>
      <c r="E57" s="50">
        <v>2</v>
      </c>
      <c r="F57" s="50">
        <v>31</v>
      </c>
      <c r="G57" s="50">
        <v>0</v>
      </c>
      <c r="H57" s="50">
        <v>0</v>
      </c>
      <c r="I57" s="50">
        <v>3</v>
      </c>
      <c r="J57" s="50">
        <v>9</v>
      </c>
      <c r="K57" s="50">
        <v>3</v>
      </c>
      <c r="L57" s="50">
        <v>0</v>
      </c>
      <c r="M57" s="50">
        <v>215</v>
      </c>
      <c r="N57" s="50">
        <v>0</v>
      </c>
      <c r="O57" s="15">
        <f t="shared" si="0"/>
        <v>96</v>
      </c>
      <c r="P57" s="15">
        <f t="shared" si="1"/>
        <v>311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1993</v>
      </c>
      <c r="D58" s="16">
        <f t="shared" si="21"/>
        <v>256</v>
      </c>
      <c r="E58" s="16">
        <f t="shared" si="21"/>
        <v>167</v>
      </c>
      <c r="F58" s="16">
        <f t="shared" si="21"/>
        <v>1306</v>
      </c>
      <c r="G58" s="16">
        <f t="shared" si="21"/>
        <v>39</v>
      </c>
      <c r="H58" s="16">
        <f t="shared" si="21"/>
        <v>7</v>
      </c>
      <c r="I58" s="16">
        <f t="shared" si="21"/>
        <v>207</v>
      </c>
      <c r="J58" s="16">
        <f t="shared" si="21"/>
        <v>605</v>
      </c>
      <c r="K58" s="16">
        <f t="shared" si="21"/>
        <v>113</v>
      </c>
      <c r="L58" s="16">
        <f t="shared" si="21"/>
        <v>15</v>
      </c>
      <c r="M58" s="16">
        <f t="shared" si="21"/>
        <v>9438</v>
      </c>
      <c r="N58" s="16">
        <f t="shared" si="21"/>
        <v>0</v>
      </c>
      <c r="O58" s="16">
        <f t="shared" si="21"/>
        <v>4708</v>
      </c>
      <c r="P58" s="16">
        <f t="shared" si="21"/>
        <v>14146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0.14088788350063622</v>
      </c>
      <c r="D59" s="43">
        <f t="shared" si="22"/>
        <v>1.8096988547999435E-2</v>
      </c>
      <c r="E59" s="43">
        <f t="shared" si="22"/>
        <v>1.1805457373109006E-2</v>
      </c>
      <c r="F59" s="43">
        <f t="shared" si="22"/>
        <v>9.2322918139403368E-2</v>
      </c>
      <c r="G59" s="43">
        <f t="shared" si="22"/>
        <v>2.7569630991092888E-3</v>
      </c>
      <c r="H59" s="43">
        <f t="shared" si="22"/>
        <v>4.9483953060935957E-4</v>
      </c>
      <c r="I59" s="43">
        <f t="shared" si="22"/>
        <v>1.4633111833733918E-2</v>
      </c>
      <c r="J59" s="43">
        <f t="shared" si="22"/>
        <v>4.2768273716951785E-2</v>
      </c>
      <c r="K59" s="43">
        <f t="shared" si="22"/>
        <v>7.9881238512653756E-3</v>
      </c>
      <c r="L59" s="43">
        <f t="shared" si="22"/>
        <v>1.0603704227343418E-3</v>
      </c>
      <c r="M59" s="43">
        <f t="shared" si="22"/>
        <v>0.66718506998444793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0.42332200509770601</v>
      </c>
      <c r="D60" s="44">
        <f t="shared" ref="D60:N60" si="23">D58/$O$58</f>
        <v>5.4375531011045031E-2</v>
      </c>
      <c r="E60" s="44">
        <f t="shared" si="23"/>
        <v>3.5471537807986404E-2</v>
      </c>
      <c r="F60" s="44">
        <f t="shared" si="23"/>
        <v>0.27740016992353439</v>
      </c>
      <c r="G60" s="44">
        <f t="shared" si="23"/>
        <v>8.2837723024638907E-3</v>
      </c>
      <c r="H60" s="44">
        <f t="shared" si="23"/>
        <v>1.4868309260832626E-3</v>
      </c>
      <c r="I60" s="44">
        <f t="shared" si="23"/>
        <v>4.3967714528462189E-2</v>
      </c>
      <c r="J60" s="44">
        <f t="shared" si="23"/>
        <v>0.12850467289719625</v>
      </c>
      <c r="K60" s="44">
        <f t="shared" si="23"/>
        <v>2.4001699235344096E-2</v>
      </c>
      <c r="L60" s="44">
        <f t="shared" si="23"/>
        <v>3.1860662701784196E-3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K5" activeCellId="8" sqref="K5:L5 D6:E6 D6:E6 D5 C3:G3 G6:H6 G5:H5 K6:L6 K5:L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8" t="s">
        <v>23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</row>
    <row r="2" spans="2:32" ht="20.100000000000001" customHeight="1" x14ac:dyDescent="0.25">
      <c r="B2" s="59" t="s">
        <v>95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</row>
    <row r="3" spans="2:32" ht="20.100000000000001" customHeight="1" x14ac:dyDescent="0.25">
      <c r="B3" s="22" t="s">
        <v>96</v>
      </c>
      <c r="C3" s="63" t="str">
        <f>'22.07 Ndeeba-Nateete'!C3:G3</f>
        <v>MCC - C1 - STN07 - MASAKA ROAD</v>
      </c>
      <c r="D3" s="63"/>
      <c r="E3" s="63"/>
      <c r="F3" s="63"/>
      <c r="G3" s="63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51" t="str">
        <f>'25.07 Nateete-Ndeeba'!D5</f>
        <v>25.07.19</v>
      </c>
      <c r="E5" s="3"/>
      <c r="F5" s="41" t="s">
        <v>1</v>
      </c>
      <c r="G5" s="64" t="str">
        <f>'25.07 Nateete-Ndeeba'!G5:H5</f>
        <v>Rhino Funeral Services</v>
      </c>
      <c r="H5" s="65"/>
      <c r="I5" s="14"/>
      <c r="J5" s="2" t="s">
        <v>5</v>
      </c>
      <c r="K5" s="64" t="s">
        <v>179</v>
      </c>
      <c r="L5" s="65"/>
      <c r="M5" s="10"/>
      <c r="N5" s="10"/>
      <c r="O5" s="3"/>
      <c r="P5" s="3"/>
    </row>
    <row r="6" spans="2:32" ht="23.25" customHeight="1" x14ac:dyDescent="0.25">
      <c r="C6" s="2" t="s">
        <v>4</v>
      </c>
      <c r="D6" s="64" t="str">
        <f>'22.07 Ndeeba-Nateete'!D6:E6</f>
        <v>Ndeeba</v>
      </c>
      <c r="E6" s="65"/>
      <c r="F6" s="2" t="s">
        <v>2</v>
      </c>
      <c r="G6" s="64" t="str">
        <f>'22.07 Ndeeba-Nateete'!G6:H6</f>
        <v>Nateete</v>
      </c>
      <c r="H6" s="65"/>
      <c r="J6" s="2" t="s">
        <v>21</v>
      </c>
      <c r="K6" s="64" t="str">
        <f>'25.07 Nateete-Ndeeba'!K6:L6</f>
        <v>Felix</v>
      </c>
      <c r="L6" s="65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7" t="s">
        <v>88</v>
      </c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23</v>
      </c>
      <c r="D10" s="50">
        <v>7</v>
      </c>
      <c r="E10" s="50">
        <v>12</v>
      </c>
      <c r="F10" s="50">
        <v>56</v>
      </c>
      <c r="G10" s="50">
        <v>4</v>
      </c>
      <c r="H10" s="50">
        <v>2</v>
      </c>
      <c r="I10" s="50">
        <v>1</v>
      </c>
      <c r="J10" s="50">
        <v>2</v>
      </c>
      <c r="K10" s="50">
        <v>4</v>
      </c>
      <c r="L10" s="50">
        <v>2</v>
      </c>
      <c r="M10" s="50">
        <v>180</v>
      </c>
      <c r="N10" s="50">
        <v>0</v>
      </c>
      <c r="O10" s="15">
        <f t="shared" ref="O10:O57" si="0">SUM(C10:L10,N10)</f>
        <v>113</v>
      </c>
      <c r="P10" s="15">
        <f t="shared" ref="P10:P57" si="1">SUM(C10:N10)</f>
        <v>293</v>
      </c>
      <c r="R10" s="1" t="s">
        <v>6</v>
      </c>
      <c r="S10" s="17">
        <f t="shared" ref="S10:AF10" si="2">SUM(C10:C13)</f>
        <v>130</v>
      </c>
      <c r="T10" s="17">
        <f t="shared" si="2"/>
        <v>27</v>
      </c>
      <c r="U10" s="17">
        <f t="shared" si="2"/>
        <v>32</v>
      </c>
      <c r="V10" s="17">
        <f t="shared" si="2"/>
        <v>234</v>
      </c>
      <c r="W10" s="17">
        <f t="shared" si="2"/>
        <v>9</v>
      </c>
      <c r="X10" s="17">
        <f t="shared" si="2"/>
        <v>4</v>
      </c>
      <c r="Y10" s="17">
        <f t="shared" si="2"/>
        <v>8</v>
      </c>
      <c r="Z10" s="17">
        <f t="shared" si="2"/>
        <v>18</v>
      </c>
      <c r="AA10" s="17">
        <f t="shared" si="2"/>
        <v>10</v>
      </c>
      <c r="AB10" s="17">
        <f t="shared" si="2"/>
        <v>11</v>
      </c>
      <c r="AC10" s="17">
        <f t="shared" si="2"/>
        <v>842</v>
      </c>
      <c r="AD10" s="17">
        <f t="shared" si="2"/>
        <v>0</v>
      </c>
      <c r="AE10" s="31">
        <f t="shared" si="2"/>
        <v>483</v>
      </c>
      <c r="AF10" s="31">
        <f t="shared" si="2"/>
        <v>1325</v>
      </c>
    </row>
    <row r="11" spans="2:32" s="6" customFormat="1" ht="23.1" customHeight="1" x14ac:dyDescent="0.25">
      <c r="B11" s="23" t="s">
        <v>38</v>
      </c>
      <c r="C11" s="50">
        <v>44</v>
      </c>
      <c r="D11" s="50">
        <v>6</v>
      </c>
      <c r="E11" s="50">
        <v>14</v>
      </c>
      <c r="F11" s="50">
        <v>66</v>
      </c>
      <c r="G11" s="50">
        <v>1</v>
      </c>
      <c r="H11" s="50">
        <v>0</v>
      </c>
      <c r="I11" s="50">
        <v>2</v>
      </c>
      <c r="J11" s="50">
        <v>10</v>
      </c>
      <c r="K11" s="50">
        <v>1</v>
      </c>
      <c r="L11" s="50">
        <v>4</v>
      </c>
      <c r="M11" s="50">
        <v>145</v>
      </c>
      <c r="N11" s="50">
        <v>0</v>
      </c>
      <c r="O11" s="15">
        <f t="shared" si="0"/>
        <v>148</v>
      </c>
      <c r="P11" s="15">
        <f t="shared" si="1"/>
        <v>293</v>
      </c>
      <c r="R11" s="1" t="s">
        <v>7</v>
      </c>
      <c r="S11" s="17">
        <f t="shared" ref="S11:AF11" si="3">SUM(C14:C17)</f>
        <v>67</v>
      </c>
      <c r="T11" s="17">
        <f t="shared" si="3"/>
        <v>30</v>
      </c>
      <c r="U11" s="17">
        <f t="shared" si="3"/>
        <v>12</v>
      </c>
      <c r="V11" s="17">
        <f t="shared" si="3"/>
        <v>98</v>
      </c>
      <c r="W11" s="17">
        <f t="shared" si="3"/>
        <v>8</v>
      </c>
      <c r="X11" s="17">
        <f t="shared" si="3"/>
        <v>0</v>
      </c>
      <c r="Y11" s="17">
        <f t="shared" si="3"/>
        <v>34</v>
      </c>
      <c r="Z11" s="17">
        <f t="shared" si="3"/>
        <v>8</v>
      </c>
      <c r="AA11" s="17">
        <f t="shared" si="3"/>
        <v>0</v>
      </c>
      <c r="AB11" s="17">
        <f t="shared" si="3"/>
        <v>1</v>
      </c>
      <c r="AC11" s="17">
        <f t="shared" si="3"/>
        <v>653</v>
      </c>
      <c r="AD11" s="17">
        <f t="shared" si="3"/>
        <v>0</v>
      </c>
      <c r="AE11" s="31">
        <f t="shared" si="3"/>
        <v>258</v>
      </c>
      <c r="AF11" s="31">
        <f t="shared" si="3"/>
        <v>911</v>
      </c>
    </row>
    <row r="12" spans="2:32" ht="23.1" customHeight="1" x14ac:dyDescent="0.25">
      <c r="B12" s="23" t="s">
        <v>39</v>
      </c>
      <c r="C12" s="50">
        <v>31</v>
      </c>
      <c r="D12" s="50">
        <v>2</v>
      </c>
      <c r="E12" s="50">
        <v>4</v>
      </c>
      <c r="F12" s="50">
        <v>60</v>
      </c>
      <c r="G12" s="50">
        <v>3</v>
      </c>
      <c r="H12" s="50">
        <v>2</v>
      </c>
      <c r="I12" s="50">
        <v>3</v>
      </c>
      <c r="J12" s="50">
        <v>1</v>
      </c>
      <c r="K12" s="50">
        <v>3</v>
      </c>
      <c r="L12" s="50">
        <v>4</v>
      </c>
      <c r="M12" s="50">
        <v>237</v>
      </c>
      <c r="N12" s="50">
        <v>0</v>
      </c>
      <c r="O12" s="15">
        <f t="shared" si="0"/>
        <v>113</v>
      </c>
      <c r="P12" s="15">
        <f t="shared" si="1"/>
        <v>350</v>
      </c>
      <c r="R12" s="1" t="s">
        <v>8</v>
      </c>
      <c r="S12" s="17">
        <f t="shared" ref="S12:AF12" si="4">SUM(C18:C21)</f>
        <v>54</v>
      </c>
      <c r="T12" s="17">
        <f t="shared" si="4"/>
        <v>35</v>
      </c>
      <c r="U12" s="17">
        <f t="shared" si="4"/>
        <v>8</v>
      </c>
      <c r="V12" s="17">
        <f t="shared" si="4"/>
        <v>120</v>
      </c>
      <c r="W12" s="17">
        <f t="shared" si="4"/>
        <v>4</v>
      </c>
      <c r="X12" s="17">
        <f t="shared" si="4"/>
        <v>0</v>
      </c>
      <c r="Y12" s="17">
        <f t="shared" si="4"/>
        <v>48</v>
      </c>
      <c r="Z12" s="17">
        <f t="shared" si="4"/>
        <v>20</v>
      </c>
      <c r="AA12" s="17">
        <f t="shared" si="4"/>
        <v>5</v>
      </c>
      <c r="AB12" s="17">
        <f t="shared" si="4"/>
        <v>2</v>
      </c>
      <c r="AC12" s="17">
        <f t="shared" si="4"/>
        <v>759</v>
      </c>
      <c r="AD12" s="17">
        <f t="shared" si="4"/>
        <v>0</v>
      </c>
      <c r="AE12" s="31">
        <f t="shared" si="4"/>
        <v>296</v>
      </c>
      <c r="AF12" s="31">
        <f t="shared" si="4"/>
        <v>1055</v>
      </c>
    </row>
    <row r="13" spans="2:32" ht="23.1" customHeight="1" x14ac:dyDescent="0.25">
      <c r="B13" s="23" t="s">
        <v>40</v>
      </c>
      <c r="C13" s="50">
        <v>32</v>
      </c>
      <c r="D13" s="50">
        <v>12</v>
      </c>
      <c r="E13" s="50">
        <v>2</v>
      </c>
      <c r="F13" s="50">
        <v>52</v>
      </c>
      <c r="G13" s="50">
        <v>1</v>
      </c>
      <c r="H13" s="50">
        <v>0</v>
      </c>
      <c r="I13" s="50">
        <v>2</v>
      </c>
      <c r="J13" s="50">
        <v>5</v>
      </c>
      <c r="K13" s="50">
        <v>2</v>
      </c>
      <c r="L13" s="50">
        <v>1</v>
      </c>
      <c r="M13" s="50">
        <v>280</v>
      </c>
      <c r="N13" s="50">
        <v>0</v>
      </c>
      <c r="O13" s="15">
        <f t="shared" si="0"/>
        <v>109</v>
      </c>
      <c r="P13" s="15">
        <f t="shared" si="1"/>
        <v>389</v>
      </c>
      <c r="R13" s="1" t="s">
        <v>9</v>
      </c>
      <c r="S13" s="17">
        <f t="shared" ref="S13:AF13" si="5">SUM(C22:C25)</f>
        <v>53</v>
      </c>
      <c r="T13" s="17">
        <f t="shared" si="5"/>
        <v>27</v>
      </c>
      <c r="U13" s="17">
        <f t="shared" si="5"/>
        <v>14</v>
      </c>
      <c r="V13" s="17">
        <f t="shared" si="5"/>
        <v>53</v>
      </c>
      <c r="W13" s="17">
        <f t="shared" si="5"/>
        <v>7</v>
      </c>
      <c r="X13" s="17">
        <f t="shared" si="5"/>
        <v>0</v>
      </c>
      <c r="Y13" s="17">
        <f t="shared" si="5"/>
        <v>43</v>
      </c>
      <c r="Z13" s="17">
        <f t="shared" si="5"/>
        <v>37</v>
      </c>
      <c r="AA13" s="17">
        <f t="shared" si="5"/>
        <v>4</v>
      </c>
      <c r="AB13" s="17">
        <f t="shared" si="5"/>
        <v>2</v>
      </c>
      <c r="AC13" s="17">
        <f t="shared" si="5"/>
        <v>434</v>
      </c>
      <c r="AD13" s="17">
        <f t="shared" si="5"/>
        <v>0</v>
      </c>
      <c r="AE13" s="31">
        <f t="shared" si="5"/>
        <v>240</v>
      </c>
      <c r="AF13" s="31">
        <f t="shared" si="5"/>
        <v>674</v>
      </c>
    </row>
    <row r="14" spans="2:32" ht="23.1" customHeight="1" x14ac:dyDescent="0.25">
      <c r="B14" s="23" t="s">
        <v>41</v>
      </c>
      <c r="C14" s="50">
        <v>17</v>
      </c>
      <c r="D14" s="50">
        <v>5</v>
      </c>
      <c r="E14" s="50">
        <v>8</v>
      </c>
      <c r="F14" s="50">
        <v>22</v>
      </c>
      <c r="G14" s="50">
        <v>2</v>
      </c>
      <c r="H14" s="50">
        <v>0</v>
      </c>
      <c r="I14" s="50">
        <v>12</v>
      </c>
      <c r="J14" s="50">
        <v>1</v>
      </c>
      <c r="K14" s="50">
        <v>0</v>
      </c>
      <c r="L14" s="50">
        <v>0</v>
      </c>
      <c r="M14" s="50">
        <v>121</v>
      </c>
      <c r="N14" s="50">
        <v>0</v>
      </c>
      <c r="O14" s="15">
        <f t="shared" si="0"/>
        <v>67</v>
      </c>
      <c r="P14" s="15">
        <f t="shared" si="1"/>
        <v>188</v>
      </c>
      <c r="R14" s="1" t="s">
        <v>10</v>
      </c>
      <c r="S14" s="17">
        <f t="shared" ref="S14:AF14" si="6">SUM(C26:C29)</f>
        <v>49</v>
      </c>
      <c r="T14" s="17">
        <f t="shared" si="6"/>
        <v>30</v>
      </c>
      <c r="U14" s="17">
        <f t="shared" si="6"/>
        <v>7</v>
      </c>
      <c r="V14" s="17">
        <f t="shared" si="6"/>
        <v>115</v>
      </c>
      <c r="W14" s="17">
        <f t="shared" si="6"/>
        <v>1</v>
      </c>
      <c r="X14" s="17">
        <f t="shared" si="6"/>
        <v>0</v>
      </c>
      <c r="Y14" s="17">
        <f t="shared" si="6"/>
        <v>30</v>
      </c>
      <c r="Z14" s="17">
        <f t="shared" si="6"/>
        <v>8</v>
      </c>
      <c r="AA14" s="17">
        <f t="shared" si="6"/>
        <v>3</v>
      </c>
      <c r="AB14" s="17">
        <f t="shared" si="6"/>
        <v>8</v>
      </c>
      <c r="AC14" s="17">
        <f t="shared" si="6"/>
        <v>641</v>
      </c>
      <c r="AD14" s="17">
        <f t="shared" si="6"/>
        <v>0</v>
      </c>
      <c r="AE14" s="31">
        <f t="shared" si="6"/>
        <v>251</v>
      </c>
      <c r="AF14" s="31">
        <f t="shared" si="6"/>
        <v>892</v>
      </c>
    </row>
    <row r="15" spans="2:32" ht="23.1" customHeight="1" x14ac:dyDescent="0.25">
      <c r="B15" s="23" t="s">
        <v>42</v>
      </c>
      <c r="C15" s="50">
        <v>15</v>
      </c>
      <c r="D15" s="50">
        <v>7</v>
      </c>
      <c r="E15" s="50">
        <v>3</v>
      </c>
      <c r="F15" s="50">
        <v>33</v>
      </c>
      <c r="G15" s="50">
        <v>0</v>
      </c>
      <c r="H15" s="50">
        <v>0</v>
      </c>
      <c r="I15" s="50">
        <v>5</v>
      </c>
      <c r="J15" s="50">
        <v>5</v>
      </c>
      <c r="K15" s="50">
        <v>0</v>
      </c>
      <c r="L15" s="50">
        <v>1</v>
      </c>
      <c r="M15" s="50">
        <v>165</v>
      </c>
      <c r="N15" s="50">
        <v>0</v>
      </c>
      <c r="O15" s="15">
        <f t="shared" si="0"/>
        <v>69</v>
      </c>
      <c r="P15" s="15">
        <f t="shared" si="1"/>
        <v>234</v>
      </c>
      <c r="R15" s="1" t="s">
        <v>11</v>
      </c>
      <c r="S15" s="17">
        <f t="shared" ref="S15:AF15" si="7">SUM(C30:C33)</f>
        <v>54</v>
      </c>
      <c r="T15" s="17">
        <f t="shared" si="7"/>
        <v>41</v>
      </c>
      <c r="U15" s="17">
        <f t="shared" si="7"/>
        <v>24</v>
      </c>
      <c r="V15" s="17">
        <f t="shared" si="7"/>
        <v>105</v>
      </c>
      <c r="W15" s="17">
        <f t="shared" si="7"/>
        <v>1</v>
      </c>
      <c r="X15" s="17">
        <f t="shared" si="7"/>
        <v>1</v>
      </c>
      <c r="Y15" s="17">
        <f t="shared" si="7"/>
        <v>47</v>
      </c>
      <c r="Z15" s="17">
        <f t="shared" si="7"/>
        <v>25</v>
      </c>
      <c r="AA15" s="17">
        <f t="shared" si="7"/>
        <v>8</v>
      </c>
      <c r="AB15" s="17">
        <f t="shared" si="7"/>
        <v>6</v>
      </c>
      <c r="AC15" s="17">
        <f t="shared" si="7"/>
        <v>542</v>
      </c>
      <c r="AD15" s="17">
        <f t="shared" si="7"/>
        <v>0</v>
      </c>
      <c r="AE15" s="31">
        <f t="shared" si="7"/>
        <v>312</v>
      </c>
      <c r="AF15" s="31">
        <f t="shared" si="7"/>
        <v>854</v>
      </c>
    </row>
    <row r="16" spans="2:32" ht="23.1" customHeight="1" x14ac:dyDescent="0.25">
      <c r="B16" s="23" t="s">
        <v>43</v>
      </c>
      <c r="C16" s="50">
        <v>6</v>
      </c>
      <c r="D16" s="50">
        <v>15</v>
      </c>
      <c r="E16" s="50">
        <v>1</v>
      </c>
      <c r="F16" s="50">
        <v>36</v>
      </c>
      <c r="G16" s="50">
        <v>1</v>
      </c>
      <c r="H16" s="50">
        <v>0</v>
      </c>
      <c r="I16" s="50">
        <v>5</v>
      </c>
      <c r="J16" s="50">
        <v>1</v>
      </c>
      <c r="K16" s="50">
        <v>0</v>
      </c>
      <c r="L16" s="50">
        <v>0</v>
      </c>
      <c r="M16" s="50">
        <v>153</v>
      </c>
      <c r="N16" s="50">
        <v>0</v>
      </c>
      <c r="O16" s="15">
        <f t="shared" si="0"/>
        <v>65</v>
      </c>
      <c r="P16" s="15">
        <f t="shared" si="1"/>
        <v>218</v>
      </c>
      <c r="R16" s="1" t="s">
        <v>12</v>
      </c>
      <c r="S16" s="17">
        <f t="shared" ref="S16:AF16" si="8">SUM(C34:C37)</f>
        <v>59</v>
      </c>
      <c r="T16" s="17">
        <f t="shared" si="8"/>
        <v>29</v>
      </c>
      <c r="U16" s="17">
        <f t="shared" si="8"/>
        <v>8</v>
      </c>
      <c r="V16" s="17">
        <f t="shared" si="8"/>
        <v>101</v>
      </c>
      <c r="W16" s="17">
        <f t="shared" si="8"/>
        <v>2</v>
      </c>
      <c r="X16" s="17">
        <f t="shared" si="8"/>
        <v>3</v>
      </c>
      <c r="Y16" s="17">
        <f t="shared" si="8"/>
        <v>38</v>
      </c>
      <c r="Z16" s="17">
        <f t="shared" si="8"/>
        <v>22</v>
      </c>
      <c r="AA16" s="17">
        <f t="shared" si="8"/>
        <v>4</v>
      </c>
      <c r="AB16" s="17">
        <f t="shared" si="8"/>
        <v>3</v>
      </c>
      <c r="AC16" s="17">
        <f t="shared" si="8"/>
        <v>597</v>
      </c>
      <c r="AD16" s="17">
        <f t="shared" si="8"/>
        <v>0</v>
      </c>
      <c r="AE16" s="31">
        <f t="shared" si="8"/>
        <v>269</v>
      </c>
      <c r="AF16" s="31">
        <f t="shared" si="8"/>
        <v>866</v>
      </c>
    </row>
    <row r="17" spans="2:32" ht="23.1" customHeight="1" x14ac:dyDescent="0.25">
      <c r="B17" s="23" t="s">
        <v>44</v>
      </c>
      <c r="C17" s="50">
        <v>29</v>
      </c>
      <c r="D17" s="50">
        <v>3</v>
      </c>
      <c r="E17" s="50">
        <v>0</v>
      </c>
      <c r="F17" s="50">
        <v>7</v>
      </c>
      <c r="G17" s="50">
        <v>5</v>
      </c>
      <c r="H17" s="50">
        <v>0</v>
      </c>
      <c r="I17" s="50">
        <v>12</v>
      </c>
      <c r="J17" s="50">
        <v>1</v>
      </c>
      <c r="K17" s="50">
        <v>0</v>
      </c>
      <c r="L17" s="50">
        <v>0</v>
      </c>
      <c r="M17" s="50">
        <v>214</v>
      </c>
      <c r="N17" s="50">
        <v>0</v>
      </c>
      <c r="O17" s="15">
        <f t="shared" si="0"/>
        <v>57</v>
      </c>
      <c r="P17" s="15">
        <f t="shared" si="1"/>
        <v>271</v>
      </c>
      <c r="R17" s="1" t="s">
        <v>13</v>
      </c>
      <c r="S17" s="17">
        <f t="shared" ref="S17:AF17" si="9">SUM(C38:C41)</f>
        <v>46</v>
      </c>
      <c r="T17" s="17">
        <f t="shared" si="9"/>
        <v>27</v>
      </c>
      <c r="U17" s="17">
        <f t="shared" si="9"/>
        <v>20</v>
      </c>
      <c r="V17" s="17">
        <f t="shared" si="9"/>
        <v>49</v>
      </c>
      <c r="W17" s="17">
        <f t="shared" si="9"/>
        <v>0</v>
      </c>
      <c r="X17" s="17">
        <f t="shared" si="9"/>
        <v>0</v>
      </c>
      <c r="Y17" s="17">
        <f t="shared" si="9"/>
        <v>58</v>
      </c>
      <c r="Z17" s="17">
        <f t="shared" si="9"/>
        <v>27</v>
      </c>
      <c r="AA17" s="17">
        <f t="shared" si="9"/>
        <v>8</v>
      </c>
      <c r="AB17" s="17">
        <f t="shared" si="9"/>
        <v>7</v>
      </c>
      <c r="AC17" s="17">
        <f t="shared" si="9"/>
        <v>501</v>
      </c>
      <c r="AD17" s="17">
        <f t="shared" si="9"/>
        <v>0</v>
      </c>
      <c r="AE17" s="31">
        <f t="shared" si="9"/>
        <v>242</v>
      </c>
      <c r="AF17" s="31">
        <f t="shared" si="9"/>
        <v>743</v>
      </c>
    </row>
    <row r="18" spans="2:32" ht="23.1" customHeight="1" x14ac:dyDescent="0.25">
      <c r="B18" s="23" t="s">
        <v>45</v>
      </c>
      <c r="C18" s="50">
        <v>5</v>
      </c>
      <c r="D18" s="50">
        <v>13</v>
      </c>
      <c r="E18" s="50">
        <v>0</v>
      </c>
      <c r="F18" s="50">
        <v>40</v>
      </c>
      <c r="G18" s="50">
        <v>0</v>
      </c>
      <c r="H18" s="50">
        <v>0</v>
      </c>
      <c r="I18" s="50">
        <v>9</v>
      </c>
      <c r="J18" s="50">
        <v>3</v>
      </c>
      <c r="K18" s="50">
        <v>0</v>
      </c>
      <c r="L18" s="50">
        <v>1</v>
      </c>
      <c r="M18" s="50">
        <v>211</v>
      </c>
      <c r="N18" s="50">
        <v>0</v>
      </c>
      <c r="O18" s="15">
        <f t="shared" si="0"/>
        <v>71</v>
      </c>
      <c r="P18" s="15">
        <f t="shared" si="1"/>
        <v>282</v>
      </c>
      <c r="R18" s="1" t="s">
        <v>14</v>
      </c>
      <c r="S18" s="17">
        <f t="shared" ref="S18:AF18" si="10">SUM(C42:C45)</f>
        <v>52</v>
      </c>
      <c r="T18" s="17">
        <f t="shared" si="10"/>
        <v>24</v>
      </c>
      <c r="U18" s="17">
        <f t="shared" si="10"/>
        <v>17</v>
      </c>
      <c r="V18" s="17">
        <f t="shared" si="10"/>
        <v>62</v>
      </c>
      <c r="W18" s="17">
        <f t="shared" si="10"/>
        <v>1</v>
      </c>
      <c r="X18" s="17">
        <f t="shared" si="10"/>
        <v>0</v>
      </c>
      <c r="Y18" s="17">
        <f t="shared" si="10"/>
        <v>34</v>
      </c>
      <c r="Z18" s="17">
        <f t="shared" si="10"/>
        <v>22</v>
      </c>
      <c r="AA18" s="17">
        <f t="shared" si="10"/>
        <v>12</v>
      </c>
      <c r="AB18" s="17">
        <f t="shared" si="10"/>
        <v>2</v>
      </c>
      <c r="AC18" s="17">
        <f t="shared" si="10"/>
        <v>342</v>
      </c>
      <c r="AD18" s="17">
        <f t="shared" si="10"/>
        <v>0</v>
      </c>
      <c r="AE18" s="31">
        <f t="shared" si="10"/>
        <v>226</v>
      </c>
      <c r="AF18" s="31">
        <f t="shared" si="10"/>
        <v>568</v>
      </c>
    </row>
    <row r="19" spans="2:32" ht="23.1" customHeight="1" x14ac:dyDescent="0.25">
      <c r="B19" s="23" t="s">
        <v>46</v>
      </c>
      <c r="C19" s="50">
        <v>20</v>
      </c>
      <c r="D19" s="50">
        <v>1</v>
      </c>
      <c r="E19" s="50">
        <v>0</v>
      </c>
      <c r="F19" s="50">
        <v>22</v>
      </c>
      <c r="G19" s="50">
        <v>3</v>
      </c>
      <c r="H19" s="50">
        <v>0</v>
      </c>
      <c r="I19" s="50">
        <v>14</v>
      </c>
      <c r="J19" s="50">
        <v>4</v>
      </c>
      <c r="K19" s="50">
        <v>2</v>
      </c>
      <c r="L19" s="50">
        <v>0</v>
      </c>
      <c r="M19" s="50">
        <v>165</v>
      </c>
      <c r="N19" s="50">
        <v>0</v>
      </c>
      <c r="O19" s="15">
        <f t="shared" si="0"/>
        <v>66</v>
      </c>
      <c r="P19" s="15">
        <f t="shared" si="1"/>
        <v>231</v>
      </c>
      <c r="R19" s="1" t="s">
        <v>15</v>
      </c>
      <c r="S19" s="17">
        <f t="shared" ref="S19:AF19" si="11">SUM(C46:C49)</f>
        <v>66</v>
      </c>
      <c r="T19" s="17">
        <f t="shared" si="11"/>
        <v>32</v>
      </c>
      <c r="U19" s="17">
        <f t="shared" si="11"/>
        <v>14</v>
      </c>
      <c r="V19" s="17">
        <f t="shared" si="11"/>
        <v>84</v>
      </c>
      <c r="W19" s="17">
        <f t="shared" si="11"/>
        <v>2</v>
      </c>
      <c r="X19" s="17">
        <f t="shared" si="11"/>
        <v>1</v>
      </c>
      <c r="Y19" s="17">
        <f t="shared" si="11"/>
        <v>40</v>
      </c>
      <c r="Z19" s="17">
        <f t="shared" si="11"/>
        <v>36</v>
      </c>
      <c r="AA19" s="17">
        <f t="shared" si="11"/>
        <v>7</v>
      </c>
      <c r="AB19" s="17">
        <f t="shared" si="11"/>
        <v>4</v>
      </c>
      <c r="AC19" s="17">
        <f t="shared" si="11"/>
        <v>539</v>
      </c>
      <c r="AD19" s="17">
        <f t="shared" si="11"/>
        <v>0</v>
      </c>
      <c r="AE19" s="31">
        <f t="shared" si="11"/>
        <v>286</v>
      </c>
      <c r="AF19" s="31">
        <f t="shared" si="11"/>
        <v>825</v>
      </c>
    </row>
    <row r="20" spans="2:32" ht="23.1" customHeight="1" x14ac:dyDescent="0.25">
      <c r="B20" s="23" t="s">
        <v>47</v>
      </c>
      <c r="C20" s="50">
        <v>11</v>
      </c>
      <c r="D20" s="50">
        <v>7</v>
      </c>
      <c r="E20" s="50">
        <v>8</v>
      </c>
      <c r="F20" s="50">
        <v>37</v>
      </c>
      <c r="G20" s="50">
        <v>0</v>
      </c>
      <c r="H20" s="50">
        <v>0</v>
      </c>
      <c r="I20" s="50">
        <v>11</v>
      </c>
      <c r="J20" s="50">
        <v>8</v>
      </c>
      <c r="K20" s="50">
        <v>0</v>
      </c>
      <c r="L20" s="50">
        <v>1</v>
      </c>
      <c r="M20" s="50">
        <v>150</v>
      </c>
      <c r="N20" s="50">
        <v>0</v>
      </c>
      <c r="O20" s="15">
        <f t="shared" si="0"/>
        <v>83</v>
      </c>
      <c r="P20" s="15">
        <f t="shared" si="1"/>
        <v>233</v>
      </c>
      <c r="R20" s="1" t="s">
        <v>16</v>
      </c>
      <c r="S20" s="17">
        <f t="shared" ref="S20:AF20" si="12">SUM(C50:C53)</f>
        <v>53</v>
      </c>
      <c r="T20" s="17">
        <f t="shared" si="12"/>
        <v>29</v>
      </c>
      <c r="U20" s="17">
        <f t="shared" si="12"/>
        <v>12</v>
      </c>
      <c r="V20" s="17">
        <f t="shared" si="12"/>
        <v>93</v>
      </c>
      <c r="W20" s="17">
        <f t="shared" si="12"/>
        <v>1</v>
      </c>
      <c r="X20" s="17">
        <f t="shared" si="12"/>
        <v>3</v>
      </c>
      <c r="Y20" s="17">
        <f t="shared" si="12"/>
        <v>33</v>
      </c>
      <c r="Z20" s="17">
        <f t="shared" si="12"/>
        <v>18</v>
      </c>
      <c r="AA20" s="17">
        <f t="shared" si="12"/>
        <v>3</v>
      </c>
      <c r="AB20" s="17">
        <f t="shared" si="12"/>
        <v>5</v>
      </c>
      <c r="AC20" s="17">
        <f t="shared" si="12"/>
        <v>642</v>
      </c>
      <c r="AD20" s="17">
        <f t="shared" si="12"/>
        <v>0</v>
      </c>
      <c r="AE20" s="31">
        <f t="shared" si="12"/>
        <v>250</v>
      </c>
      <c r="AF20" s="31">
        <f t="shared" si="12"/>
        <v>892</v>
      </c>
    </row>
    <row r="21" spans="2:32" ht="23.1" customHeight="1" x14ac:dyDescent="0.25">
      <c r="B21" s="23" t="s">
        <v>48</v>
      </c>
      <c r="C21" s="50">
        <v>18</v>
      </c>
      <c r="D21" s="50">
        <v>14</v>
      </c>
      <c r="E21" s="50">
        <v>0</v>
      </c>
      <c r="F21" s="50">
        <v>21</v>
      </c>
      <c r="G21" s="50">
        <v>1</v>
      </c>
      <c r="H21" s="50">
        <v>0</v>
      </c>
      <c r="I21" s="50">
        <v>14</v>
      </c>
      <c r="J21" s="50">
        <v>5</v>
      </c>
      <c r="K21" s="50">
        <v>3</v>
      </c>
      <c r="L21" s="50">
        <v>0</v>
      </c>
      <c r="M21" s="50">
        <v>233</v>
      </c>
      <c r="N21" s="50">
        <v>0</v>
      </c>
      <c r="O21" s="15">
        <f t="shared" si="0"/>
        <v>76</v>
      </c>
      <c r="P21" s="15">
        <f t="shared" si="1"/>
        <v>309</v>
      </c>
      <c r="R21" s="36" t="s">
        <v>20</v>
      </c>
      <c r="S21" s="34">
        <f t="shared" ref="S21:AF21" si="13">SUM(C54:C57)</f>
        <v>111</v>
      </c>
      <c r="T21" s="17">
        <f t="shared" si="13"/>
        <v>51</v>
      </c>
      <c r="U21" s="17">
        <f t="shared" si="13"/>
        <v>25</v>
      </c>
      <c r="V21" s="17">
        <f t="shared" si="13"/>
        <v>113</v>
      </c>
      <c r="W21" s="17">
        <f t="shared" si="13"/>
        <v>1</v>
      </c>
      <c r="X21" s="17">
        <f t="shared" si="13"/>
        <v>2</v>
      </c>
      <c r="Y21" s="17">
        <f t="shared" si="13"/>
        <v>68</v>
      </c>
      <c r="Z21" s="17">
        <f t="shared" si="13"/>
        <v>49</v>
      </c>
      <c r="AA21" s="17">
        <f t="shared" si="13"/>
        <v>7</v>
      </c>
      <c r="AB21" s="17">
        <f t="shared" si="13"/>
        <v>1</v>
      </c>
      <c r="AC21" s="17">
        <f t="shared" si="13"/>
        <v>667</v>
      </c>
      <c r="AD21" s="17">
        <f t="shared" si="13"/>
        <v>0</v>
      </c>
      <c r="AE21" s="31">
        <f t="shared" si="13"/>
        <v>428</v>
      </c>
      <c r="AF21" s="31">
        <f t="shared" si="13"/>
        <v>1095</v>
      </c>
    </row>
    <row r="22" spans="2:32" ht="23.1" customHeight="1" x14ac:dyDescent="0.25">
      <c r="B22" s="23" t="s">
        <v>49</v>
      </c>
      <c r="C22" s="50">
        <v>17</v>
      </c>
      <c r="D22" s="50">
        <v>0</v>
      </c>
      <c r="E22" s="50">
        <v>5</v>
      </c>
      <c r="F22" s="50">
        <v>14</v>
      </c>
      <c r="G22" s="50">
        <v>0</v>
      </c>
      <c r="H22" s="50">
        <v>0</v>
      </c>
      <c r="I22" s="50">
        <v>13</v>
      </c>
      <c r="J22" s="50">
        <v>3</v>
      </c>
      <c r="K22" s="50">
        <v>1</v>
      </c>
      <c r="L22" s="50">
        <v>0</v>
      </c>
      <c r="M22" s="50">
        <v>103</v>
      </c>
      <c r="N22" s="50">
        <v>0</v>
      </c>
      <c r="O22" s="15">
        <f t="shared" si="0"/>
        <v>53</v>
      </c>
      <c r="P22" s="15">
        <f t="shared" si="1"/>
        <v>156</v>
      </c>
      <c r="R22" s="38" t="s">
        <v>90</v>
      </c>
      <c r="S22" s="39">
        <f>MAX(S10:S12)</f>
        <v>130</v>
      </c>
      <c r="T22" s="39">
        <f t="shared" ref="T22:AF22" si="14">MAX(T10:T12)</f>
        <v>35</v>
      </c>
      <c r="U22" s="39">
        <f t="shared" si="14"/>
        <v>32</v>
      </c>
      <c r="V22" s="39">
        <f t="shared" si="14"/>
        <v>234</v>
      </c>
      <c r="W22" s="39">
        <f t="shared" si="14"/>
        <v>9</v>
      </c>
      <c r="X22" s="39">
        <f t="shared" si="14"/>
        <v>4</v>
      </c>
      <c r="Y22" s="39">
        <f t="shared" si="14"/>
        <v>48</v>
      </c>
      <c r="Z22" s="39">
        <f t="shared" si="14"/>
        <v>20</v>
      </c>
      <c r="AA22" s="39">
        <f t="shared" si="14"/>
        <v>10</v>
      </c>
      <c r="AB22" s="39">
        <f t="shared" si="14"/>
        <v>11</v>
      </c>
      <c r="AC22" s="39">
        <f t="shared" si="14"/>
        <v>842</v>
      </c>
      <c r="AD22" s="39">
        <f t="shared" si="14"/>
        <v>0</v>
      </c>
      <c r="AE22" s="40">
        <f t="shared" si="14"/>
        <v>483</v>
      </c>
      <c r="AF22" s="40">
        <f t="shared" si="14"/>
        <v>1325</v>
      </c>
    </row>
    <row r="23" spans="2:32" ht="23.1" customHeight="1" x14ac:dyDescent="0.25">
      <c r="B23" s="23" t="s">
        <v>50</v>
      </c>
      <c r="C23" s="50">
        <v>21</v>
      </c>
      <c r="D23" s="50">
        <v>8</v>
      </c>
      <c r="E23" s="50">
        <v>3</v>
      </c>
      <c r="F23" s="50">
        <v>23</v>
      </c>
      <c r="G23" s="50">
        <v>0</v>
      </c>
      <c r="H23" s="50">
        <v>0</v>
      </c>
      <c r="I23" s="50">
        <v>12</v>
      </c>
      <c r="J23" s="50">
        <v>24</v>
      </c>
      <c r="K23" s="50">
        <v>0</v>
      </c>
      <c r="L23" s="50">
        <v>0</v>
      </c>
      <c r="M23" s="50">
        <v>93</v>
      </c>
      <c r="N23" s="50">
        <v>0</v>
      </c>
      <c r="O23" s="15">
        <f t="shared" si="0"/>
        <v>91</v>
      </c>
      <c r="P23" s="15">
        <f t="shared" si="1"/>
        <v>184</v>
      </c>
      <c r="R23" s="38" t="s">
        <v>91</v>
      </c>
      <c r="S23" s="39">
        <f>MAX(S13:S18)</f>
        <v>59</v>
      </c>
      <c r="T23" s="39">
        <f t="shared" ref="T23:AF23" si="15">MAX(T13:T18)</f>
        <v>41</v>
      </c>
      <c r="U23" s="39">
        <f t="shared" si="15"/>
        <v>24</v>
      </c>
      <c r="V23" s="39">
        <f t="shared" si="15"/>
        <v>115</v>
      </c>
      <c r="W23" s="39">
        <f t="shared" si="15"/>
        <v>7</v>
      </c>
      <c r="X23" s="39">
        <f t="shared" si="15"/>
        <v>3</v>
      </c>
      <c r="Y23" s="39">
        <f t="shared" si="15"/>
        <v>58</v>
      </c>
      <c r="Z23" s="39">
        <f t="shared" si="15"/>
        <v>37</v>
      </c>
      <c r="AA23" s="39">
        <f t="shared" si="15"/>
        <v>12</v>
      </c>
      <c r="AB23" s="39">
        <f t="shared" si="15"/>
        <v>8</v>
      </c>
      <c r="AC23" s="39">
        <f t="shared" si="15"/>
        <v>641</v>
      </c>
      <c r="AD23" s="39">
        <f t="shared" si="15"/>
        <v>0</v>
      </c>
      <c r="AE23" s="40">
        <f t="shared" si="15"/>
        <v>312</v>
      </c>
      <c r="AF23" s="40">
        <f t="shared" si="15"/>
        <v>892</v>
      </c>
    </row>
    <row r="24" spans="2:32" ht="23.1" customHeight="1" x14ac:dyDescent="0.25">
      <c r="B24" s="23" t="s">
        <v>51</v>
      </c>
      <c r="C24" s="50">
        <v>11</v>
      </c>
      <c r="D24" s="50">
        <v>12</v>
      </c>
      <c r="E24" s="50">
        <v>4</v>
      </c>
      <c r="F24" s="50">
        <v>9</v>
      </c>
      <c r="G24" s="50">
        <v>7</v>
      </c>
      <c r="H24" s="50">
        <v>0</v>
      </c>
      <c r="I24" s="50">
        <v>11</v>
      </c>
      <c r="J24" s="50">
        <v>6</v>
      </c>
      <c r="K24" s="50">
        <v>0</v>
      </c>
      <c r="L24" s="50">
        <v>2</v>
      </c>
      <c r="M24" s="50">
        <v>131</v>
      </c>
      <c r="N24" s="50">
        <v>0</v>
      </c>
      <c r="O24" s="15">
        <f t="shared" si="0"/>
        <v>62</v>
      </c>
      <c r="P24" s="15">
        <f t="shared" si="1"/>
        <v>193</v>
      </c>
      <c r="R24" s="38" t="s">
        <v>92</v>
      </c>
      <c r="S24" s="39">
        <f>MAX(S19:S21)</f>
        <v>111</v>
      </c>
      <c r="T24" s="39">
        <f t="shared" ref="T24:AF24" si="16">MAX(T19:T21)</f>
        <v>51</v>
      </c>
      <c r="U24" s="39">
        <f t="shared" si="16"/>
        <v>25</v>
      </c>
      <c r="V24" s="39">
        <f t="shared" si="16"/>
        <v>113</v>
      </c>
      <c r="W24" s="39">
        <f t="shared" si="16"/>
        <v>2</v>
      </c>
      <c r="X24" s="39">
        <f t="shared" si="16"/>
        <v>3</v>
      </c>
      <c r="Y24" s="39">
        <f t="shared" si="16"/>
        <v>68</v>
      </c>
      <c r="Z24" s="39">
        <f t="shared" si="16"/>
        <v>49</v>
      </c>
      <c r="AA24" s="39">
        <f t="shared" si="16"/>
        <v>7</v>
      </c>
      <c r="AB24" s="39">
        <f t="shared" si="16"/>
        <v>5</v>
      </c>
      <c r="AC24" s="39">
        <f t="shared" si="16"/>
        <v>667</v>
      </c>
      <c r="AD24" s="39">
        <f t="shared" si="16"/>
        <v>0</v>
      </c>
      <c r="AE24" s="40">
        <f t="shared" si="16"/>
        <v>428</v>
      </c>
      <c r="AF24" s="40">
        <f t="shared" si="16"/>
        <v>1095</v>
      </c>
    </row>
    <row r="25" spans="2:32" ht="23.1" customHeight="1" x14ac:dyDescent="0.25">
      <c r="B25" s="23" t="s">
        <v>52</v>
      </c>
      <c r="C25" s="50">
        <v>4</v>
      </c>
      <c r="D25" s="50">
        <v>7</v>
      </c>
      <c r="E25" s="50">
        <v>2</v>
      </c>
      <c r="F25" s="50">
        <v>7</v>
      </c>
      <c r="G25" s="50">
        <v>0</v>
      </c>
      <c r="H25" s="50">
        <v>0</v>
      </c>
      <c r="I25" s="50">
        <v>7</v>
      </c>
      <c r="J25" s="50">
        <v>4</v>
      </c>
      <c r="K25" s="50">
        <v>3</v>
      </c>
      <c r="L25" s="50">
        <v>0</v>
      </c>
      <c r="M25" s="50">
        <v>107</v>
      </c>
      <c r="N25" s="50">
        <v>0</v>
      </c>
      <c r="O25" s="15">
        <f t="shared" si="0"/>
        <v>34</v>
      </c>
      <c r="P25" s="15">
        <f t="shared" si="1"/>
        <v>141</v>
      </c>
      <c r="R25" s="37" t="s">
        <v>85</v>
      </c>
      <c r="S25" s="35">
        <f t="shared" ref="S25:AF25" si="17">SUM(S10:S12)</f>
        <v>251</v>
      </c>
      <c r="T25" s="16">
        <f t="shared" si="17"/>
        <v>92</v>
      </c>
      <c r="U25" s="16">
        <f t="shared" si="17"/>
        <v>52</v>
      </c>
      <c r="V25" s="16">
        <f t="shared" si="17"/>
        <v>452</v>
      </c>
      <c r="W25" s="16">
        <f t="shared" si="17"/>
        <v>21</v>
      </c>
      <c r="X25" s="16">
        <f t="shared" si="17"/>
        <v>4</v>
      </c>
      <c r="Y25" s="16">
        <f t="shared" si="17"/>
        <v>90</v>
      </c>
      <c r="Z25" s="16">
        <f t="shared" si="17"/>
        <v>46</v>
      </c>
      <c r="AA25" s="16">
        <f t="shared" si="17"/>
        <v>15</v>
      </c>
      <c r="AB25" s="16">
        <f t="shared" si="17"/>
        <v>14</v>
      </c>
      <c r="AC25" s="16">
        <f t="shared" si="17"/>
        <v>2254</v>
      </c>
      <c r="AD25" s="16">
        <f t="shared" si="17"/>
        <v>0</v>
      </c>
      <c r="AE25" s="32">
        <f t="shared" si="17"/>
        <v>1037</v>
      </c>
      <c r="AF25" s="32">
        <f t="shared" si="17"/>
        <v>3291</v>
      </c>
    </row>
    <row r="26" spans="2:32" ht="23.1" customHeight="1" x14ac:dyDescent="0.25">
      <c r="B26" s="23" t="s">
        <v>53</v>
      </c>
      <c r="C26" s="50">
        <v>8</v>
      </c>
      <c r="D26" s="50">
        <v>6</v>
      </c>
      <c r="E26" s="50">
        <v>1</v>
      </c>
      <c r="F26" s="50">
        <v>18</v>
      </c>
      <c r="G26" s="50">
        <v>1</v>
      </c>
      <c r="H26" s="50">
        <v>0</v>
      </c>
      <c r="I26" s="50">
        <v>11</v>
      </c>
      <c r="J26" s="50">
        <v>6</v>
      </c>
      <c r="K26" s="50">
        <v>0</v>
      </c>
      <c r="L26" s="50">
        <v>2</v>
      </c>
      <c r="M26" s="50">
        <v>186</v>
      </c>
      <c r="N26" s="50">
        <v>0</v>
      </c>
      <c r="O26" s="15">
        <f t="shared" si="0"/>
        <v>53</v>
      </c>
      <c r="P26" s="15">
        <f t="shared" si="1"/>
        <v>239</v>
      </c>
      <c r="R26" s="28" t="s">
        <v>86</v>
      </c>
      <c r="S26" s="16">
        <f t="shared" ref="S26:AF26" si="18">SUM(S13:S18)</f>
        <v>313</v>
      </c>
      <c r="T26" s="16">
        <f t="shared" si="18"/>
        <v>178</v>
      </c>
      <c r="U26" s="16">
        <f t="shared" si="18"/>
        <v>90</v>
      </c>
      <c r="V26" s="16">
        <f t="shared" si="18"/>
        <v>485</v>
      </c>
      <c r="W26" s="16">
        <f t="shared" si="18"/>
        <v>12</v>
      </c>
      <c r="X26" s="16">
        <f t="shared" si="18"/>
        <v>4</v>
      </c>
      <c r="Y26" s="16">
        <f t="shared" si="18"/>
        <v>250</v>
      </c>
      <c r="Z26" s="16">
        <f t="shared" si="18"/>
        <v>141</v>
      </c>
      <c r="AA26" s="16">
        <f t="shared" si="18"/>
        <v>39</v>
      </c>
      <c r="AB26" s="16">
        <f t="shared" si="18"/>
        <v>28</v>
      </c>
      <c r="AC26" s="16">
        <f t="shared" si="18"/>
        <v>3057</v>
      </c>
      <c r="AD26" s="16">
        <f t="shared" si="18"/>
        <v>0</v>
      </c>
      <c r="AE26" s="32">
        <f t="shared" si="18"/>
        <v>1540</v>
      </c>
      <c r="AF26" s="32">
        <f t="shared" si="18"/>
        <v>4597</v>
      </c>
    </row>
    <row r="27" spans="2:32" ht="23.1" customHeight="1" x14ac:dyDescent="0.25">
      <c r="B27" s="23" t="s">
        <v>54</v>
      </c>
      <c r="C27" s="50">
        <v>15</v>
      </c>
      <c r="D27" s="50">
        <v>7</v>
      </c>
      <c r="E27" s="50">
        <v>2</v>
      </c>
      <c r="F27" s="50">
        <v>32</v>
      </c>
      <c r="G27" s="50">
        <v>0</v>
      </c>
      <c r="H27" s="50">
        <v>0</v>
      </c>
      <c r="I27" s="50">
        <v>12</v>
      </c>
      <c r="J27" s="50">
        <v>0</v>
      </c>
      <c r="K27" s="50">
        <v>2</v>
      </c>
      <c r="L27" s="50">
        <v>3</v>
      </c>
      <c r="M27" s="50">
        <v>150</v>
      </c>
      <c r="N27" s="50">
        <v>0</v>
      </c>
      <c r="O27" s="15">
        <f t="shared" si="0"/>
        <v>73</v>
      </c>
      <c r="P27" s="15">
        <f t="shared" si="1"/>
        <v>223</v>
      </c>
      <c r="R27" s="29" t="s">
        <v>87</v>
      </c>
      <c r="S27" s="16">
        <f t="shared" ref="S27:AF27" si="19">SUM(S19:S21)</f>
        <v>230</v>
      </c>
      <c r="T27" s="16">
        <f t="shared" si="19"/>
        <v>112</v>
      </c>
      <c r="U27" s="16">
        <f t="shared" si="19"/>
        <v>51</v>
      </c>
      <c r="V27" s="16">
        <f t="shared" si="19"/>
        <v>290</v>
      </c>
      <c r="W27" s="16">
        <f t="shared" si="19"/>
        <v>4</v>
      </c>
      <c r="X27" s="16">
        <f t="shared" si="19"/>
        <v>6</v>
      </c>
      <c r="Y27" s="16">
        <f t="shared" si="19"/>
        <v>141</v>
      </c>
      <c r="Z27" s="16">
        <f t="shared" si="19"/>
        <v>103</v>
      </c>
      <c r="AA27" s="16">
        <f t="shared" si="19"/>
        <v>17</v>
      </c>
      <c r="AB27" s="16">
        <f t="shared" si="19"/>
        <v>10</v>
      </c>
      <c r="AC27" s="16">
        <f t="shared" si="19"/>
        <v>1848</v>
      </c>
      <c r="AD27" s="16">
        <f t="shared" si="19"/>
        <v>0</v>
      </c>
      <c r="AE27" s="32">
        <f t="shared" si="19"/>
        <v>964</v>
      </c>
      <c r="AF27" s="32">
        <f t="shared" si="19"/>
        <v>2812</v>
      </c>
    </row>
    <row r="28" spans="2:32" ht="23.1" customHeight="1" x14ac:dyDescent="0.25">
      <c r="B28" s="23" t="s">
        <v>55</v>
      </c>
      <c r="C28" s="50">
        <v>10</v>
      </c>
      <c r="D28" s="50">
        <v>5</v>
      </c>
      <c r="E28" s="50">
        <v>0</v>
      </c>
      <c r="F28" s="50">
        <v>35</v>
      </c>
      <c r="G28" s="50">
        <v>0</v>
      </c>
      <c r="H28" s="50">
        <v>0</v>
      </c>
      <c r="I28" s="50">
        <v>4</v>
      </c>
      <c r="J28" s="50">
        <v>1</v>
      </c>
      <c r="K28" s="50">
        <v>1</v>
      </c>
      <c r="L28" s="50">
        <v>1</v>
      </c>
      <c r="M28" s="50">
        <v>170</v>
      </c>
      <c r="N28" s="50">
        <v>0</v>
      </c>
      <c r="O28" s="15">
        <f t="shared" si="0"/>
        <v>57</v>
      </c>
      <c r="P28" s="15">
        <f t="shared" si="1"/>
        <v>227</v>
      </c>
      <c r="R28" s="5" t="s">
        <v>17</v>
      </c>
      <c r="S28" s="16">
        <f t="shared" ref="S28:AF28" si="20">SUM(S10:S21)</f>
        <v>794</v>
      </c>
      <c r="T28" s="16">
        <f t="shared" si="20"/>
        <v>382</v>
      </c>
      <c r="U28" s="16">
        <f t="shared" si="20"/>
        <v>193</v>
      </c>
      <c r="V28" s="16">
        <f t="shared" si="20"/>
        <v>1227</v>
      </c>
      <c r="W28" s="16">
        <f t="shared" si="20"/>
        <v>37</v>
      </c>
      <c r="X28" s="16">
        <f t="shared" si="20"/>
        <v>14</v>
      </c>
      <c r="Y28" s="16">
        <f t="shared" si="20"/>
        <v>481</v>
      </c>
      <c r="Z28" s="16">
        <f t="shared" si="20"/>
        <v>290</v>
      </c>
      <c r="AA28" s="16">
        <f t="shared" si="20"/>
        <v>71</v>
      </c>
      <c r="AB28" s="16">
        <f t="shared" si="20"/>
        <v>52</v>
      </c>
      <c r="AC28" s="16">
        <f t="shared" si="20"/>
        <v>7159</v>
      </c>
      <c r="AD28" s="16">
        <f t="shared" si="20"/>
        <v>0</v>
      </c>
      <c r="AE28" s="32">
        <f t="shared" si="20"/>
        <v>3541</v>
      </c>
      <c r="AF28" s="32">
        <f t="shared" si="20"/>
        <v>10700</v>
      </c>
    </row>
    <row r="29" spans="2:32" ht="23.1" customHeight="1" x14ac:dyDescent="0.25">
      <c r="B29" s="23" t="s">
        <v>56</v>
      </c>
      <c r="C29" s="50">
        <v>16</v>
      </c>
      <c r="D29" s="50">
        <v>12</v>
      </c>
      <c r="E29" s="50">
        <v>4</v>
      </c>
      <c r="F29" s="50">
        <v>30</v>
      </c>
      <c r="G29" s="50">
        <v>0</v>
      </c>
      <c r="H29" s="50">
        <v>0</v>
      </c>
      <c r="I29" s="50">
        <v>3</v>
      </c>
      <c r="J29" s="50">
        <v>1</v>
      </c>
      <c r="K29" s="50">
        <v>0</v>
      </c>
      <c r="L29" s="50">
        <v>2</v>
      </c>
      <c r="M29" s="50">
        <v>135</v>
      </c>
      <c r="N29" s="50">
        <v>0</v>
      </c>
      <c r="O29" s="15">
        <f t="shared" si="0"/>
        <v>68</v>
      </c>
      <c r="P29" s="15">
        <f t="shared" si="1"/>
        <v>203</v>
      </c>
      <c r="R29"/>
      <c r="S29" s="20"/>
      <c r="T29" s="19"/>
    </row>
    <row r="30" spans="2:32" ht="23.1" customHeight="1" x14ac:dyDescent="0.25">
      <c r="B30" s="23" t="s">
        <v>57</v>
      </c>
      <c r="C30" s="50">
        <v>11</v>
      </c>
      <c r="D30" s="50">
        <v>7</v>
      </c>
      <c r="E30" s="50">
        <v>5</v>
      </c>
      <c r="F30" s="50">
        <v>13</v>
      </c>
      <c r="G30" s="50">
        <v>0</v>
      </c>
      <c r="H30" s="50">
        <v>0</v>
      </c>
      <c r="I30" s="50">
        <v>10</v>
      </c>
      <c r="J30" s="50">
        <v>7</v>
      </c>
      <c r="K30" s="50">
        <v>1</v>
      </c>
      <c r="L30" s="50">
        <v>0</v>
      </c>
      <c r="M30" s="50">
        <v>120</v>
      </c>
      <c r="N30" s="50">
        <v>0</v>
      </c>
      <c r="O30" s="15">
        <f t="shared" si="0"/>
        <v>54</v>
      </c>
      <c r="P30" s="15">
        <f t="shared" si="1"/>
        <v>174</v>
      </c>
    </row>
    <row r="31" spans="2:32" ht="23.1" customHeight="1" x14ac:dyDescent="0.25">
      <c r="B31" s="24" t="s">
        <v>58</v>
      </c>
      <c r="C31" s="50">
        <v>18</v>
      </c>
      <c r="D31" s="50">
        <v>11</v>
      </c>
      <c r="E31" s="50">
        <v>3</v>
      </c>
      <c r="F31" s="50">
        <v>22</v>
      </c>
      <c r="G31" s="50">
        <v>0</v>
      </c>
      <c r="H31" s="50">
        <v>0</v>
      </c>
      <c r="I31" s="50">
        <v>6</v>
      </c>
      <c r="J31" s="50">
        <v>4</v>
      </c>
      <c r="K31" s="50">
        <v>3</v>
      </c>
      <c r="L31" s="50">
        <v>0</v>
      </c>
      <c r="M31" s="50">
        <v>132</v>
      </c>
      <c r="N31" s="50">
        <v>0</v>
      </c>
      <c r="O31" s="15">
        <f t="shared" si="0"/>
        <v>67</v>
      </c>
      <c r="P31" s="15">
        <f t="shared" si="1"/>
        <v>199</v>
      </c>
    </row>
    <row r="32" spans="2:32" ht="23.1" customHeight="1" x14ac:dyDescent="0.25">
      <c r="B32" s="24" t="s">
        <v>59</v>
      </c>
      <c r="C32" s="50">
        <v>8</v>
      </c>
      <c r="D32" s="50">
        <v>15</v>
      </c>
      <c r="E32" s="50">
        <v>9</v>
      </c>
      <c r="F32" s="50">
        <v>46</v>
      </c>
      <c r="G32" s="50">
        <v>0</v>
      </c>
      <c r="H32" s="50">
        <v>1</v>
      </c>
      <c r="I32" s="50">
        <v>20</v>
      </c>
      <c r="J32" s="50">
        <v>6</v>
      </c>
      <c r="K32" s="50">
        <v>3</v>
      </c>
      <c r="L32" s="50">
        <v>6</v>
      </c>
      <c r="M32" s="50">
        <v>145</v>
      </c>
      <c r="N32" s="50">
        <v>0</v>
      </c>
      <c r="O32" s="15">
        <f t="shared" si="0"/>
        <v>114</v>
      </c>
      <c r="P32" s="15">
        <f t="shared" si="1"/>
        <v>259</v>
      </c>
    </row>
    <row r="33" spans="2:20" ht="23.1" customHeight="1" x14ac:dyDescent="0.25">
      <c r="B33" s="23" t="s">
        <v>60</v>
      </c>
      <c r="C33" s="50">
        <v>17</v>
      </c>
      <c r="D33" s="50">
        <v>8</v>
      </c>
      <c r="E33" s="50">
        <v>7</v>
      </c>
      <c r="F33" s="50">
        <v>24</v>
      </c>
      <c r="G33" s="50">
        <v>1</v>
      </c>
      <c r="H33" s="50">
        <v>0</v>
      </c>
      <c r="I33" s="50">
        <v>11</v>
      </c>
      <c r="J33" s="50">
        <v>8</v>
      </c>
      <c r="K33" s="50">
        <v>1</v>
      </c>
      <c r="L33" s="50">
        <v>0</v>
      </c>
      <c r="M33" s="50">
        <v>145</v>
      </c>
      <c r="N33" s="50">
        <v>0</v>
      </c>
      <c r="O33" s="15">
        <f t="shared" si="0"/>
        <v>77</v>
      </c>
      <c r="P33" s="15">
        <f t="shared" si="1"/>
        <v>222</v>
      </c>
    </row>
    <row r="34" spans="2:20" ht="23.1" customHeight="1" x14ac:dyDescent="0.25">
      <c r="B34" s="24" t="s">
        <v>61</v>
      </c>
      <c r="C34" s="50">
        <v>22</v>
      </c>
      <c r="D34" s="50">
        <v>5</v>
      </c>
      <c r="E34" s="50">
        <v>2</v>
      </c>
      <c r="F34" s="50">
        <v>29</v>
      </c>
      <c r="G34" s="50">
        <v>1</v>
      </c>
      <c r="H34" s="50">
        <v>3</v>
      </c>
      <c r="I34" s="50">
        <v>6</v>
      </c>
      <c r="J34" s="50">
        <v>9</v>
      </c>
      <c r="K34" s="50">
        <v>0</v>
      </c>
      <c r="L34" s="50">
        <v>1</v>
      </c>
      <c r="M34" s="50">
        <v>82</v>
      </c>
      <c r="N34" s="50">
        <v>0</v>
      </c>
      <c r="O34" s="15">
        <f t="shared" si="0"/>
        <v>78</v>
      </c>
      <c r="P34" s="15">
        <f t="shared" si="1"/>
        <v>160</v>
      </c>
    </row>
    <row r="35" spans="2:20" ht="23.1" customHeight="1" x14ac:dyDescent="0.25">
      <c r="B35" s="24" t="s">
        <v>62</v>
      </c>
      <c r="C35" s="50">
        <v>10</v>
      </c>
      <c r="D35" s="50">
        <v>7</v>
      </c>
      <c r="E35" s="50">
        <v>2</v>
      </c>
      <c r="F35" s="50">
        <v>14</v>
      </c>
      <c r="G35" s="50">
        <v>1</v>
      </c>
      <c r="H35" s="50">
        <v>0</v>
      </c>
      <c r="I35" s="50">
        <v>9</v>
      </c>
      <c r="J35" s="50">
        <v>7</v>
      </c>
      <c r="K35" s="50">
        <v>2</v>
      </c>
      <c r="L35" s="50">
        <v>1</v>
      </c>
      <c r="M35" s="50">
        <v>210</v>
      </c>
      <c r="N35" s="50">
        <v>0</v>
      </c>
      <c r="O35" s="15">
        <f t="shared" si="0"/>
        <v>53</v>
      </c>
      <c r="P35" s="15">
        <f t="shared" si="1"/>
        <v>263</v>
      </c>
    </row>
    <row r="36" spans="2:20" ht="23.1" customHeight="1" x14ac:dyDescent="0.25">
      <c r="B36" s="24" t="s">
        <v>63</v>
      </c>
      <c r="C36" s="50">
        <v>10</v>
      </c>
      <c r="D36" s="50">
        <v>8</v>
      </c>
      <c r="E36" s="50">
        <v>4</v>
      </c>
      <c r="F36" s="50">
        <v>25</v>
      </c>
      <c r="G36" s="50">
        <v>0</v>
      </c>
      <c r="H36" s="50">
        <v>0</v>
      </c>
      <c r="I36" s="50">
        <v>11</v>
      </c>
      <c r="J36" s="50">
        <v>4</v>
      </c>
      <c r="K36" s="50">
        <v>0</v>
      </c>
      <c r="L36" s="50">
        <v>0</v>
      </c>
      <c r="M36" s="50">
        <v>135</v>
      </c>
      <c r="N36" s="50">
        <v>0</v>
      </c>
      <c r="O36" s="15">
        <f t="shared" si="0"/>
        <v>62</v>
      </c>
      <c r="P36" s="15">
        <f t="shared" si="1"/>
        <v>197</v>
      </c>
    </row>
    <row r="37" spans="2:20" ht="23.1" customHeight="1" x14ac:dyDescent="0.25">
      <c r="B37" s="23" t="s">
        <v>64</v>
      </c>
      <c r="C37" s="50">
        <v>17</v>
      </c>
      <c r="D37" s="50">
        <v>9</v>
      </c>
      <c r="E37" s="50">
        <v>0</v>
      </c>
      <c r="F37" s="50">
        <v>33</v>
      </c>
      <c r="G37" s="50">
        <v>0</v>
      </c>
      <c r="H37" s="50">
        <v>0</v>
      </c>
      <c r="I37" s="50">
        <v>12</v>
      </c>
      <c r="J37" s="50">
        <v>2</v>
      </c>
      <c r="K37" s="50">
        <v>2</v>
      </c>
      <c r="L37" s="50">
        <v>1</v>
      </c>
      <c r="M37" s="50">
        <v>170</v>
      </c>
      <c r="N37" s="50">
        <v>0</v>
      </c>
      <c r="O37" s="15">
        <f t="shared" si="0"/>
        <v>76</v>
      </c>
      <c r="P37" s="15">
        <f t="shared" si="1"/>
        <v>246</v>
      </c>
    </row>
    <row r="38" spans="2:20" ht="23.1" customHeight="1" x14ac:dyDescent="0.25">
      <c r="B38" s="24" t="s">
        <v>65</v>
      </c>
      <c r="C38" s="50">
        <v>4</v>
      </c>
      <c r="D38" s="50">
        <v>5</v>
      </c>
      <c r="E38" s="50">
        <v>8</v>
      </c>
      <c r="F38" s="50">
        <v>16</v>
      </c>
      <c r="G38" s="50">
        <v>0</v>
      </c>
      <c r="H38" s="50">
        <v>0</v>
      </c>
      <c r="I38" s="50">
        <v>7</v>
      </c>
      <c r="J38" s="50">
        <v>8</v>
      </c>
      <c r="K38" s="50">
        <v>0</v>
      </c>
      <c r="L38" s="50">
        <v>1</v>
      </c>
      <c r="M38" s="50">
        <v>125</v>
      </c>
      <c r="N38" s="50">
        <v>0</v>
      </c>
      <c r="O38" s="15">
        <f t="shared" si="0"/>
        <v>49</v>
      </c>
      <c r="P38" s="15">
        <f t="shared" si="1"/>
        <v>174</v>
      </c>
    </row>
    <row r="39" spans="2:20" ht="23.1" customHeight="1" x14ac:dyDescent="0.25">
      <c r="B39" s="24" t="s">
        <v>66</v>
      </c>
      <c r="C39" s="50">
        <v>12</v>
      </c>
      <c r="D39" s="50">
        <v>4</v>
      </c>
      <c r="E39" s="50">
        <v>2</v>
      </c>
      <c r="F39" s="50">
        <v>11</v>
      </c>
      <c r="G39" s="50">
        <v>0</v>
      </c>
      <c r="H39" s="50">
        <v>0</v>
      </c>
      <c r="I39" s="50">
        <v>10</v>
      </c>
      <c r="J39" s="50">
        <v>3</v>
      </c>
      <c r="K39" s="50">
        <v>2</v>
      </c>
      <c r="L39" s="50">
        <v>3</v>
      </c>
      <c r="M39" s="50">
        <v>120</v>
      </c>
      <c r="N39" s="50">
        <v>0</v>
      </c>
      <c r="O39" s="15">
        <f t="shared" si="0"/>
        <v>47</v>
      </c>
      <c r="P39" s="15">
        <f t="shared" si="1"/>
        <v>167</v>
      </c>
    </row>
    <row r="40" spans="2:20" ht="23.1" customHeight="1" x14ac:dyDescent="0.25">
      <c r="B40" s="24" t="s">
        <v>67</v>
      </c>
      <c r="C40" s="50">
        <v>18</v>
      </c>
      <c r="D40" s="50">
        <v>12</v>
      </c>
      <c r="E40" s="50">
        <v>5</v>
      </c>
      <c r="F40" s="50">
        <v>20</v>
      </c>
      <c r="G40" s="50">
        <v>0</v>
      </c>
      <c r="H40" s="50">
        <v>0</v>
      </c>
      <c r="I40" s="50">
        <v>23</v>
      </c>
      <c r="J40" s="50">
        <v>8</v>
      </c>
      <c r="K40" s="50">
        <v>1</v>
      </c>
      <c r="L40" s="50">
        <v>1</v>
      </c>
      <c r="M40" s="50">
        <v>116</v>
      </c>
      <c r="N40" s="50">
        <v>0</v>
      </c>
      <c r="O40" s="15">
        <f t="shared" si="0"/>
        <v>88</v>
      </c>
      <c r="P40" s="15">
        <f t="shared" si="1"/>
        <v>204</v>
      </c>
    </row>
    <row r="41" spans="2:20" ht="23.1" customHeight="1" x14ac:dyDescent="0.25">
      <c r="B41" s="23" t="s">
        <v>68</v>
      </c>
      <c r="C41" s="50">
        <v>12</v>
      </c>
      <c r="D41" s="50">
        <v>6</v>
      </c>
      <c r="E41" s="50">
        <v>5</v>
      </c>
      <c r="F41" s="50">
        <v>2</v>
      </c>
      <c r="G41" s="50">
        <v>0</v>
      </c>
      <c r="H41" s="50">
        <v>0</v>
      </c>
      <c r="I41" s="50">
        <v>18</v>
      </c>
      <c r="J41" s="50">
        <v>8</v>
      </c>
      <c r="K41" s="50">
        <v>5</v>
      </c>
      <c r="L41" s="50">
        <v>2</v>
      </c>
      <c r="M41" s="50">
        <v>140</v>
      </c>
      <c r="N41" s="50">
        <v>0</v>
      </c>
      <c r="O41" s="15">
        <f t="shared" si="0"/>
        <v>58</v>
      </c>
      <c r="P41" s="15">
        <f t="shared" si="1"/>
        <v>198</v>
      </c>
    </row>
    <row r="42" spans="2:20" ht="23.1" customHeight="1" x14ac:dyDescent="0.25">
      <c r="B42" s="24" t="s">
        <v>69</v>
      </c>
      <c r="C42" s="50">
        <v>8</v>
      </c>
      <c r="D42" s="50">
        <v>10</v>
      </c>
      <c r="E42" s="50">
        <v>4</v>
      </c>
      <c r="F42" s="50">
        <v>11</v>
      </c>
      <c r="G42" s="50">
        <v>0</v>
      </c>
      <c r="H42" s="50">
        <v>0</v>
      </c>
      <c r="I42" s="50">
        <v>6</v>
      </c>
      <c r="J42" s="50">
        <v>9</v>
      </c>
      <c r="K42" s="50">
        <v>1</v>
      </c>
      <c r="L42" s="50">
        <v>1</v>
      </c>
      <c r="M42" s="50">
        <v>59</v>
      </c>
      <c r="N42" s="50">
        <v>0</v>
      </c>
      <c r="O42" s="15">
        <f t="shared" si="0"/>
        <v>50</v>
      </c>
      <c r="P42" s="15">
        <f t="shared" si="1"/>
        <v>109</v>
      </c>
    </row>
    <row r="43" spans="2:20" ht="23.1" customHeight="1" x14ac:dyDescent="0.25">
      <c r="B43" s="23" t="s">
        <v>70</v>
      </c>
      <c r="C43" s="50">
        <v>8</v>
      </c>
      <c r="D43" s="50">
        <v>1</v>
      </c>
      <c r="E43" s="50">
        <v>5</v>
      </c>
      <c r="F43" s="50">
        <v>16</v>
      </c>
      <c r="G43" s="50">
        <v>0</v>
      </c>
      <c r="H43" s="50">
        <v>0</v>
      </c>
      <c r="I43" s="50">
        <v>8</v>
      </c>
      <c r="J43" s="50">
        <v>4</v>
      </c>
      <c r="K43" s="50">
        <v>3</v>
      </c>
      <c r="L43" s="50">
        <v>0</v>
      </c>
      <c r="M43" s="50">
        <v>86</v>
      </c>
      <c r="N43" s="50">
        <v>0</v>
      </c>
      <c r="O43" s="15">
        <f t="shared" si="0"/>
        <v>45</v>
      </c>
      <c r="P43" s="15">
        <f t="shared" si="1"/>
        <v>131</v>
      </c>
    </row>
    <row r="44" spans="2:20" ht="23.1" customHeight="1" x14ac:dyDescent="0.25">
      <c r="B44" s="25" t="s">
        <v>71</v>
      </c>
      <c r="C44" s="50">
        <v>18</v>
      </c>
      <c r="D44" s="50">
        <v>7</v>
      </c>
      <c r="E44" s="50">
        <v>5</v>
      </c>
      <c r="F44" s="50">
        <v>24</v>
      </c>
      <c r="G44" s="50">
        <v>0</v>
      </c>
      <c r="H44" s="50">
        <v>0</v>
      </c>
      <c r="I44" s="50">
        <v>11</v>
      </c>
      <c r="J44" s="50">
        <v>4</v>
      </c>
      <c r="K44" s="50">
        <v>5</v>
      </c>
      <c r="L44" s="50">
        <v>0</v>
      </c>
      <c r="M44" s="50">
        <v>105</v>
      </c>
      <c r="N44" s="50">
        <v>0</v>
      </c>
      <c r="O44" s="15">
        <f t="shared" si="0"/>
        <v>74</v>
      </c>
      <c r="P44" s="15">
        <f t="shared" si="1"/>
        <v>179</v>
      </c>
    </row>
    <row r="45" spans="2:20" ht="23.1" customHeight="1" x14ac:dyDescent="0.25">
      <c r="B45" s="23" t="s">
        <v>72</v>
      </c>
      <c r="C45" s="50">
        <v>18</v>
      </c>
      <c r="D45" s="50">
        <v>6</v>
      </c>
      <c r="E45" s="50">
        <v>3</v>
      </c>
      <c r="F45" s="50">
        <v>11</v>
      </c>
      <c r="G45" s="50">
        <v>1</v>
      </c>
      <c r="H45" s="50">
        <v>0</v>
      </c>
      <c r="I45" s="50">
        <v>9</v>
      </c>
      <c r="J45" s="50">
        <v>5</v>
      </c>
      <c r="K45" s="50">
        <v>3</v>
      </c>
      <c r="L45" s="50">
        <v>1</v>
      </c>
      <c r="M45" s="50">
        <v>92</v>
      </c>
      <c r="N45" s="50">
        <v>0</v>
      </c>
      <c r="O45" s="15">
        <f t="shared" si="0"/>
        <v>57</v>
      </c>
      <c r="P45" s="15">
        <f t="shared" si="1"/>
        <v>149</v>
      </c>
    </row>
    <row r="46" spans="2:20" ht="23.1" customHeight="1" x14ac:dyDescent="0.25">
      <c r="B46" s="24" t="s">
        <v>73</v>
      </c>
      <c r="C46" s="50">
        <v>14</v>
      </c>
      <c r="D46" s="50">
        <v>5</v>
      </c>
      <c r="E46" s="50">
        <v>4</v>
      </c>
      <c r="F46" s="50">
        <v>16</v>
      </c>
      <c r="G46" s="50">
        <v>1</v>
      </c>
      <c r="H46" s="50">
        <v>0</v>
      </c>
      <c r="I46" s="50">
        <v>6</v>
      </c>
      <c r="J46" s="50">
        <v>15</v>
      </c>
      <c r="K46" s="50">
        <v>3</v>
      </c>
      <c r="L46" s="50">
        <v>2</v>
      </c>
      <c r="M46" s="50">
        <v>102</v>
      </c>
      <c r="N46" s="50">
        <v>0</v>
      </c>
      <c r="O46" s="15">
        <f t="shared" si="0"/>
        <v>66</v>
      </c>
      <c r="P46" s="15">
        <f t="shared" si="1"/>
        <v>168</v>
      </c>
      <c r="R46" s="8"/>
      <c r="T46"/>
    </row>
    <row r="47" spans="2:20" ht="23.1" customHeight="1" x14ac:dyDescent="0.25">
      <c r="B47" s="24" t="s">
        <v>74</v>
      </c>
      <c r="C47" s="50">
        <v>22</v>
      </c>
      <c r="D47" s="50">
        <v>11</v>
      </c>
      <c r="E47" s="50">
        <v>5</v>
      </c>
      <c r="F47" s="50">
        <v>27</v>
      </c>
      <c r="G47" s="50">
        <v>0</v>
      </c>
      <c r="H47" s="50">
        <v>0</v>
      </c>
      <c r="I47" s="50">
        <v>8</v>
      </c>
      <c r="J47" s="50">
        <v>10</v>
      </c>
      <c r="K47" s="50">
        <v>0</v>
      </c>
      <c r="L47" s="50">
        <v>0</v>
      </c>
      <c r="M47" s="50">
        <v>155</v>
      </c>
      <c r="N47" s="50">
        <v>0</v>
      </c>
      <c r="O47" s="15">
        <f t="shared" si="0"/>
        <v>83</v>
      </c>
      <c r="P47" s="15">
        <f t="shared" si="1"/>
        <v>238</v>
      </c>
      <c r="R47" s="8"/>
      <c r="T47"/>
    </row>
    <row r="48" spans="2:20" ht="23.1" customHeight="1" x14ac:dyDescent="0.25">
      <c r="B48" s="24" t="s">
        <v>75</v>
      </c>
      <c r="C48" s="50">
        <v>7</v>
      </c>
      <c r="D48" s="50">
        <v>9</v>
      </c>
      <c r="E48" s="50">
        <v>2</v>
      </c>
      <c r="F48" s="50">
        <v>15</v>
      </c>
      <c r="G48" s="50">
        <v>1</v>
      </c>
      <c r="H48" s="50">
        <v>0</v>
      </c>
      <c r="I48" s="50">
        <v>7</v>
      </c>
      <c r="J48" s="50">
        <v>3</v>
      </c>
      <c r="K48" s="50">
        <v>1</v>
      </c>
      <c r="L48" s="50">
        <v>1</v>
      </c>
      <c r="M48" s="50">
        <v>145</v>
      </c>
      <c r="N48" s="50">
        <v>0</v>
      </c>
      <c r="O48" s="15">
        <f t="shared" si="0"/>
        <v>46</v>
      </c>
      <c r="P48" s="15">
        <f t="shared" si="1"/>
        <v>191</v>
      </c>
      <c r="R48" s="8"/>
      <c r="T48"/>
    </row>
    <row r="49" spans="2:20" ht="23.1" customHeight="1" x14ac:dyDescent="0.25">
      <c r="B49" s="23" t="s">
        <v>76</v>
      </c>
      <c r="C49" s="50">
        <v>23</v>
      </c>
      <c r="D49" s="50">
        <v>7</v>
      </c>
      <c r="E49" s="50">
        <v>3</v>
      </c>
      <c r="F49" s="50">
        <v>26</v>
      </c>
      <c r="G49" s="50">
        <v>0</v>
      </c>
      <c r="H49" s="50">
        <v>1</v>
      </c>
      <c r="I49" s="50">
        <v>19</v>
      </c>
      <c r="J49" s="50">
        <v>8</v>
      </c>
      <c r="K49" s="50">
        <v>3</v>
      </c>
      <c r="L49" s="50">
        <v>1</v>
      </c>
      <c r="M49" s="50">
        <v>137</v>
      </c>
      <c r="N49" s="50">
        <v>0</v>
      </c>
      <c r="O49" s="15">
        <f t="shared" si="0"/>
        <v>91</v>
      </c>
      <c r="P49" s="15">
        <f t="shared" si="1"/>
        <v>228</v>
      </c>
      <c r="R49" s="8"/>
      <c r="T49"/>
    </row>
    <row r="50" spans="2:20" ht="23.1" customHeight="1" x14ac:dyDescent="0.25">
      <c r="B50" s="24" t="s">
        <v>77</v>
      </c>
      <c r="C50" s="50">
        <v>4</v>
      </c>
      <c r="D50" s="50">
        <v>6</v>
      </c>
      <c r="E50" s="50">
        <v>3</v>
      </c>
      <c r="F50" s="50">
        <v>15</v>
      </c>
      <c r="G50" s="50">
        <v>0</v>
      </c>
      <c r="H50" s="50">
        <v>0</v>
      </c>
      <c r="I50" s="50">
        <v>10</v>
      </c>
      <c r="J50" s="50">
        <v>3</v>
      </c>
      <c r="K50" s="50">
        <v>0</v>
      </c>
      <c r="L50" s="50">
        <v>1</v>
      </c>
      <c r="M50" s="50">
        <v>103</v>
      </c>
      <c r="N50" s="50">
        <v>0</v>
      </c>
      <c r="O50" s="15">
        <f t="shared" si="0"/>
        <v>42</v>
      </c>
      <c r="P50" s="15">
        <f t="shared" si="1"/>
        <v>145</v>
      </c>
      <c r="R50" s="8"/>
      <c r="T50"/>
    </row>
    <row r="51" spans="2:20" ht="23.1" customHeight="1" x14ac:dyDescent="0.25">
      <c r="B51" s="24" t="s">
        <v>78</v>
      </c>
      <c r="C51" s="50">
        <v>12</v>
      </c>
      <c r="D51" s="50">
        <v>15</v>
      </c>
      <c r="E51" s="50">
        <v>3</v>
      </c>
      <c r="F51" s="50">
        <v>32</v>
      </c>
      <c r="G51" s="50">
        <v>0</v>
      </c>
      <c r="H51" s="50">
        <v>0</v>
      </c>
      <c r="I51" s="50">
        <v>7</v>
      </c>
      <c r="J51" s="50">
        <v>11</v>
      </c>
      <c r="K51" s="50">
        <v>2</v>
      </c>
      <c r="L51" s="50">
        <v>3</v>
      </c>
      <c r="M51" s="50">
        <v>162</v>
      </c>
      <c r="N51" s="50">
        <v>0</v>
      </c>
      <c r="O51" s="15">
        <f t="shared" si="0"/>
        <v>85</v>
      </c>
      <c r="P51" s="15">
        <f t="shared" si="1"/>
        <v>247</v>
      </c>
      <c r="R51" s="8"/>
      <c r="T51"/>
    </row>
    <row r="52" spans="2:20" ht="23.1" customHeight="1" x14ac:dyDescent="0.25">
      <c r="B52" s="24" t="s">
        <v>79</v>
      </c>
      <c r="C52" s="50">
        <v>5</v>
      </c>
      <c r="D52" s="50">
        <v>1</v>
      </c>
      <c r="E52" s="50">
        <v>0</v>
      </c>
      <c r="F52" s="50">
        <v>20</v>
      </c>
      <c r="G52" s="50">
        <v>0</v>
      </c>
      <c r="H52" s="50">
        <v>2</v>
      </c>
      <c r="I52" s="50">
        <v>3</v>
      </c>
      <c r="J52" s="50">
        <v>0</v>
      </c>
      <c r="K52" s="50">
        <v>1</v>
      </c>
      <c r="L52" s="50">
        <v>0</v>
      </c>
      <c r="M52" s="50">
        <v>202</v>
      </c>
      <c r="N52" s="50">
        <v>0</v>
      </c>
      <c r="O52" s="15">
        <f t="shared" si="0"/>
        <v>32</v>
      </c>
      <c r="P52" s="15">
        <f t="shared" si="1"/>
        <v>234</v>
      </c>
      <c r="R52" s="8"/>
      <c r="T52"/>
    </row>
    <row r="53" spans="2:20" ht="23.1" customHeight="1" x14ac:dyDescent="0.25">
      <c r="B53" s="23" t="s">
        <v>80</v>
      </c>
      <c r="C53" s="50">
        <v>32</v>
      </c>
      <c r="D53" s="50">
        <v>7</v>
      </c>
      <c r="E53" s="50">
        <v>6</v>
      </c>
      <c r="F53" s="50">
        <v>26</v>
      </c>
      <c r="G53" s="50">
        <v>1</v>
      </c>
      <c r="H53" s="50">
        <v>1</v>
      </c>
      <c r="I53" s="50">
        <v>13</v>
      </c>
      <c r="J53" s="50">
        <v>4</v>
      </c>
      <c r="K53" s="50">
        <v>0</v>
      </c>
      <c r="L53" s="50">
        <v>1</v>
      </c>
      <c r="M53" s="50">
        <v>175</v>
      </c>
      <c r="N53" s="50">
        <v>0</v>
      </c>
      <c r="O53" s="15">
        <f t="shared" si="0"/>
        <v>91</v>
      </c>
      <c r="P53" s="15">
        <f t="shared" si="1"/>
        <v>266</v>
      </c>
      <c r="R53" s="8"/>
      <c r="T53"/>
    </row>
    <row r="54" spans="2:20" ht="23.1" customHeight="1" x14ac:dyDescent="0.25">
      <c r="B54" s="23" t="s">
        <v>81</v>
      </c>
      <c r="C54" s="50">
        <v>34</v>
      </c>
      <c r="D54" s="50">
        <v>12</v>
      </c>
      <c r="E54" s="50">
        <v>9</v>
      </c>
      <c r="F54" s="50">
        <v>24</v>
      </c>
      <c r="G54" s="50">
        <v>0</v>
      </c>
      <c r="H54" s="50">
        <v>2</v>
      </c>
      <c r="I54" s="50">
        <v>23</v>
      </c>
      <c r="J54" s="50">
        <v>12</v>
      </c>
      <c r="K54" s="50">
        <v>0</v>
      </c>
      <c r="L54" s="50">
        <v>0</v>
      </c>
      <c r="M54" s="50">
        <v>181</v>
      </c>
      <c r="N54" s="50">
        <v>0</v>
      </c>
      <c r="O54" s="15">
        <f t="shared" si="0"/>
        <v>116</v>
      </c>
      <c r="P54" s="15">
        <f t="shared" si="1"/>
        <v>297</v>
      </c>
      <c r="R54" s="8"/>
      <c r="T54"/>
    </row>
    <row r="55" spans="2:20" ht="23.1" customHeight="1" x14ac:dyDescent="0.25">
      <c r="B55" s="23" t="s">
        <v>82</v>
      </c>
      <c r="C55" s="50">
        <v>29</v>
      </c>
      <c r="D55" s="50">
        <v>14</v>
      </c>
      <c r="E55" s="50">
        <v>9</v>
      </c>
      <c r="F55" s="50">
        <v>27</v>
      </c>
      <c r="G55" s="50">
        <v>0</v>
      </c>
      <c r="H55" s="50">
        <v>0</v>
      </c>
      <c r="I55" s="50">
        <v>20</v>
      </c>
      <c r="J55" s="50">
        <v>17</v>
      </c>
      <c r="K55" s="50">
        <v>4</v>
      </c>
      <c r="L55" s="50">
        <v>0</v>
      </c>
      <c r="M55" s="50">
        <v>160</v>
      </c>
      <c r="N55" s="50">
        <v>0</v>
      </c>
      <c r="O55" s="15">
        <f t="shared" si="0"/>
        <v>120</v>
      </c>
      <c r="P55" s="15">
        <f t="shared" si="1"/>
        <v>280</v>
      </c>
      <c r="R55" s="8"/>
      <c r="T55"/>
    </row>
    <row r="56" spans="2:20" ht="23.1" customHeight="1" x14ac:dyDescent="0.25">
      <c r="B56" s="23" t="s">
        <v>83</v>
      </c>
      <c r="C56" s="50">
        <v>23</v>
      </c>
      <c r="D56" s="50">
        <v>6</v>
      </c>
      <c r="E56" s="50">
        <v>0</v>
      </c>
      <c r="F56" s="50">
        <v>29</v>
      </c>
      <c r="G56" s="50">
        <v>0</v>
      </c>
      <c r="H56" s="50">
        <v>0</v>
      </c>
      <c r="I56" s="50">
        <v>12</v>
      </c>
      <c r="J56" s="50">
        <v>8</v>
      </c>
      <c r="K56" s="50">
        <v>0</v>
      </c>
      <c r="L56" s="50">
        <v>0</v>
      </c>
      <c r="M56" s="50">
        <v>173</v>
      </c>
      <c r="N56" s="50">
        <v>0</v>
      </c>
      <c r="O56" s="15">
        <f t="shared" si="0"/>
        <v>78</v>
      </c>
      <c r="P56" s="15">
        <f t="shared" si="1"/>
        <v>251</v>
      </c>
      <c r="R56" s="8"/>
      <c r="T56"/>
    </row>
    <row r="57" spans="2:20" ht="23.1" customHeight="1" x14ac:dyDescent="0.25">
      <c r="B57" s="23" t="s">
        <v>84</v>
      </c>
      <c r="C57" s="50">
        <v>25</v>
      </c>
      <c r="D57" s="50">
        <v>19</v>
      </c>
      <c r="E57" s="50">
        <v>7</v>
      </c>
      <c r="F57" s="50">
        <v>33</v>
      </c>
      <c r="G57" s="50">
        <v>1</v>
      </c>
      <c r="H57" s="50">
        <v>0</v>
      </c>
      <c r="I57" s="50">
        <v>13</v>
      </c>
      <c r="J57" s="50">
        <v>12</v>
      </c>
      <c r="K57" s="50">
        <v>3</v>
      </c>
      <c r="L57" s="50">
        <v>1</v>
      </c>
      <c r="M57" s="50">
        <v>153</v>
      </c>
      <c r="N57" s="50">
        <v>0</v>
      </c>
      <c r="O57" s="15">
        <f t="shared" si="0"/>
        <v>114</v>
      </c>
      <c r="P57" s="15">
        <f t="shared" si="1"/>
        <v>267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794</v>
      </c>
      <c r="D58" s="16">
        <f t="shared" si="21"/>
        <v>382</v>
      </c>
      <c r="E58" s="16">
        <f t="shared" si="21"/>
        <v>193</v>
      </c>
      <c r="F58" s="16">
        <f t="shared" si="21"/>
        <v>1227</v>
      </c>
      <c r="G58" s="16">
        <f t="shared" si="21"/>
        <v>37</v>
      </c>
      <c r="H58" s="16">
        <f t="shared" si="21"/>
        <v>14</v>
      </c>
      <c r="I58" s="16">
        <f t="shared" si="21"/>
        <v>481</v>
      </c>
      <c r="J58" s="16">
        <f t="shared" si="21"/>
        <v>290</v>
      </c>
      <c r="K58" s="16">
        <f t="shared" si="21"/>
        <v>71</v>
      </c>
      <c r="L58" s="16">
        <f t="shared" si="21"/>
        <v>52</v>
      </c>
      <c r="M58" s="16">
        <f t="shared" si="21"/>
        <v>7159</v>
      </c>
      <c r="N58" s="16">
        <f t="shared" si="21"/>
        <v>0</v>
      </c>
      <c r="O58" s="16">
        <f t="shared" si="21"/>
        <v>3541</v>
      </c>
      <c r="P58" s="16">
        <f t="shared" si="21"/>
        <v>10700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7.4205607476635516E-2</v>
      </c>
      <c r="D59" s="43">
        <f t="shared" si="22"/>
        <v>3.570093457943925E-2</v>
      </c>
      <c r="E59" s="43">
        <f t="shared" si="22"/>
        <v>1.8037383177570095E-2</v>
      </c>
      <c r="F59" s="43">
        <f t="shared" si="22"/>
        <v>0.11467289719626168</v>
      </c>
      <c r="G59" s="43">
        <f t="shared" si="22"/>
        <v>3.4579439252336447E-3</v>
      </c>
      <c r="H59" s="43">
        <f t="shared" si="22"/>
        <v>1.3084112149532711E-3</v>
      </c>
      <c r="I59" s="43">
        <f t="shared" si="22"/>
        <v>4.4953271028037381E-2</v>
      </c>
      <c r="J59" s="43">
        <f t="shared" si="22"/>
        <v>2.7102803738317756E-2</v>
      </c>
      <c r="K59" s="43">
        <f t="shared" si="22"/>
        <v>6.6355140186915886E-3</v>
      </c>
      <c r="L59" s="43">
        <f t="shared" si="22"/>
        <v>4.8598130841121497E-3</v>
      </c>
      <c r="M59" s="43">
        <f t="shared" si="22"/>
        <v>0.66906542056074769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0.22423044337757694</v>
      </c>
      <c r="D60" s="44">
        <f t="shared" ref="D60:N60" si="23">D58/$O$58</f>
        <v>0.10787913018921208</v>
      </c>
      <c r="E60" s="44">
        <f t="shared" si="23"/>
        <v>5.4504377294549565E-2</v>
      </c>
      <c r="F60" s="44">
        <f t="shared" si="23"/>
        <v>0.34651228466534878</v>
      </c>
      <c r="G60" s="44">
        <f t="shared" si="23"/>
        <v>1.0449025698955098E-2</v>
      </c>
      <c r="H60" s="44">
        <f t="shared" si="23"/>
        <v>3.9536853996046317E-3</v>
      </c>
      <c r="I60" s="44">
        <f t="shared" si="23"/>
        <v>0.13583733408641627</v>
      </c>
      <c r="J60" s="44">
        <f t="shared" si="23"/>
        <v>8.1897768991810227E-2</v>
      </c>
      <c r="K60" s="44">
        <f t="shared" si="23"/>
        <v>2.0050833097994918E-2</v>
      </c>
      <c r="L60" s="44">
        <f t="shared" si="23"/>
        <v>1.4685117198531489E-2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249977111117893"/>
  </sheetPr>
  <dimension ref="B1:AF174"/>
  <sheetViews>
    <sheetView view="pageBreakPreview" topLeftCell="A70" zoomScale="60" workbookViewId="0">
      <selection activeCell="K5" activeCellId="8" sqref="K5:L5 D6:E6 D6:E6 D5 C3:G3 G6:H6 G5:H5 K6:L6 K5:L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8" t="s">
        <v>23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</row>
    <row r="2" spans="2:32" ht="20.100000000000001" customHeight="1" x14ac:dyDescent="0.25">
      <c r="B2" s="59" t="s">
        <v>95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</row>
    <row r="3" spans="2:32" ht="20.100000000000001" customHeight="1" x14ac:dyDescent="0.25">
      <c r="B3" s="22" t="s">
        <v>96</v>
      </c>
      <c r="C3" s="63" t="str">
        <f>'22.07 Nateete-Ndeeba'!C3:G3</f>
        <v>MCC - C1 - STN07 - MASAKA ROAD</v>
      </c>
      <c r="D3" s="63"/>
      <c r="E3" s="63"/>
      <c r="F3" s="63"/>
      <c r="G3" s="63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51" t="s">
        <v>165</v>
      </c>
      <c r="E5" s="3"/>
      <c r="F5" s="41" t="s">
        <v>1</v>
      </c>
      <c r="G5" s="64" t="str">
        <f>'25.07 Ndeeba-Nateete'!G5:H5</f>
        <v>Rhino Funeral Services</v>
      </c>
      <c r="H5" s="65"/>
      <c r="I5" s="14"/>
      <c r="J5" s="2" t="s">
        <v>5</v>
      </c>
      <c r="K5" s="64" t="s">
        <v>180</v>
      </c>
      <c r="L5" s="65"/>
      <c r="M5" s="10"/>
      <c r="N5" s="10"/>
      <c r="O5" s="3"/>
      <c r="P5" s="3"/>
    </row>
    <row r="6" spans="2:32" ht="23.25" customHeight="1" x14ac:dyDescent="0.25">
      <c r="C6" s="2" t="s">
        <v>4</v>
      </c>
      <c r="D6" s="64" t="str">
        <f>'22.07 Nateete-Ndeeba'!D6:E6</f>
        <v>Nateete</v>
      </c>
      <c r="E6" s="65"/>
      <c r="F6" s="2" t="s">
        <v>2</v>
      </c>
      <c r="G6" s="64" t="str">
        <f>'22.07 Nateete-Ndeeba'!G6:H6</f>
        <v>Ndeeba</v>
      </c>
      <c r="H6" s="65"/>
      <c r="J6" s="2" t="s">
        <v>21</v>
      </c>
      <c r="K6" s="64" t="str">
        <f>'25.07 Ndeeba-Nateete'!K6:L6</f>
        <v>Felix</v>
      </c>
      <c r="L6" s="65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7" t="s">
        <v>88</v>
      </c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30</v>
      </c>
      <c r="D10" s="50">
        <v>6</v>
      </c>
      <c r="E10" s="50">
        <v>3</v>
      </c>
      <c r="F10" s="50">
        <v>20</v>
      </c>
      <c r="G10" s="50">
        <v>1</v>
      </c>
      <c r="H10" s="50">
        <v>0</v>
      </c>
      <c r="I10" s="50">
        <v>4</v>
      </c>
      <c r="J10" s="50">
        <v>7</v>
      </c>
      <c r="K10" s="50">
        <v>1</v>
      </c>
      <c r="L10" s="50">
        <v>0</v>
      </c>
      <c r="M10" s="50">
        <v>85</v>
      </c>
      <c r="N10" s="50">
        <v>0</v>
      </c>
      <c r="O10" s="15">
        <f t="shared" ref="O10:O57" si="0">SUM(C10:L10,N10)</f>
        <v>72</v>
      </c>
      <c r="P10" s="15">
        <f t="shared" ref="P10:P57" si="1">SUM(C10:N10)</f>
        <v>157</v>
      </c>
      <c r="R10" s="1" t="s">
        <v>6</v>
      </c>
      <c r="S10" s="17">
        <f t="shared" ref="S10:AF10" si="2">SUM(C10:C13)</f>
        <v>173</v>
      </c>
      <c r="T10" s="17">
        <f t="shared" si="2"/>
        <v>13</v>
      </c>
      <c r="U10" s="17">
        <f t="shared" si="2"/>
        <v>14</v>
      </c>
      <c r="V10" s="17">
        <f t="shared" si="2"/>
        <v>78</v>
      </c>
      <c r="W10" s="17">
        <f t="shared" si="2"/>
        <v>2</v>
      </c>
      <c r="X10" s="17">
        <f t="shared" si="2"/>
        <v>4</v>
      </c>
      <c r="Y10" s="17">
        <f t="shared" si="2"/>
        <v>15</v>
      </c>
      <c r="Z10" s="17">
        <f t="shared" si="2"/>
        <v>29</v>
      </c>
      <c r="AA10" s="17">
        <f t="shared" si="2"/>
        <v>4</v>
      </c>
      <c r="AB10" s="17">
        <f t="shared" si="2"/>
        <v>0</v>
      </c>
      <c r="AC10" s="17">
        <f t="shared" si="2"/>
        <v>550</v>
      </c>
      <c r="AD10" s="17">
        <f t="shared" si="2"/>
        <v>0</v>
      </c>
      <c r="AE10" s="31">
        <f t="shared" si="2"/>
        <v>332</v>
      </c>
      <c r="AF10" s="31">
        <f t="shared" si="2"/>
        <v>882</v>
      </c>
    </row>
    <row r="11" spans="2:32" s="6" customFormat="1" ht="23.1" customHeight="1" x14ac:dyDescent="0.25">
      <c r="B11" s="45" t="s">
        <v>38</v>
      </c>
      <c r="C11" s="50">
        <v>63</v>
      </c>
      <c r="D11" s="50">
        <v>3</v>
      </c>
      <c r="E11" s="50">
        <v>2</v>
      </c>
      <c r="F11" s="50">
        <v>19</v>
      </c>
      <c r="G11" s="50">
        <v>1</v>
      </c>
      <c r="H11" s="50">
        <v>2</v>
      </c>
      <c r="I11" s="50">
        <v>1</v>
      </c>
      <c r="J11" s="50">
        <v>2</v>
      </c>
      <c r="K11" s="50">
        <v>0</v>
      </c>
      <c r="L11" s="50">
        <v>0</v>
      </c>
      <c r="M11" s="50">
        <v>105</v>
      </c>
      <c r="N11" s="50">
        <v>0</v>
      </c>
      <c r="O11" s="15">
        <f t="shared" si="0"/>
        <v>93</v>
      </c>
      <c r="P11" s="15">
        <f t="shared" si="1"/>
        <v>198</v>
      </c>
      <c r="R11" s="1" t="s">
        <v>7</v>
      </c>
      <c r="S11" s="17">
        <f t="shared" ref="S11:AF11" si="3">SUM(C14:C17)</f>
        <v>169</v>
      </c>
      <c r="T11" s="17">
        <f t="shared" si="3"/>
        <v>21</v>
      </c>
      <c r="U11" s="17">
        <f t="shared" si="3"/>
        <v>15</v>
      </c>
      <c r="V11" s="17">
        <f t="shared" si="3"/>
        <v>108</v>
      </c>
      <c r="W11" s="17">
        <f t="shared" si="3"/>
        <v>3</v>
      </c>
      <c r="X11" s="17">
        <f t="shared" si="3"/>
        <v>2</v>
      </c>
      <c r="Y11" s="17">
        <f t="shared" si="3"/>
        <v>26</v>
      </c>
      <c r="Z11" s="17">
        <f t="shared" si="3"/>
        <v>54</v>
      </c>
      <c r="AA11" s="17">
        <f t="shared" si="3"/>
        <v>6</v>
      </c>
      <c r="AB11" s="17">
        <f t="shared" si="3"/>
        <v>1</v>
      </c>
      <c r="AC11" s="17">
        <f t="shared" si="3"/>
        <v>835</v>
      </c>
      <c r="AD11" s="17">
        <f t="shared" si="3"/>
        <v>0</v>
      </c>
      <c r="AE11" s="31">
        <f t="shared" si="3"/>
        <v>405</v>
      </c>
      <c r="AF11" s="31">
        <f t="shared" si="3"/>
        <v>1240</v>
      </c>
    </row>
    <row r="12" spans="2:32" ht="23.1" customHeight="1" x14ac:dyDescent="0.25">
      <c r="B12" s="45" t="s">
        <v>39</v>
      </c>
      <c r="C12" s="50">
        <v>44</v>
      </c>
      <c r="D12" s="50">
        <v>2</v>
      </c>
      <c r="E12" s="50">
        <v>3</v>
      </c>
      <c r="F12" s="50">
        <v>12</v>
      </c>
      <c r="G12" s="50">
        <v>0</v>
      </c>
      <c r="H12" s="50">
        <v>2</v>
      </c>
      <c r="I12" s="50">
        <v>7</v>
      </c>
      <c r="J12" s="50">
        <v>7</v>
      </c>
      <c r="K12" s="50">
        <v>1</v>
      </c>
      <c r="L12" s="50">
        <v>0</v>
      </c>
      <c r="M12" s="50">
        <v>180</v>
      </c>
      <c r="N12" s="50">
        <v>0</v>
      </c>
      <c r="O12" s="15">
        <f t="shared" si="0"/>
        <v>78</v>
      </c>
      <c r="P12" s="15">
        <f t="shared" si="1"/>
        <v>258</v>
      </c>
      <c r="R12" s="1" t="s">
        <v>8</v>
      </c>
      <c r="S12" s="17">
        <f t="shared" ref="S12:AF12" si="4">SUM(C18:C21)</f>
        <v>196</v>
      </c>
      <c r="T12" s="17">
        <f t="shared" si="4"/>
        <v>16</v>
      </c>
      <c r="U12" s="17">
        <f t="shared" si="4"/>
        <v>24</v>
      </c>
      <c r="V12" s="17">
        <f t="shared" si="4"/>
        <v>112</v>
      </c>
      <c r="W12" s="17">
        <f t="shared" si="4"/>
        <v>1</v>
      </c>
      <c r="X12" s="17">
        <f t="shared" si="4"/>
        <v>0</v>
      </c>
      <c r="Y12" s="17">
        <f t="shared" si="4"/>
        <v>23</v>
      </c>
      <c r="Z12" s="17">
        <f t="shared" si="4"/>
        <v>45</v>
      </c>
      <c r="AA12" s="17">
        <f t="shared" si="4"/>
        <v>10</v>
      </c>
      <c r="AB12" s="17">
        <f t="shared" si="4"/>
        <v>3</v>
      </c>
      <c r="AC12" s="17">
        <f t="shared" si="4"/>
        <v>780</v>
      </c>
      <c r="AD12" s="17">
        <f t="shared" si="4"/>
        <v>0</v>
      </c>
      <c r="AE12" s="31">
        <f t="shared" si="4"/>
        <v>430</v>
      </c>
      <c r="AF12" s="31">
        <f t="shared" si="4"/>
        <v>1210</v>
      </c>
    </row>
    <row r="13" spans="2:32" ht="23.1" customHeight="1" x14ac:dyDescent="0.25">
      <c r="B13" s="45" t="s">
        <v>40</v>
      </c>
      <c r="C13" s="50">
        <v>36</v>
      </c>
      <c r="D13" s="50">
        <v>2</v>
      </c>
      <c r="E13" s="50">
        <v>6</v>
      </c>
      <c r="F13" s="50">
        <v>27</v>
      </c>
      <c r="G13" s="50">
        <v>0</v>
      </c>
      <c r="H13" s="50">
        <v>0</v>
      </c>
      <c r="I13" s="50">
        <v>3</v>
      </c>
      <c r="J13" s="50">
        <v>13</v>
      </c>
      <c r="K13" s="50">
        <v>2</v>
      </c>
      <c r="L13" s="50">
        <v>0</v>
      </c>
      <c r="M13" s="50">
        <v>180</v>
      </c>
      <c r="N13" s="50">
        <v>0</v>
      </c>
      <c r="O13" s="15">
        <f t="shared" si="0"/>
        <v>89</v>
      </c>
      <c r="P13" s="15">
        <f t="shared" si="1"/>
        <v>269</v>
      </c>
      <c r="R13" s="1" t="s">
        <v>9</v>
      </c>
      <c r="S13" s="17">
        <f t="shared" ref="S13:AF13" si="5">SUM(C22:C25)</f>
        <v>160</v>
      </c>
      <c r="T13" s="17">
        <f t="shared" si="5"/>
        <v>24</v>
      </c>
      <c r="U13" s="17">
        <f t="shared" si="5"/>
        <v>13</v>
      </c>
      <c r="V13" s="17">
        <f t="shared" si="5"/>
        <v>105</v>
      </c>
      <c r="W13" s="17">
        <f t="shared" si="5"/>
        <v>4</v>
      </c>
      <c r="X13" s="17">
        <f t="shared" si="5"/>
        <v>0</v>
      </c>
      <c r="Y13" s="17">
        <f t="shared" si="5"/>
        <v>6</v>
      </c>
      <c r="Z13" s="17">
        <f t="shared" si="5"/>
        <v>56</v>
      </c>
      <c r="AA13" s="17">
        <f t="shared" si="5"/>
        <v>8</v>
      </c>
      <c r="AB13" s="17">
        <f t="shared" si="5"/>
        <v>1</v>
      </c>
      <c r="AC13" s="17">
        <f t="shared" si="5"/>
        <v>885</v>
      </c>
      <c r="AD13" s="17">
        <f t="shared" si="5"/>
        <v>0</v>
      </c>
      <c r="AE13" s="31">
        <f t="shared" si="5"/>
        <v>377</v>
      </c>
      <c r="AF13" s="31">
        <f t="shared" si="5"/>
        <v>1262</v>
      </c>
    </row>
    <row r="14" spans="2:32" ht="23.1" customHeight="1" x14ac:dyDescent="0.25">
      <c r="B14" s="45" t="s">
        <v>41</v>
      </c>
      <c r="C14" s="50">
        <v>42</v>
      </c>
      <c r="D14" s="50">
        <v>4</v>
      </c>
      <c r="E14" s="50">
        <v>5</v>
      </c>
      <c r="F14" s="50">
        <v>26</v>
      </c>
      <c r="G14" s="50">
        <v>0</v>
      </c>
      <c r="H14" s="50">
        <v>0</v>
      </c>
      <c r="I14" s="50">
        <v>3</v>
      </c>
      <c r="J14" s="50">
        <v>8</v>
      </c>
      <c r="K14" s="50">
        <v>2</v>
      </c>
      <c r="L14" s="50">
        <v>1</v>
      </c>
      <c r="M14" s="50">
        <v>195</v>
      </c>
      <c r="N14" s="50">
        <v>0</v>
      </c>
      <c r="O14" s="15">
        <f t="shared" si="0"/>
        <v>91</v>
      </c>
      <c r="P14" s="15">
        <f t="shared" si="1"/>
        <v>286</v>
      </c>
      <c r="R14" s="1" t="s">
        <v>10</v>
      </c>
      <c r="S14" s="17">
        <f t="shared" ref="S14:AF14" si="6">SUM(C26:C29)</f>
        <v>165</v>
      </c>
      <c r="T14" s="17">
        <f t="shared" si="6"/>
        <v>23</v>
      </c>
      <c r="U14" s="17">
        <f t="shared" si="6"/>
        <v>10</v>
      </c>
      <c r="V14" s="17">
        <f t="shared" si="6"/>
        <v>114</v>
      </c>
      <c r="W14" s="17">
        <f t="shared" si="6"/>
        <v>3</v>
      </c>
      <c r="X14" s="17">
        <f t="shared" si="6"/>
        <v>1</v>
      </c>
      <c r="Y14" s="17">
        <f t="shared" si="6"/>
        <v>28</v>
      </c>
      <c r="Z14" s="17">
        <f t="shared" si="6"/>
        <v>56</v>
      </c>
      <c r="AA14" s="17">
        <f t="shared" si="6"/>
        <v>12</v>
      </c>
      <c r="AB14" s="17">
        <f t="shared" si="6"/>
        <v>6</v>
      </c>
      <c r="AC14" s="17">
        <f t="shared" si="6"/>
        <v>885</v>
      </c>
      <c r="AD14" s="17">
        <f t="shared" si="6"/>
        <v>0</v>
      </c>
      <c r="AE14" s="31">
        <f t="shared" si="6"/>
        <v>418</v>
      </c>
      <c r="AF14" s="31">
        <f t="shared" si="6"/>
        <v>1303</v>
      </c>
    </row>
    <row r="15" spans="2:32" ht="23.1" customHeight="1" x14ac:dyDescent="0.25">
      <c r="B15" s="45" t="s">
        <v>42</v>
      </c>
      <c r="C15" s="50">
        <v>33</v>
      </c>
      <c r="D15" s="50">
        <v>8</v>
      </c>
      <c r="E15" s="50">
        <v>2</v>
      </c>
      <c r="F15" s="50">
        <v>21</v>
      </c>
      <c r="G15" s="50">
        <v>2</v>
      </c>
      <c r="H15" s="50">
        <v>1</v>
      </c>
      <c r="I15" s="50">
        <v>7</v>
      </c>
      <c r="J15" s="50">
        <v>19</v>
      </c>
      <c r="K15" s="50">
        <v>0</v>
      </c>
      <c r="L15" s="50">
        <v>0</v>
      </c>
      <c r="M15" s="50">
        <v>185</v>
      </c>
      <c r="N15" s="50">
        <v>0</v>
      </c>
      <c r="O15" s="15">
        <f t="shared" si="0"/>
        <v>93</v>
      </c>
      <c r="P15" s="15">
        <f t="shared" si="1"/>
        <v>278</v>
      </c>
      <c r="R15" s="1" t="s">
        <v>11</v>
      </c>
      <c r="S15" s="17">
        <f t="shared" ref="S15:AF15" si="7">SUM(C30:C33)</f>
        <v>189</v>
      </c>
      <c r="T15" s="17">
        <f t="shared" si="7"/>
        <v>30</v>
      </c>
      <c r="U15" s="17">
        <f t="shared" si="7"/>
        <v>25</v>
      </c>
      <c r="V15" s="17">
        <f t="shared" si="7"/>
        <v>114</v>
      </c>
      <c r="W15" s="17">
        <f t="shared" si="7"/>
        <v>1</v>
      </c>
      <c r="X15" s="17">
        <f t="shared" si="7"/>
        <v>1</v>
      </c>
      <c r="Y15" s="17">
        <f t="shared" si="7"/>
        <v>15</v>
      </c>
      <c r="Z15" s="17">
        <f t="shared" si="7"/>
        <v>56</v>
      </c>
      <c r="AA15" s="17">
        <f t="shared" si="7"/>
        <v>11</v>
      </c>
      <c r="AB15" s="17">
        <f t="shared" si="7"/>
        <v>3</v>
      </c>
      <c r="AC15" s="17">
        <f t="shared" si="7"/>
        <v>595</v>
      </c>
      <c r="AD15" s="17">
        <f t="shared" si="7"/>
        <v>0</v>
      </c>
      <c r="AE15" s="31">
        <f t="shared" si="7"/>
        <v>445</v>
      </c>
      <c r="AF15" s="31">
        <f t="shared" si="7"/>
        <v>1040</v>
      </c>
    </row>
    <row r="16" spans="2:32" ht="23.1" customHeight="1" x14ac:dyDescent="0.25">
      <c r="B16" s="45" t="s">
        <v>43</v>
      </c>
      <c r="C16" s="50">
        <v>46</v>
      </c>
      <c r="D16" s="50">
        <v>2</v>
      </c>
      <c r="E16" s="50">
        <v>4</v>
      </c>
      <c r="F16" s="50">
        <v>35</v>
      </c>
      <c r="G16" s="50">
        <v>1</v>
      </c>
      <c r="H16" s="50">
        <v>1</v>
      </c>
      <c r="I16" s="50">
        <v>3</v>
      </c>
      <c r="J16" s="50">
        <v>16</v>
      </c>
      <c r="K16" s="50">
        <v>4</v>
      </c>
      <c r="L16" s="50">
        <v>0</v>
      </c>
      <c r="M16" s="50">
        <v>200</v>
      </c>
      <c r="N16" s="50">
        <v>0</v>
      </c>
      <c r="O16" s="15">
        <f t="shared" si="0"/>
        <v>112</v>
      </c>
      <c r="P16" s="15">
        <f t="shared" si="1"/>
        <v>312</v>
      </c>
      <c r="R16" s="1" t="s">
        <v>12</v>
      </c>
      <c r="S16" s="17">
        <f t="shared" ref="S16:AF16" si="8">SUM(C34:C37)</f>
        <v>155</v>
      </c>
      <c r="T16" s="17">
        <f t="shared" si="8"/>
        <v>23</v>
      </c>
      <c r="U16" s="17">
        <f t="shared" si="8"/>
        <v>18</v>
      </c>
      <c r="V16" s="17">
        <f t="shared" si="8"/>
        <v>113</v>
      </c>
      <c r="W16" s="17">
        <f t="shared" si="8"/>
        <v>8</v>
      </c>
      <c r="X16" s="17">
        <f t="shared" si="8"/>
        <v>0</v>
      </c>
      <c r="Y16" s="17">
        <f t="shared" si="8"/>
        <v>22</v>
      </c>
      <c r="Z16" s="17">
        <f t="shared" si="8"/>
        <v>40</v>
      </c>
      <c r="AA16" s="17">
        <f t="shared" si="8"/>
        <v>14</v>
      </c>
      <c r="AB16" s="17">
        <f t="shared" si="8"/>
        <v>0</v>
      </c>
      <c r="AC16" s="17">
        <f t="shared" si="8"/>
        <v>620</v>
      </c>
      <c r="AD16" s="17">
        <f t="shared" si="8"/>
        <v>0</v>
      </c>
      <c r="AE16" s="31">
        <f t="shared" si="8"/>
        <v>393</v>
      </c>
      <c r="AF16" s="31">
        <f t="shared" si="8"/>
        <v>1013</v>
      </c>
    </row>
    <row r="17" spans="2:32" ht="23.1" customHeight="1" x14ac:dyDescent="0.25">
      <c r="B17" s="45" t="s">
        <v>44</v>
      </c>
      <c r="C17" s="50">
        <v>48</v>
      </c>
      <c r="D17" s="50">
        <v>7</v>
      </c>
      <c r="E17" s="50">
        <v>4</v>
      </c>
      <c r="F17" s="50">
        <v>26</v>
      </c>
      <c r="G17" s="50">
        <v>0</v>
      </c>
      <c r="H17" s="50">
        <v>0</v>
      </c>
      <c r="I17" s="50">
        <v>13</v>
      </c>
      <c r="J17" s="50">
        <v>11</v>
      </c>
      <c r="K17" s="50">
        <v>0</v>
      </c>
      <c r="L17" s="50">
        <v>0</v>
      </c>
      <c r="M17" s="50">
        <v>255</v>
      </c>
      <c r="N17" s="50">
        <v>0</v>
      </c>
      <c r="O17" s="15">
        <f t="shared" si="0"/>
        <v>109</v>
      </c>
      <c r="P17" s="15">
        <f t="shared" si="1"/>
        <v>364</v>
      </c>
      <c r="R17" s="1" t="s">
        <v>13</v>
      </c>
      <c r="S17" s="17">
        <f t="shared" ref="S17:AF17" si="9">SUM(C38:C41)</f>
        <v>184</v>
      </c>
      <c r="T17" s="17">
        <f t="shared" si="9"/>
        <v>25</v>
      </c>
      <c r="U17" s="17">
        <f t="shared" si="9"/>
        <v>16</v>
      </c>
      <c r="V17" s="17">
        <f t="shared" si="9"/>
        <v>105</v>
      </c>
      <c r="W17" s="17">
        <f t="shared" si="9"/>
        <v>3</v>
      </c>
      <c r="X17" s="17">
        <f t="shared" si="9"/>
        <v>6</v>
      </c>
      <c r="Y17" s="17">
        <f t="shared" si="9"/>
        <v>26</v>
      </c>
      <c r="Z17" s="17">
        <f t="shared" si="9"/>
        <v>52</v>
      </c>
      <c r="AA17" s="17">
        <f t="shared" si="9"/>
        <v>12</v>
      </c>
      <c r="AB17" s="17">
        <f t="shared" si="9"/>
        <v>0</v>
      </c>
      <c r="AC17" s="17">
        <f t="shared" si="9"/>
        <v>660</v>
      </c>
      <c r="AD17" s="17">
        <f t="shared" si="9"/>
        <v>0</v>
      </c>
      <c r="AE17" s="31">
        <f t="shared" si="9"/>
        <v>429</v>
      </c>
      <c r="AF17" s="31">
        <f t="shared" si="9"/>
        <v>1089</v>
      </c>
    </row>
    <row r="18" spans="2:32" ht="23.1" customHeight="1" x14ac:dyDescent="0.25">
      <c r="B18" s="45" t="s">
        <v>45</v>
      </c>
      <c r="C18" s="50">
        <v>57</v>
      </c>
      <c r="D18" s="50">
        <v>8</v>
      </c>
      <c r="E18" s="50">
        <v>7</v>
      </c>
      <c r="F18" s="50">
        <v>31</v>
      </c>
      <c r="G18" s="50">
        <v>0</v>
      </c>
      <c r="H18" s="50">
        <v>0</v>
      </c>
      <c r="I18" s="50">
        <v>8</v>
      </c>
      <c r="J18" s="50">
        <v>13</v>
      </c>
      <c r="K18" s="50">
        <v>3</v>
      </c>
      <c r="L18" s="50">
        <v>2</v>
      </c>
      <c r="M18" s="50">
        <v>185</v>
      </c>
      <c r="N18" s="50">
        <v>0</v>
      </c>
      <c r="O18" s="15">
        <f t="shared" si="0"/>
        <v>129</v>
      </c>
      <c r="P18" s="15">
        <f t="shared" si="1"/>
        <v>314</v>
      </c>
      <c r="R18" s="1" t="s">
        <v>14</v>
      </c>
      <c r="S18" s="17">
        <f t="shared" ref="S18:AF18" si="10">SUM(C42:C45)</f>
        <v>175</v>
      </c>
      <c r="T18" s="17">
        <f t="shared" si="10"/>
        <v>19</v>
      </c>
      <c r="U18" s="17">
        <f t="shared" si="10"/>
        <v>15</v>
      </c>
      <c r="V18" s="17">
        <f t="shared" si="10"/>
        <v>106</v>
      </c>
      <c r="W18" s="17">
        <f t="shared" si="10"/>
        <v>3</v>
      </c>
      <c r="X18" s="17">
        <f t="shared" si="10"/>
        <v>1</v>
      </c>
      <c r="Y18" s="17">
        <f t="shared" si="10"/>
        <v>30</v>
      </c>
      <c r="Z18" s="17">
        <f t="shared" si="10"/>
        <v>43</v>
      </c>
      <c r="AA18" s="17">
        <f t="shared" si="10"/>
        <v>14</v>
      </c>
      <c r="AB18" s="17">
        <f t="shared" si="10"/>
        <v>4</v>
      </c>
      <c r="AC18" s="17">
        <f t="shared" si="10"/>
        <v>526</v>
      </c>
      <c r="AD18" s="17">
        <f t="shared" si="10"/>
        <v>1</v>
      </c>
      <c r="AE18" s="31">
        <f t="shared" si="10"/>
        <v>411</v>
      </c>
      <c r="AF18" s="31">
        <f t="shared" si="10"/>
        <v>937</v>
      </c>
    </row>
    <row r="19" spans="2:32" ht="23.1" customHeight="1" x14ac:dyDescent="0.25">
      <c r="B19" s="45" t="s">
        <v>46</v>
      </c>
      <c r="C19" s="50">
        <v>47</v>
      </c>
      <c r="D19" s="50">
        <v>7</v>
      </c>
      <c r="E19" s="50">
        <v>5</v>
      </c>
      <c r="F19" s="50">
        <v>25</v>
      </c>
      <c r="G19" s="50">
        <v>0</v>
      </c>
      <c r="H19" s="50">
        <v>0</v>
      </c>
      <c r="I19" s="50">
        <v>4</v>
      </c>
      <c r="J19" s="50">
        <v>11</v>
      </c>
      <c r="K19" s="50">
        <v>3</v>
      </c>
      <c r="L19" s="50">
        <v>1</v>
      </c>
      <c r="M19" s="50">
        <v>190</v>
      </c>
      <c r="N19" s="50">
        <v>0</v>
      </c>
      <c r="O19" s="15">
        <f t="shared" si="0"/>
        <v>103</v>
      </c>
      <c r="P19" s="15">
        <f t="shared" si="1"/>
        <v>293</v>
      </c>
      <c r="R19" s="1" t="s">
        <v>15</v>
      </c>
      <c r="S19" s="17">
        <f t="shared" ref="S19:AF19" si="11">SUM(C46:C49)</f>
        <v>164</v>
      </c>
      <c r="T19" s="17">
        <f t="shared" si="11"/>
        <v>19</v>
      </c>
      <c r="U19" s="17">
        <f t="shared" si="11"/>
        <v>9</v>
      </c>
      <c r="V19" s="17">
        <f t="shared" si="11"/>
        <v>109</v>
      </c>
      <c r="W19" s="17">
        <f t="shared" si="11"/>
        <v>3</v>
      </c>
      <c r="X19" s="17">
        <f t="shared" si="11"/>
        <v>1</v>
      </c>
      <c r="Y19" s="17">
        <f t="shared" si="11"/>
        <v>25</v>
      </c>
      <c r="Z19" s="17">
        <f t="shared" si="11"/>
        <v>36</v>
      </c>
      <c r="AA19" s="17">
        <f t="shared" si="11"/>
        <v>4</v>
      </c>
      <c r="AB19" s="17">
        <f t="shared" si="11"/>
        <v>0</v>
      </c>
      <c r="AC19" s="17">
        <f t="shared" si="11"/>
        <v>555</v>
      </c>
      <c r="AD19" s="17">
        <f t="shared" si="11"/>
        <v>0</v>
      </c>
      <c r="AE19" s="31">
        <f t="shared" si="11"/>
        <v>370</v>
      </c>
      <c r="AF19" s="31">
        <f t="shared" si="11"/>
        <v>925</v>
      </c>
    </row>
    <row r="20" spans="2:32" ht="23.1" customHeight="1" x14ac:dyDescent="0.25">
      <c r="B20" s="45" t="s">
        <v>47</v>
      </c>
      <c r="C20" s="50">
        <v>28</v>
      </c>
      <c r="D20" s="50">
        <v>1</v>
      </c>
      <c r="E20" s="50">
        <v>5</v>
      </c>
      <c r="F20" s="50">
        <v>27</v>
      </c>
      <c r="G20" s="50">
        <v>1</v>
      </c>
      <c r="H20" s="50">
        <v>0</v>
      </c>
      <c r="I20" s="50">
        <v>4</v>
      </c>
      <c r="J20" s="50">
        <v>10</v>
      </c>
      <c r="K20" s="50">
        <v>2</v>
      </c>
      <c r="L20" s="50">
        <v>0</v>
      </c>
      <c r="M20" s="50">
        <v>215</v>
      </c>
      <c r="N20" s="50">
        <v>0</v>
      </c>
      <c r="O20" s="15">
        <f t="shared" si="0"/>
        <v>78</v>
      </c>
      <c r="P20" s="15">
        <f t="shared" si="1"/>
        <v>293</v>
      </c>
      <c r="R20" s="1" t="s">
        <v>16</v>
      </c>
      <c r="S20" s="17">
        <f t="shared" ref="S20:AF20" si="12">SUM(C50:C53)</f>
        <v>163</v>
      </c>
      <c r="T20" s="17">
        <f t="shared" si="12"/>
        <v>26</v>
      </c>
      <c r="U20" s="17">
        <f t="shared" si="12"/>
        <v>20</v>
      </c>
      <c r="V20" s="17">
        <f t="shared" si="12"/>
        <v>134</v>
      </c>
      <c r="W20" s="17">
        <f t="shared" si="12"/>
        <v>4</v>
      </c>
      <c r="X20" s="17">
        <f t="shared" si="12"/>
        <v>2</v>
      </c>
      <c r="Y20" s="17">
        <f t="shared" si="12"/>
        <v>16</v>
      </c>
      <c r="Z20" s="17">
        <f t="shared" si="12"/>
        <v>51</v>
      </c>
      <c r="AA20" s="17">
        <f t="shared" si="12"/>
        <v>11</v>
      </c>
      <c r="AB20" s="17">
        <f t="shared" si="12"/>
        <v>0</v>
      </c>
      <c r="AC20" s="17">
        <f t="shared" si="12"/>
        <v>900</v>
      </c>
      <c r="AD20" s="17">
        <f t="shared" si="12"/>
        <v>0</v>
      </c>
      <c r="AE20" s="31">
        <f t="shared" si="12"/>
        <v>427</v>
      </c>
      <c r="AF20" s="31">
        <f t="shared" si="12"/>
        <v>1327</v>
      </c>
    </row>
    <row r="21" spans="2:32" ht="23.1" customHeight="1" x14ac:dyDescent="0.25">
      <c r="B21" s="45" t="s">
        <v>48</v>
      </c>
      <c r="C21" s="50">
        <v>64</v>
      </c>
      <c r="D21" s="50">
        <v>0</v>
      </c>
      <c r="E21" s="50">
        <v>7</v>
      </c>
      <c r="F21" s="50">
        <v>29</v>
      </c>
      <c r="G21" s="50">
        <v>0</v>
      </c>
      <c r="H21" s="50">
        <v>0</v>
      </c>
      <c r="I21" s="50">
        <v>7</v>
      </c>
      <c r="J21" s="50">
        <v>11</v>
      </c>
      <c r="K21" s="50">
        <v>2</v>
      </c>
      <c r="L21" s="50">
        <v>0</v>
      </c>
      <c r="M21" s="50">
        <v>190</v>
      </c>
      <c r="N21" s="50">
        <v>0</v>
      </c>
      <c r="O21" s="15">
        <f t="shared" si="0"/>
        <v>120</v>
      </c>
      <c r="P21" s="15">
        <f t="shared" si="1"/>
        <v>310</v>
      </c>
      <c r="R21" s="36" t="s">
        <v>20</v>
      </c>
      <c r="S21" s="34">
        <f t="shared" ref="S21:AF21" si="13">SUM(C54:C57)</f>
        <v>130</v>
      </c>
      <c r="T21" s="17">
        <f t="shared" si="13"/>
        <v>27</v>
      </c>
      <c r="U21" s="17">
        <f t="shared" si="13"/>
        <v>14</v>
      </c>
      <c r="V21" s="17">
        <f t="shared" si="13"/>
        <v>124</v>
      </c>
      <c r="W21" s="17">
        <f t="shared" si="13"/>
        <v>2</v>
      </c>
      <c r="X21" s="17">
        <f t="shared" si="13"/>
        <v>3</v>
      </c>
      <c r="Y21" s="17">
        <f t="shared" si="13"/>
        <v>20</v>
      </c>
      <c r="Z21" s="17">
        <f t="shared" si="13"/>
        <v>33</v>
      </c>
      <c r="AA21" s="17">
        <f t="shared" si="13"/>
        <v>6</v>
      </c>
      <c r="AB21" s="17">
        <f t="shared" si="13"/>
        <v>0</v>
      </c>
      <c r="AC21" s="17">
        <f t="shared" si="13"/>
        <v>715</v>
      </c>
      <c r="AD21" s="17">
        <f t="shared" si="13"/>
        <v>0</v>
      </c>
      <c r="AE21" s="31">
        <f t="shared" si="13"/>
        <v>359</v>
      </c>
      <c r="AF21" s="31">
        <f t="shared" si="13"/>
        <v>1074</v>
      </c>
    </row>
    <row r="22" spans="2:32" ht="23.1" customHeight="1" x14ac:dyDescent="0.25">
      <c r="B22" s="45" t="s">
        <v>49</v>
      </c>
      <c r="C22" s="50">
        <v>60</v>
      </c>
      <c r="D22" s="50">
        <v>5</v>
      </c>
      <c r="E22" s="50">
        <v>2</v>
      </c>
      <c r="F22" s="50">
        <v>35</v>
      </c>
      <c r="G22" s="50">
        <v>0</v>
      </c>
      <c r="H22" s="50">
        <v>0</v>
      </c>
      <c r="I22" s="50">
        <v>1</v>
      </c>
      <c r="J22" s="50">
        <v>36</v>
      </c>
      <c r="K22" s="50">
        <v>3</v>
      </c>
      <c r="L22" s="50">
        <v>0</v>
      </c>
      <c r="M22" s="50">
        <v>190</v>
      </c>
      <c r="N22" s="50">
        <v>0</v>
      </c>
      <c r="O22" s="15">
        <f t="shared" si="0"/>
        <v>142</v>
      </c>
      <c r="P22" s="15">
        <f t="shared" si="1"/>
        <v>332</v>
      </c>
      <c r="R22" s="36" t="s">
        <v>146</v>
      </c>
      <c r="S22" s="34">
        <f>SUM(C58:C61)</f>
        <v>140</v>
      </c>
      <c r="T22" s="34">
        <f t="shared" ref="T22:AF22" si="14">SUM(D58:D61)</f>
        <v>17</v>
      </c>
      <c r="U22" s="34">
        <f t="shared" si="14"/>
        <v>14</v>
      </c>
      <c r="V22" s="34">
        <f t="shared" si="14"/>
        <v>107</v>
      </c>
      <c r="W22" s="34">
        <f t="shared" si="14"/>
        <v>2</v>
      </c>
      <c r="X22" s="34">
        <f t="shared" si="14"/>
        <v>1</v>
      </c>
      <c r="Y22" s="34">
        <f t="shared" si="14"/>
        <v>13</v>
      </c>
      <c r="Z22" s="34">
        <f t="shared" si="14"/>
        <v>17</v>
      </c>
      <c r="AA22" s="34">
        <f t="shared" si="14"/>
        <v>6</v>
      </c>
      <c r="AB22" s="34">
        <f t="shared" si="14"/>
        <v>5</v>
      </c>
      <c r="AC22" s="34">
        <f t="shared" si="14"/>
        <v>802</v>
      </c>
      <c r="AD22" s="34">
        <f t="shared" si="14"/>
        <v>1</v>
      </c>
      <c r="AE22" s="31">
        <f t="shared" si="14"/>
        <v>323</v>
      </c>
      <c r="AF22" s="31">
        <f t="shared" si="14"/>
        <v>1125</v>
      </c>
    </row>
    <row r="23" spans="2:32" ht="23.1" customHeight="1" x14ac:dyDescent="0.25">
      <c r="B23" s="45" t="s">
        <v>50</v>
      </c>
      <c r="C23" s="50">
        <v>25</v>
      </c>
      <c r="D23" s="50">
        <v>7</v>
      </c>
      <c r="E23" s="50">
        <v>0</v>
      </c>
      <c r="F23" s="50">
        <v>23</v>
      </c>
      <c r="G23" s="50">
        <v>1</v>
      </c>
      <c r="H23" s="50">
        <v>0</v>
      </c>
      <c r="I23" s="50">
        <v>0</v>
      </c>
      <c r="J23" s="50">
        <v>2</v>
      </c>
      <c r="K23" s="50">
        <v>0</v>
      </c>
      <c r="L23" s="50">
        <v>0</v>
      </c>
      <c r="M23" s="50">
        <v>205</v>
      </c>
      <c r="N23" s="50">
        <v>0</v>
      </c>
      <c r="O23" s="15">
        <f t="shared" si="0"/>
        <v>58</v>
      </c>
      <c r="P23" s="15">
        <f t="shared" si="1"/>
        <v>263</v>
      </c>
      <c r="R23" s="36" t="s">
        <v>147</v>
      </c>
      <c r="S23" s="34">
        <f>SUM(C62:C65)</f>
        <v>107</v>
      </c>
      <c r="T23" s="34">
        <f t="shared" ref="T23:AF23" si="15">SUM(D62:D65)</f>
        <v>25</v>
      </c>
      <c r="U23" s="34">
        <f t="shared" si="15"/>
        <v>11</v>
      </c>
      <c r="V23" s="34">
        <f t="shared" si="15"/>
        <v>110</v>
      </c>
      <c r="W23" s="34">
        <f t="shared" si="15"/>
        <v>3</v>
      </c>
      <c r="X23" s="34">
        <f t="shared" si="15"/>
        <v>0</v>
      </c>
      <c r="Y23" s="34">
        <f t="shared" si="15"/>
        <v>20</v>
      </c>
      <c r="Z23" s="34">
        <f t="shared" si="15"/>
        <v>8</v>
      </c>
      <c r="AA23" s="34">
        <f t="shared" si="15"/>
        <v>9</v>
      </c>
      <c r="AB23" s="34">
        <f t="shared" si="15"/>
        <v>5</v>
      </c>
      <c r="AC23" s="34">
        <f t="shared" si="15"/>
        <v>930</v>
      </c>
      <c r="AD23" s="34">
        <f t="shared" si="15"/>
        <v>0</v>
      </c>
      <c r="AE23" s="31">
        <f t="shared" si="15"/>
        <v>298</v>
      </c>
      <c r="AF23" s="31">
        <f t="shared" si="15"/>
        <v>1228</v>
      </c>
    </row>
    <row r="24" spans="2:32" ht="23.1" customHeight="1" x14ac:dyDescent="0.25">
      <c r="B24" s="45" t="s">
        <v>51</v>
      </c>
      <c r="C24" s="50">
        <v>35</v>
      </c>
      <c r="D24" s="50">
        <v>6</v>
      </c>
      <c r="E24" s="50">
        <v>3</v>
      </c>
      <c r="F24" s="50">
        <v>26</v>
      </c>
      <c r="G24" s="50">
        <v>2</v>
      </c>
      <c r="H24" s="50">
        <v>0</v>
      </c>
      <c r="I24" s="50">
        <v>3</v>
      </c>
      <c r="J24" s="50">
        <v>10</v>
      </c>
      <c r="K24" s="50">
        <v>3</v>
      </c>
      <c r="L24" s="50">
        <v>0</v>
      </c>
      <c r="M24" s="50">
        <v>240</v>
      </c>
      <c r="N24" s="50">
        <v>0</v>
      </c>
      <c r="O24" s="15">
        <f t="shared" si="0"/>
        <v>88</v>
      </c>
      <c r="P24" s="15">
        <f t="shared" si="1"/>
        <v>328</v>
      </c>
      <c r="R24" s="36" t="s">
        <v>148</v>
      </c>
      <c r="S24" s="34">
        <f>SUM(C66:C69)</f>
        <v>99</v>
      </c>
      <c r="T24" s="34">
        <f t="shared" ref="T24:AF24" si="16">SUM(D66:D69)</f>
        <v>21</v>
      </c>
      <c r="U24" s="34">
        <f t="shared" si="16"/>
        <v>22</v>
      </c>
      <c r="V24" s="34">
        <f t="shared" si="16"/>
        <v>126</v>
      </c>
      <c r="W24" s="34">
        <f t="shared" si="16"/>
        <v>1</v>
      </c>
      <c r="X24" s="34">
        <f t="shared" si="16"/>
        <v>0</v>
      </c>
      <c r="Y24" s="34">
        <f t="shared" si="16"/>
        <v>14</v>
      </c>
      <c r="Z24" s="34">
        <f t="shared" si="16"/>
        <v>16</v>
      </c>
      <c r="AA24" s="34">
        <f t="shared" si="16"/>
        <v>4</v>
      </c>
      <c r="AB24" s="34">
        <f t="shared" si="16"/>
        <v>10</v>
      </c>
      <c r="AC24" s="34">
        <f t="shared" si="16"/>
        <v>469</v>
      </c>
      <c r="AD24" s="34">
        <f t="shared" si="16"/>
        <v>0</v>
      </c>
      <c r="AE24" s="31">
        <f t="shared" si="16"/>
        <v>313</v>
      </c>
      <c r="AF24" s="31">
        <f t="shared" si="16"/>
        <v>782</v>
      </c>
    </row>
    <row r="25" spans="2:32" ht="23.1" customHeight="1" x14ac:dyDescent="0.25">
      <c r="B25" s="45" t="s">
        <v>52</v>
      </c>
      <c r="C25" s="50">
        <v>40</v>
      </c>
      <c r="D25" s="50">
        <v>6</v>
      </c>
      <c r="E25" s="50">
        <v>8</v>
      </c>
      <c r="F25" s="50">
        <v>21</v>
      </c>
      <c r="G25" s="50">
        <v>1</v>
      </c>
      <c r="H25" s="50">
        <v>0</v>
      </c>
      <c r="I25" s="50">
        <v>2</v>
      </c>
      <c r="J25" s="50">
        <v>8</v>
      </c>
      <c r="K25" s="50">
        <v>2</v>
      </c>
      <c r="L25" s="50">
        <v>1</v>
      </c>
      <c r="M25" s="50">
        <v>250</v>
      </c>
      <c r="N25" s="50">
        <v>0</v>
      </c>
      <c r="O25" s="15">
        <f t="shared" si="0"/>
        <v>89</v>
      </c>
      <c r="P25" s="15">
        <f t="shared" si="1"/>
        <v>339</v>
      </c>
      <c r="R25" s="36" t="s">
        <v>149</v>
      </c>
      <c r="S25" s="34">
        <f>SUM(C70:C73)</f>
        <v>135</v>
      </c>
      <c r="T25" s="34">
        <f t="shared" ref="T25:AF25" si="17">SUM(D70:D73)</f>
        <v>29</v>
      </c>
      <c r="U25" s="34">
        <f t="shared" si="17"/>
        <v>27</v>
      </c>
      <c r="V25" s="34">
        <f t="shared" si="17"/>
        <v>112</v>
      </c>
      <c r="W25" s="34">
        <f t="shared" si="17"/>
        <v>2</v>
      </c>
      <c r="X25" s="34">
        <f t="shared" si="17"/>
        <v>6</v>
      </c>
      <c r="Y25" s="34">
        <f t="shared" si="17"/>
        <v>27</v>
      </c>
      <c r="Z25" s="34">
        <f t="shared" si="17"/>
        <v>16</v>
      </c>
      <c r="AA25" s="34">
        <f t="shared" si="17"/>
        <v>13</v>
      </c>
      <c r="AB25" s="34">
        <f t="shared" si="17"/>
        <v>3</v>
      </c>
      <c r="AC25" s="34">
        <f t="shared" si="17"/>
        <v>332</v>
      </c>
      <c r="AD25" s="34">
        <f t="shared" si="17"/>
        <v>0</v>
      </c>
      <c r="AE25" s="31">
        <f t="shared" si="17"/>
        <v>370</v>
      </c>
      <c r="AF25" s="31">
        <f t="shared" si="17"/>
        <v>702</v>
      </c>
    </row>
    <row r="26" spans="2:32" ht="23.1" customHeight="1" x14ac:dyDescent="0.25">
      <c r="B26" s="45" t="s">
        <v>53</v>
      </c>
      <c r="C26" s="50">
        <v>32</v>
      </c>
      <c r="D26" s="50">
        <v>3</v>
      </c>
      <c r="E26" s="50">
        <v>1</v>
      </c>
      <c r="F26" s="50">
        <v>26</v>
      </c>
      <c r="G26" s="50">
        <v>2</v>
      </c>
      <c r="H26" s="50">
        <v>0</v>
      </c>
      <c r="I26" s="50">
        <v>4</v>
      </c>
      <c r="J26" s="50">
        <v>12</v>
      </c>
      <c r="K26" s="50">
        <v>2</v>
      </c>
      <c r="L26" s="50">
        <v>1</v>
      </c>
      <c r="M26" s="50">
        <v>240</v>
      </c>
      <c r="N26" s="50">
        <v>0</v>
      </c>
      <c r="O26" s="15">
        <f t="shared" si="0"/>
        <v>83</v>
      </c>
      <c r="P26" s="15">
        <f t="shared" si="1"/>
        <v>323</v>
      </c>
      <c r="R26" s="36" t="s">
        <v>150</v>
      </c>
      <c r="S26" s="34">
        <f>SUM(C74:C77)</f>
        <v>123</v>
      </c>
      <c r="T26" s="34">
        <f t="shared" ref="T26:AF26" si="18">SUM(D74:D77)</f>
        <v>21</v>
      </c>
      <c r="U26" s="34">
        <f t="shared" si="18"/>
        <v>25</v>
      </c>
      <c r="V26" s="34">
        <f t="shared" si="18"/>
        <v>58</v>
      </c>
      <c r="W26" s="34">
        <f t="shared" si="18"/>
        <v>0</v>
      </c>
      <c r="X26" s="34">
        <f t="shared" si="18"/>
        <v>80</v>
      </c>
      <c r="Y26" s="34">
        <f t="shared" si="18"/>
        <v>23</v>
      </c>
      <c r="Z26" s="34">
        <f t="shared" si="18"/>
        <v>30</v>
      </c>
      <c r="AA26" s="34">
        <f t="shared" si="18"/>
        <v>8</v>
      </c>
      <c r="AB26" s="34">
        <f t="shared" si="18"/>
        <v>8</v>
      </c>
      <c r="AC26" s="34">
        <f t="shared" si="18"/>
        <v>334</v>
      </c>
      <c r="AD26" s="34">
        <f t="shared" si="18"/>
        <v>0</v>
      </c>
      <c r="AE26" s="31">
        <f t="shared" si="18"/>
        <v>376</v>
      </c>
      <c r="AF26" s="31">
        <f t="shared" si="18"/>
        <v>710</v>
      </c>
    </row>
    <row r="27" spans="2:32" ht="23.1" customHeight="1" x14ac:dyDescent="0.25">
      <c r="B27" s="45" t="s">
        <v>54</v>
      </c>
      <c r="C27" s="50">
        <v>41</v>
      </c>
      <c r="D27" s="50">
        <v>3</v>
      </c>
      <c r="E27" s="50">
        <v>2</v>
      </c>
      <c r="F27" s="50">
        <v>27</v>
      </c>
      <c r="G27" s="50">
        <v>0</v>
      </c>
      <c r="H27" s="50">
        <v>0</v>
      </c>
      <c r="I27" s="50">
        <v>6</v>
      </c>
      <c r="J27" s="50">
        <v>13</v>
      </c>
      <c r="K27" s="50">
        <v>2</v>
      </c>
      <c r="L27" s="50">
        <v>1</v>
      </c>
      <c r="M27" s="50">
        <v>235</v>
      </c>
      <c r="N27" s="50">
        <v>0</v>
      </c>
      <c r="O27" s="15">
        <f t="shared" si="0"/>
        <v>95</v>
      </c>
      <c r="P27" s="15">
        <f t="shared" si="1"/>
        <v>330</v>
      </c>
      <c r="R27" s="36" t="s">
        <v>151</v>
      </c>
      <c r="S27" s="34">
        <f>SUM(C78:C81)</f>
        <v>83</v>
      </c>
      <c r="T27" s="34">
        <f t="shared" ref="T27:AF27" si="19">SUM(D78:D81)</f>
        <v>5</v>
      </c>
      <c r="U27" s="34">
        <f t="shared" si="19"/>
        <v>11</v>
      </c>
      <c r="V27" s="34">
        <f t="shared" si="19"/>
        <v>33</v>
      </c>
      <c r="W27" s="34">
        <f t="shared" si="19"/>
        <v>1</v>
      </c>
      <c r="X27" s="34">
        <f t="shared" si="19"/>
        <v>1</v>
      </c>
      <c r="Y27" s="34">
        <f t="shared" si="19"/>
        <v>25</v>
      </c>
      <c r="Z27" s="34">
        <f t="shared" si="19"/>
        <v>52</v>
      </c>
      <c r="AA27" s="34">
        <f t="shared" si="19"/>
        <v>9</v>
      </c>
      <c r="AB27" s="34">
        <f t="shared" si="19"/>
        <v>3</v>
      </c>
      <c r="AC27" s="34">
        <f t="shared" si="19"/>
        <v>343</v>
      </c>
      <c r="AD27" s="34">
        <f t="shared" si="19"/>
        <v>0</v>
      </c>
      <c r="AE27" s="31">
        <f t="shared" si="19"/>
        <v>223</v>
      </c>
      <c r="AF27" s="31">
        <f t="shared" si="19"/>
        <v>566</v>
      </c>
    </row>
    <row r="28" spans="2:32" ht="23.1" customHeight="1" x14ac:dyDescent="0.25">
      <c r="B28" s="45" t="s">
        <v>55</v>
      </c>
      <c r="C28" s="50">
        <v>36</v>
      </c>
      <c r="D28" s="50">
        <v>8</v>
      </c>
      <c r="E28" s="50">
        <v>4</v>
      </c>
      <c r="F28" s="50">
        <v>31</v>
      </c>
      <c r="G28" s="50">
        <v>1</v>
      </c>
      <c r="H28" s="50">
        <v>1</v>
      </c>
      <c r="I28" s="50">
        <v>12</v>
      </c>
      <c r="J28" s="50">
        <v>17</v>
      </c>
      <c r="K28" s="50">
        <v>3</v>
      </c>
      <c r="L28" s="50">
        <v>1</v>
      </c>
      <c r="M28" s="50">
        <v>210</v>
      </c>
      <c r="N28" s="50">
        <v>0</v>
      </c>
      <c r="O28" s="15">
        <f t="shared" si="0"/>
        <v>114</v>
      </c>
      <c r="P28" s="15">
        <f t="shared" si="1"/>
        <v>324</v>
      </c>
      <c r="R28" s="36" t="s">
        <v>152</v>
      </c>
      <c r="S28" s="34">
        <f>SUM(C82:C85)</f>
        <v>54</v>
      </c>
      <c r="T28" s="34">
        <f t="shared" ref="T28:AF28" si="20">SUM(D82:D85)</f>
        <v>6</v>
      </c>
      <c r="U28" s="34">
        <f t="shared" si="20"/>
        <v>9</v>
      </c>
      <c r="V28" s="34">
        <f t="shared" si="20"/>
        <v>22</v>
      </c>
      <c r="W28" s="34">
        <f t="shared" si="20"/>
        <v>0</v>
      </c>
      <c r="X28" s="34">
        <f t="shared" si="20"/>
        <v>0</v>
      </c>
      <c r="Y28" s="34">
        <f t="shared" si="20"/>
        <v>20</v>
      </c>
      <c r="Z28" s="34">
        <f t="shared" si="20"/>
        <v>40</v>
      </c>
      <c r="AA28" s="34">
        <f t="shared" si="20"/>
        <v>7</v>
      </c>
      <c r="AB28" s="34">
        <f t="shared" si="20"/>
        <v>4</v>
      </c>
      <c r="AC28" s="34">
        <f t="shared" si="20"/>
        <v>309</v>
      </c>
      <c r="AD28" s="34">
        <f t="shared" si="20"/>
        <v>0</v>
      </c>
      <c r="AE28" s="31">
        <f t="shared" si="20"/>
        <v>162</v>
      </c>
      <c r="AF28" s="31">
        <f t="shared" si="20"/>
        <v>471</v>
      </c>
    </row>
    <row r="29" spans="2:32" ht="23.1" customHeight="1" x14ac:dyDescent="0.25">
      <c r="B29" s="45" t="s">
        <v>56</v>
      </c>
      <c r="C29" s="50">
        <v>56</v>
      </c>
      <c r="D29" s="50">
        <v>9</v>
      </c>
      <c r="E29" s="50">
        <v>3</v>
      </c>
      <c r="F29" s="50">
        <v>30</v>
      </c>
      <c r="G29" s="50">
        <v>0</v>
      </c>
      <c r="H29" s="50">
        <v>0</v>
      </c>
      <c r="I29" s="50">
        <v>6</v>
      </c>
      <c r="J29" s="50">
        <v>14</v>
      </c>
      <c r="K29" s="50">
        <v>5</v>
      </c>
      <c r="L29" s="50">
        <v>3</v>
      </c>
      <c r="M29" s="50">
        <v>200</v>
      </c>
      <c r="N29" s="50">
        <v>0</v>
      </c>
      <c r="O29" s="15">
        <f t="shared" si="0"/>
        <v>126</v>
      </c>
      <c r="P29" s="15">
        <f t="shared" si="1"/>
        <v>326</v>
      </c>
      <c r="R29" s="36" t="s">
        <v>153</v>
      </c>
      <c r="S29" s="34">
        <f>SUM(C86:C89)</f>
        <v>51</v>
      </c>
      <c r="T29" s="34">
        <f t="shared" ref="T29:AF29" si="21">SUM(D86:D89)</f>
        <v>7</v>
      </c>
      <c r="U29" s="34">
        <f t="shared" si="21"/>
        <v>5</v>
      </c>
      <c r="V29" s="34">
        <f t="shared" si="21"/>
        <v>13</v>
      </c>
      <c r="W29" s="34">
        <f t="shared" si="21"/>
        <v>0</v>
      </c>
      <c r="X29" s="34">
        <f t="shared" si="21"/>
        <v>0</v>
      </c>
      <c r="Y29" s="34">
        <f t="shared" si="21"/>
        <v>13</v>
      </c>
      <c r="Z29" s="34">
        <f t="shared" si="21"/>
        <v>48</v>
      </c>
      <c r="AA29" s="34">
        <f t="shared" si="21"/>
        <v>7</v>
      </c>
      <c r="AB29" s="34">
        <f t="shared" si="21"/>
        <v>6</v>
      </c>
      <c r="AC29" s="34">
        <f t="shared" si="21"/>
        <v>256</v>
      </c>
      <c r="AD29" s="34">
        <f t="shared" si="21"/>
        <v>0</v>
      </c>
      <c r="AE29" s="31">
        <f t="shared" si="21"/>
        <v>150</v>
      </c>
      <c r="AF29" s="31">
        <f t="shared" si="21"/>
        <v>406</v>
      </c>
    </row>
    <row r="30" spans="2:32" ht="23.1" customHeight="1" x14ac:dyDescent="0.25">
      <c r="B30" s="45" t="s">
        <v>57</v>
      </c>
      <c r="C30" s="50">
        <v>41</v>
      </c>
      <c r="D30" s="50">
        <v>4</v>
      </c>
      <c r="E30" s="50">
        <v>3</v>
      </c>
      <c r="F30" s="50">
        <v>28</v>
      </c>
      <c r="G30" s="50">
        <v>0</v>
      </c>
      <c r="H30" s="50">
        <v>1</v>
      </c>
      <c r="I30" s="50">
        <v>3</v>
      </c>
      <c r="J30" s="50">
        <v>10</v>
      </c>
      <c r="K30" s="50">
        <v>3</v>
      </c>
      <c r="L30" s="50">
        <v>0</v>
      </c>
      <c r="M30" s="50">
        <v>170</v>
      </c>
      <c r="N30" s="50">
        <v>0</v>
      </c>
      <c r="O30" s="15">
        <f t="shared" si="0"/>
        <v>93</v>
      </c>
      <c r="P30" s="15">
        <f t="shared" si="1"/>
        <v>263</v>
      </c>
      <c r="R30" s="36" t="s">
        <v>154</v>
      </c>
      <c r="S30" s="34">
        <f>SUM(C90:C93)</f>
        <v>42</v>
      </c>
      <c r="T30" s="34">
        <f t="shared" ref="T30:AF30" si="22">SUM(D90:D93)</f>
        <v>5</v>
      </c>
      <c r="U30" s="34">
        <f t="shared" si="22"/>
        <v>2</v>
      </c>
      <c r="V30" s="34">
        <f t="shared" si="22"/>
        <v>11</v>
      </c>
      <c r="W30" s="34">
        <f t="shared" si="22"/>
        <v>0</v>
      </c>
      <c r="X30" s="34">
        <f t="shared" si="22"/>
        <v>1</v>
      </c>
      <c r="Y30" s="34">
        <f t="shared" si="22"/>
        <v>12</v>
      </c>
      <c r="Z30" s="34">
        <f t="shared" si="22"/>
        <v>51</v>
      </c>
      <c r="AA30" s="34">
        <f t="shared" si="22"/>
        <v>7</v>
      </c>
      <c r="AB30" s="34">
        <f t="shared" si="22"/>
        <v>5</v>
      </c>
      <c r="AC30" s="34">
        <f t="shared" si="22"/>
        <v>190</v>
      </c>
      <c r="AD30" s="34">
        <f t="shared" si="22"/>
        <v>0</v>
      </c>
      <c r="AE30" s="31">
        <f t="shared" si="22"/>
        <v>136</v>
      </c>
      <c r="AF30" s="31">
        <f t="shared" si="22"/>
        <v>326</v>
      </c>
    </row>
    <row r="31" spans="2:32" ht="23.1" customHeight="1" x14ac:dyDescent="0.25">
      <c r="B31" s="46" t="s">
        <v>58</v>
      </c>
      <c r="C31" s="50">
        <v>60</v>
      </c>
      <c r="D31" s="50">
        <v>15</v>
      </c>
      <c r="E31" s="50">
        <v>11</v>
      </c>
      <c r="F31" s="50">
        <v>31</v>
      </c>
      <c r="G31" s="50">
        <v>0</v>
      </c>
      <c r="H31" s="50">
        <v>0</v>
      </c>
      <c r="I31" s="50">
        <v>7</v>
      </c>
      <c r="J31" s="50">
        <v>21</v>
      </c>
      <c r="K31" s="50">
        <v>2</v>
      </c>
      <c r="L31" s="50">
        <v>2</v>
      </c>
      <c r="M31" s="50">
        <v>150</v>
      </c>
      <c r="N31" s="50">
        <v>0</v>
      </c>
      <c r="O31" s="15">
        <f t="shared" si="0"/>
        <v>149</v>
      </c>
      <c r="P31" s="15">
        <f t="shared" si="1"/>
        <v>299</v>
      </c>
      <c r="R31" s="36" t="s">
        <v>155</v>
      </c>
      <c r="S31" s="34">
        <f>SUM(C94:C97)</f>
        <v>22</v>
      </c>
      <c r="T31" s="34">
        <f t="shared" ref="T31:AF31" si="23">SUM(D94:D97)</f>
        <v>4</v>
      </c>
      <c r="U31" s="34">
        <f t="shared" si="23"/>
        <v>2</v>
      </c>
      <c r="V31" s="34">
        <f t="shared" si="23"/>
        <v>7</v>
      </c>
      <c r="W31" s="34">
        <f t="shared" si="23"/>
        <v>0</v>
      </c>
      <c r="X31" s="34">
        <f t="shared" si="23"/>
        <v>1</v>
      </c>
      <c r="Y31" s="34">
        <f t="shared" si="23"/>
        <v>16</v>
      </c>
      <c r="Z31" s="34">
        <f t="shared" si="23"/>
        <v>36</v>
      </c>
      <c r="AA31" s="34">
        <f t="shared" si="23"/>
        <v>4</v>
      </c>
      <c r="AB31" s="34">
        <f t="shared" si="23"/>
        <v>8</v>
      </c>
      <c r="AC31" s="34">
        <f t="shared" si="23"/>
        <v>112</v>
      </c>
      <c r="AD31" s="34">
        <f t="shared" si="23"/>
        <v>0</v>
      </c>
      <c r="AE31" s="31">
        <f t="shared" si="23"/>
        <v>100</v>
      </c>
      <c r="AF31" s="31">
        <f t="shared" si="23"/>
        <v>212</v>
      </c>
    </row>
    <row r="32" spans="2:32" ht="23.1" customHeight="1" x14ac:dyDescent="0.25">
      <c r="B32" s="46" t="s">
        <v>59</v>
      </c>
      <c r="C32" s="50">
        <v>46</v>
      </c>
      <c r="D32" s="50">
        <v>6</v>
      </c>
      <c r="E32" s="50">
        <v>4</v>
      </c>
      <c r="F32" s="50">
        <v>32</v>
      </c>
      <c r="G32" s="50">
        <v>0</v>
      </c>
      <c r="H32" s="50">
        <v>0</v>
      </c>
      <c r="I32" s="50">
        <v>3</v>
      </c>
      <c r="J32" s="50">
        <v>13</v>
      </c>
      <c r="K32" s="50">
        <v>3</v>
      </c>
      <c r="L32" s="50">
        <v>1</v>
      </c>
      <c r="M32" s="50">
        <v>145</v>
      </c>
      <c r="N32" s="50">
        <v>0</v>
      </c>
      <c r="O32" s="15">
        <f t="shared" si="0"/>
        <v>108</v>
      </c>
      <c r="P32" s="15">
        <f t="shared" si="1"/>
        <v>253</v>
      </c>
      <c r="R32" s="33" t="s">
        <v>156</v>
      </c>
      <c r="S32" s="34">
        <f>SUM(C98:C101)</f>
        <v>39</v>
      </c>
      <c r="T32" s="34">
        <f t="shared" ref="T32:AF32" si="24">SUM(D98:D101)</f>
        <v>5</v>
      </c>
      <c r="U32" s="34">
        <f t="shared" si="24"/>
        <v>13</v>
      </c>
      <c r="V32" s="34">
        <f t="shared" si="24"/>
        <v>59</v>
      </c>
      <c r="W32" s="34">
        <f t="shared" si="24"/>
        <v>7</v>
      </c>
      <c r="X32" s="34">
        <f t="shared" si="24"/>
        <v>4</v>
      </c>
      <c r="Y32" s="34">
        <f t="shared" si="24"/>
        <v>15</v>
      </c>
      <c r="Z32" s="34">
        <f t="shared" si="24"/>
        <v>40</v>
      </c>
      <c r="AA32" s="34">
        <f t="shared" si="24"/>
        <v>8</v>
      </c>
      <c r="AB32" s="34">
        <f t="shared" si="24"/>
        <v>5</v>
      </c>
      <c r="AC32" s="34">
        <f t="shared" si="24"/>
        <v>201</v>
      </c>
      <c r="AD32" s="34">
        <f t="shared" si="24"/>
        <v>0</v>
      </c>
      <c r="AE32" s="31">
        <f t="shared" si="24"/>
        <v>195</v>
      </c>
      <c r="AF32" s="31">
        <f t="shared" si="24"/>
        <v>396</v>
      </c>
    </row>
    <row r="33" spans="2:32" ht="23.1" customHeight="1" x14ac:dyDescent="0.25">
      <c r="B33" s="45" t="s">
        <v>60</v>
      </c>
      <c r="C33" s="50">
        <v>42</v>
      </c>
      <c r="D33" s="50">
        <v>5</v>
      </c>
      <c r="E33" s="50">
        <v>7</v>
      </c>
      <c r="F33" s="50">
        <v>23</v>
      </c>
      <c r="G33" s="50">
        <v>1</v>
      </c>
      <c r="H33" s="50">
        <v>0</v>
      </c>
      <c r="I33" s="50">
        <v>2</v>
      </c>
      <c r="J33" s="50">
        <v>12</v>
      </c>
      <c r="K33" s="50">
        <v>3</v>
      </c>
      <c r="L33" s="50">
        <v>0</v>
      </c>
      <c r="M33" s="50">
        <v>130</v>
      </c>
      <c r="N33" s="50">
        <v>0</v>
      </c>
      <c r="O33" s="15">
        <f t="shared" si="0"/>
        <v>95</v>
      </c>
      <c r="P33" s="15">
        <f t="shared" si="1"/>
        <v>225</v>
      </c>
      <c r="R33" s="33" t="s">
        <v>157</v>
      </c>
      <c r="S33" s="34">
        <f>SUM(C102:C105)</f>
        <v>63</v>
      </c>
      <c r="T33" s="34">
        <f t="shared" ref="T33:AF33" si="25">SUM(D102:D105)</f>
        <v>12</v>
      </c>
      <c r="U33" s="34">
        <f t="shared" si="25"/>
        <v>22</v>
      </c>
      <c r="V33" s="34">
        <f t="shared" si="25"/>
        <v>102</v>
      </c>
      <c r="W33" s="34">
        <f t="shared" si="25"/>
        <v>5</v>
      </c>
      <c r="X33" s="34">
        <f t="shared" si="25"/>
        <v>1</v>
      </c>
      <c r="Y33" s="34">
        <f t="shared" si="25"/>
        <v>25</v>
      </c>
      <c r="Z33" s="34">
        <f t="shared" si="25"/>
        <v>48</v>
      </c>
      <c r="AA33" s="34">
        <f t="shared" si="25"/>
        <v>11</v>
      </c>
      <c r="AB33" s="34">
        <f t="shared" si="25"/>
        <v>7</v>
      </c>
      <c r="AC33" s="34">
        <f t="shared" si="25"/>
        <v>342</v>
      </c>
      <c r="AD33" s="34">
        <f t="shared" si="25"/>
        <v>0</v>
      </c>
      <c r="AE33" s="31">
        <f t="shared" si="25"/>
        <v>296</v>
      </c>
      <c r="AF33" s="31">
        <f t="shared" si="25"/>
        <v>638</v>
      </c>
    </row>
    <row r="34" spans="2:32" ht="23.1" customHeight="1" x14ac:dyDescent="0.25">
      <c r="B34" s="46" t="s">
        <v>61</v>
      </c>
      <c r="C34" s="50">
        <v>45</v>
      </c>
      <c r="D34" s="50">
        <v>7</v>
      </c>
      <c r="E34" s="50">
        <v>6</v>
      </c>
      <c r="F34" s="50">
        <v>24</v>
      </c>
      <c r="G34" s="50">
        <v>4</v>
      </c>
      <c r="H34" s="50">
        <v>0</v>
      </c>
      <c r="I34" s="50">
        <v>3</v>
      </c>
      <c r="J34" s="50">
        <v>13</v>
      </c>
      <c r="K34" s="50">
        <v>2</v>
      </c>
      <c r="L34" s="50">
        <v>0</v>
      </c>
      <c r="M34" s="50">
        <v>150</v>
      </c>
      <c r="N34" s="50">
        <v>0</v>
      </c>
      <c r="O34" s="15">
        <f t="shared" si="0"/>
        <v>104</v>
      </c>
      <c r="P34" s="15">
        <f t="shared" si="1"/>
        <v>254</v>
      </c>
      <c r="R34" s="38" t="s">
        <v>90</v>
      </c>
      <c r="S34" s="39">
        <f t="shared" ref="S34:AF34" si="26">MAX(S10:S12)</f>
        <v>196</v>
      </c>
      <c r="T34" s="39">
        <f t="shared" si="26"/>
        <v>21</v>
      </c>
      <c r="U34" s="39">
        <f t="shared" si="26"/>
        <v>24</v>
      </c>
      <c r="V34" s="39">
        <f t="shared" si="26"/>
        <v>112</v>
      </c>
      <c r="W34" s="39">
        <f t="shared" si="26"/>
        <v>3</v>
      </c>
      <c r="X34" s="39">
        <f t="shared" si="26"/>
        <v>4</v>
      </c>
      <c r="Y34" s="39">
        <f t="shared" si="26"/>
        <v>26</v>
      </c>
      <c r="Z34" s="39">
        <f t="shared" si="26"/>
        <v>54</v>
      </c>
      <c r="AA34" s="39">
        <f t="shared" si="26"/>
        <v>10</v>
      </c>
      <c r="AB34" s="39">
        <f t="shared" si="26"/>
        <v>3</v>
      </c>
      <c r="AC34" s="39">
        <f t="shared" si="26"/>
        <v>835</v>
      </c>
      <c r="AD34" s="39">
        <f t="shared" si="26"/>
        <v>0</v>
      </c>
      <c r="AE34" s="40">
        <f t="shared" si="26"/>
        <v>430</v>
      </c>
      <c r="AF34" s="40">
        <f t="shared" si="26"/>
        <v>1240</v>
      </c>
    </row>
    <row r="35" spans="2:32" ht="23.1" customHeight="1" x14ac:dyDescent="0.25">
      <c r="B35" s="46" t="s">
        <v>62</v>
      </c>
      <c r="C35" s="50">
        <v>30</v>
      </c>
      <c r="D35" s="50">
        <v>6</v>
      </c>
      <c r="E35" s="50">
        <v>4</v>
      </c>
      <c r="F35" s="50">
        <v>26</v>
      </c>
      <c r="G35" s="50">
        <v>4</v>
      </c>
      <c r="H35" s="50">
        <v>0</v>
      </c>
      <c r="I35" s="50">
        <v>8</v>
      </c>
      <c r="J35" s="50">
        <v>5</v>
      </c>
      <c r="K35" s="50">
        <v>5</v>
      </c>
      <c r="L35" s="50">
        <v>0</v>
      </c>
      <c r="M35" s="50">
        <v>170</v>
      </c>
      <c r="N35" s="50">
        <v>0</v>
      </c>
      <c r="O35" s="15">
        <f t="shared" si="0"/>
        <v>88</v>
      </c>
      <c r="P35" s="15">
        <f t="shared" si="1"/>
        <v>258</v>
      </c>
      <c r="R35" s="38" t="s">
        <v>91</v>
      </c>
      <c r="S35" s="39">
        <f t="shared" ref="S35:AF35" si="27">MAX(S13:S18)</f>
        <v>189</v>
      </c>
      <c r="T35" s="39">
        <f t="shared" si="27"/>
        <v>30</v>
      </c>
      <c r="U35" s="39">
        <f t="shared" si="27"/>
        <v>25</v>
      </c>
      <c r="V35" s="39">
        <f t="shared" si="27"/>
        <v>114</v>
      </c>
      <c r="W35" s="39">
        <f t="shared" si="27"/>
        <v>8</v>
      </c>
      <c r="X35" s="39">
        <f t="shared" si="27"/>
        <v>6</v>
      </c>
      <c r="Y35" s="39">
        <f t="shared" si="27"/>
        <v>30</v>
      </c>
      <c r="Z35" s="39">
        <f t="shared" si="27"/>
        <v>56</v>
      </c>
      <c r="AA35" s="39">
        <f t="shared" si="27"/>
        <v>14</v>
      </c>
      <c r="AB35" s="39">
        <f t="shared" si="27"/>
        <v>6</v>
      </c>
      <c r="AC35" s="39">
        <f t="shared" si="27"/>
        <v>885</v>
      </c>
      <c r="AD35" s="39">
        <f t="shared" si="27"/>
        <v>1</v>
      </c>
      <c r="AE35" s="40">
        <f t="shared" si="27"/>
        <v>445</v>
      </c>
      <c r="AF35" s="40">
        <f t="shared" si="27"/>
        <v>1303</v>
      </c>
    </row>
    <row r="36" spans="2:32" ht="23.1" customHeight="1" x14ac:dyDescent="0.25">
      <c r="B36" s="46" t="s">
        <v>63</v>
      </c>
      <c r="C36" s="50">
        <v>53</v>
      </c>
      <c r="D36" s="50">
        <v>5</v>
      </c>
      <c r="E36" s="50">
        <v>7</v>
      </c>
      <c r="F36" s="50">
        <v>37</v>
      </c>
      <c r="G36" s="50">
        <v>0</v>
      </c>
      <c r="H36" s="50">
        <v>0</v>
      </c>
      <c r="I36" s="50">
        <v>10</v>
      </c>
      <c r="J36" s="50">
        <v>17</v>
      </c>
      <c r="K36" s="50">
        <v>6</v>
      </c>
      <c r="L36" s="50">
        <v>0</v>
      </c>
      <c r="M36" s="50">
        <v>140</v>
      </c>
      <c r="N36" s="50">
        <v>0</v>
      </c>
      <c r="O36" s="15">
        <f t="shared" si="0"/>
        <v>135</v>
      </c>
      <c r="P36" s="15">
        <f t="shared" si="1"/>
        <v>275</v>
      </c>
      <c r="R36" s="38" t="s">
        <v>92</v>
      </c>
      <c r="S36" s="39">
        <f t="shared" ref="S36:AF36" si="28">MAX(S19:S21)</f>
        <v>164</v>
      </c>
      <c r="T36" s="39">
        <f t="shared" si="28"/>
        <v>27</v>
      </c>
      <c r="U36" s="39">
        <f t="shared" si="28"/>
        <v>20</v>
      </c>
      <c r="V36" s="39">
        <f t="shared" si="28"/>
        <v>134</v>
      </c>
      <c r="W36" s="39">
        <f t="shared" si="28"/>
        <v>4</v>
      </c>
      <c r="X36" s="39">
        <f t="shared" si="28"/>
        <v>3</v>
      </c>
      <c r="Y36" s="39">
        <f t="shared" si="28"/>
        <v>25</v>
      </c>
      <c r="Z36" s="39">
        <f t="shared" si="28"/>
        <v>51</v>
      </c>
      <c r="AA36" s="39">
        <f t="shared" si="28"/>
        <v>11</v>
      </c>
      <c r="AB36" s="39">
        <f t="shared" si="28"/>
        <v>0</v>
      </c>
      <c r="AC36" s="39">
        <f t="shared" si="28"/>
        <v>900</v>
      </c>
      <c r="AD36" s="39">
        <f t="shared" si="28"/>
        <v>0</v>
      </c>
      <c r="AE36" s="40">
        <f t="shared" si="28"/>
        <v>427</v>
      </c>
      <c r="AF36" s="40">
        <f t="shared" si="28"/>
        <v>1327</v>
      </c>
    </row>
    <row r="37" spans="2:32" ht="23.1" customHeight="1" x14ac:dyDescent="0.25">
      <c r="B37" s="45" t="s">
        <v>64</v>
      </c>
      <c r="C37" s="50">
        <v>27</v>
      </c>
      <c r="D37" s="50">
        <v>5</v>
      </c>
      <c r="E37" s="50">
        <v>1</v>
      </c>
      <c r="F37" s="50">
        <v>26</v>
      </c>
      <c r="G37" s="50">
        <v>0</v>
      </c>
      <c r="H37" s="50">
        <v>0</v>
      </c>
      <c r="I37" s="50">
        <v>1</v>
      </c>
      <c r="J37" s="50">
        <v>5</v>
      </c>
      <c r="K37" s="50">
        <v>1</v>
      </c>
      <c r="L37" s="50">
        <v>0</v>
      </c>
      <c r="M37" s="50">
        <v>160</v>
      </c>
      <c r="N37" s="50">
        <v>0</v>
      </c>
      <c r="O37" s="15">
        <f t="shared" si="0"/>
        <v>66</v>
      </c>
      <c r="P37" s="15">
        <f t="shared" si="1"/>
        <v>226</v>
      </c>
      <c r="R37" s="37" t="s">
        <v>85</v>
      </c>
      <c r="S37" s="35">
        <f t="shared" ref="S37:AF37" si="29">SUM(S10:S12)</f>
        <v>538</v>
      </c>
      <c r="T37" s="16">
        <f t="shared" si="29"/>
        <v>50</v>
      </c>
      <c r="U37" s="16">
        <f t="shared" si="29"/>
        <v>53</v>
      </c>
      <c r="V37" s="16">
        <f t="shared" si="29"/>
        <v>298</v>
      </c>
      <c r="W37" s="16">
        <f t="shared" si="29"/>
        <v>6</v>
      </c>
      <c r="X37" s="16">
        <f t="shared" si="29"/>
        <v>6</v>
      </c>
      <c r="Y37" s="16">
        <f t="shared" si="29"/>
        <v>64</v>
      </c>
      <c r="Z37" s="16">
        <f t="shared" si="29"/>
        <v>128</v>
      </c>
      <c r="AA37" s="16">
        <f t="shared" si="29"/>
        <v>20</v>
      </c>
      <c r="AB37" s="16">
        <f t="shared" si="29"/>
        <v>4</v>
      </c>
      <c r="AC37" s="16">
        <f t="shared" si="29"/>
        <v>2165</v>
      </c>
      <c r="AD37" s="16">
        <f t="shared" si="29"/>
        <v>0</v>
      </c>
      <c r="AE37" s="32">
        <f t="shared" si="29"/>
        <v>1167</v>
      </c>
      <c r="AF37" s="32">
        <f t="shared" si="29"/>
        <v>3332</v>
      </c>
    </row>
    <row r="38" spans="2:32" ht="23.1" customHeight="1" x14ac:dyDescent="0.25">
      <c r="B38" s="46" t="s">
        <v>65</v>
      </c>
      <c r="C38" s="50">
        <v>35</v>
      </c>
      <c r="D38" s="50">
        <v>3</v>
      </c>
      <c r="E38" s="50">
        <v>0</v>
      </c>
      <c r="F38" s="50">
        <v>22</v>
      </c>
      <c r="G38" s="50">
        <v>2</v>
      </c>
      <c r="H38" s="50">
        <v>0</v>
      </c>
      <c r="I38" s="50">
        <v>1</v>
      </c>
      <c r="J38" s="50">
        <v>6</v>
      </c>
      <c r="K38" s="50">
        <v>5</v>
      </c>
      <c r="L38" s="50">
        <v>0</v>
      </c>
      <c r="M38" s="50">
        <v>175</v>
      </c>
      <c r="N38" s="50">
        <v>0</v>
      </c>
      <c r="O38" s="15">
        <f t="shared" si="0"/>
        <v>74</v>
      </c>
      <c r="P38" s="15">
        <f t="shared" si="1"/>
        <v>249</v>
      </c>
      <c r="R38" s="28" t="s">
        <v>86</v>
      </c>
      <c r="S38" s="16">
        <f t="shared" ref="S38:AF38" si="30">SUM(S13:S18)</f>
        <v>1028</v>
      </c>
      <c r="T38" s="16">
        <f t="shared" si="30"/>
        <v>144</v>
      </c>
      <c r="U38" s="16">
        <f t="shared" si="30"/>
        <v>97</v>
      </c>
      <c r="V38" s="16">
        <f t="shared" si="30"/>
        <v>657</v>
      </c>
      <c r="W38" s="16">
        <f t="shared" si="30"/>
        <v>22</v>
      </c>
      <c r="X38" s="16">
        <f t="shared" si="30"/>
        <v>9</v>
      </c>
      <c r="Y38" s="16">
        <f t="shared" si="30"/>
        <v>127</v>
      </c>
      <c r="Z38" s="16">
        <f t="shared" si="30"/>
        <v>303</v>
      </c>
      <c r="AA38" s="16">
        <f t="shared" si="30"/>
        <v>71</v>
      </c>
      <c r="AB38" s="16">
        <f t="shared" si="30"/>
        <v>14</v>
      </c>
      <c r="AC38" s="16">
        <f t="shared" si="30"/>
        <v>4171</v>
      </c>
      <c r="AD38" s="16">
        <f t="shared" si="30"/>
        <v>1</v>
      </c>
      <c r="AE38" s="32">
        <f t="shared" si="30"/>
        <v>2473</v>
      </c>
      <c r="AF38" s="32">
        <f t="shared" si="30"/>
        <v>6644</v>
      </c>
    </row>
    <row r="39" spans="2:32" ht="23.1" customHeight="1" x14ac:dyDescent="0.25">
      <c r="B39" s="46" t="s">
        <v>66</v>
      </c>
      <c r="C39" s="50">
        <v>47</v>
      </c>
      <c r="D39" s="50">
        <v>4</v>
      </c>
      <c r="E39" s="50">
        <v>4</v>
      </c>
      <c r="F39" s="50">
        <v>25</v>
      </c>
      <c r="G39" s="50">
        <v>0</v>
      </c>
      <c r="H39" s="50">
        <v>0</v>
      </c>
      <c r="I39" s="50">
        <v>16</v>
      </c>
      <c r="J39" s="50">
        <v>10</v>
      </c>
      <c r="K39" s="50">
        <v>2</v>
      </c>
      <c r="L39" s="50">
        <v>0</v>
      </c>
      <c r="M39" s="50">
        <v>180</v>
      </c>
      <c r="N39" s="50">
        <v>0</v>
      </c>
      <c r="O39" s="15">
        <f t="shared" si="0"/>
        <v>108</v>
      </c>
      <c r="P39" s="15">
        <f t="shared" si="1"/>
        <v>288</v>
      </c>
      <c r="R39" s="29" t="s">
        <v>87</v>
      </c>
      <c r="S39" s="16">
        <f t="shared" ref="S39:AF39" si="31">SUM(S19:S21)</f>
        <v>457</v>
      </c>
      <c r="T39" s="16">
        <f t="shared" si="31"/>
        <v>72</v>
      </c>
      <c r="U39" s="16">
        <f t="shared" si="31"/>
        <v>43</v>
      </c>
      <c r="V39" s="16">
        <f t="shared" si="31"/>
        <v>367</v>
      </c>
      <c r="W39" s="16">
        <f t="shared" si="31"/>
        <v>9</v>
      </c>
      <c r="X39" s="16">
        <f t="shared" si="31"/>
        <v>6</v>
      </c>
      <c r="Y39" s="16">
        <f t="shared" si="31"/>
        <v>61</v>
      </c>
      <c r="Z39" s="16">
        <f t="shared" si="31"/>
        <v>120</v>
      </c>
      <c r="AA39" s="16">
        <f t="shared" si="31"/>
        <v>21</v>
      </c>
      <c r="AB39" s="16">
        <f t="shared" si="31"/>
        <v>0</v>
      </c>
      <c r="AC39" s="16">
        <f t="shared" si="31"/>
        <v>2170</v>
      </c>
      <c r="AD39" s="16">
        <f t="shared" si="31"/>
        <v>0</v>
      </c>
      <c r="AE39" s="32">
        <f t="shared" si="31"/>
        <v>1156</v>
      </c>
      <c r="AF39" s="32">
        <f t="shared" si="31"/>
        <v>3326</v>
      </c>
    </row>
    <row r="40" spans="2:32" ht="23.1" customHeight="1" x14ac:dyDescent="0.25">
      <c r="B40" s="46" t="s">
        <v>67</v>
      </c>
      <c r="C40" s="50">
        <v>56</v>
      </c>
      <c r="D40" s="50">
        <v>4</v>
      </c>
      <c r="E40" s="50">
        <v>6</v>
      </c>
      <c r="F40" s="50">
        <v>32</v>
      </c>
      <c r="G40" s="50">
        <v>0</v>
      </c>
      <c r="H40" s="50">
        <v>0</v>
      </c>
      <c r="I40" s="50">
        <v>6</v>
      </c>
      <c r="J40" s="50">
        <v>17</v>
      </c>
      <c r="K40" s="50">
        <v>3</v>
      </c>
      <c r="L40" s="50">
        <v>0</v>
      </c>
      <c r="M40" s="50">
        <v>160</v>
      </c>
      <c r="N40" s="50">
        <v>0</v>
      </c>
      <c r="O40" s="15">
        <f t="shared" si="0"/>
        <v>124</v>
      </c>
      <c r="P40" s="15">
        <f t="shared" si="1"/>
        <v>284</v>
      </c>
      <c r="R40" s="5" t="s">
        <v>17</v>
      </c>
      <c r="S40" s="16">
        <f t="shared" ref="S40:AF40" si="32">SUM(S10:S21)</f>
        <v>2023</v>
      </c>
      <c r="T40" s="16">
        <f t="shared" si="32"/>
        <v>266</v>
      </c>
      <c r="U40" s="16">
        <f t="shared" si="32"/>
        <v>193</v>
      </c>
      <c r="V40" s="16">
        <f t="shared" si="32"/>
        <v>1322</v>
      </c>
      <c r="W40" s="16">
        <f t="shared" si="32"/>
        <v>37</v>
      </c>
      <c r="X40" s="16">
        <f t="shared" si="32"/>
        <v>21</v>
      </c>
      <c r="Y40" s="16">
        <f t="shared" si="32"/>
        <v>252</v>
      </c>
      <c r="Z40" s="16">
        <f t="shared" si="32"/>
        <v>551</v>
      </c>
      <c r="AA40" s="16">
        <f t="shared" si="32"/>
        <v>112</v>
      </c>
      <c r="AB40" s="16">
        <f t="shared" si="32"/>
        <v>18</v>
      </c>
      <c r="AC40" s="16">
        <f t="shared" si="32"/>
        <v>8506</v>
      </c>
      <c r="AD40" s="16">
        <f t="shared" si="32"/>
        <v>1</v>
      </c>
      <c r="AE40" s="32">
        <f t="shared" si="32"/>
        <v>4796</v>
      </c>
      <c r="AF40" s="32">
        <f t="shared" si="32"/>
        <v>13302</v>
      </c>
    </row>
    <row r="41" spans="2:32" ht="23.1" customHeight="1" x14ac:dyDescent="0.25">
      <c r="B41" s="45" t="s">
        <v>68</v>
      </c>
      <c r="C41" s="50">
        <v>46</v>
      </c>
      <c r="D41" s="50">
        <v>14</v>
      </c>
      <c r="E41" s="50">
        <v>6</v>
      </c>
      <c r="F41" s="50">
        <v>26</v>
      </c>
      <c r="G41" s="50">
        <v>1</v>
      </c>
      <c r="H41" s="50">
        <v>6</v>
      </c>
      <c r="I41" s="50">
        <v>3</v>
      </c>
      <c r="J41" s="50">
        <v>19</v>
      </c>
      <c r="K41" s="50">
        <v>2</v>
      </c>
      <c r="L41" s="50">
        <v>0</v>
      </c>
      <c r="M41" s="50">
        <v>145</v>
      </c>
      <c r="N41" s="50">
        <v>0</v>
      </c>
      <c r="O41" s="15">
        <f t="shared" si="0"/>
        <v>123</v>
      </c>
      <c r="P41" s="15">
        <f t="shared" si="1"/>
        <v>268</v>
      </c>
      <c r="R41" s="5" t="s">
        <v>159</v>
      </c>
      <c r="S41" s="16">
        <f>SUM(S10:S33)</f>
        <v>2981</v>
      </c>
      <c r="T41" s="16">
        <f t="shared" ref="T41:AF41" si="33">SUM(T10:T33)</f>
        <v>423</v>
      </c>
      <c r="U41" s="16">
        <f t="shared" si="33"/>
        <v>356</v>
      </c>
      <c r="V41" s="16">
        <f t="shared" si="33"/>
        <v>2082</v>
      </c>
      <c r="W41" s="16">
        <f t="shared" si="33"/>
        <v>58</v>
      </c>
      <c r="X41" s="16">
        <f t="shared" si="33"/>
        <v>116</v>
      </c>
      <c r="Y41" s="16">
        <f t="shared" si="33"/>
        <v>475</v>
      </c>
      <c r="Z41" s="16">
        <f t="shared" si="33"/>
        <v>953</v>
      </c>
      <c r="AA41" s="16">
        <f t="shared" si="33"/>
        <v>205</v>
      </c>
      <c r="AB41" s="16">
        <f t="shared" si="33"/>
        <v>87</v>
      </c>
      <c r="AC41" s="16">
        <f t="shared" si="33"/>
        <v>13126</v>
      </c>
      <c r="AD41" s="16">
        <f t="shared" si="33"/>
        <v>2</v>
      </c>
      <c r="AE41" s="32">
        <f t="shared" si="33"/>
        <v>7738</v>
      </c>
      <c r="AF41" s="32">
        <f t="shared" si="33"/>
        <v>20864</v>
      </c>
    </row>
    <row r="42" spans="2:32" ht="23.1" customHeight="1" x14ac:dyDescent="0.25">
      <c r="B42" s="46" t="s">
        <v>69</v>
      </c>
      <c r="C42" s="50">
        <v>50</v>
      </c>
      <c r="D42" s="50">
        <v>5</v>
      </c>
      <c r="E42" s="50">
        <v>3</v>
      </c>
      <c r="F42" s="50">
        <v>25</v>
      </c>
      <c r="G42" s="50">
        <v>2</v>
      </c>
      <c r="H42" s="50">
        <v>0</v>
      </c>
      <c r="I42" s="50">
        <v>7</v>
      </c>
      <c r="J42" s="50">
        <v>9</v>
      </c>
      <c r="K42" s="50">
        <v>6</v>
      </c>
      <c r="L42" s="50">
        <v>0</v>
      </c>
      <c r="M42" s="50">
        <v>195</v>
      </c>
      <c r="N42" s="50">
        <v>0</v>
      </c>
      <c r="O42" s="15">
        <f t="shared" si="0"/>
        <v>107</v>
      </c>
      <c r="P42" s="15">
        <f t="shared" si="1"/>
        <v>302</v>
      </c>
      <c r="R42" s="5" t="s">
        <v>160</v>
      </c>
      <c r="S42" s="48">
        <f>S41/S40</f>
        <v>1.4735541275333663</v>
      </c>
      <c r="T42" s="48">
        <f t="shared" ref="T42:AF42" si="34">T41/T40</f>
        <v>1.5902255639097744</v>
      </c>
      <c r="U42" s="48">
        <f t="shared" si="34"/>
        <v>1.8445595854922279</v>
      </c>
      <c r="V42" s="48">
        <f t="shared" si="34"/>
        <v>1.5748865355521937</v>
      </c>
      <c r="W42" s="48">
        <f t="shared" si="34"/>
        <v>1.5675675675675675</v>
      </c>
      <c r="X42" s="48">
        <f t="shared" si="34"/>
        <v>5.5238095238095237</v>
      </c>
      <c r="Y42" s="48">
        <f t="shared" si="34"/>
        <v>1.8849206349206349</v>
      </c>
      <c r="Z42" s="48">
        <f t="shared" si="34"/>
        <v>1.7295825771324864</v>
      </c>
      <c r="AA42" s="48">
        <f t="shared" si="34"/>
        <v>1.8303571428571428</v>
      </c>
      <c r="AB42" s="48">
        <f t="shared" si="34"/>
        <v>4.833333333333333</v>
      </c>
      <c r="AC42" s="48">
        <f t="shared" si="34"/>
        <v>1.543146014577945</v>
      </c>
      <c r="AD42" s="48">
        <f t="shared" si="34"/>
        <v>2</v>
      </c>
      <c r="AE42" s="48">
        <f t="shared" si="34"/>
        <v>1.6134278565471225</v>
      </c>
      <c r="AF42" s="48">
        <f t="shared" si="34"/>
        <v>1.5684859419636146</v>
      </c>
    </row>
    <row r="43" spans="2:32" ht="23.1" customHeight="1" x14ac:dyDescent="0.25">
      <c r="B43" s="45" t="s">
        <v>70</v>
      </c>
      <c r="C43" s="50">
        <v>47</v>
      </c>
      <c r="D43" s="50">
        <v>3</v>
      </c>
      <c r="E43" s="50">
        <v>4</v>
      </c>
      <c r="F43" s="50">
        <v>27</v>
      </c>
      <c r="G43" s="50">
        <v>1</v>
      </c>
      <c r="H43" s="50">
        <v>1</v>
      </c>
      <c r="I43" s="50">
        <v>8</v>
      </c>
      <c r="J43" s="50">
        <v>13</v>
      </c>
      <c r="K43" s="50">
        <v>2</v>
      </c>
      <c r="L43" s="50">
        <v>0</v>
      </c>
      <c r="M43" s="50">
        <v>150</v>
      </c>
      <c r="N43" s="50">
        <v>0</v>
      </c>
      <c r="O43" s="15">
        <f t="shared" si="0"/>
        <v>106</v>
      </c>
      <c r="P43" s="15">
        <f t="shared" si="1"/>
        <v>256</v>
      </c>
    </row>
    <row r="44" spans="2:32" ht="23.1" customHeight="1" x14ac:dyDescent="0.25">
      <c r="B44" s="47" t="s">
        <v>71</v>
      </c>
      <c r="C44" s="50">
        <v>37</v>
      </c>
      <c r="D44" s="50">
        <v>7</v>
      </c>
      <c r="E44" s="50">
        <v>4</v>
      </c>
      <c r="F44" s="50">
        <v>24</v>
      </c>
      <c r="G44" s="50">
        <v>0</v>
      </c>
      <c r="H44" s="50">
        <v>0</v>
      </c>
      <c r="I44" s="50">
        <v>8</v>
      </c>
      <c r="J44" s="50">
        <v>12</v>
      </c>
      <c r="K44" s="50">
        <v>3</v>
      </c>
      <c r="L44" s="50">
        <v>0</v>
      </c>
      <c r="M44" s="50">
        <v>180</v>
      </c>
      <c r="N44" s="50">
        <v>0</v>
      </c>
      <c r="O44" s="15">
        <f t="shared" si="0"/>
        <v>95</v>
      </c>
      <c r="P44" s="15">
        <f t="shared" si="1"/>
        <v>275</v>
      </c>
    </row>
    <row r="45" spans="2:32" ht="23.1" customHeight="1" x14ac:dyDescent="0.25">
      <c r="B45" s="45" t="s">
        <v>72</v>
      </c>
      <c r="C45" s="50">
        <v>41</v>
      </c>
      <c r="D45" s="50">
        <v>4</v>
      </c>
      <c r="E45" s="50">
        <v>4</v>
      </c>
      <c r="F45" s="50">
        <v>30</v>
      </c>
      <c r="G45" s="50">
        <v>0</v>
      </c>
      <c r="H45" s="50">
        <v>0</v>
      </c>
      <c r="I45" s="50">
        <v>7</v>
      </c>
      <c r="J45" s="50">
        <v>9</v>
      </c>
      <c r="K45" s="50">
        <v>3</v>
      </c>
      <c r="L45" s="50">
        <v>4</v>
      </c>
      <c r="M45" s="50">
        <v>1</v>
      </c>
      <c r="N45" s="50">
        <v>1</v>
      </c>
      <c r="O45" s="15">
        <f t="shared" si="0"/>
        <v>103</v>
      </c>
      <c r="P45" s="15">
        <f t="shared" si="1"/>
        <v>104</v>
      </c>
    </row>
    <row r="46" spans="2:32" ht="23.1" customHeight="1" x14ac:dyDescent="0.25">
      <c r="B46" s="46" t="s">
        <v>73</v>
      </c>
      <c r="C46" s="50">
        <v>41</v>
      </c>
      <c r="D46" s="50">
        <v>2</v>
      </c>
      <c r="E46" s="50">
        <v>2</v>
      </c>
      <c r="F46" s="50">
        <v>25</v>
      </c>
      <c r="G46" s="50">
        <v>0</v>
      </c>
      <c r="H46" s="50">
        <v>0</v>
      </c>
      <c r="I46" s="50">
        <v>3</v>
      </c>
      <c r="J46" s="50">
        <v>4</v>
      </c>
      <c r="K46" s="50">
        <v>1</v>
      </c>
      <c r="L46" s="50">
        <v>0</v>
      </c>
      <c r="M46" s="50">
        <v>85</v>
      </c>
      <c r="N46" s="50">
        <v>0</v>
      </c>
      <c r="O46" s="15">
        <f t="shared" si="0"/>
        <v>78</v>
      </c>
      <c r="P46" s="15">
        <f t="shared" si="1"/>
        <v>163</v>
      </c>
      <c r="R46" s="8"/>
      <c r="T46"/>
    </row>
    <row r="47" spans="2:32" ht="23.1" customHeight="1" x14ac:dyDescent="0.25">
      <c r="B47" s="46" t="s">
        <v>74</v>
      </c>
      <c r="C47" s="50">
        <v>46</v>
      </c>
      <c r="D47" s="50">
        <v>5</v>
      </c>
      <c r="E47" s="50">
        <v>2</v>
      </c>
      <c r="F47" s="50">
        <v>18</v>
      </c>
      <c r="G47" s="50">
        <v>1</v>
      </c>
      <c r="H47" s="50">
        <v>0</v>
      </c>
      <c r="I47" s="50">
        <v>7</v>
      </c>
      <c r="J47" s="50">
        <v>8</v>
      </c>
      <c r="K47" s="50">
        <v>0</v>
      </c>
      <c r="L47" s="50">
        <v>0</v>
      </c>
      <c r="M47" s="50">
        <v>145</v>
      </c>
      <c r="N47" s="50">
        <v>0</v>
      </c>
      <c r="O47" s="15">
        <f t="shared" si="0"/>
        <v>87</v>
      </c>
      <c r="P47" s="15">
        <f t="shared" si="1"/>
        <v>232</v>
      </c>
      <c r="R47" s="8"/>
      <c r="T47"/>
    </row>
    <row r="48" spans="2:32" ht="23.1" customHeight="1" x14ac:dyDescent="0.25">
      <c r="B48" s="46" t="s">
        <v>75</v>
      </c>
      <c r="C48" s="50">
        <v>48</v>
      </c>
      <c r="D48" s="50">
        <v>9</v>
      </c>
      <c r="E48" s="50">
        <v>4</v>
      </c>
      <c r="F48" s="50">
        <v>41</v>
      </c>
      <c r="G48" s="50">
        <v>1</v>
      </c>
      <c r="H48" s="50">
        <v>1</v>
      </c>
      <c r="I48" s="50">
        <v>8</v>
      </c>
      <c r="J48" s="50">
        <v>14</v>
      </c>
      <c r="K48" s="50">
        <v>1</v>
      </c>
      <c r="L48" s="50">
        <v>0</v>
      </c>
      <c r="M48" s="50">
        <v>190</v>
      </c>
      <c r="N48" s="50">
        <v>0</v>
      </c>
      <c r="O48" s="15">
        <f t="shared" si="0"/>
        <v>127</v>
      </c>
      <c r="P48" s="15">
        <f t="shared" si="1"/>
        <v>317</v>
      </c>
      <c r="R48" s="8"/>
      <c r="T48"/>
    </row>
    <row r="49" spans="2:20" ht="23.1" customHeight="1" x14ac:dyDescent="0.25">
      <c r="B49" s="45" t="s">
        <v>76</v>
      </c>
      <c r="C49" s="50">
        <v>29</v>
      </c>
      <c r="D49" s="50">
        <v>3</v>
      </c>
      <c r="E49" s="50">
        <v>1</v>
      </c>
      <c r="F49" s="50">
        <v>25</v>
      </c>
      <c r="G49" s="50">
        <v>1</v>
      </c>
      <c r="H49" s="50">
        <v>0</v>
      </c>
      <c r="I49" s="50">
        <v>7</v>
      </c>
      <c r="J49" s="50">
        <v>10</v>
      </c>
      <c r="K49" s="50">
        <v>2</v>
      </c>
      <c r="L49" s="50">
        <v>0</v>
      </c>
      <c r="M49" s="50">
        <v>135</v>
      </c>
      <c r="N49" s="50">
        <v>0</v>
      </c>
      <c r="O49" s="15">
        <f t="shared" si="0"/>
        <v>78</v>
      </c>
      <c r="P49" s="15">
        <f t="shared" si="1"/>
        <v>213</v>
      </c>
      <c r="R49" s="8"/>
      <c r="T49"/>
    </row>
    <row r="50" spans="2:20" ht="23.1" customHeight="1" x14ac:dyDescent="0.25">
      <c r="B50" s="46" t="s">
        <v>77</v>
      </c>
      <c r="C50" s="50">
        <v>32</v>
      </c>
      <c r="D50" s="50">
        <v>8</v>
      </c>
      <c r="E50" s="50">
        <v>8</v>
      </c>
      <c r="F50" s="50">
        <v>34</v>
      </c>
      <c r="G50" s="50">
        <v>2</v>
      </c>
      <c r="H50" s="50">
        <v>1</v>
      </c>
      <c r="I50" s="50">
        <v>4</v>
      </c>
      <c r="J50" s="50">
        <v>22</v>
      </c>
      <c r="K50" s="50">
        <v>3</v>
      </c>
      <c r="L50" s="50">
        <v>0</v>
      </c>
      <c r="M50" s="50">
        <v>275</v>
      </c>
      <c r="N50" s="50">
        <v>0</v>
      </c>
      <c r="O50" s="15">
        <f t="shared" si="0"/>
        <v>114</v>
      </c>
      <c r="P50" s="15">
        <f t="shared" si="1"/>
        <v>389</v>
      </c>
      <c r="R50" s="8"/>
      <c r="T50"/>
    </row>
    <row r="51" spans="2:20" ht="23.1" customHeight="1" x14ac:dyDescent="0.25">
      <c r="B51" s="46" t="s">
        <v>78</v>
      </c>
      <c r="C51" s="50">
        <v>39</v>
      </c>
      <c r="D51" s="50">
        <v>9</v>
      </c>
      <c r="E51" s="50">
        <v>3</v>
      </c>
      <c r="F51" s="50">
        <v>28</v>
      </c>
      <c r="G51" s="50">
        <v>1</v>
      </c>
      <c r="H51" s="50">
        <v>0</v>
      </c>
      <c r="I51" s="50">
        <v>4</v>
      </c>
      <c r="J51" s="50">
        <v>10</v>
      </c>
      <c r="K51" s="50">
        <v>4</v>
      </c>
      <c r="L51" s="50">
        <v>0</v>
      </c>
      <c r="M51" s="50">
        <v>195</v>
      </c>
      <c r="N51" s="50">
        <v>0</v>
      </c>
      <c r="O51" s="15">
        <f t="shared" si="0"/>
        <v>98</v>
      </c>
      <c r="P51" s="15">
        <f t="shared" si="1"/>
        <v>293</v>
      </c>
      <c r="R51" s="8"/>
      <c r="T51"/>
    </row>
    <row r="52" spans="2:20" ht="23.1" customHeight="1" x14ac:dyDescent="0.25">
      <c r="B52" s="46" t="s">
        <v>79</v>
      </c>
      <c r="C52" s="50">
        <v>40</v>
      </c>
      <c r="D52" s="50">
        <v>6</v>
      </c>
      <c r="E52" s="50">
        <v>5</v>
      </c>
      <c r="F52" s="50">
        <v>26</v>
      </c>
      <c r="G52" s="50">
        <v>0</v>
      </c>
      <c r="H52" s="50">
        <v>1</v>
      </c>
      <c r="I52" s="50">
        <v>6</v>
      </c>
      <c r="J52" s="50">
        <v>11</v>
      </c>
      <c r="K52" s="50">
        <v>4</v>
      </c>
      <c r="L52" s="50">
        <v>0</v>
      </c>
      <c r="M52" s="50">
        <v>250</v>
      </c>
      <c r="N52" s="50">
        <v>0</v>
      </c>
      <c r="O52" s="15">
        <f t="shared" si="0"/>
        <v>99</v>
      </c>
      <c r="P52" s="15">
        <f t="shared" si="1"/>
        <v>349</v>
      </c>
      <c r="R52" s="8"/>
      <c r="T52"/>
    </row>
    <row r="53" spans="2:20" ht="23.1" customHeight="1" x14ac:dyDescent="0.25">
      <c r="B53" s="45" t="s">
        <v>80</v>
      </c>
      <c r="C53" s="50">
        <v>52</v>
      </c>
      <c r="D53" s="50">
        <v>3</v>
      </c>
      <c r="E53" s="50">
        <v>4</v>
      </c>
      <c r="F53" s="50">
        <v>46</v>
      </c>
      <c r="G53" s="50">
        <v>1</v>
      </c>
      <c r="H53" s="50">
        <v>0</v>
      </c>
      <c r="I53" s="50">
        <v>2</v>
      </c>
      <c r="J53" s="50">
        <v>8</v>
      </c>
      <c r="K53" s="50">
        <v>0</v>
      </c>
      <c r="L53" s="50">
        <v>0</v>
      </c>
      <c r="M53" s="50">
        <v>180</v>
      </c>
      <c r="N53" s="50">
        <v>0</v>
      </c>
      <c r="O53" s="15">
        <f t="shared" si="0"/>
        <v>116</v>
      </c>
      <c r="P53" s="15">
        <f t="shared" si="1"/>
        <v>296</v>
      </c>
      <c r="R53" s="8"/>
      <c r="T53"/>
    </row>
    <row r="54" spans="2:20" ht="23.1" customHeight="1" x14ac:dyDescent="0.25">
      <c r="B54" s="45" t="s">
        <v>81</v>
      </c>
      <c r="C54" s="50">
        <v>33</v>
      </c>
      <c r="D54" s="50">
        <v>7</v>
      </c>
      <c r="E54" s="50">
        <v>5</v>
      </c>
      <c r="F54" s="50">
        <v>28</v>
      </c>
      <c r="G54" s="50">
        <v>1</v>
      </c>
      <c r="H54" s="50">
        <v>0</v>
      </c>
      <c r="I54" s="50">
        <v>10</v>
      </c>
      <c r="J54" s="50">
        <v>6</v>
      </c>
      <c r="K54" s="50">
        <v>1</v>
      </c>
      <c r="L54" s="50">
        <v>0</v>
      </c>
      <c r="M54" s="50">
        <v>160</v>
      </c>
      <c r="N54" s="50">
        <v>0</v>
      </c>
      <c r="O54" s="15">
        <f t="shared" si="0"/>
        <v>91</v>
      </c>
      <c r="P54" s="15">
        <f t="shared" si="1"/>
        <v>251</v>
      </c>
      <c r="R54" s="8"/>
      <c r="T54"/>
    </row>
    <row r="55" spans="2:20" ht="23.1" customHeight="1" x14ac:dyDescent="0.25">
      <c r="B55" s="45" t="s">
        <v>82</v>
      </c>
      <c r="C55" s="50">
        <v>37</v>
      </c>
      <c r="D55" s="50">
        <v>9</v>
      </c>
      <c r="E55" s="50">
        <v>6</v>
      </c>
      <c r="F55" s="50">
        <v>25</v>
      </c>
      <c r="G55" s="50">
        <v>0</v>
      </c>
      <c r="H55" s="50">
        <v>1</v>
      </c>
      <c r="I55" s="50">
        <v>3</v>
      </c>
      <c r="J55" s="50">
        <v>10</v>
      </c>
      <c r="K55" s="50">
        <v>4</v>
      </c>
      <c r="L55" s="50">
        <v>0</v>
      </c>
      <c r="M55" s="50">
        <v>180</v>
      </c>
      <c r="N55" s="50">
        <v>0</v>
      </c>
      <c r="O55" s="15">
        <f t="shared" si="0"/>
        <v>95</v>
      </c>
      <c r="P55" s="15">
        <f t="shared" si="1"/>
        <v>275</v>
      </c>
      <c r="R55" s="8"/>
      <c r="T55"/>
    </row>
    <row r="56" spans="2:20" ht="23.1" customHeight="1" x14ac:dyDescent="0.25">
      <c r="B56" s="45" t="s">
        <v>83</v>
      </c>
      <c r="C56" s="50">
        <v>32</v>
      </c>
      <c r="D56" s="50">
        <v>7</v>
      </c>
      <c r="E56" s="50">
        <v>3</v>
      </c>
      <c r="F56" s="50">
        <v>39</v>
      </c>
      <c r="G56" s="50">
        <v>0</v>
      </c>
      <c r="H56" s="50">
        <v>0</v>
      </c>
      <c r="I56" s="50">
        <v>5</v>
      </c>
      <c r="J56" s="50">
        <v>9</v>
      </c>
      <c r="K56" s="50">
        <v>0</v>
      </c>
      <c r="L56" s="50">
        <v>0</v>
      </c>
      <c r="M56" s="50">
        <v>230</v>
      </c>
      <c r="N56" s="50">
        <v>0</v>
      </c>
      <c r="O56" s="15">
        <f t="shared" si="0"/>
        <v>95</v>
      </c>
      <c r="P56" s="15">
        <f t="shared" si="1"/>
        <v>325</v>
      </c>
      <c r="R56" s="8"/>
      <c r="T56"/>
    </row>
    <row r="57" spans="2:20" ht="23.1" customHeight="1" x14ac:dyDescent="0.25">
      <c r="B57" s="45" t="s">
        <v>84</v>
      </c>
      <c r="C57" s="50">
        <v>28</v>
      </c>
      <c r="D57" s="50">
        <v>4</v>
      </c>
      <c r="E57" s="50">
        <v>0</v>
      </c>
      <c r="F57" s="50">
        <v>32</v>
      </c>
      <c r="G57" s="50">
        <v>1</v>
      </c>
      <c r="H57" s="50">
        <v>2</v>
      </c>
      <c r="I57" s="50">
        <v>2</v>
      </c>
      <c r="J57" s="50">
        <v>8</v>
      </c>
      <c r="K57" s="50">
        <v>1</v>
      </c>
      <c r="L57" s="50">
        <v>0</v>
      </c>
      <c r="M57" s="50">
        <v>145</v>
      </c>
      <c r="N57" s="50">
        <v>0</v>
      </c>
      <c r="O57" s="15">
        <f t="shared" si="0"/>
        <v>78</v>
      </c>
      <c r="P57" s="15">
        <f t="shared" si="1"/>
        <v>223</v>
      </c>
      <c r="R57" s="8"/>
      <c r="T57"/>
    </row>
    <row r="58" spans="2:20" ht="23.1" customHeight="1" x14ac:dyDescent="0.25">
      <c r="B58" s="45" t="s">
        <v>99</v>
      </c>
      <c r="C58" s="50">
        <v>24</v>
      </c>
      <c r="D58" s="50">
        <v>6</v>
      </c>
      <c r="E58" s="50">
        <v>4</v>
      </c>
      <c r="F58" s="50">
        <v>26</v>
      </c>
      <c r="G58" s="50">
        <v>2</v>
      </c>
      <c r="H58" s="50">
        <v>1</v>
      </c>
      <c r="I58" s="50">
        <v>4</v>
      </c>
      <c r="J58" s="50">
        <v>14</v>
      </c>
      <c r="K58" s="50">
        <v>3</v>
      </c>
      <c r="L58" s="50">
        <v>2</v>
      </c>
      <c r="M58" s="50">
        <v>179</v>
      </c>
      <c r="N58" s="50">
        <v>0</v>
      </c>
      <c r="O58" s="15">
        <f t="shared" ref="O58:O105" si="35">SUM(C58:L58,N58)</f>
        <v>86</v>
      </c>
      <c r="P58" s="15">
        <f t="shared" ref="P58:P105" si="36">SUM(C58:N58)</f>
        <v>265</v>
      </c>
      <c r="R58" s="8"/>
      <c r="T58"/>
    </row>
    <row r="59" spans="2:20" ht="23.1" customHeight="1" x14ac:dyDescent="0.25">
      <c r="B59" s="45" t="s">
        <v>100</v>
      </c>
      <c r="C59" s="50">
        <v>40</v>
      </c>
      <c r="D59" s="50">
        <v>3</v>
      </c>
      <c r="E59" s="50">
        <v>4</v>
      </c>
      <c r="F59" s="50">
        <v>35</v>
      </c>
      <c r="G59" s="50">
        <v>0</v>
      </c>
      <c r="H59" s="50">
        <v>0</v>
      </c>
      <c r="I59" s="50">
        <v>1</v>
      </c>
      <c r="J59" s="50">
        <v>0</v>
      </c>
      <c r="K59" s="50">
        <v>0</v>
      </c>
      <c r="L59" s="50">
        <v>0</v>
      </c>
      <c r="M59" s="50">
        <v>198</v>
      </c>
      <c r="N59" s="50">
        <v>0</v>
      </c>
      <c r="O59" s="15">
        <f t="shared" si="35"/>
        <v>83</v>
      </c>
      <c r="P59" s="15">
        <f t="shared" si="36"/>
        <v>281</v>
      </c>
      <c r="R59" s="8"/>
      <c r="T59"/>
    </row>
    <row r="60" spans="2:20" ht="23.1" customHeight="1" x14ac:dyDescent="0.25">
      <c r="B60" s="45" t="s">
        <v>101</v>
      </c>
      <c r="C60" s="50">
        <v>50</v>
      </c>
      <c r="D60" s="50">
        <v>7</v>
      </c>
      <c r="E60" s="50">
        <v>4</v>
      </c>
      <c r="F60" s="50">
        <v>32</v>
      </c>
      <c r="G60" s="50">
        <v>0</v>
      </c>
      <c r="H60" s="50">
        <v>0</v>
      </c>
      <c r="I60" s="50">
        <v>4</v>
      </c>
      <c r="J60" s="50">
        <v>1</v>
      </c>
      <c r="K60" s="50">
        <v>1</v>
      </c>
      <c r="L60" s="50">
        <v>3</v>
      </c>
      <c r="M60" s="50">
        <v>205</v>
      </c>
      <c r="N60" s="50">
        <v>0</v>
      </c>
      <c r="O60" s="15">
        <f t="shared" si="35"/>
        <v>102</v>
      </c>
      <c r="P60" s="15">
        <f t="shared" si="36"/>
        <v>307</v>
      </c>
      <c r="R60" s="8"/>
      <c r="T60"/>
    </row>
    <row r="61" spans="2:20" ht="23.1" customHeight="1" x14ac:dyDescent="0.25">
      <c r="B61" s="45" t="s">
        <v>102</v>
      </c>
      <c r="C61" s="50">
        <v>26</v>
      </c>
      <c r="D61" s="50">
        <v>1</v>
      </c>
      <c r="E61" s="50">
        <v>2</v>
      </c>
      <c r="F61" s="50">
        <v>14</v>
      </c>
      <c r="G61" s="50">
        <v>0</v>
      </c>
      <c r="H61" s="50">
        <v>0</v>
      </c>
      <c r="I61" s="50">
        <v>4</v>
      </c>
      <c r="J61" s="50">
        <v>2</v>
      </c>
      <c r="K61" s="50">
        <v>2</v>
      </c>
      <c r="L61" s="50">
        <v>0</v>
      </c>
      <c r="M61" s="50">
        <v>220</v>
      </c>
      <c r="N61" s="50">
        <v>1</v>
      </c>
      <c r="O61" s="15">
        <f t="shared" si="35"/>
        <v>52</v>
      </c>
      <c r="P61" s="15">
        <f t="shared" si="36"/>
        <v>272</v>
      </c>
      <c r="R61" s="8"/>
      <c r="T61"/>
    </row>
    <row r="62" spans="2:20" ht="23.1" customHeight="1" x14ac:dyDescent="0.25">
      <c r="B62" s="45" t="s">
        <v>107</v>
      </c>
      <c r="C62" s="50">
        <v>24</v>
      </c>
      <c r="D62" s="50">
        <v>4</v>
      </c>
      <c r="E62" s="50">
        <v>1</v>
      </c>
      <c r="F62" s="50">
        <v>17</v>
      </c>
      <c r="G62" s="50">
        <v>2</v>
      </c>
      <c r="H62" s="50">
        <v>0</v>
      </c>
      <c r="I62" s="50">
        <v>3</v>
      </c>
      <c r="J62" s="50">
        <v>3</v>
      </c>
      <c r="K62" s="50">
        <v>3</v>
      </c>
      <c r="L62" s="50">
        <v>1</v>
      </c>
      <c r="M62" s="50">
        <v>390</v>
      </c>
      <c r="N62" s="50">
        <v>0</v>
      </c>
      <c r="O62" s="15">
        <f t="shared" si="35"/>
        <v>58</v>
      </c>
      <c r="P62" s="15">
        <f t="shared" si="36"/>
        <v>448</v>
      </c>
      <c r="R62" s="8"/>
      <c r="T62"/>
    </row>
    <row r="63" spans="2:20" ht="23.1" customHeight="1" x14ac:dyDescent="0.25">
      <c r="B63" s="45" t="s">
        <v>108</v>
      </c>
      <c r="C63" s="50">
        <v>22</v>
      </c>
      <c r="D63" s="50">
        <v>9</v>
      </c>
      <c r="E63" s="50">
        <v>3</v>
      </c>
      <c r="F63" s="50">
        <v>17</v>
      </c>
      <c r="G63" s="50">
        <v>0</v>
      </c>
      <c r="H63" s="50">
        <v>0</v>
      </c>
      <c r="I63" s="50">
        <v>1</v>
      </c>
      <c r="J63" s="50">
        <v>3</v>
      </c>
      <c r="K63" s="50">
        <v>1</v>
      </c>
      <c r="L63" s="50">
        <v>0</v>
      </c>
      <c r="M63" s="50">
        <v>205</v>
      </c>
      <c r="N63" s="50">
        <v>0</v>
      </c>
      <c r="O63" s="15">
        <f t="shared" si="35"/>
        <v>56</v>
      </c>
      <c r="P63" s="15">
        <f t="shared" si="36"/>
        <v>261</v>
      </c>
      <c r="R63" s="8"/>
      <c r="T63"/>
    </row>
    <row r="64" spans="2:20" ht="23.1" customHeight="1" x14ac:dyDescent="0.25">
      <c r="B64" s="45" t="s">
        <v>109</v>
      </c>
      <c r="C64" s="50">
        <v>25</v>
      </c>
      <c r="D64" s="50">
        <v>7</v>
      </c>
      <c r="E64" s="50">
        <v>3</v>
      </c>
      <c r="F64" s="50">
        <v>36</v>
      </c>
      <c r="G64" s="50">
        <v>1</v>
      </c>
      <c r="H64" s="50">
        <v>0</v>
      </c>
      <c r="I64" s="50">
        <v>10</v>
      </c>
      <c r="J64" s="50">
        <v>0</v>
      </c>
      <c r="K64" s="50">
        <v>4</v>
      </c>
      <c r="L64" s="50">
        <v>1</v>
      </c>
      <c r="M64" s="50">
        <v>175</v>
      </c>
      <c r="N64" s="50">
        <v>0</v>
      </c>
      <c r="O64" s="15">
        <f t="shared" si="35"/>
        <v>87</v>
      </c>
      <c r="P64" s="15">
        <f t="shared" si="36"/>
        <v>262</v>
      </c>
      <c r="R64" s="8"/>
      <c r="T64"/>
    </row>
    <row r="65" spans="2:20" ht="23.1" customHeight="1" x14ac:dyDescent="0.25">
      <c r="B65" s="45" t="s">
        <v>158</v>
      </c>
      <c r="C65" s="50">
        <v>36</v>
      </c>
      <c r="D65" s="50">
        <v>5</v>
      </c>
      <c r="E65" s="50">
        <v>4</v>
      </c>
      <c r="F65" s="50">
        <v>40</v>
      </c>
      <c r="G65" s="50">
        <v>0</v>
      </c>
      <c r="H65" s="50">
        <v>0</v>
      </c>
      <c r="I65" s="50">
        <v>6</v>
      </c>
      <c r="J65" s="50">
        <v>2</v>
      </c>
      <c r="K65" s="50">
        <v>1</v>
      </c>
      <c r="L65" s="50">
        <v>3</v>
      </c>
      <c r="M65" s="50">
        <v>160</v>
      </c>
      <c r="N65" s="50">
        <v>0</v>
      </c>
      <c r="O65" s="15">
        <f t="shared" si="35"/>
        <v>97</v>
      </c>
      <c r="P65" s="15">
        <f t="shared" si="36"/>
        <v>257</v>
      </c>
      <c r="R65" s="8"/>
      <c r="T65"/>
    </row>
    <row r="66" spans="2:20" ht="23.1" customHeight="1" x14ac:dyDescent="0.25">
      <c r="B66" s="45" t="s">
        <v>103</v>
      </c>
      <c r="C66" s="50">
        <v>27</v>
      </c>
      <c r="D66" s="50">
        <v>5</v>
      </c>
      <c r="E66" s="50">
        <v>5</v>
      </c>
      <c r="F66" s="50">
        <v>38</v>
      </c>
      <c r="G66" s="50">
        <v>0</v>
      </c>
      <c r="H66" s="50">
        <v>0</v>
      </c>
      <c r="I66" s="50">
        <v>2</v>
      </c>
      <c r="J66" s="50">
        <v>5</v>
      </c>
      <c r="K66" s="50">
        <v>1</v>
      </c>
      <c r="L66" s="50">
        <v>1</v>
      </c>
      <c r="M66" s="50">
        <v>137</v>
      </c>
      <c r="N66" s="50">
        <v>0</v>
      </c>
      <c r="O66" s="15">
        <f t="shared" si="35"/>
        <v>84</v>
      </c>
      <c r="P66" s="15">
        <f t="shared" si="36"/>
        <v>221</v>
      </c>
      <c r="R66" s="8"/>
      <c r="T66"/>
    </row>
    <row r="67" spans="2:20" ht="23.1" customHeight="1" x14ac:dyDescent="0.25">
      <c r="B67" s="45" t="s">
        <v>104</v>
      </c>
      <c r="C67" s="50">
        <v>21</v>
      </c>
      <c r="D67" s="50">
        <v>5</v>
      </c>
      <c r="E67" s="50">
        <v>7</v>
      </c>
      <c r="F67" s="50">
        <v>27</v>
      </c>
      <c r="G67" s="50">
        <v>1</v>
      </c>
      <c r="H67" s="50">
        <v>0</v>
      </c>
      <c r="I67" s="50">
        <v>6</v>
      </c>
      <c r="J67" s="50">
        <v>3</v>
      </c>
      <c r="K67" s="50">
        <v>1</v>
      </c>
      <c r="L67" s="50">
        <v>2</v>
      </c>
      <c r="M67" s="50">
        <v>113</v>
      </c>
      <c r="N67" s="50">
        <v>0</v>
      </c>
      <c r="O67" s="15">
        <f t="shared" si="35"/>
        <v>73</v>
      </c>
      <c r="P67" s="15">
        <f t="shared" si="36"/>
        <v>186</v>
      </c>
      <c r="R67" s="8"/>
      <c r="T67"/>
    </row>
    <row r="68" spans="2:20" ht="23.1" customHeight="1" x14ac:dyDescent="0.25">
      <c r="B68" s="45" t="s">
        <v>105</v>
      </c>
      <c r="C68" s="50">
        <v>34</v>
      </c>
      <c r="D68" s="50">
        <v>6</v>
      </c>
      <c r="E68" s="50">
        <v>8</v>
      </c>
      <c r="F68" s="50">
        <v>33</v>
      </c>
      <c r="G68" s="50">
        <v>0</v>
      </c>
      <c r="H68" s="50">
        <v>0</v>
      </c>
      <c r="I68" s="50">
        <v>2</v>
      </c>
      <c r="J68" s="50">
        <v>3</v>
      </c>
      <c r="K68" s="50">
        <v>1</v>
      </c>
      <c r="L68" s="50">
        <v>3</v>
      </c>
      <c r="M68" s="50">
        <v>121</v>
      </c>
      <c r="N68" s="50">
        <v>0</v>
      </c>
      <c r="O68" s="15">
        <f t="shared" si="35"/>
        <v>90</v>
      </c>
      <c r="P68" s="15">
        <f t="shared" si="36"/>
        <v>211</v>
      </c>
      <c r="R68" s="8"/>
      <c r="T68"/>
    </row>
    <row r="69" spans="2:20" ht="23.1" customHeight="1" x14ac:dyDescent="0.25">
      <c r="B69" s="45" t="s">
        <v>106</v>
      </c>
      <c r="C69" s="50">
        <v>17</v>
      </c>
      <c r="D69" s="50">
        <v>5</v>
      </c>
      <c r="E69" s="50">
        <v>2</v>
      </c>
      <c r="F69" s="50">
        <v>28</v>
      </c>
      <c r="G69" s="50">
        <v>0</v>
      </c>
      <c r="H69" s="50">
        <v>0</v>
      </c>
      <c r="I69" s="50">
        <v>4</v>
      </c>
      <c r="J69" s="50">
        <v>5</v>
      </c>
      <c r="K69" s="50">
        <v>1</v>
      </c>
      <c r="L69" s="50">
        <v>4</v>
      </c>
      <c r="M69" s="50">
        <v>98</v>
      </c>
      <c r="N69" s="50">
        <v>0</v>
      </c>
      <c r="O69" s="15">
        <f t="shared" si="35"/>
        <v>66</v>
      </c>
      <c r="P69" s="15">
        <f t="shared" si="36"/>
        <v>164</v>
      </c>
      <c r="R69" s="8"/>
      <c r="T69"/>
    </row>
    <row r="70" spans="2:20" ht="23.1" customHeight="1" x14ac:dyDescent="0.25">
      <c r="B70" s="45" t="s">
        <v>110</v>
      </c>
      <c r="C70" s="50">
        <v>40</v>
      </c>
      <c r="D70" s="50">
        <v>10</v>
      </c>
      <c r="E70" s="50">
        <v>6</v>
      </c>
      <c r="F70" s="50">
        <v>36</v>
      </c>
      <c r="G70" s="50">
        <v>0</v>
      </c>
      <c r="H70" s="50">
        <v>0</v>
      </c>
      <c r="I70" s="50">
        <v>10</v>
      </c>
      <c r="J70" s="50">
        <v>4</v>
      </c>
      <c r="K70" s="50">
        <v>10</v>
      </c>
      <c r="L70" s="50">
        <v>1</v>
      </c>
      <c r="M70" s="50">
        <v>98</v>
      </c>
      <c r="N70" s="50">
        <v>0</v>
      </c>
      <c r="O70" s="15">
        <f t="shared" si="35"/>
        <v>117</v>
      </c>
      <c r="P70" s="15">
        <f t="shared" si="36"/>
        <v>215</v>
      </c>
      <c r="R70" s="8"/>
      <c r="T70"/>
    </row>
    <row r="71" spans="2:20" ht="23.1" customHeight="1" x14ac:dyDescent="0.25">
      <c r="B71" s="45" t="s">
        <v>111</v>
      </c>
      <c r="C71" s="50">
        <v>31</v>
      </c>
      <c r="D71" s="50">
        <v>6</v>
      </c>
      <c r="E71" s="50">
        <v>9</v>
      </c>
      <c r="F71" s="50">
        <v>25</v>
      </c>
      <c r="G71" s="50">
        <v>1</v>
      </c>
      <c r="H71" s="50">
        <v>0</v>
      </c>
      <c r="I71" s="50">
        <v>7</v>
      </c>
      <c r="J71" s="50">
        <v>8</v>
      </c>
      <c r="K71" s="50">
        <v>1</v>
      </c>
      <c r="L71" s="50">
        <v>0</v>
      </c>
      <c r="M71" s="50">
        <v>75</v>
      </c>
      <c r="N71" s="50">
        <v>0</v>
      </c>
      <c r="O71" s="15">
        <f t="shared" si="35"/>
        <v>88</v>
      </c>
      <c r="P71" s="15">
        <f t="shared" si="36"/>
        <v>163</v>
      </c>
      <c r="R71" s="8"/>
      <c r="T71"/>
    </row>
    <row r="72" spans="2:20" ht="23.1" customHeight="1" x14ac:dyDescent="0.25">
      <c r="B72" s="45" t="s">
        <v>112</v>
      </c>
      <c r="C72" s="50">
        <v>32</v>
      </c>
      <c r="D72" s="50">
        <v>6</v>
      </c>
      <c r="E72" s="50">
        <v>4</v>
      </c>
      <c r="F72" s="50">
        <v>25</v>
      </c>
      <c r="G72" s="50">
        <v>0</v>
      </c>
      <c r="H72" s="50">
        <v>0</v>
      </c>
      <c r="I72" s="50">
        <v>6</v>
      </c>
      <c r="J72" s="50">
        <v>4</v>
      </c>
      <c r="K72" s="50">
        <v>1</v>
      </c>
      <c r="L72" s="50">
        <v>2</v>
      </c>
      <c r="M72" s="50">
        <v>78</v>
      </c>
      <c r="N72" s="50">
        <v>0</v>
      </c>
      <c r="O72" s="15">
        <f t="shared" si="35"/>
        <v>80</v>
      </c>
      <c r="P72" s="15">
        <f t="shared" si="36"/>
        <v>158</v>
      </c>
      <c r="R72" s="8"/>
      <c r="T72"/>
    </row>
    <row r="73" spans="2:20" ht="23.1" customHeight="1" x14ac:dyDescent="0.25">
      <c r="B73" s="45" t="s">
        <v>113</v>
      </c>
      <c r="C73" s="50">
        <v>32</v>
      </c>
      <c r="D73" s="50">
        <v>7</v>
      </c>
      <c r="E73" s="50">
        <v>8</v>
      </c>
      <c r="F73" s="50">
        <v>26</v>
      </c>
      <c r="G73" s="50">
        <v>1</v>
      </c>
      <c r="H73" s="50">
        <v>6</v>
      </c>
      <c r="I73" s="50">
        <v>4</v>
      </c>
      <c r="J73" s="50">
        <v>0</v>
      </c>
      <c r="K73" s="50">
        <v>1</v>
      </c>
      <c r="L73" s="50">
        <v>0</v>
      </c>
      <c r="M73" s="50">
        <v>81</v>
      </c>
      <c r="N73" s="50">
        <v>0</v>
      </c>
      <c r="O73" s="15">
        <f t="shared" si="35"/>
        <v>85</v>
      </c>
      <c r="P73" s="15">
        <f t="shared" si="36"/>
        <v>166</v>
      </c>
      <c r="R73" s="8"/>
      <c r="T73"/>
    </row>
    <row r="74" spans="2:20" ht="23.1" customHeight="1" x14ac:dyDescent="0.25">
      <c r="B74" s="45" t="s">
        <v>114</v>
      </c>
      <c r="C74" s="50">
        <v>31</v>
      </c>
      <c r="D74" s="50">
        <v>6</v>
      </c>
      <c r="E74" s="50">
        <v>6</v>
      </c>
      <c r="F74" s="50">
        <v>15</v>
      </c>
      <c r="G74" s="50">
        <v>0</v>
      </c>
      <c r="H74" s="50">
        <v>80</v>
      </c>
      <c r="I74" s="50">
        <v>8</v>
      </c>
      <c r="J74" s="50">
        <v>8</v>
      </c>
      <c r="K74" s="50">
        <v>2</v>
      </c>
      <c r="L74" s="50">
        <v>4</v>
      </c>
      <c r="M74" s="50">
        <v>75</v>
      </c>
      <c r="N74" s="50">
        <v>0</v>
      </c>
      <c r="O74" s="15">
        <f t="shared" si="35"/>
        <v>160</v>
      </c>
      <c r="P74" s="15">
        <f t="shared" si="36"/>
        <v>235</v>
      </c>
      <c r="R74" s="8"/>
      <c r="T74"/>
    </row>
    <row r="75" spans="2:20" ht="23.1" customHeight="1" x14ac:dyDescent="0.25">
      <c r="B75" s="45" t="s">
        <v>115</v>
      </c>
      <c r="C75" s="50">
        <v>30</v>
      </c>
      <c r="D75" s="50">
        <v>5</v>
      </c>
      <c r="E75" s="50">
        <v>7</v>
      </c>
      <c r="F75" s="50">
        <v>16</v>
      </c>
      <c r="G75" s="50">
        <v>0</v>
      </c>
      <c r="H75" s="50">
        <v>0</v>
      </c>
      <c r="I75" s="50">
        <v>7</v>
      </c>
      <c r="J75" s="50">
        <v>11</v>
      </c>
      <c r="K75" s="50">
        <v>3</v>
      </c>
      <c r="L75" s="50">
        <v>1</v>
      </c>
      <c r="M75" s="50">
        <v>95</v>
      </c>
      <c r="N75" s="50">
        <v>0</v>
      </c>
      <c r="O75" s="15">
        <f t="shared" si="35"/>
        <v>80</v>
      </c>
      <c r="P75" s="15">
        <f t="shared" si="36"/>
        <v>175</v>
      </c>
      <c r="R75" s="8"/>
      <c r="T75"/>
    </row>
    <row r="76" spans="2:20" ht="23.1" customHeight="1" x14ac:dyDescent="0.25">
      <c r="B76" s="45" t="s">
        <v>116</v>
      </c>
      <c r="C76" s="50">
        <v>28</v>
      </c>
      <c r="D76" s="50">
        <v>4</v>
      </c>
      <c r="E76" s="50">
        <v>4</v>
      </c>
      <c r="F76" s="50">
        <v>16</v>
      </c>
      <c r="G76" s="50">
        <v>0</v>
      </c>
      <c r="H76" s="50">
        <v>0</v>
      </c>
      <c r="I76" s="50">
        <v>5</v>
      </c>
      <c r="J76" s="50">
        <v>4</v>
      </c>
      <c r="K76" s="50">
        <v>2</v>
      </c>
      <c r="L76" s="50">
        <v>0</v>
      </c>
      <c r="M76" s="50">
        <v>100</v>
      </c>
      <c r="N76" s="50">
        <v>0</v>
      </c>
      <c r="O76" s="15">
        <f t="shared" si="35"/>
        <v>63</v>
      </c>
      <c r="P76" s="15">
        <f t="shared" si="36"/>
        <v>163</v>
      </c>
      <c r="R76" s="8"/>
      <c r="T76"/>
    </row>
    <row r="77" spans="2:20" ht="23.1" customHeight="1" x14ac:dyDescent="0.25">
      <c r="B77" s="45" t="s">
        <v>117</v>
      </c>
      <c r="C77" s="50">
        <v>34</v>
      </c>
      <c r="D77" s="50">
        <v>6</v>
      </c>
      <c r="E77" s="50">
        <v>8</v>
      </c>
      <c r="F77" s="50">
        <v>11</v>
      </c>
      <c r="G77" s="50">
        <v>0</v>
      </c>
      <c r="H77" s="50">
        <v>0</v>
      </c>
      <c r="I77" s="50">
        <v>3</v>
      </c>
      <c r="J77" s="50">
        <v>7</v>
      </c>
      <c r="K77" s="50">
        <v>1</v>
      </c>
      <c r="L77" s="50">
        <v>3</v>
      </c>
      <c r="M77" s="50">
        <v>64</v>
      </c>
      <c r="N77" s="50">
        <v>0</v>
      </c>
      <c r="O77" s="15">
        <f t="shared" si="35"/>
        <v>73</v>
      </c>
      <c r="P77" s="15">
        <f t="shared" si="36"/>
        <v>137</v>
      </c>
      <c r="R77" s="8"/>
      <c r="T77"/>
    </row>
    <row r="78" spans="2:20" ht="23.1" customHeight="1" x14ac:dyDescent="0.25">
      <c r="B78" s="46" t="s">
        <v>118</v>
      </c>
      <c r="C78" s="50">
        <v>25</v>
      </c>
      <c r="D78" s="50">
        <v>0</v>
      </c>
      <c r="E78" s="50">
        <v>2</v>
      </c>
      <c r="F78" s="50">
        <v>14</v>
      </c>
      <c r="G78" s="50">
        <v>0</v>
      </c>
      <c r="H78" s="50">
        <v>1</v>
      </c>
      <c r="I78" s="50">
        <v>4</v>
      </c>
      <c r="J78" s="50">
        <v>12</v>
      </c>
      <c r="K78" s="50">
        <v>2</v>
      </c>
      <c r="L78" s="50">
        <v>1</v>
      </c>
      <c r="M78" s="50">
        <v>87</v>
      </c>
      <c r="N78" s="50">
        <v>0</v>
      </c>
      <c r="O78" s="15">
        <f t="shared" si="35"/>
        <v>61</v>
      </c>
      <c r="P78" s="15">
        <f t="shared" si="36"/>
        <v>148</v>
      </c>
      <c r="R78" s="8"/>
      <c r="T78"/>
    </row>
    <row r="79" spans="2:20" ht="23.1" customHeight="1" x14ac:dyDescent="0.25">
      <c r="B79" s="45" t="s">
        <v>119</v>
      </c>
      <c r="C79" s="50">
        <v>22</v>
      </c>
      <c r="D79" s="50">
        <v>2</v>
      </c>
      <c r="E79" s="50">
        <v>4</v>
      </c>
      <c r="F79" s="50">
        <v>5</v>
      </c>
      <c r="G79" s="50">
        <v>0</v>
      </c>
      <c r="H79" s="50">
        <v>0</v>
      </c>
      <c r="I79" s="50">
        <v>5</v>
      </c>
      <c r="J79" s="50">
        <v>11</v>
      </c>
      <c r="K79" s="50">
        <v>5</v>
      </c>
      <c r="L79" s="50">
        <v>1</v>
      </c>
      <c r="M79" s="50">
        <v>95</v>
      </c>
      <c r="N79" s="50">
        <v>0</v>
      </c>
      <c r="O79" s="15">
        <f t="shared" si="35"/>
        <v>55</v>
      </c>
      <c r="P79" s="15">
        <f t="shared" si="36"/>
        <v>150</v>
      </c>
      <c r="R79" s="8"/>
      <c r="T79"/>
    </row>
    <row r="80" spans="2:20" ht="23.1" customHeight="1" x14ac:dyDescent="0.25">
      <c r="B80" s="47" t="s">
        <v>120</v>
      </c>
      <c r="C80" s="50">
        <v>20</v>
      </c>
      <c r="D80" s="50">
        <v>0</v>
      </c>
      <c r="E80" s="50">
        <v>4</v>
      </c>
      <c r="F80" s="50">
        <v>9</v>
      </c>
      <c r="G80" s="50">
        <v>1</v>
      </c>
      <c r="H80" s="50">
        <v>0</v>
      </c>
      <c r="I80" s="50">
        <v>13</v>
      </c>
      <c r="J80" s="50">
        <v>13</v>
      </c>
      <c r="K80" s="50">
        <v>1</v>
      </c>
      <c r="L80" s="50">
        <v>1</v>
      </c>
      <c r="M80" s="50">
        <v>95</v>
      </c>
      <c r="N80" s="50">
        <v>0</v>
      </c>
      <c r="O80" s="15">
        <f t="shared" si="35"/>
        <v>62</v>
      </c>
      <c r="P80" s="15">
        <f t="shared" si="36"/>
        <v>157</v>
      </c>
      <c r="R80" s="8"/>
      <c r="T80"/>
    </row>
    <row r="81" spans="2:20" ht="23.1" customHeight="1" x14ac:dyDescent="0.25">
      <c r="B81" s="45" t="s">
        <v>121</v>
      </c>
      <c r="C81" s="50">
        <v>16</v>
      </c>
      <c r="D81" s="50">
        <v>3</v>
      </c>
      <c r="E81" s="50">
        <v>1</v>
      </c>
      <c r="F81" s="50">
        <v>5</v>
      </c>
      <c r="G81" s="50">
        <v>0</v>
      </c>
      <c r="H81" s="50">
        <v>0</v>
      </c>
      <c r="I81" s="50">
        <v>3</v>
      </c>
      <c r="J81" s="50">
        <v>16</v>
      </c>
      <c r="K81" s="50">
        <v>1</v>
      </c>
      <c r="L81" s="50">
        <v>0</v>
      </c>
      <c r="M81" s="50">
        <v>66</v>
      </c>
      <c r="N81" s="50">
        <v>0</v>
      </c>
      <c r="O81" s="15">
        <f t="shared" si="35"/>
        <v>45</v>
      </c>
      <c r="P81" s="15">
        <f t="shared" si="36"/>
        <v>111</v>
      </c>
      <c r="R81" s="8"/>
      <c r="T81"/>
    </row>
    <row r="82" spans="2:20" ht="23.1" customHeight="1" x14ac:dyDescent="0.25">
      <c r="B82" s="46" t="s">
        <v>122</v>
      </c>
      <c r="C82" s="50">
        <v>18</v>
      </c>
      <c r="D82" s="50">
        <v>1</v>
      </c>
      <c r="E82" s="50">
        <v>3</v>
      </c>
      <c r="F82" s="50">
        <v>4</v>
      </c>
      <c r="G82" s="50">
        <v>0</v>
      </c>
      <c r="H82" s="50">
        <v>0</v>
      </c>
      <c r="I82" s="50">
        <v>3</v>
      </c>
      <c r="J82" s="50">
        <v>10</v>
      </c>
      <c r="K82" s="50">
        <v>3</v>
      </c>
      <c r="L82" s="50">
        <v>1</v>
      </c>
      <c r="M82" s="50">
        <v>90</v>
      </c>
      <c r="N82" s="50">
        <v>0</v>
      </c>
      <c r="O82" s="15">
        <f t="shared" si="35"/>
        <v>43</v>
      </c>
      <c r="P82" s="15">
        <f t="shared" si="36"/>
        <v>133</v>
      </c>
      <c r="R82" s="8"/>
      <c r="T82"/>
    </row>
    <row r="83" spans="2:20" ht="23.1" customHeight="1" x14ac:dyDescent="0.25">
      <c r="B83" s="45" t="s">
        <v>123</v>
      </c>
      <c r="C83" s="50">
        <v>8</v>
      </c>
      <c r="D83" s="50">
        <v>1</v>
      </c>
      <c r="E83" s="50">
        <v>1</v>
      </c>
      <c r="F83" s="50">
        <v>4</v>
      </c>
      <c r="G83" s="50">
        <v>0</v>
      </c>
      <c r="H83" s="50">
        <v>0</v>
      </c>
      <c r="I83" s="50">
        <v>5</v>
      </c>
      <c r="J83" s="50">
        <v>12</v>
      </c>
      <c r="K83" s="50">
        <v>1</v>
      </c>
      <c r="L83" s="50">
        <v>2</v>
      </c>
      <c r="M83" s="50">
        <v>73</v>
      </c>
      <c r="N83" s="50">
        <v>0</v>
      </c>
      <c r="O83" s="15">
        <f t="shared" si="35"/>
        <v>34</v>
      </c>
      <c r="P83" s="15">
        <f t="shared" si="36"/>
        <v>107</v>
      </c>
      <c r="R83" s="8"/>
      <c r="T83"/>
    </row>
    <row r="84" spans="2:20" ht="23.1" customHeight="1" x14ac:dyDescent="0.25">
      <c r="B84" s="47" t="s">
        <v>124</v>
      </c>
      <c r="C84" s="50">
        <v>16</v>
      </c>
      <c r="D84" s="50">
        <v>3</v>
      </c>
      <c r="E84" s="50">
        <v>3</v>
      </c>
      <c r="F84" s="50">
        <v>8</v>
      </c>
      <c r="G84" s="50">
        <v>0</v>
      </c>
      <c r="H84" s="50">
        <v>0</v>
      </c>
      <c r="I84" s="50">
        <v>7</v>
      </c>
      <c r="J84" s="50">
        <v>8</v>
      </c>
      <c r="K84" s="50">
        <v>2</v>
      </c>
      <c r="L84" s="50">
        <v>0</v>
      </c>
      <c r="M84" s="50">
        <v>62</v>
      </c>
      <c r="N84" s="50">
        <v>0</v>
      </c>
      <c r="O84" s="15">
        <f t="shared" si="35"/>
        <v>47</v>
      </c>
      <c r="P84" s="15">
        <f t="shared" si="36"/>
        <v>109</v>
      </c>
      <c r="R84" s="8"/>
      <c r="T84"/>
    </row>
    <row r="85" spans="2:20" ht="23.1" customHeight="1" x14ac:dyDescent="0.25">
      <c r="B85" s="45" t="s">
        <v>125</v>
      </c>
      <c r="C85" s="50">
        <v>12</v>
      </c>
      <c r="D85" s="50">
        <v>1</v>
      </c>
      <c r="E85" s="50">
        <v>2</v>
      </c>
      <c r="F85" s="50">
        <v>6</v>
      </c>
      <c r="G85" s="50">
        <v>0</v>
      </c>
      <c r="H85" s="50">
        <v>0</v>
      </c>
      <c r="I85" s="50">
        <v>5</v>
      </c>
      <c r="J85" s="50">
        <v>10</v>
      </c>
      <c r="K85" s="50">
        <v>1</v>
      </c>
      <c r="L85" s="50">
        <v>1</v>
      </c>
      <c r="M85" s="50">
        <v>84</v>
      </c>
      <c r="N85" s="50">
        <v>0</v>
      </c>
      <c r="O85" s="15">
        <f t="shared" si="35"/>
        <v>38</v>
      </c>
      <c r="P85" s="15">
        <f t="shared" si="36"/>
        <v>122</v>
      </c>
      <c r="R85" s="8"/>
      <c r="T85"/>
    </row>
    <row r="86" spans="2:20" ht="23.1" customHeight="1" x14ac:dyDescent="0.25">
      <c r="B86" s="46" t="s">
        <v>126</v>
      </c>
      <c r="C86" s="50">
        <v>9</v>
      </c>
      <c r="D86" s="50">
        <v>2</v>
      </c>
      <c r="E86" s="50">
        <v>0</v>
      </c>
      <c r="F86" s="50">
        <v>1</v>
      </c>
      <c r="G86" s="50">
        <v>0</v>
      </c>
      <c r="H86" s="50">
        <v>0</v>
      </c>
      <c r="I86" s="50">
        <v>2</v>
      </c>
      <c r="J86" s="50">
        <v>15</v>
      </c>
      <c r="K86" s="50">
        <v>2</v>
      </c>
      <c r="L86" s="50">
        <v>2</v>
      </c>
      <c r="M86" s="50">
        <v>88</v>
      </c>
      <c r="N86" s="50">
        <v>0</v>
      </c>
      <c r="O86" s="15">
        <f t="shared" si="35"/>
        <v>33</v>
      </c>
      <c r="P86" s="15">
        <f t="shared" si="36"/>
        <v>121</v>
      </c>
      <c r="R86" s="8"/>
      <c r="T86"/>
    </row>
    <row r="87" spans="2:20" ht="23.1" customHeight="1" x14ac:dyDescent="0.25">
      <c r="B87" s="45" t="s">
        <v>127</v>
      </c>
      <c r="C87" s="50">
        <v>23</v>
      </c>
      <c r="D87" s="50">
        <v>2</v>
      </c>
      <c r="E87" s="50">
        <v>1</v>
      </c>
      <c r="F87" s="50">
        <v>7</v>
      </c>
      <c r="G87" s="50">
        <v>0</v>
      </c>
      <c r="H87" s="50">
        <v>0</v>
      </c>
      <c r="I87" s="50">
        <v>3</v>
      </c>
      <c r="J87" s="50">
        <v>10</v>
      </c>
      <c r="K87" s="50">
        <v>2</v>
      </c>
      <c r="L87" s="50">
        <v>0</v>
      </c>
      <c r="M87" s="50">
        <v>63</v>
      </c>
      <c r="N87" s="50">
        <v>0</v>
      </c>
      <c r="O87" s="15">
        <f t="shared" si="35"/>
        <v>48</v>
      </c>
      <c r="P87" s="15">
        <f t="shared" si="36"/>
        <v>111</v>
      </c>
      <c r="R87" s="8"/>
      <c r="T87"/>
    </row>
    <row r="88" spans="2:20" ht="23.1" customHeight="1" x14ac:dyDescent="0.25">
      <c r="B88" s="47" t="s">
        <v>128</v>
      </c>
      <c r="C88" s="50">
        <v>12</v>
      </c>
      <c r="D88" s="50">
        <v>1</v>
      </c>
      <c r="E88" s="50">
        <v>1</v>
      </c>
      <c r="F88" s="50">
        <v>4</v>
      </c>
      <c r="G88" s="50">
        <v>0</v>
      </c>
      <c r="H88" s="50">
        <v>0</v>
      </c>
      <c r="I88" s="50">
        <v>7</v>
      </c>
      <c r="J88" s="50">
        <v>6</v>
      </c>
      <c r="K88" s="50">
        <v>1</v>
      </c>
      <c r="L88" s="50">
        <v>3</v>
      </c>
      <c r="M88" s="50">
        <v>51</v>
      </c>
      <c r="N88" s="50">
        <v>0</v>
      </c>
      <c r="O88" s="15">
        <f t="shared" si="35"/>
        <v>35</v>
      </c>
      <c r="P88" s="15">
        <f t="shared" si="36"/>
        <v>86</v>
      </c>
      <c r="R88" s="8"/>
      <c r="T88"/>
    </row>
    <row r="89" spans="2:20" ht="23.1" customHeight="1" x14ac:dyDescent="0.25">
      <c r="B89" s="45" t="s">
        <v>129</v>
      </c>
      <c r="C89" s="50">
        <v>7</v>
      </c>
      <c r="D89" s="50">
        <v>2</v>
      </c>
      <c r="E89" s="50">
        <v>3</v>
      </c>
      <c r="F89" s="50">
        <v>1</v>
      </c>
      <c r="G89" s="50">
        <v>0</v>
      </c>
      <c r="H89" s="50">
        <v>0</v>
      </c>
      <c r="I89" s="50">
        <v>1</v>
      </c>
      <c r="J89" s="50">
        <v>17</v>
      </c>
      <c r="K89" s="50">
        <v>2</v>
      </c>
      <c r="L89" s="50">
        <v>1</v>
      </c>
      <c r="M89" s="50">
        <v>54</v>
      </c>
      <c r="N89" s="50">
        <v>0</v>
      </c>
      <c r="O89" s="15">
        <f t="shared" si="35"/>
        <v>34</v>
      </c>
      <c r="P89" s="15">
        <f t="shared" si="36"/>
        <v>88</v>
      </c>
      <c r="R89" s="8"/>
      <c r="T89"/>
    </row>
    <row r="90" spans="2:20" ht="23.1" customHeight="1" x14ac:dyDescent="0.25">
      <c r="B90" s="46" t="s">
        <v>130</v>
      </c>
      <c r="C90" s="50">
        <v>15</v>
      </c>
      <c r="D90" s="50">
        <v>1</v>
      </c>
      <c r="E90" s="50">
        <v>0</v>
      </c>
      <c r="F90" s="50">
        <v>2</v>
      </c>
      <c r="G90" s="50">
        <v>0</v>
      </c>
      <c r="H90" s="50">
        <v>0</v>
      </c>
      <c r="I90" s="50">
        <v>3</v>
      </c>
      <c r="J90" s="50">
        <v>14</v>
      </c>
      <c r="K90" s="50">
        <v>0</v>
      </c>
      <c r="L90" s="50">
        <v>1</v>
      </c>
      <c r="M90" s="50">
        <v>61</v>
      </c>
      <c r="N90" s="50">
        <v>0</v>
      </c>
      <c r="O90" s="15">
        <f t="shared" si="35"/>
        <v>36</v>
      </c>
      <c r="P90" s="15">
        <f t="shared" si="36"/>
        <v>97</v>
      </c>
      <c r="R90" s="8"/>
      <c r="T90"/>
    </row>
    <row r="91" spans="2:20" ht="23.1" customHeight="1" x14ac:dyDescent="0.25">
      <c r="B91" s="45" t="s">
        <v>131</v>
      </c>
      <c r="C91" s="50">
        <v>7</v>
      </c>
      <c r="D91" s="50">
        <v>1</v>
      </c>
      <c r="E91" s="50">
        <v>1</v>
      </c>
      <c r="F91" s="50">
        <v>5</v>
      </c>
      <c r="G91" s="50">
        <v>0</v>
      </c>
      <c r="H91" s="50">
        <v>0</v>
      </c>
      <c r="I91" s="50">
        <v>3</v>
      </c>
      <c r="J91" s="50">
        <v>11</v>
      </c>
      <c r="K91" s="50">
        <v>3</v>
      </c>
      <c r="L91" s="50">
        <v>1</v>
      </c>
      <c r="M91" s="50">
        <v>45</v>
      </c>
      <c r="N91" s="50">
        <v>0</v>
      </c>
      <c r="O91" s="15">
        <f t="shared" si="35"/>
        <v>32</v>
      </c>
      <c r="P91" s="15">
        <f t="shared" si="36"/>
        <v>77</v>
      </c>
      <c r="R91" s="8"/>
      <c r="T91"/>
    </row>
    <row r="92" spans="2:20" ht="23.1" customHeight="1" x14ac:dyDescent="0.25">
      <c r="B92" s="47" t="s">
        <v>132</v>
      </c>
      <c r="C92" s="50">
        <v>12</v>
      </c>
      <c r="D92" s="50">
        <v>3</v>
      </c>
      <c r="E92" s="50">
        <v>0</v>
      </c>
      <c r="F92" s="50">
        <v>1</v>
      </c>
      <c r="G92" s="50">
        <v>0</v>
      </c>
      <c r="H92" s="50">
        <v>1</v>
      </c>
      <c r="I92" s="50">
        <v>5</v>
      </c>
      <c r="J92" s="50">
        <v>14</v>
      </c>
      <c r="K92" s="50">
        <v>2</v>
      </c>
      <c r="L92" s="50">
        <v>1</v>
      </c>
      <c r="M92" s="50">
        <v>42</v>
      </c>
      <c r="N92" s="50">
        <v>0</v>
      </c>
      <c r="O92" s="15">
        <f t="shared" si="35"/>
        <v>39</v>
      </c>
      <c r="P92" s="15">
        <f t="shared" si="36"/>
        <v>81</v>
      </c>
      <c r="R92" s="8"/>
      <c r="T92"/>
    </row>
    <row r="93" spans="2:20" ht="23.1" customHeight="1" x14ac:dyDescent="0.25">
      <c r="B93" s="45" t="s">
        <v>133</v>
      </c>
      <c r="C93" s="50">
        <v>8</v>
      </c>
      <c r="D93" s="50">
        <v>0</v>
      </c>
      <c r="E93" s="50">
        <v>1</v>
      </c>
      <c r="F93" s="50">
        <v>3</v>
      </c>
      <c r="G93" s="50">
        <v>0</v>
      </c>
      <c r="H93" s="50">
        <v>0</v>
      </c>
      <c r="I93" s="50">
        <v>1</v>
      </c>
      <c r="J93" s="50">
        <v>12</v>
      </c>
      <c r="K93" s="50">
        <v>2</v>
      </c>
      <c r="L93" s="50">
        <v>2</v>
      </c>
      <c r="M93" s="50">
        <v>42</v>
      </c>
      <c r="N93" s="50">
        <v>0</v>
      </c>
      <c r="O93" s="15">
        <f t="shared" si="35"/>
        <v>29</v>
      </c>
      <c r="P93" s="15">
        <f t="shared" si="36"/>
        <v>71</v>
      </c>
      <c r="R93" s="8"/>
      <c r="T93"/>
    </row>
    <row r="94" spans="2:20" ht="23.1" customHeight="1" x14ac:dyDescent="0.25">
      <c r="B94" s="46" t="s">
        <v>134</v>
      </c>
      <c r="C94" s="50">
        <v>8</v>
      </c>
      <c r="D94" s="50">
        <v>1</v>
      </c>
      <c r="E94" s="50">
        <v>0</v>
      </c>
      <c r="F94" s="50">
        <v>0</v>
      </c>
      <c r="G94" s="50">
        <v>0</v>
      </c>
      <c r="H94" s="50">
        <v>0</v>
      </c>
      <c r="I94" s="50">
        <v>4</v>
      </c>
      <c r="J94" s="50">
        <v>7</v>
      </c>
      <c r="K94" s="50">
        <v>1</v>
      </c>
      <c r="L94" s="50">
        <v>1</v>
      </c>
      <c r="M94" s="50">
        <v>32</v>
      </c>
      <c r="N94" s="50">
        <v>0</v>
      </c>
      <c r="O94" s="15">
        <f t="shared" si="35"/>
        <v>22</v>
      </c>
      <c r="P94" s="15">
        <f t="shared" si="36"/>
        <v>54</v>
      </c>
      <c r="R94" s="8"/>
      <c r="T94"/>
    </row>
    <row r="95" spans="2:20" ht="23.1" customHeight="1" x14ac:dyDescent="0.25">
      <c r="B95" s="45" t="s">
        <v>135</v>
      </c>
      <c r="C95" s="50">
        <v>7</v>
      </c>
      <c r="D95" s="50">
        <v>0</v>
      </c>
      <c r="E95" s="50">
        <v>1</v>
      </c>
      <c r="F95" s="50">
        <v>1</v>
      </c>
      <c r="G95" s="50">
        <v>0</v>
      </c>
      <c r="H95" s="50">
        <v>0</v>
      </c>
      <c r="I95" s="50">
        <v>6</v>
      </c>
      <c r="J95" s="50">
        <v>11</v>
      </c>
      <c r="K95" s="50">
        <v>1</v>
      </c>
      <c r="L95" s="50">
        <v>1</v>
      </c>
      <c r="M95" s="50">
        <v>26</v>
      </c>
      <c r="N95" s="50">
        <v>0</v>
      </c>
      <c r="O95" s="15">
        <f t="shared" si="35"/>
        <v>28</v>
      </c>
      <c r="P95" s="15">
        <f t="shared" si="36"/>
        <v>54</v>
      </c>
      <c r="R95" s="8"/>
      <c r="T95"/>
    </row>
    <row r="96" spans="2:20" ht="23.1" customHeight="1" x14ac:dyDescent="0.25">
      <c r="B96" s="47" t="s">
        <v>136</v>
      </c>
      <c r="C96" s="50">
        <v>2</v>
      </c>
      <c r="D96" s="50">
        <v>2</v>
      </c>
      <c r="E96" s="50">
        <v>0</v>
      </c>
      <c r="F96" s="50">
        <v>1</v>
      </c>
      <c r="G96" s="50">
        <v>0</v>
      </c>
      <c r="H96" s="50">
        <v>1</v>
      </c>
      <c r="I96" s="50">
        <v>0</v>
      </c>
      <c r="J96" s="50">
        <v>6</v>
      </c>
      <c r="K96" s="50">
        <v>1</v>
      </c>
      <c r="L96" s="50">
        <v>2</v>
      </c>
      <c r="M96" s="50">
        <v>19</v>
      </c>
      <c r="N96" s="50">
        <v>0</v>
      </c>
      <c r="O96" s="15">
        <f t="shared" si="35"/>
        <v>15</v>
      </c>
      <c r="P96" s="15">
        <f t="shared" si="36"/>
        <v>34</v>
      </c>
      <c r="R96" s="8"/>
      <c r="T96"/>
    </row>
    <row r="97" spans="2:20" ht="23.1" customHeight="1" x14ac:dyDescent="0.25">
      <c r="B97" s="45" t="s">
        <v>137</v>
      </c>
      <c r="C97" s="50">
        <v>5</v>
      </c>
      <c r="D97" s="50">
        <v>1</v>
      </c>
      <c r="E97" s="50">
        <v>1</v>
      </c>
      <c r="F97" s="50">
        <v>5</v>
      </c>
      <c r="G97" s="50">
        <v>0</v>
      </c>
      <c r="H97" s="50">
        <v>0</v>
      </c>
      <c r="I97" s="50">
        <v>6</v>
      </c>
      <c r="J97" s="50">
        <v>12</v>
      </c>
      <c r="K97" s="50">
        <v>1</v>
      </c>
      <c r="L97" s="50">
        <v>4</v>
      </c>
      <c r="M97" s="50">
        <v>35</v>
      </c>
      <c r="N97" s="50">
        <v>0</v>
      </c>
      <c r="O97" s="15">
        <f t="shared" si="35"/>
        <v>35</v>
      </c>
      <c r="P97" s="15">
        <f t="shared" si="36"/>
        <v>70</v>
      </c>
      <c r="R97" s="8"/>
      <c r="T97"/>
    </row>
    <row r="98" spans="2:20" ht="23.1" customHeight="1" x14ac:dyDescent="0.25">
      <c r="B98" s="46" t="s">
        <v>138</v>
      </c>
      <c r="C98" s="50">
        <v>8</v>
      </c>
      <c r="D98" s="50">
        <v>0</v>
      </c>
      <c r="E98" s="50">
        <v>2</v>
      </c>
      <c r="F98" s="50">
        <v>11</v>
      </c>
      <c r="G98" s="50">
        <v>0</v>
      </c>
      <c r="H98" s="50">
        <v>0</v>
      </c>
      <c r="I98" s="50">
        <v>3</v>
      </c>
      <c r="J98" s="50">
        <v>11</v>
      </c>
      <c r="K98" s="50">
        <v>2</v>
      </c>
      <c r="L98" s="50">
        <v>2</v>
      </c>
      <c r="M98" s="50">
        <v>28</v>
      </c>
      <c r="N98" s="50">
        <v>0</v>
      </c>
      <c r="O98" s="15">
        <f t="shared" si="35"/>
        <v>39</v>
      </c>
      <c r="P98" s="15">
        <f t="shared" si="36"/>
        <v>67</v>
      </c>
      <c r="R98" s="8"/>
      <c r="T98"/>
    </row>
    <row r="99" spans="2:20" ht="23.1" customHeight="1" x14ac:dyDescent="0.25">
      <c r="B99" s="45" t="s">
        <v>139</v>
      </c>
      <c r="C99" s="50">
        <v>9</v>
      </c>
      <c r="D99" s="50">
        <v>1</v>
      </c>
      <c r="E99" s="50">
        <v>4</v>
      </c>
      <c r="F99" s="50">
        <v>15</v>
      </c>
      <c r="G99" s="50">
        <v>2</v>
      </c>
      <c r="H99" s="50">
        <v>2</v>
      </c>
      <c r="I99" s="50">
        <v>4</v>
      </c>
      <c r="J99" s="50">
        <v>10</v>
      </c>
      <c r="K99" s="50">
        <v>2</v>
      </c>
      <c r="L99" s="50">
        <v>2</v>
      </c>
      <c r="M99" s="50">
        <v>46</v>
      </c>
      <c r="N99" s="50">
        <v>0</v>
      </c>
      <c r="O99" s="15">
        <f t="shared" si="35"/>
        <v>51</v>
      </c>
      <c r="P99" s="15">
        <f t="shared" si="36"/>
        <v>97</v>
      </c>
      <c r="R99" s="8"/>
      <c r="T99"/>
    </row>
    <row r="100" spans="2:20" ht="23.1" customHeight="1" x14ac:dyDescent="0.25">
      <c r="B100" s="47" t="s">
        <v>140</v>
      </c>
      <c r="C100" s="50">
        <v>13</v>
      </c>
      <c r="D100" s="50">
        <v>1</v>
      </c>
      <c r="E100" s="50">
        <v>4</v>
      </c>
      <c r="F100" s="50">
        <v>14</v>
      </c>
      <c r="G100" s="50">
        <v>2</v>
      </c>
      <c r="H100" s="50">
        <v>0</v>
      </c>
      <c r="I100" s="50">
        <v>4</v>
      </c>
      <c r="J100" s="50">
        <v>10</v>
      </c>
      <c r="K100" s="50">
        <v>4</v>
      </c>
      <c r="L100" s="50">
        <v>1</v>
      </c>
      <c r="M100" s="50">
        <v>52</v>
      </c>
      <c r="N100" s="50">
        <v>0</v>
      </c>
      <c r="O100" s="15">
        <f t="shared" si="35"/>
        <v>53</v>
      </c>
      <c r="P100" s="15">
        <f t="shared" si="36"/>
        <v>105</v>
      </c>
      <c r="R100" s="8"/>
      <c r="T100"/>
    </row>
    <row r="101" spans="2:20" ht="23.1" customHeight="1" x14ac:dyDescent="0.25">
      <c r="B101" s="45" t="s">
        <v>141</v>
      </c>
      <c r="C101" s="50">
        <v>9</v>
      </c>
      <c r="D101" s="50">
        <v>3</v>
      </c>
      <c r="E101" s="50">
        <v>3</v>
      </c>
      <c r="F101" s="50">
        <v>19</v>
      </c>
      <c r="G101" s="50">
        <v>3</v>
      </c>
      <c r="H101" s="50">
        <v>2</v>
      </c>
      <c r="I101" s="50">
        <v>4</v>
      </c>
      <c r="J101" s="50">
        <v>9</v>
      </c>
      <c r="K101" s="50">
        <v>0</v>
      </c>
      <c r="L101" s="50">
        <v>0</v>
      </c>
      <c r="M101" s="50">
        <v>75</v>
      </c>
      <c r="N101" s="50">
        <v>0</v>
      </c>
      <c r="O101" s="15">
        <f t="shared" si="35"/>
        <v>52</v>
      </c>
      <c r="P101" s="15">
        <f t="shared" si="36"/>
        <v>127</v>
      </c>
      <c r="R101" s="8"/>
      <c r="T101"/>
    </row>
    <row r="102" spans="2:20" ht="23.1" customHeight="1" x14ac:dyDescent="0.25">
      <c r="B102" s="46" t="s">
        <v>142</v>
      </c>
      <c r="C102" s="50">
        <v>8</v>
      </c>
      <c r="D102" s="50">
        <v>1</v>
      </c>
      <c r="E102" s="50">
        <v>2</v>
      </c>
      <c r="F102" s="50">
        <v>22</v>
      </c>
      <c r="G102" s="50">
        <v>3</v>
      </c>
      <c r="H102" s="50">
        <v>0</v>
      </c>
      <c r="I102" s="50">
        <v>2</v>
      </c>
      <c r="J102" s="50">
        <v>10</v>
      </c>
      <c r="K102" s="50">
        <v>4</v>
      </c>
      <c r="L102" s="50">
        <v>2</v>
      </c>
      <c r="M102" s="50">
        <v>82</v>
      </c>
      <c r="N102" s="50">
        <v>0</v>
      </c>
      <c r="O102" s="15">
        <f t="shared" si="35"/>
        <v>54</v>
      </c>
      <c r="P102" s="15">
        <f t="shared" si="36"/>
        <v>136</v>
      </c>
      <c r="R102" s="8"/>
      <c r="T102"/>
    </row>
    <row r="103" spans="2:20" ht="23.1" customHeight="1" x14ac:dyDescent="0.25">
      <c r="B103" s="45" t="s">
        <v>143</v>
      </c>
      <c r="C103" s="50">
        <v>15</v>
      </c>
      <c r="D103" s="50">
        <v>3</v>
      </c>
      <c r="E103" s="50">
        <v>3</v>
      </c>
      <c r="F103" s="50">
        <v>22</v>
      </c>
      <c r="G103" s="50">
        <v>2</v>
      </c>
      <c r="H103" s="50">
        <v>0</v>
      </c>
      <c r="I103" s="50">
        <v>8</v>
      </c>
      <c r="J103" s="50">
        <v>18</v>
      </c>
      <c r="K103" s="50">
        <v>4</v>
      </c>
      <c r="L103" s="50">
        <v>2</v>
      </c>
      <c r="M103" s="50">
        <v>68</v>
      </c>
      <c r="N103" s="50">
        <v>0</v>
      </c>
      <c r="O103" s="15">
        <f t="shared" si="35"/>
        <v>77</v>
      </c>
      <c r="P103" s="15">
        <f t="shared" si="36"/>
        <v>145</v>
      </c>
      <c r="R103" s="8"/>
      <c r="T103"/>
    </row>
    <row r="104" spans="2:20" ht="23.1" customHeight="1" x14ac:dyDescent="0.25">
      <c r="B104" s="47" t="s">
        <v>144</v>
      </c>
      <c r="C104" s="50">
        <v>21</v>
      </c>
      <c r="D104" s="50">
        <v>2</v>
      </c>
      <c r="E104" s="50">
        <v>8</v>
      </c>
      <c r="F104" s="50">
        <v>24</v>
      </c>
      <c r="G104" s="50">
        <v>0</v>
      </c>
      <c r="H104" s="50">
        <v>0</v>
      </c>
      <c r="I104" s="50">
        <v>8</v>
      </c>
      <c r="J104" s="50">
        <v>6</v>
      </c>
      <c r="K104" s="50">
        <v>1</v>
      </c>
      <c r="L104" s="50">
        <v>0</v>
      </c>
      <c r="M104" s="50">
        <v>87</v>
      </c>
      <c r="N104" s="50">
        <v>0</v>
      </c>
      <c r="O104" s="15">
        <f t="shared" si="35"/>
        <v>70</v>
      </c>
      <c r="P104" s="15">
        <f t="shared" si="36"/>
        <v>157</v>
      </c>
      <c r="R104" s="8"/>
      <c r="T104"/>
    </row>
    <row r="105" spans="2:20" ht="23.1" customHeight="1" x14ac:dyDescent="0.25">
      <c r="B105" s="45" t="s">
        <v>145</v>
      </c>
      <c r="C105" s="50">
        <v>19</v>
      </c>
      <c r="D105" s="50">
        <v>6</v>
      </c>
      <c r="E105" s="50">
        <v>9</v>
      </c>
      <c r="F105" s="50">
        <v>34</v>
      </c>
      <c r="G105" s="50">
        <v>0</v>
      </c>
      <c r="H105" s="50">
        <v>1</v>
      </c>
      <c r="I105" s="50">
        <v>7</v>
      </c>
      <c r="J105" s="50">
        <v>14</v>
      </c>
      <c r="K105" s="50">
        <v>2</v>
      </c>
      <c r="L105" s="50">
        <v>3</v>
      </c>
      <c r="M105" s="50">
        <v>105</v>
      </c>
      <c r="N105" s="50">
        <v>0</v>
      </c>
      <c r="O105" s="15">
        <f t="shared" si="35"/>
        <v>95</v>
      </c>
      <c r="P105" s="15">
        <f t="shared" si="36"/>
        <v>200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2981</v>
      </c>
      <c r="D106" s="16">
        <f t="shared" ref="D106:P106" si="37">SUM(D10:D105)</f>
        <v>423</v>
      </c>
      <c r="E106" s="16">
        <f t="shared" si="37"/>
        <v>356</v>
      </c>
      <c r="F106" s="16">
        <f t="shared" si="37"/>
        <v>2082</v>
      </c>
      <c r="G106" s="16">
        <f t="shared" si="37"/>
        <v>58</v>
      </c>
      <c r="H106" s="16">
        <f t="shared" si="37"/>
        <v>116</v>
      </c>
      <c r="I106" s="16">
        <f t="shared" si="37"/>
        <v>475</v>
      </c>
      <c r="J106" s="16">
        <f t="shared" si="37"/>
        <v>953</v>
      </c>
      <c r="K106" s="16">
        <f t="shared" si="37"/>
        <v>205</v>
      </c>
      <c r="L106" s="16">
        <f t="shared" si="37"/>
        <v>87</v>
      </c>
      <c r="M106" s="16">
        <f t="shared" si="37"/>
        <v>13126</v>
      </c>
      <c r="N106" s="16">
        <f t="shared" si="37"/>
        <v>2</v>
      </c>
      <c r="O106" s="16">
        <f t="shared" si="37"/>
        <v>7738</v>
      </c>
      <c r="P106" s="16">
        <f t="shared" si="37"/>
        <v>20864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0.14287768404907975</v>
      </c>
      <c r="D107" s="43">
        <f t="shared" si="38"/>
        <v>2.0274156441717792E-2</v>
      </c>
      <c r="E107" s="43">
        <f t="shared" si="38"/>
        <v>1.7062883435582821E-2</v>
      </c>
      <c r="F107" s="43">
        <f t="shared" si="38"/>
        <v>9.9789110429447853E-2</v>
      </c>
      <c r="G107" s="43">
        <f t="shared" si="38"/>
        <v>2.7799079754601227E-3</v>
      </c>
      <c r="H107" s="43">
        <f t="shared" si="38"/>
        <v>5.5598159509202454E-3</v>
      </c>
      <c r="I107" s="43">
        <f t="shared" si="38"/>
        <v>2.276648773006135E-2</v>
      </c>
      <c r="J107" s="43">
        <f t="shared" si="38"/>
        <v>4.5676763803680985E-2</v>
      </c>
      <c r="K107" s="43">
        <f t="shared" si="38"/>
        <v>9.8255368098159514E-3</v>
      </c>
      <c r="L107" s="43">
        <f t="shared" si="38"/>
        <v>4.1698619631901843E-3</v>
      </c>
      <c r="M107" s="43">
        <f t="shared" si="38"/>
        <v>0.62912193251533743</v>
      </c>
      <c r="N107" s="43">
        <f t="shared" si="38"/>
        <v>9.5858895705521475E-5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0.38524166451279401</v>
      </c>
      <c r="D108" s="44">
        <f t="shared" ref="D108:N108" si="39">D106/$O$106</f>
        <v>5.4665288188162318E-2</v>
      </c>
      <c r="E108" s="44">
        <f t="shared" si="39"/>
        <v>4.6006720082708709E-2</v>
      </c>
      <c r="F108" s="44">
        <f t="shared" si="39"/>
        <v>0.26906177306797624</v>
      </c>
      <c r="G108" s="44">
        <f t="shared" si="39"/>
        <v>7.4954768674075989E-3</v>
      </c>
      <c r="H108" s="44">
        <f t="shared" si="39"/>
        <v>1.4990953734815198E-2</v>
      </c>
      <c r="I108" s="44">
        <f t="shared" si="39"/>
        <v>6.1385370896872578E-2</v>
      </c>
      <c r="J108" s="44">
        <f t="shared" si="39"/>
        <v>0.12315843887309383</v>
      </c>
      <c r="K108" s="44">
        <f t="shared" si="39"/>
        <v>2.6492633755492375E-2</v>
      </c>
      <c r="L108" s="44">
        <f t="shared" si="39"/>
        <v>1.1243215301111399E-2</v>
      </c>
      <c r="M108" s="44"/>
      <c r="N108" s="44">
        <f t="shared" si="39"/>
        <v>2.5846471956577927E-4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honeticPr fontId="14" type="noConversion"/>
  <pageMargins left="0" right="0" top="0" bottom="0" header="0.15748031496063" footer="0.118110236220472"/>
  <pageSetup paperSize="9" scale="40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249977111117893"/>
  </sheetPr>
  <dimension ref="B1:AF174"/>
  <sheetViews>
    <sheetView view="pageBreakPreview" topLeftCell="A74" zoomScale="60" workbookViewId="0">
      <selection activeCell="K5" activeCellId="8" sqref="K5:L5 D6:E6 D6:E6 D5 C3:G3 G6:H6 G5:H5 K6:L6 K5:L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8" t="s">
        <v>23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</row>
    <row r="2" spans="2:32" ht="20.100000000000001" customHeight="1" x14ac:dyDescent="0.25">
      <c r="B2" s="59" t="s">
        <v>95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</row>
    <row r="3" spans="2:32" ht="20.100000000000001" customHeight="1" x14ac:dyDescent="0.25">
      <c r="B3" s="22" t="s">
        <v>96</v>
      </c>
      <c r="C3" s="63" t="str">
        <f>'22.07 Nateete-Ndeeba'!C3:G3</f>
        <v>MCC - C1 - STN07 - MASAKA ROAD</v>
      </c>
      <c r="D3" s="63"/>
      <c r="E3" s="63"/>
      <c r="F3" s="63"/>
      <c r="G3" s="63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51" t="str">
        <f>'26.07 Nateete-Ndeeba-24h'!D5</f>
        <v>26.07.19</v>
      </c>
      <c r="E5" s="3"/>
      <c r="F5" s="41" t="s">
        <v>1</v>
      </c>
      <c r="G5" s="64" t="str">
        <f>'26.07 Nateete-Ndeeba-24h'!G5:H5</f>
        <v>Rhino Funeral Services</v>
      </c>
      <c r="H5" s="65"/>
      <c r="I5" s="14"/>
      <c r="J5" s="2" t="s">
        <v>5</v>
      </c>
      <c r="K5" s="64" t="s">
        <v>181</v>
      </c>
      <c r="L5" s="65"/>
      <c r="M5" s="10"/>
      <c r="N5" s="10"/>
      <c r="O5" s="3"/>
      <c r="P5" s="3"/>
    </row>
    <row r="6" spans="2:32" ht="23.25" customHeight="1" x14ac:dyDescent="0.25">
      <c r="C6" s="2" t="s">
        <v>4</v>
      </c>
      <c r="D6" s="64" t="str">
        <f>'22.07 Ndeeba-Nateete'!D6:E6</f>
        <v>Ndeeba</v>
      </c>
      <c r="E6" s="65"/>
      <c r="F6" s="2" t="s">
        <v>2</v>
      </c>
      <c r="G6" s="64" t="str">
        <f>'23.07 Ndeeba-Nateete'!G6:H6</f>
        <v>Nateete</v>
      </c>
      <c r="H6" s="65"/>
      <c r="J6" s="2" t="s">
        <v>21</v>
      </c>
      <c r="K6" s="64" t="str">
        <f>'26.07 Nateete-Ndeeba-24h'!K6:L6</f>
        <v>Felix</v>
      </c>
      <c r="L6" s="65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7" t="s">
        <v>88</v>
      </c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27</v>
      </c>
      <c r="D10" s="50">
        <v>3</v>
      </c>
      <c r="E10" s="50">
        <v>0</v>
      </c>
      <c r="F10" s="50">
        <v>17</v>
      </c>
      <c r="G10" s="50">
        <v>0</v>
      </c>
      <c r="H10" s="50">
        <v>30</v>
      </c>
      <c r="I10" s="50">
        <v>3</v>
      </c>
      <c r="J10" s="50">
        <v>0</v>
      </c>
      <c r="K10" s="50">
        <v>0</v>
      </c>
      <c r="L10" s="50">
        <v>0</v>
      </c>
      <c r="M10" s="50">
        <v>142</v>
      </c>
      <c r="N10" s="50">
        <v>0</v>
      </c>
      <c r="O10" s="15">
        <f t="shared" ref="O10:O73" si="0">SUM(C10:L10,N10)</f>
        <v>80</v>
      </c>
      <c r="P10" s="15">
        <f t="shared" ref="P10:P73" si="1">SUM(C10:N10)</f>
        <v>222</v>
      </c>
      <c r="R10" s="1" t="s">
        <v>6</v>
      </c>
      <c r="S10" s="17">
        <f t="shared" ref="S10:AF10" si="2">SUM(C10:C13)</f>
        <v>56</v>
      </c>
      <c r="T10" s="17">
        <f t="shared" si="2"/>
        <v>27</v>
      </c>
      <c r="U10" s="17">
        <f t="shared" si="2"/>
        <v>4</v>
      </c>
      <c r="V10" s="17">
        <f t="shared" si="2"/>
        <v>76</v>
      </c>
      <c r="W10" s="17">
        <f t="shared" si="2"/>
        <v>1</v>
      </c>
      <c r="X10" s="17">
        <f t="shared" si="2"/>
        <v>31</v>
      </c>
      <c r="Y10" s="17">
        <f t="shared" si="2"/>
        <v>20</v>
      </c>
      <c r="Z10" s="17">
        <f t="shared" si="2"/>
        <v>5</v>
      </c>
      <c r="AA10" s="17">
        <f t="shared" si="2"/>
        <v>0</v>
      </c>
      <c r="AB10" s="17">
        <f t="shared" si="2"/>
        <v>0</v>
      </c>
      <c r="AC10" s="17">
        <f t="shared" si="2"/>
        <v>581</v>
      </c>
      <c r="AD10" s="17">
        <f t="shared" si="2"/>
        <v>0</v>
      </c>
      <c r="AE10" s="31">
        <f t="shared" si="2"/>
        <v>220</v>
      </c>
      <c r="AF10" s="31">
        <f t="shared" si="2"/>
        <v>801</v>
      </c>
    </row>
    <row r="11" spans="2:32" s="6" customFormat="1" ht="23.1" customHeight="1" x14ac:dyDescent="0.25">
      <c r="B11" s="45" t="s">
        <v>38</v>
      </c>
      <c r="C11" s="50">
        <v>5</v>
      </c>
      <c r="D11" s="50">
        <v>4</v>
      </c>
      <c r="E11" s="50">
        <v>0</v>
      </c>
      <c r="F11" s="50">
        <v>12</v>
      </c>
      <c r="G11" s="50">
        <v>0</v>
      </c>
      <c r="H11" s="50">
        <v>0</v>
      </c>
      <c r="I11" s="50">
        <v>4</v>
      </c>
      <c r="J11" s="50">
        <v>0</v>
      </c>
      <c r="K11" s="50">
        <v>0</v>
      </c>
      <c r="L11" s="50">
        <v>0</v>
      </c>
      <c r="M11" s="50">
        <v>80</v>
      </c>
      <c r="N11" s="50">
        <v>0</v>
      </c>
      <c r="O11" s="15">
        <f t="shared" si="0"/>
        <v>25</v>
      </c>
      <c r="P11" s="15">
        <f t="shared" si="1"/>
        <v>105</v>
      </c>
      <c r="R11" s="1" t="s">
        <v>7</v>
      </c>
      <c r="S11" s="17">
        <f t="shared" ref="S11:AF11" si="3">SUM(C14:C17)</f>
        <v>78</v>
      </c>
      <c r="T11" s="17">
        <f t="shared" si="3"/>
        <v>54</v>
      </c>
      <c r="U11" s="17">
        <f t="shared" si="3"/>
        <v>14</v>
      </c>
      <c r="V11" s="17">
        <f t="shared" si="3"/>
        <v>269</v>
      </c>
      <c r="W11" s="17">
        <f t="shared" si="3"/>
        <v>5</v>
      </c>
      <c r="X11" s="17">
        <f t="shared" si="3"/>
        <v>0</v>
      </c>
      <c r="Y11" s="17">
        <f t="shared" si="3"/>
        <v>45</v>
      </c>
      <c r="Z11" s="17">
        <f t="shared" si="3"/>
        <v>12</v>
      </c>
      <c r="AA11" s="17">
        <f t="shared" si="3"/>
        <v>10</v>
      </c>
      <c r="AB11" s="17">
        <f t="shared" si="3"/>
        <v>3</v>
      </c>
      <c r="AC11" s="17">
        <f t="shared" si="3"/>
        <v>935</v>
      </c>
      <c r="AD11" s="17">
        <f t="shared" si="3"/>
        <v>0</v>
      </c>
      <c r="AE11" s="31">
        <f t="shared" si="3"/>
        <v>490</v>
      </c>
      <c r="AF11" s="31">
        <f t="shared" si="3"/>
        <v>1425</v>
      </c>
    </row>
    <row r="12" spans="2:32" ht="23.1" customHeight="1" x14ac:dyDescent="0.25">
      <c r="B12" s="45" t="s">
        <v>39</v>
      </c>
      <c r="C12" s="50">
        <v>18</v>
      </c>
      <c r="D12" s="50">
        <v>8</v>
      </c>
      <c r="E12" s="50">
        <v>3</v>
      </c>
      <c r="F12" s="50">
        <v>27</v>
      </c>
      <c r="G12" s="50">
        <v>0</v>
      </c>
      <c r="H12" s="50">
        <v>1</v>
      </c>
      <c r="I12" s="50">
        <v>6</v>
      </c>
      <c r="J12" s="50">
        <v>3</v>
      </c>
      <c r="K12" s="50">
        <v>0</v>
      </c>
      <c r="L12" s="50">
        <v>0</v>
      </c>
      <c r="M12" s="50">
        <v>122</v>
      </c>
      <c r="N12" s="50">
        <v>0</v>
      </c>
      <c r="O12" s="15">
        <f t="shared" si="0"/>
        <v>66</v>
      </c>
      <c r="P12" s="15">
        <f t="shared" si="1"/>
        <v>188</v>
      </c>
      <c r="R12" s="1" t="s">
        <v>8</v>
      </c>
      <c r="S12" s="17">
        <f t="shared" ref="S12:AF12" si="4">SUM(C18:C21)</f>
        <v>78</v>
      </c>
      <c r="T12" s="17">
        <f t="shared" si="4"/>
        <v>77</v>
      </c>
      <c r="U12" s="17">
        <f t="shared" si="4"/>
        <v>10</v>
      </c>
      <c r="V12" s="17">
        <f t="shared" si="4"/>
        <v>178</v>
      </c>
      <c r="W12" s="17">
        <f t="shared" si="4"/>
        <v>8</v>
      </c>
      <c r="X12" s="17">
        <f t="shared" si="4"/>
        <v>0</v>
      </c>
      <c r="Y12" s="17">
        <f t="shared" si="4"/>
        <v>86</v>
      </c>
      <c r="Z12" s="17">
        <f t="shared" si="4"/>
        <v>18</v>
      </c>
      <c r="AA12" s="17">
        <f t="shared" si="4"/>
        <v>0</v>
      </c>
      <c r="AB12" s="17">
        <f t="shared" si="4"/>
        <v>1</v>
      </c>
      <c r="AC12" s="17">
        <f t="shared" si="4"/>
        <v>850</v>
      </c>
      <c r="AD12" s="17">
        <f t="shared" si="4"/>
        <v>0</v>
      </c>
      <c r="AE12" s="31">
        <f t="shared" si="4"/>
        <v>456</v>
      </c>
      <c r="AF12" s="31">
        <f t="shared" si="4"/>
        <v>1306</v>
      </c>
    </row>
    <row r="13" spans="2:32" ht="23.1" customHeight="1" x14ac:dyDescent="0.25">
      <c r="B13" s="45" t="s">
        <v>40</v>
      </c>
      <c r="C13" s="50">
        <v>6</v>
      </c>
      <c r="D13" s="50">
        <v>12</v>
      </c>
      <c r="E13" s="50">
        <v>1</v>
      </c>
      <c r="F13" s="50">
        <v>20</v>
      </c>
      <c r="G13" s="50">
        <v>1</v>
      </c>
      <c r="H13" s="50">
        <v>0</v>
      </c>
      <c r="I13" s="50">
        <v>7</v>
      </c>
      <c r="J13" s="50">
        <v>2</v>
      </c>
      <c r="K13" s="50">
        <v>0</v>
      </c>
      <c r="L13" s="50">
        <v>0</v>
      </c>
      <c r="M13" s="50">
        <v>237</v>
      </c>
      <c r="N13" s="50">
        <v>0</v>
      </c>
      <c r="O13" s="15">
        <f t="shared" si="0"/>
        <v>49</v>
      </c>
      <c r="P13" s="15">
        <f t="shared" si="1"/>
        <v>286</v>
      </c>
      <c r="R13" s="1" t="s">
        <v>9</v>
      </c>
      <c r="S13" s="17">
        <f t="shared" ref="S13:AF13" si="5">SUM(C22:C25)</f>
        <v>80</v>
      </c>
      <c r="T13" s="17">
        <f t="shared" si="5"/>
        <v>18</v>
      </c>
      <c r="U13" s="17">
        <f t="shared" si="5"/>
        <v>10</v>
      </c>
      <c r="V13" s="17">
        <f t="shared" si="5"/>
        <v>113</v>
      </c>
      <c r="W13" s="17">
        <f t="shared" si="5"/>
        <v>3</v>
      </c>
      <c r="X13" s="17">
        <f t="shared" si="5"/>
        <v>1</v>
      </c>
      <c r="Y13" s="17">
        <f t="shared" si="5"/>
        <v>60</v>
      </c>
      <c r="Z13" s="17">
        <f t="shared" si="5"/>
        <v>16</v>
      </c>
      <c r="AA13" s="17">
        <f t="shared" si="5"/>
        <v>7</v>
      </c>
      <c r="AB13" s="17">
        <f t="shared" si="5"/>
        <v>1</v>
      </c>
      <c r="AC13" s="17">
        <f t="shared" si="5"/>
        <v>548</v>
      </c>
      <c r="AD13" s="17">
        <f t="shared" si="5"/>
        <v>0</v>
      </c>
      <c r="AE13" s="31">
        <f t="shared" si="5"/>
        <v>309</v>
      </c>
      <c r="AF13" s="31">
        <f t="shared" si="5"/>
        <v>857</v>
      </c>
    </row>
    <row r="14" spans="2:32" ht="23.1" customHeight="1" x14ac:dyDescent="0.25">
      <c r="B14" s="45" t="s">
        <v>41</v>
      </c>
      <c r="C14" s="50">
        <v>17</v>
      </c>
      <c r="D14" s="50">
        <v>14</v>
      </c>
      <c r="E14" s="50">
        <v>1</v>
      </c>
      <c r="F14" s="50">
        <v>37</v>
      </c>
      <c r="G14" s="50">
        <v>1</v>
      </c>
      <c r="H14" s="50">
        <v>0</v>
      </c>
      <c r="I14" s="50">
        <v>6</v>
      </c>
      <c r="J14" s="50">
        <v>2</v>
      </c>
      <c r="K14" s="50">
        <v>4</v>
      </c>
      <c r="L14" s="50">
        <v>1</v>
      </c>
      <c r="M14" s="50">
        <v>285</v>
      </c>
      <c r="N14" s="50">
        <v>0</v>
      </c>
      <c r="O14" s="15">
        <f t="shared" si="0"/>
        <v>83</v>
      </c>
      <c r="P14" s="15">
        <f t="shared" si="1"/>
        <v>368</v>
      </c>
      <c r="R14" s="1" t="s">
        <v>10</v>
      </c>
      <c r="S14" s="17">
        <f t="shared" ref="S14:AF14" si="6">SUM(C26:C29)</f>
        <v>62</v>
      </c>
      <c r="T14" s="17">
        <f t="shared" si="6"/>
        <v>46</v>
      </c>
      <c r="U14" s="17">
        <f t="shared" si="6"/>
        <v>17</v>
      </c>
      <c r="V14" s="17">
        <f t="shared" si="6"/>
        <v>98</v>
      </c>
      <c r="W14" s="17">
        <f t="shared" si="6"/>
        <v>4</v>
      </c>
      <c r="X14" s="17">
        <f t="shared" si="6"/>
        <v>0</v>
      </c>
      <c r="Y14" s="17">
        <f t="shared" si="6"/>
        <v>49</v>
      </c>
      <c r="Z14" s="17">
        <f t="shared" si="6"/>
        <v>17</v>
      </c>
      <c r="AA14" s="17">
        <f t="shared" si="6"/>
        <v>4</v>
      </c>
      <c r="AB14" s="17">
        <f t="shared" si="6"/>
        <v>1</v>
      </c>
      <c r="AC14" s="17">
        <f t="shared" si="6"/>
        <v>677</v>
      </c>
      <c r="AD14" s="17">
        <f t="shared" si="6"/>
        <v>0</v>
      </c>
      <c r="AE14" s="31">
        <f t="shared" si="6"/>
        <v>298</v>
      </c>
      <c r="AF14" s="31">
        <f t="shared" si="6"/>
        <v>975</v>
      </c>
    </row>
    <row r="15" spans="2:32" ht="23.1" customHeight="1" x14ac:dyDescent="0.25">
      <c r="B15" s="45" t="s">
        <v>42</v>
      </c>
      <c r="C15" s="50">
        <v>20</v>
      </c>
      <c r="D15" s="50">
        <v>21</v>
      </c>
      <c r="E15" s="50">
        <v>4</v>
      </c>
      <c r="F15" s="50">
        <v>70</v>
      </c>
      <c r="G15" s="50">
        <v>2</v>
      </c>
      <c r="H15" s="50">
        <v>0</v>
      </c>
      <c r="I15" s="50">
        <v>16</v>
      </c>
      <c r="J15" s="50">
        <v>6</v>
      </c>
      <c r="K15" s="50">
        <v>1</v>
      </c>
      <c r="L15" s="50">
        <v>1</v>
      </c>
      <c r="M15" s="50">
        <v>175</v>
      </c>
      <c r="N15" s="50">
        <v>0</v>
      </c>
      <c r="O15" s="15">
        <f t="shared" si="0"/>
        <v>141</v>
      </c>
      <c r="P15" s="15">
        <f t="shared" si="1"/>
        <v>316</v>
      </c>
      <c r="R15" s="1" t="s">
        <v>11</v>
      </c>
      <c r="S15" s="17">
        <f t="shared" ref="S15:AF15" si="7">SUM(C30:C33)</f>
        <v>60</v>
      </c>
      <c r="T15" s="17">
        <f t="shared" si="7"/>
        <v>35</v>
      </c>
      <c r="U15" s="17">
        <f t="shared" si="7"/>
        <v>6</v>
      </c>
      <c r="V15" s="17">
        <f t="shared" si="7"/>
        <v>177</v>
      </c>
      <c r="W15" s="17">
        <f t="shared" si="7"/>
        <v>3</v>
      </c>
      <c r="X15" s="17">
        <f t="shared" si="7"/>
        <v>0</v>
      </c>
      <c r="Y15" s="17">
        <f t="shared" si="7"/>
        <v>35</v>
      </c>
      <c r="Z15" s="17">
        <f t="shared" si="7"/>
        <v>14</v>
      </c>
      <c r="AA15" s="17">
        <f t="shared" si="7"/>
        <v>3</v>
      </c>
      <c r="AB15" s="17">
        <f t="shared" si="7"/>
        <v>5</v>
      </c>
      <c r="AC15" s="17">
        <f t="shared" si="7"/>
        <v>681</v>
      </c>
      <c r="AD15" s="17">
        <f t="shared" si="7"/>
        <v>0</v>
      </c>
      <c r="AE15" s="31">
        <f t="shared" si="7"/>
        <v>338</v>
      </c>
      <c r="AF15" s="31">
        <f t="shared" si="7"/>
        <v>1019</v>
      </c>
    </row>
    <row r="16" spans="2:32" ht="23.1" customHeight="1" x14ac:dyDescent="0.25">
      <c r="B16" s="45" t="s">
        <v>43</v>
      </c>
      <c r="C16" s="50">
        <v>19</v>
      </c>
      <c r="D16" s="50">
        <v>10</v>
      </c>
      <c r="E16" s="50">
        <v>6</v>
      </c>
      <c r="F16" s="50">
        <v>50</v>
      </c>
      <c r="G16" s="50">
        <v>1</v>
      </c>
      <c r="H16" s="50">
        <v>0</v>
      </c>
      <c r="I16" s="50">
        <v>11</v>
      </c>
      <c r="J16" s="50">
        <v>3</v>
      </c>
      <c r="K16" s="50">
        <v>5</v>
      </c>
      <c r="L16" s="50">
        <v>0</v>
      </c>
      <c r="M16" s="50">
        <v>149</v>
      </c>
      <c r="N16" s="50">
        <v>0</v>
      </c>
      <c r="O16" s="15">
        <f t="shared" si="0"/>
        <v>105</v>
      </c>
      <c r="P16" s="15">
        <f t="shared" si="1"/>
        <v>254</v>
      </c>
      <c r="R16" s="1" t="s">
        <v>12</v>
      </c>
      <c r="S16" s="17">
        <f t="shared" ref="S16:AF16" si="8">SUM(C34:C37)</f>
        <v>31</v>
      </c>
      <c r="T16" s="17">
        <f t="shared" si="8"/>
        <v>20</v>
      </c>
      <c r="U16" s="17">
        <f t="shared" si="8"/>
        <v>21</v>
      </c>
      <c r="V16" s="17">
        <f t="shared" si="8"/>
        <v>88</v>
      </c>
      <c r="W16" s="17">
        <f t="shared" si="8"/>
        <v>1</v>
      </c>
      <c r="X16" s="17">
        <f t="shared" si="8"/>
        <v>0</v>
      </c>
      <c r="Y16" s="17">
        <f t="shared" si="8"/>
        <v>33</v>
      </c>
      <c r="Z16" s="17">
        <f t="shared" si="8"/>
        <v>13</v>
      </c>
      <c r="AA16" s="17">
        <f t="shared" si="8"/>
        <v>2</v>
      </c>
      <c r="AB16" s="17">
        <f t="shared" si="8"/>
        <v>2</v>
      </c>
      <c r="AC16" s="17">
        <f t="shared" si="8"/>
        <v>483</v>
      </c>
      <c r="AD16" s="17">
        <f t="shared" si="8"/>
        <v>0</v>
      </c>
      <c r="AE16" s="31">
        <f t="shared" si="8"/>
        <v>211</v>
      </c>
      <c r="AF16" s="31">
        <f t="shared" si="8"/>
        <v>694</v>
      </c>
    </row>
    <row r="17" spans="2:32" ht="23.1" customHeight="1" x14ac:dyDescent="0.25">
      <c r="B17" s="45" t="s">
        <v>44</v>
      </c>
      <c r="C17" s="50">
        <v>22</v>
      </c>
      <c r="D17" s="50">
        <v>9</v>
      </c>
      <c r="E17" s="50">
        <v>3</v>
      </c>
      <c r="F17" s="50">
        <v>112</v>
      </c>
      <c r="G17" s="50">
        <v>1</v>
      </c>
      <c r="H17" s="50">
        <v>0</v>
      </c>
      <c r="I17" s="50">
        <v>12</v>
      </c>
      <c r="J17" s="50">
        <v>1</v>
      </c>
      <c r="K17" s="50">
        <v>0</v>
      </c>
      <c r="L17" s="50">
        <v>1</v>
      </c>
      <c r="M17" s="50">
        <v>326</v>
      </c>
      <c r="N17" s="50">
        <v>0</v>
      </c>
      <c r="O17" s="15">
        <f t="shared" si="0"/>
        <v>161</v>
      </c>
      <c r="P17" s="15">
        <f t="shared" si="1"/>
        <v>487</v>
      </c>
      <c r="R17" s="1" t="s">
        <v>13</v>
      </c>
      <c r="S17" s="17">
        <f t="shared" ref="S17:AF17" si="9">SUM(C38:C41)</f>
        <v>72</v>
      </c>
      <c r="T17" s="17">
        <f t="shared" si="9"/>
        <v>38</v>
      </c>
      <c r="U17" s="17">
        <f t="shared" si="9"/>
        <v>15</v>
      </c>
      <c r="V17" s="17">
        <f t="shared" si="9"/>
        <v>92</v>
      </c>
      <c r="W17" s="17">
        <f t="shared" si="9"/>
        <v>2</v>
      </c>
      <c r="X17" s="17">
        <f t="shared" si="9"/>
        <v>0</v>
      </c>
      <c r="Y17" s="17">
        <f t="shared" si="9"/>
        <v>50</v>
      </c>
      <c r="Z17" s="17">
        <f t="shared" si="9"/>
        <v>20</v>
      </c>
      <c r="AA17" s="17">
        <f t="shared" si="9"/>
        <v>1</v>
      </c>
      <c r="AB17" s="17">
        <f t="shared" si="9"/>
        <v>0</v>
      </c>
      <c r="AC17" s="17">
        <f t="shared" si="9"/>
        <v>478</v>
      </c>
      <c r="AD17" s="17">
        <f t="shared" si="9"/>
        <v>0</v>
      </c>
      <c r="AE17" s="31">
        <f t="shared" si="9"/>
        <v>290</v>
      </c>
      <c r="AF17" s="31">
        <f t="shared" si="9"/>
        <v>768</v>
      </c>
    </row>
    <row r="18" spans="2:32" ht="23.1" customHeight="1" x14ac:dyDescent="0.25">
      <c r="B18" s="45" t="s">
        <v>45</v>
      </c>
      <c r="C18" s="50">
        <v>13</v>
      </c>
      <c r="D18" s="50">
        <v>24</v>
      </c>
      <c r="E18" s="50">
        <v>5</v>
      </c>
      <c r="F18" s="50">
        <v>65</v>
      </c>
      <c r="G18" s="50">
        <v>0</v>
      </c>
      <c r="H18" s="50">
        <v>0</v>
      </c>
      <c r="I18" s="50">
        <v>43</v>
      </c>
      <c r="J18" s="50">
        <v>3</v>
      </c>
      <c r="K18" s="50">
        <v>0</v>
      </c>
      <c r="L18" s="50">
        <v>0</v>
      </c>
      <c r="M18" s="50">
        <v>291</v>
      </c>
      <c r="N18" s="50">
        <v>0</v>
      </c>
      <c r="O18" s="15">
        <f t="shared" si="0"/>
        <v>153</v>
      </c>
      <c r="P18" s="15">
        <f t="shared" si="1"/>
        <v>444</v>
      </c>
      <c r="R18" s="1" t="s">
        <v>14</v>
      </c>
      <c r="S18" s="17">
        <f t="shared" ref="S18:AF18" si="10">SUM(C42:C45)</f>
        <v>44</v>
      </c>
      <c r="T18" s="17">
        <f t="shared" si="10"/>
        <v>22</v>
      </c>
      <c r="U18" s="17">
        <f t="shared" si="10"/>
        <v>11</v>
      </c>
      <c r="V18" s="17">
        <f t="shared" si="10"/>
        <v>57</v>
      </c>
      <c r="W18" s="17">
        <f t="shared" si="10"/>
        <v>0</v>
      </c>
      <c r="X18" s="17">
        <f t="shared" si="10"/>
        <v>0</v>
      </c>
      <c r="Y18" s="17">
        <f t="shared" si="10"/>
        <v>34</v>
      </c>
      <c r="Z18" s="17">
        <f t="shared" si="10"/>
        <v>15</v>
      </c>
      <c r="AA18" s="17">
        <f t="shared" si="10"/>
        <v>2</v>
      </c>
      <c r="AB18" s="17">
        <f t="shared" si="10"/>
        <v>2</v>
      </c>
      <c r="AC18" s="17">
        <f t="shared" si="10"/>
        <v>253</v>
      </c>
      <c r="AD18" s="17">
        <f t="shared" si="10"/>
        <v>0</v>
      </c>
      <c r="AE18" s="31">
        <f t="shared" si="10"/>
        <v>187</v>
      </c>
      <c r="AF18" s="31">
        <f t="shared" si="10"/>
        <v>440</v>
      </c>
    </row>
    <row r="19" spans="2:32" ht="23.1" customHeight="1" x14ac:dyDescent="0.25">
      <c r="B19" s="45" t="s">
        <v>46</v>
      </c>
      <c r="C19" s="50">
        <v>25</v>
      </c>
      <c r="D19" s="50">
        <v>19</v>
      </c>
      <c r="E19" s="50">
        <v>2</v>
      </c>
      <c r="F19" s="50">
        <v>42</v>
      </c>
      <c r="G19" s="50">
        <v>2</v>
      </c>
      <c r="H19" s="50">
        <v>0</v>
      </c>
      <c r="I19" s="50">
        <v>18</v>
      </c>
      <c r="J19" s="50">
        <v>2</v>
      </c>
      <c r="K19" s="50">
        <v>0</v>
      </c>
      <c r="L19" s="50">
        <v>0</v>
      </c>
      <c r="M19" s="50">
        <v>189</v>
      </c>
      <c r="N19" s="50">
        <v>0</v>
      </c>
      <c r="O19" s="15">
        <f t="shared" si="0"/>
        <v>110</v>
      </c>
      <c r="P19" s="15">
        <f t="shared" si="1"/>
        <v>299</v>
      </c>
      <c r="R19" s="1" t="s">
        <v>15</v>
      </c>
      <c r="S19" s="17">
        <f t="shared" ref="S19:AF19" si="11">SUM(C46:C49)</f>
        <v>48</v>
      </c>
      <c r="T19" s="17">
        <f t="shared" si="11"/>
        <v>23</v>
      </c>
      <c r="U19" s="17">
        <f t="shared" si="11"/>
        <v>15</v>
      </c>
      <c r="V19" s="17">
        <f t="shared" si="11"/>
        <v>41</v>
      </c>
      <c r="W19" s="17">
        <f t="shared" si="11"/>
        <v>2</v>
      </c>
      <c r="X19" s="17">
        <f t="shared" si="11"/>
        <v>3</v>
      </c>
      <c r="Y19" s="17">
        <f t="shared" si="11"/>
        <v>36</v>
      </c>
      <c r="Z19" s="17">
        <f t="shared" si="11"/>
        <v>3</v>
      </c>
      <c r="AA19" s="17">
        <f t="shared" si="11"/>
        <v>0</v>
      </c>
      <c r="AB19" s="17">
        <f t="shared" si="11"/>
        <v>0</v>
      </c>
      <c r="AC19" s="17">
        <f t="shared" si="11"/>
        <v>285</v>
      </c>
      <c r="AD19" s="17">
        <f t="shared" si="11"/>
        <v>0</v>
      </c>
      <c r="AE19" s="31">
        <f t="shared" si="11"/>
        <v>171</v>
      </c>
      <c r="AF19" s="31">
        <f t="shared" si="11"/>
        <v>456</v>
      </c>
    </row>
    <row r="20" spans="2:32" ht="23.1" customHeight="1" x14ac:dyDescent="0.25">
      <c r="B20" s="45" t="s">
        <v>47</v>
      </c>
      <c r="C20" s="50">
        <v>21</v>
      </c>
      <c r="D20" s="50">
        <v>13</v>
      </c>
      <c r="E20" s="50">
        <v>3</v>
      </c>
      <c r="F20" s="50">
        <v>44</v>
      </c>
      <c r="G20" s="50">
        <v>4</v>
      </c>
      <c r="H20" s="50">
        <v>0</v>
      </c>
      <c r="I20" s="50">
        <v>8</v>
      </c>
      <c r="J20" s="50">
        <v>7</v>
      </c>
      <c r="K20" s="50">
        <v>0</v>
      </c>
      <c r="L20" s="50">
        <v>0</v>
      </c>
      <c r="M20" s="50">
        <v>175</v>
      </c>
      <c r="N20" s="50">
        <v>0</v>
      </c>
      <c r="O20" s="15">
        <f t="shared" si="0"/>
        <v>100</v>
      </c>
      <c r="P20" s="15">
        <f t="shared" si="1"/>
        <v>275</v>
      </c>
      <c r="R20" s="1" t="s">
        <v>16</v>
      </c>
      <c r="S20" s="17">
        <f t="shared" ref="S20:AF20" si="12">SUM(C50:C53)</f>
        <v>74</v>
      </c>
      <c r="T20" s="17">
        <f t="shared" si="12"/>
        <v>22</v>
      </c>
      <c r="U20" s="17">
        <f t="shared" si="12"/>
        <v>13</v>
      </c>
      <c r="V20" s="17">
        <f t="shared" si="12"/>
        <v>96</v>
      </c>
      <c r="W20" s="17">
        <f t="shared" si="12"/>
        <v>0</v>
      </c>
      <c r="X20" s="17">
        <f t="shared" si="12"/>
        <v>3</v>
      </c>
      <c r="Y20" s="17">
        <f t="shared" si="12"/>
        <v>75</v>
      </c>
      <c r="Z20" s="17">
        <f t="shared" si="12"/>
        <v>4</v>
      </c>
      <c r="AA20" s="17">
        <f t="shared" si="12"/>
        <v>6</v>
      </c>
      <c r="AB20" s="17">
        <f t="shared" si="12"/>
        <v>1</v>
      </c>
      <c r="AC20" s="17">
        <f t="shared" si="12"/>
        <v>741</v>
      </c>
      <c r="AD20" s="17">
        <f t="shared" si="12"/>
        <v>0</v>
      </c>
      <c r="AE20" s="31">
        <f t="shared" si="12"/>
        <v>294</v>
      </c>
      <c r="AF20" s="31">
        <f t="shared" si="12"/>
        <v>1035</v>
      </c>
    </row>
    <row r="21" spans="2:32" ht="23.1" customHeight="1" x14ac:dyDescent="0.25">
      <c r="B21" s="45" t="s">
        <v>48</v>
      </c>
      <c r="C21" s="50">
        <v>19</v>
      </c>
      <c r="D21" s="50">
        <v>21</v>
      </c>
      <c r="E21" s="50">
        <v>0</v>
      </c>
      <c r="F21" s="50">
        <v>27</v>
      </c>
      <c r="G21" s="50">
        <v>2</v>
      </c>
      <c r="H21" s="50">
        <v>0</v>
      </c>
      <c r="I21" s="50">
        <v>17</v>
      </c>
      <c r="J21" s="50">
        <v>6</v>
      </c>
      <c r="K21" s="50">
        <v>0</v>
      </c>
      <c r="L21" s="50">
        <v>1</v>
      </c>
      <c r="M21" s="50">
        <v>195</v>
      </c>
      <c r="N21" s="50">
        <v>0</v>
      </c>
      <c r="O21" s="15">
        <f t="shared" si="0"/>
        <v>93</v>
      </c>
      <c r="P21" s="15">
        <f t="shared" si="1"/>
        <v>288</v>
      </c>
      <c r="R21" s="36" t="s">
        <v>20</v>
      </c>
      <c r="S21" s="34">
        <f t="shared" ref="S21:AF21" si="13">SUM(C54:C57)</f>
        <v>93</v>
      </c>
      <c r="T21" s="17">
        <f t="shared" si="13"/>
        <v>26</v>
      </c>
      <c r="U21" s="17">
        <f t="shared" si="13"/>
        <v>20</v>
      </c>
      <c r="V21" s="17">
        <f t="shared" si="13"/>
        <v>155</v>
      </c>
      <c r="W21" s="17">
        <f t="shared" si="13"/>
        <v>5</v>
      </c>
      <c r="X21" s="17">
        <f t="shared" si="13"/>
        <v>0</v>
      </c>
      <c r="Y21" s="17">
        <f t="shared" si="13"/>
        <v>67</v>
      </c>
      <c r="Z21" s="17">
        <f t="shared" si="13"/>
        <v>23</v>
      </c>
      <c r="AA21" s="17">
        <f t="shared" si="13"/>
        <v>0</v>
      </c>
      <c r="AB21" s="17">
        <f t="shared" si="13"/>
        <v>4</v>
      </c>
      <c r="AC21" s="17">
        <f t="shared" si="13"/>
        <v>569</v>
      </c>
      <c r="AD21" s="17">
        <f t="shared" si="13"/>
        <v>0</v>
      </c>
      <c r="AE21" s="31">
        <f t="shared" si="13"/>
        <v>393</v>
      </c>
      <c r="AF21" s="31">
        <f t="shared" si="13"/>
        <v>962</v>
      </c>
    </row>
    <row r="22" spans="2:32" ht="23.1" customHeight="1" x14ac:dyDescent="0.25">
      <c r="B22" s="45" t="s">
        <v>49</v>
      </c>
      <c r="C22" s="50">
        <v>32</v>
      </c>
      <c r="D22" s="50">
        <v>4</v>
      </c>
      <c r="E22" s="50">
        <v>3</v>
      </c>
      <c r="F22" s="50">
        <v>23</v>
      </c>
      <c r="G22" s="50">
        <v>3</v>
      </c>
      <c r="H22" s="50">
        <v>0</v>
      </c>
      <c r="I22" s="50">
        <v>16</v>
      </c>
      <c r="J22" s="50">
        <v>4</v>
      </c>
      <c r="K22" s="50">
        <v>7</v>
      </c>
      <c r="L22" s="50">
        <v>0</v>
      </c>
      <c r="M22" s="50">
        <v>154</v>
      </c>
      <c r="N22" s="50">
        <v>0</v>
      </c>
      <c r="O22" s="15">
        <f t="shared" si="0"/>
        <v>92</v>
      </c>
      <c r="P22" s="15">
        <f t="shared" si="1"/>
        <v>246</v>
      </c>
      <c r="R22" s="36" t="s">
        <v>146</v>
      </c>
      <c r="S22" s="34">
        <f>SUM(C58:C61)</f>
        <v>119</v>
      </c>
      <c r="T22" s="34">
        <f t="shared" ref="T22:AF22" si="14">SUM(D58:D61)</f>
        <v>9</v>
      </c>
      <c r="U22" s="34">
        <f t="shared" si="14"/>
        <v>10</v>
      </c>
      <c r="V22" s="34">
        <f t="shared" si="14"/>
        <v>63</v>
      </c>
      <c r="W22" s="34">
        <f t="shared" si="14"/>
        <v>1</v>
      </c>
      <c r="X22" s="34">
        <f t="shared" si="14"/>
        <v>0</v>
      </c>
      <c r="Y22" s="34">
        <f t="shared" si="14"/>
        <v>28</v>
      </c>
      <c r="Z22" s="34">
        <f t="shared" si="14"/>
        <v>20</v>
      </c>
      <c r="AA22" s="34">
        <f t="shared" si="14"/>
        <v>9</v>
      </c>
      <c r="AB22" s="34">
        <f t="shared" si="14"/>
        <v>9</v>
      </c>
      <c r="AC22" s="34">
        <f t="shared" si="14"/>
        <v>590</v>
      </c>
      <c r="AD22" s="34">
        <f t="shared" si="14"/>
        <v>0</v>
      </c>
      <c r="AE22" s="31">
        <f t="shared" si="14"/>
        <v>268</v>
      </c>
      <c r="AF22" s="31">
        <f t="shared" si="14"/>
        <v>858</v>
      </c>
    </row>
    <row r="23" spans="2:32" ht="23.1" customHeight="1" x14ac:dyDescent="0.25">
      <c r="B23" s="45" t="s">
        <v>50</v>
      </c>
      <c r="C23" s="50">
        <v>21</v>
      </c>
      <c r="D23" s="50">
        <v>6</v>
      </c>
      <c r="E23" s="50">
        <v>1</v>
      </c>
      <c r="F23" s="50">
        <v>43</v>
      </c>
      <c r="G23" s="50">
        <v>0</v>
      </c>
      <c r="H23" s="50">
        <v>0</v>
      </c>
      <c r="I23" s="50">
        <v>16</v>
      </c>
      <c r="J23" s="50">
        <v>8</v>
      </c>
      <c r="K23" s="50">
        <v>0</v>
      </c>
      <c r="L23" s="50">
        <v>1</v>
      </c>
      <c r="M23" s="50">
        <v>122</v>
      </c>
      <c r="N23" s="50">
        <v>0</v>
      </c>
      <c r="O23" s="15">
        <f t="shared" si="0"/>
        <v>96</v>
      </c>
      <c r="P23" s="15">
        <f t="shared" si="1"/>
        <v>218</v>
      </c>
      <c r="R23" s="36" t="s">
        <v>147</v>
      </c>
      <c r="S23" s="34">
        <f>SUM(C62:C65)</f>
        <v>100</v>
      </c>
      <c r="T23" s="34">
        <f t="shared" ref="T23:AF23" si="15">SUM(D62:D65)</f>
        <v>11</v>
      </c>
      <c r="U23" s="34">
        <f t="shared" si="15"/>
        <v>3</v>
      </c>
      <c r="V23" s="34">
        <f t="shared" si="15"/>
        <v>65</v>
      </c>
      <c r="W23" s="34">
        <f t="shared" si="15"/>
        <v>2</v>
      </c>
      <c r="X23" s="34">
        <f t="shared" si="15"/>
        <v>4</v>
      </c>
      <c r="Y23" s="34">
        <f t="shared" si="15"/>
        <v>26</v>
      </c>
      <c r="Z23" s="34">
        <f t="shared" si="15"/>
        <v>16</v>
      </c>
      <c r="AA23" s="34">
        <f t="shared" si="15"/>
        <v>5</v>
      </c>
      <c r="AB23" s="34">
        <f t="shared" si="15"/>
        <v>5</v>
      </c>
      <c r="AC23" s="34">
        <f t="shared" si="15"/>
        <v>552</v>
      </c>
      <c r="AD23" s="34">
        <f t="shared" si="15"/>
        <v>0</v>
      </c>
      <c r="AE23" s="31">
        <f t="shared" si="15"/>
        <v>237</v>
      </c>
      <c r="AF23" s="31">
        <f t="shared" si="15"/>
        <v>789</v>
      </c>
    </row>
    <row r="24" spans="2:32" ht="23.1" customHeight="1" x14ac:dyDescent="0.25">
      <c r="B24" s="45" t="s">
        <v>51</v>
      </c>
      <c r="C24" s="50">
        <v>13</v>
      </c>
      <c r="D24" s="50">
        <v>0</v>
      </c>
      <c r="E24" s="50">
        <v>3</v>
      </c>
      <c r="F24" s="50">
        <v>18</v>
      </c>
      <c r="G24" s="50">
        <v>0</v>
      </c>
      <c r="H24" s="50">
        <v>1</v>
      </c>
      <c r="I24" s="50">
        <v>8</v>
      </c>
      <c r="J24" s="50">
        <v>2</v>
      </c>
      <c r="K24" s="50">
        <v>0</v>
      </c>
      <c r="L24" s="50">
        <v>0</v>
      </c>
      <c r="M24" s="50">
        <v>104</v>
      </c>
      <c r="N24" s="50">
        <v>0</v>
      </c>
      <c r="O24" s="15">
        <f t="shared" si="0"/>
        <v>45</v>
      </c>
      <c r="P24" s="15">
        <f t="shared" si="1"/>
        <v>149</v>
      </c>
      <c r="R24" s="36" t="s">
        <v>148</v>
      </c>
      <c r="S24" s="34">
        <f>SUM(C66:C69)</f>
        <v>134</v>
      </c>
      <c r="T24" s="34">
        <f t="shared" ref="T24:AF24" si="16">SUM(D66:D69)</f>
        <v>21</v>
      </c>
      <c r="U24" s="34">
        <f t="shared" si="16"/>
        <v>11</v>
      </c>
      <c r="V24" s="34">
        <f t="shared" si="16"/>
        <v>62</v>
      </c>
      <c r="W24" s="34">
        <f t="shared" si="16"/>
        <v>3</v>
      </c>
      <c r="X24" s="34">
        <f t="shared" si="16"/>
        <v>2</v>
      </c>
      <c r="Y24" s="34">
        <f t="shared" si="16"/>
        <v>25</v>
      </c>
      <c r="Z24" s="34">
        <f t="shared" si="16"/>
        <v>26</v>
      </c>
      <c r="AA24" s="34">
        <f t="shared" si="16"/>
        <v>4</v>
      </c>
      <c r="AB24" s="34">
        <f t="shared" si="16"/>
        <v>5</v>
      </c>
      <c r="AC24" s="34">
        <f t="shared" si="16"/>
        <v>670</v>
      </c>
      <c r="AD24" s="34">
        <f t="shared" si="16"/>
        <v>0</v>
      </c>
      <c r="AE24" s="31">
        <f t="shared" si="16"/>
        <v>293</v>
      </c>
      <c r="AF24" s="31">
        <f t="shared" si="16"/>
        <v>963</v>
      </c>
    </row>
    <row r="25" spans="2:32" ht="23.1" customHeight="1" x14ac:dyDescent="0.25">
      <c r="B25" s="45" t="s">
        <v>52</v>
      </c>
      <c r="C25" s="50">
        <v>14</v>
      </c>
      <c r="D25" s="50">
        <v>8</v>
      </c>
      <c r="E25" s="50">
        <v>3</v>
      </c>
      <c r="F25" s="50">
        <v>29</v>
      </c>
      <c r="G25" s="50">
        <v>0</v>
      </c>
      <c r="H25" s="50">
        <v>0</v>
      </c>
      <c r="I25" s="50">
        <v>20</v>
      </c>
      <c r="J25" s="50">
        <v>2</v>
      </c>
      <c r="K25" s="50">
        <v>0</v>
      </c>
      <c r="L25" s="50">
        <v>0</v>
      </c>
      <c r="M25" s="50">
        <v>168</v>
      </c>
      <c r="N25" s="50">
        <v>0</v>
      </c>
      <c r="O25" s="15">
        <f t="shared" si="0"/>
        <v>76</v>
      </c>
      <c r="P25" s="15">
        <f t="shared" si="1"/>
        <v>244</v>
      </c>
      <c r="R25" s="36" t="s">
        <v>149</v>
      </c>
      <c r="S25" s="34">
        <f>SUM(C70:C73)</f>
        <v>142</v>
      </c>
      <c r="T25" s="34">
        <f t="shared" ref="T25:AF25" si="17">SUM(D70:D73)</f>
        <v>11</v>
      </c>
      <c r="U25" s="34">
        <f t="shared" si="17"/>
        <v>10</v>
      </c>
      <c r="V25" s="34">
        <f t="shared" si="17"/>
        <v>85</v>
      </c>
      <c r="W25" s="34">
        <f t="shared" si="17"/>
        <v>1</v>
      </c>
      <c r="X25" s="34">
        <f t="shared" si="17"/>
        <v>0</v>
      </c>
      <c r="Y25" s="34">
        <f t="shared" si="17"/>
        <v>19</v>
      </c>
      <c r="Z25" s="34">
        <f t="shared" si="17"/>
        <v>16</v>
      </c>
      <c r="AA25" s="34">
        <f t="shared" si="17"/>
        <v>3</v>
      </c>
      <c r="AB25" s="34">
        <f t="shared" si="17"/>
        <v>5</v>
      </c>
      <c r="AC25" s="34">
        <f t="shared" si="17"/>
        <v>429</v>
      </c>
      <c r="AD25" s="34">
        <f t="shared" si="17"/>
        <v>0</v>
      </c>
      <c r="AE25" s="31">
        <f t="shared" si="17"/>
        <v>292</v>
      </c>
      <c r="AF25" s="31">
        <f t="shared" si="17"/>
        <v>721</v>
      </c>
    </row>
    <row r="26" spans="2:32" ht="23.1" customHeight="1" x14ac:dyDescent="0.25">
      <c r="B26" s="45" t="s">
        <v>53</v>
      </c>
      <c r="C26" s="50">
        <v>23</v>
      </c>
      <c r="D26" s="50">
        <v>15</v>
      </c>
      <c r="E26" s="50">
        <v>5</v>
      </c>
      <c r="F26" s="50">
        <v>16</v>
      </c>
      <c r="G26" s="50">
        <v>0</v>
      </c>
      <c r="H26" s="50">
        <v>0</v>
      </c>
      <c r="I26" s="50">
        <v>17</v>
      </c>
      <c r="J26" s="50">
        <v>3</v>
      </c>
      <c r="K26" s="50">
        <v>0</v>
      </c>
      <c r="L26" s="50">
        <v>0</v>
      </c>
      <c r="M26" s="50">
        <v>149</v>
      </c>
      <c r="N26" s="50">
        <v>0</v>
      </c>
      <c r="O26" s="15">
        <f t="shared" si="0"/>
        <v>79</v>
      </c>
      <c r="P26" s="15">
        <f t="shared" si="1"/>
        <v>228</v>
      </c>
      <c r="R26" s="36" t="s">
        <v>150</v>
      </c>
      <c r="S26" s="34">
        <f>SUM(C74:C77)</f>
        <v>152</v>
      </c>
      <c r="T26" s="34">
        <f t="shared" ref="T26:AF26" si="18">SUM(D74:D77)</f>
        <v>19</v>
      </c>
      <c r="U26" s="34">
        <f t="shared" si="18"/>
        <v>11</v>
      </c>
      <c r="V26" s="34">
        <f t="shared" si="18"/>
        <v>86</v>
      </c>
      <c r="W26" s="34">
        <f t="shared" si="18"/>
        <v>4</v>
      </c>
      <c r="X26" s="34">
        <f t="shared" si="18"/>
        <v>3</v>
      </c>
      <c r="Y26" s="34">
        <f t="shared" si="18"/>
        <v>26</v>
      </c>
      <c r="Z26" s="34">
        <f t="shared" si="18"/>
        <v>16</v>
      </c>
      <c r="AA26" s="34">
        <f t="shared" si="18"/>
        <v>9</v>
      </c>
      <c r="AB26" s="34">
        <f t="shared" si="18"/>
        <v>1</v>
      </c>
      <c r="AC26" s="34">
        <f t="shared" si="18"/>
        <v>479</v>
      </c>
      <c r="AD26" s="34">
        <f t="shared" si="18"/>
        <v>0</v>
      </c>
      <c r="AE26" s="31">
        <f t="shared" si="18"/>
        <v>327</v>
      </c>
      <c r="AF26" s="31">
        <f t="shared" si="18"/>
        <v>806</v>
      </c>
    </row>
    <row r="27" spans="2:32" ht="23.1" customHeight="1" x14ac:dyDescent="0.25">
      <c r="B27" s="45" t="s">
        <v>54</v>
      </c>
      <c r="C27" s="50">
        <v>9</v>
      </c>
      <c r="D27" s="50">
        <v>11</v>
      </c>
      <c r="E27" s="50">
        <v>2</v>
      </c>
      <c r="F27" s="50">
        <v>17</v>
      </c>
      <c r="G27" s="50">
        <v>2</v>
      </c>
      <c r="H27" s="50">
        <v>0</v>
      </c>
      <c r="I27" s="50">
        <v>13</v>
      </c>
      <c r="J27" s="50">
        <v>4</v>
      </c>
      <c r="K27" s="50">
        <v>2</v>
      </c>
      <c r="L27" s="50">
        <v>0</v>
      </c>
      <c r="M27" s="50">
        <v>183</v>
      </c>
      <c r="N27" s="50">
        <v>0</v>
      </c>
      <c r="O27" s="15">
        <f t="shared" si="0"/>
        <v>60</v>
      </c>
      <c r="P27" s="15">
        <f t="shared" si="1"/>
        <v>243</v>
      </c>
      <c r="R27" s="36" t="s">
        <v>151</v>
      </c>
      <c r="S27" s="34">
        <f>SUM(C78:C81)</f>
        <v>99</v>
      </c>
      <c r="T27" s="34">
        <f t="shared" ref="T27:AF27" si="19">SUM(D78:D81)</f>
        <v>14</v>
      </c>
      <c r="U27" s="34">
        <f t="shared" si="19"/>
        <v>6</v>
      </c>
      <c r="V27" s="34">
        <f t="shared" si="19"/>
        <v>31</v>
      </c>
      <c r="W27" s="34">
        <f t="shared" si="19"/>
        <v>1</v>
      </c>
      <c r="X27" s="34">
        <f t="shared" si="19"/>
        <v>4</v>
      </c>
      <c r="Y27" s="34">
        <f t="shared" si="19"/>
        <v>17</v>
      </c>
      <c r="Z27" s="34">
        <f t="shared" si="19"/>
        <v>10</v>
      </c>
      <c r="AA27" s="34">
        <f t="shared" si="19"/>
        <v>1</v>
      </c>
      <c r="AB27" s="34">
        <f t="shared" si="19"/>
        <v>3</v>
      </c>
      <c r="AC27" s="34">
        <f t="shared" si="19"/>
        <v>524</v>
      </c>
      <c r="AD27" s="34">
        <f t="shared" si="19"/>
        <v>0</v>
      </c>
      <c r="AE27" s="31">
        <f t="shared" si="19"/>
        <v>186</v>
      </c>
      <c r="AF27" s="31">
        <f t="shared" si="19"/>
        <v>710</v>
      </c>
    </row>
    <row r="28" spans="2:32" ht="23.1" customHeight="1" x14ac:dyDescent="0.25">
      <c r="B28" s="45" t="s">
        <v>55</v>
      </c>
      <c r="C28" s="50">
        <v>18</v>
      </c>
      <c r="D28" s="50">
        <v>9</v>
      </c>
      <c r="E28" s="50">
        <v>8</v>
      </c>
      <c r="F28" s="50">
        <v>43</v>
      </c>
      <c r="G28" s="50">
        <v>2</v>
      </c>
      <c r="H28" s="50">
        <v>0</v>
      </c>
      <c r="I28" s="50">
        <v>17</v>
      </c>
      <c r="J28" s="50">
        <v>3</v>
      </c>
      <c r="K28" s="50">
        <v>2</v>
      </c>
      <c r="L28" s="50">
        <v>1</v>
      </c>
      <c r="M28" s="50">
        <v>172</v>
      </c>
      <c r="N28" s="50">
        <v>0</v>
      </c>
      <c r="O28" s="15">
        <f t="shared" si="0"/>
        <v>103</v>
      </c>
      <c r="P28" s="15">
        <f t="shared" si="1"/>
        <v>275</v>
      </c>
      <c r="R28" s="36" t="s">
        <v>152</v>
      </c>
      <c r="S28" s="34">
        <f>SUM(C82:C85)</f>
        <v>58</v>
      </c>
      <c r="T28" s="34">
        <f t="shared" ref="T28:AF28" si="20">SUM(D82:D85)</f>
        <v>8</v>
      </c>
      <c r="U28" s="34">
        <f t="shared" si="20"/>
        <v>4</v>
      </c>
      <c r="V28" s="34">
        <f t="shared" si="20"/>
        <v>13</v>
      </c>
      <c r="W28" s="34">
        <f t="shared" si="20"/>
        <v>0</v>
      </c>
      <c r="X28" s="34">
        <f t="shared" si="20"/>
        <v>0</v>
      </c>
      <c r="Y28" s="34">
        <f t="shared" si="20"/>
        <v>9</v>
      </c>
      <c r="Z28" s="34">
        <f t="shared" si="20"/>
        <v>6</v>
      </c>
      <c r="AA28" s="34">
        <f t="shared" si="20"/>
        <v>1</v>
      </c>
      <c r="AB28" s="34">
        <f t="shared" si="20"/>
        <v>4</v>
      </c>
      <c r="AC28" s="34">
        <f t="shared" si="20"/>
        <v>207</v>
      </c>
      <c r="AD28" s="34">
        <f t="shared" si="20"/>
        <v>0</v>
      </c>
      <c r="AE28" s="31">
        <f t="shared" si="20"/>
        <v>103</v>
      </c>
      <c r="AF28" s="31">
        <f t="shared" si="20"/>
        <v>310</v>
      </c>
    </row>
    <row r="29" spans="2:32" ht="23.1" customHeight="1" x14ac:dyDescent="0.25">
      <c r="B29" s="45" t="s">
        <v>56</v>
      </c>
      <c r="C29" s="50">
        <v>12</v>
      </c>
      <c r="D29" s="50">
        <v>11</v>
      </c>
      <c r="E29" s="50">
        <v>2</v>
      </c>
      <c r="F29" s="50">
        <v>22</v>
      </c>
      <c r="G29" s="50">
        <v>0</v>
      </c>
      <c r="H29" s="50">
        <v>0</v>
      </c>
      <c r="I29" s="50">
        <v>2</v>
      </c>
      <c r="J29" s="50">
        <v>7</v>
      </c>
      <c r="K29" s="50">
        <v>0</v>
      </c>
      <c r="L29" s="50">
        <v>0</v>
      </c>
      <c r="M29" s="50">
        <v>173</v>
      </c>
      <c r="N29" s="50">
        <v>0</v>
      </c>
      <c r="O29" s="15">
        <f t="shared" si="0"/>
        <v>56</v>
      </c>
      <c r="P29" s="15">
        <f t="shared" si="1"/>
        <v>229</v>
      </c>
      <c r="R29" s="36" t="s">
        <v>153</v>
      </c>
      <c r="S29" s="34">
        <f>SUM(C86:C89)</f>
        <v>48</v>
      </c>
      <c r="T29" s="34">
        <f t="shared" ref="T29:AF29" si="21">SUM(D86:D89)</f>
        <v>3</v>
      </c>
      <c r="U29" s="34">
        <f t="shared" si="21"/>
        <v>4</v>
      </c>
      <c r="V29" s="34">
        <f t="shared" si="21"/>
        <v>10</v>
      </c>
      <c r="W29" s="34">
        <f t="shared" si="21"/>
        <v>0</v>
      </c>
      <c r="X29" s="34">
        <f t="shared" si="21"/>
        <v>0</v>
      </c>
      <c r="Y29" s="34">
        <f t="shared" si="21"/>
        <v>9</v>
      </c>
      <c r="Z29" s="34">
        <f t="shared" si="21"/>
        <v>15</v>
      </c>
      <c r="AA29" s="34">
        <f t="shared" si="21"/>
        <v>5</v>
      </c>
      <c r="AB29" s="34">
        <f t="shared" si="21"/>
        <v>1</v>
      </c>
      <c r="AC29" s="34">
        <f t="shared" si="21"/>
        <v>266</v>
      </c>
      <c r="AD29" s="34">
        <f t="shared" si="21"/>
        <v>0</v>
      </c>
      <c r="AE29" s="31">
        <f t="shared" si="21"/>
        <v>95</v>
      </c>
      <c r="AF29" s="31">
        <f t="shared" si="21"/>
        <v>361</v>
      </c>
    </row>
    <row r="30" spans="2:32" ht="23.1" customHeight="1" x14ac:dyDescent="0.25">
      <c r="B30" s="45" t="s">
        <v>57</v>
      </c>
      <c r="C30" s="50">
        <v>17</v>
      </c>
      <c r="D30" s="50">
        <v>10</v>
      </c>
      <c r="E30" s="50">
        <v>3</v>
      </c>
      <c r="F30" s="50">
        <v>31</v>
      </c>
      <c r="G30" s="50">
        <v>1</v>
      </c>
      <c r="H30" s="50">
        <v>0</v>
      </c>
      <c r="I30" s="50">
        <v>8</v>
      </c>
      <c r="J30" s="50">
        <v>1</v>
      </c>
      <c r="K30" s="50">
        <v>2</v>
      </c>
      <c r="L30" s="50">
        <v>3</v>
      </c>
      <c r="M30" s="50">
        <v>186</v>
      </c>
      <c r="N30" s="50">
        <v>0</v>
      </c>
      <c r="O30" s="15">
        <f t="shared" si="0"/>
        <v>76</v>
      </c>
      <c r="P30" s="15">
        <f t="shared" si="1"/>
        <v>262</v>
      </c>
      <c r="R30" s="36" t="s">
        <v>154</v>
      </c>
      <c r="S30" s="34">
        <f>SUM(C90:C93)</f>
        <v>19</v>
      </c>
      <c r="T30" s="34">
        <f t="shared" ref="T30:AF30" si="22">SUM(D90:D93)</f>
        <v>2</v>
      </c>
      <c r="U30" s="34">
        <f t="shared" si="22"/>
        <v>2</v>
      </c>
      <c r="V30" s="34">
        <f t="shared" si="22"/>
        <v>6</v>
      </c>
      <c r="W30" s="34">
        <f t="shared" si="22"/>
        <v>0</v>
      </c>
      <c r="X30" s="34">
        <f t="shared" si="22"/>
        <v>1</v>
      </c>
      <c r="Y30" s="34">
        <f t="shared" si="22"/>
        <v>7</v>
      </c>
      <c r="Z30" s="34">
        <f t="shared" si="22"/>
        <v>6</v>
      </c>
      <c r="AA30" s="34">
        <f t="shared" si="22"/>
        <v>1</v>
      </c>
      <c r="AB30" s="34">
        <f t="shared" si="22"/>
        <v>0</v>
      </c>
      <c r="AC30" s="34">
        <f t="shared" si="22"/>
        <v>132</v>
      </c>
      <c r="AD30" s="34">
        <f t="shared" si="22"/>
        <v>0</v>
      </c>
      <c r="AE30" s="31">
        <f t="shared" si="22"/>
        <v>44</v>
      </c>
      <c r="AF30" s="31">
        <f t="shared" si="22"/>
        <v>176</v>
      </c>
    </row>
    <row r="31" spans="2:32" ht="23.1" customHeight="1" x14ac:dyDescent="0.25">
      <c r="B31" s="46" t="s">
        <v>58</v>
      </c>
      <c r="C31" s="50">
        <v>12</v>
      </c>
      <c r="D31" s="50">
        <v>7</v>
      </c>
      <c r="E31" s="50">
        <v>3</v>
      </c>
      <c r="F31" s="50">
        <v>23</v>
      </c>
      <c r="G31" s="50">
        <v>0</v>
      </c>
      <c r="H31" s="50">
        <v>0</v>
      </c>
      <c r="I31" s="50">
        <v>15</v>
      </c>
      <c r="J31" s="50">
        <v>7</v>
      </c>
      <c r="K31" s="50">
        <v>0</v>
      </c>
      <c r="L31" s="50">
        <v>1</v>
      </c>
      <c r="M31" s="50">
        <v>180</v>
      </c>
      <c r="N31" s="50">
        <v>0</v>
      </c>
      <c r="O31" s="15">
        <f t="shared" si="0"/>
        <v>68</v>
      </c>
      <c r="P31" s="15">
        <f t="shared" si="1"/>
        <v>248</v>
      </c>
      <c r="R31" s="36" t="s">
        <v>155</v>
      </c>
      <c r="S31" s="34">
        <f>SUM(C94:C97)</f>
        <v>25</v>
      </c>
      <c r="T31" s="34">
        <f t="shared" ref="T31:AF31" si="23">SUM(D94:D97)</f>
        <v>3</v>
      </c>
      <c r="U31" s="34">
        <f t="shared" si="23"/>
        <v>2</v>
      </c>
      <c r="V31" s="34">
        <f t="shared" si="23"/>
        <v>8</v>
      </c>
      <c r="W31" s="34">
        <f t="shared" si="23"/>
        <v>0</v>
      </c>
      <c r="X31" s="34">
        <f t="shared" si="23"/>
        <v>0</v>
      </c>
      <c r="Y31" s="34">
        <f t="shared" si="23"/>
        <v>9</v>
      </c>
      <c r="Z31" s="34">
        <f t="shared" si="23"/>
        <v>4</v>
      </c>
      <c r="AA31" s="34">
        <f t="shared" si="23"/>
        <v>0</v>
      </c>
      <c r="AB31" s="34">
        <f t="shared" si="23"/>
        <v>0</v>
      </c>
      <c r="AC31" s="34">
        <f t="shared" si="23"/>
        <v>0</v>
      </c>
      <c r="AD31" s="34">
        <f t="shared" si="23"/>
        <v>90</v>
      </c>
      <c r="AE31" s="31">
        <f t="shared" si="23"/>
        <v>141</v>
      </c>
      <c r="AF31" s="31">
        <f t="shared" si="23"/>
        <v>141</v>
      </c>
    </row>
    <row r="32" spans="2:32" ht="23.1" customHeight="1" x14ac:dyDescent="0.25">
      <c r="B32" s="46" t="s">
        <v>59</v>
      </c>
      <c r="C32" s="50">
        <v>22</v>
      </c>
      <c r="D32" s="50">
        <v>13</v>
      </c>
      <c r="E32" s="50">
        <v>0</v>
      </c>
      <c r="F32" s="50">
        <v>33</v>
      </c>
      <c r="G32" s="50">
        <v>2</v>
      </c>
      <c r="H32" s="50">
        <v>0</v>
      </c>
      <c r="I32" s="50">
        <v>8</v>
      </c>
      <c r="J32" s="50">
        <v>3</v>
      </c>
      <c r="K32" s="50">
        <v>0</v>
      </c>
      <c r="L32" s="50">
        <v>1</v>
      </c>
      <c r="M32" s="50">
        <v>162</v>
      </c>
      <c r="N32" s="50">
        <v>0</v>
      </c>
      <c r="O32" s="15">
        <f t="shared" si="0"/>
        <v>82</v>
      </c>
      <c r="P32" s="15">
        <f t="shared" si="1"/>
        <v>244</v>
      </c>
      <c r="R32" s="33" t="s">
        <v>156</v>
      </c>
      <c r="S32" s="34">
        <f>SUM(C98:C101)</f>
        <v>45</v>
      </c>
      <c r="T32" s="34">
        <f t="shared" ref="T32:AF32" si="24">SUM(D98:D101)</f>
        <v>12</v>
      </c>
      <c r="U32" s="34">
        <f t="shared" si="24"/>
        <v>9</v>
      </c>
      <c r="V32" s="34">
        <f t="shared" si="24"/>
        <v>57</v>
      </c>
      <c r="W32" s="34">
        <f t="shared" si="24"/>
        <v>1</v>
      </c>
      <c r="X32" s="34">
        <f t="shared" si="24"/>
        <v>1</v>
      </c>
      <c r="Y32" s="34">
        <f t="shared" si="24"/>
        <v>17</v>
      </c>
      <c r="Z32" s="34">
        <f t="shared" si="24"/>
        <v>26</v>
      </c>
      <c r="AA32" s="34">
        <f t="shared" si="24"/>
        <v>5</v>
      </c>
      <c r="AB32" s="34">
        <f t="shared" si="24"/>
        <v>6</v>
      </c>
      <c r="AC32" s="34">
        <f t="shared" si="24"/>
        <v>254</v>
      </c>
      <c r="AD32" s="34">
        <f t="shared" si="24"/>
        <v>0</v>
      </c>
      <c r="AE32" s="31">
        <f t="shared" si="24"/>
        <v>179</v>
      </c>
      <c r="AF32" s="31">
        <f t="shared" si="24"/>
        <v>433</v>
      </c>
    </row>
    <row r="33" spans="2:32" ht="23.1" customHeight="1" x14ac:dyDescent="0.25">
      <c r="B33" s="45" t="s">
        <v>60</v>
      </c>
      <c r="C33" s="50">
        <v>9</v>
      </c>
      <c r="D33" s="50">
        <v>5</v>
      </c>
      <c r="E33" s="50">
        <v>0</v>
      </c>
      <c r="F33" s="50">
        <v>90</v>
      </c>
      <c r="G33" s="50">
        <v>0</v>
      </c>
      <c r="H33" s="50">
        <v>0</v>
      </c>
      <c r="I33" s="50">
        <v>4</v>
      </c>
      <c r="J33" s="50">
        <v>3</v>
      </c>
      <c r="K33" s="50">
        <v>1</v>
      </c>
      <c r="L33" s="50">
        <v>0</v>
      </c>
      <c r="M33" s="50">
        <v>153</v>
      </c>
      <c r="N33" s="50">
        <v>0</v>
      </c>
      <c r="O33" s="15">
        <f t="shared" si="0"/>
        <v>112</v>
      </c>
      <c r="P33" s="15">
        <f t="shared" si="1"/>
        <v>265</v>
      </c>
      <c r="R33" s="33" t="s">
        <v>157</v>
      </c>
      <c r="S33" s="34">
        <f>SUM(C102:C105)</f>
        <v>74</v>
      </c>
      <c r="T33" s="34">
        <f t="shared" ref="T33:AF33" si="25">SUM(D102:D105)</f>
        <v>14</v>
      </c>
      <c r="U33" s="34">
        <f t="shared" si="25"/>
        <v>9</v>
      </c>
      <c r="V33" s="34">
        <f t="shared" si="25"/>
        <v>85</v>
      </c>
      <c r="W33" s="34">
        <f t="shared" si="25"/>
        <v>3</v>
      </c>
      <c r="X33" s="34">
        <f t="shared" si="25"/>
        <v>2</v>
      </c>
      <c r="Y33" s="34">
        <f t="shared" si="25"/>
        <v>23</v>
      </c>
      <c r="Z33" s="34">
        <f t="shared" si="25"/>
        <v>20</v>
      </c>
      <c r="AA33" s="34">
        <f t="shared" si="25"/>
        <v>3</v>
      </c>
      <c r="AB33" s="34">
        <f t="shared" si="25"/>
        <v>7</v>
      </c>
      <c r="AC33" s="34">
        <f t="shared" si="25"/>
        <v>366</v>
      </c>
      <c r="AD33" s="34">
        <f t="shared" si="25"/>
        <v>0</v>
      </c>
      <c r="AE33" s="31">
        <f t="shared" si="25"/>
        <v>240</v>
      </c>
      <c r="AF33" s="31">
        <f t="shared" si="25"/>
        <v>606</v>
      </c>
    </row>
    <row r="34" spans="2:32" ht="23.1" customHeight="1" x14ac:dyDescent="0.25">
      <c r="B34" s="46" t="s">
        <v>61</v>
      </c>
      <c r="C34" s="50">
        <v>9</v>
      </c>
      <c r="D34" s="50">
        <v>1</v>
      </c>
      <c r="E34" s="50">
        <v>5</v>
      </c>
      <c r="F34" s="50">
        <v>23</v>
      </c>
      <c r="G34" s="50">
        <v>0</v>
      </c>
      <c r="H34" s="50">
        <v>0</v>
      </c>
      <c r="I34" s="50">
        <v>9</v>
      </c>
      <c r="J34" s="50">
        <v>2</v>
      </c>
      <c r="K34" s="50">
        <v>0</v>
      </c>
      <c r="L34" s="50">
        <v>0</v>
      </c>
      <c r="M34" s="50">
        <v>86</v>
      </c>
      <c r="N34" s="50">
        <v>0</v>
      </c>
      <c r="O34" s="15">
        <f t="shared" si="0"/>
        <v>49</v>
      </c>
      <c r="P34" s="15">
        <f t="shared" si="1"/>
        <v>135</v>
      </c>
      <c r="R34" s="38" t="s">
        <v>90</v>
      </c>
      <c r="S34" s="39">
        <f t="shared" ref="S34:AF34" si="26">MAX(S10:S12)</f>
        <v>78</v>
      </c>
      <c r="T34" s="39">
        <f t="shared" si="26"/>
        <v>77</v>
      </c>
      <c r="U34" s="39">
        <f t="shared" si="26"/>
        <v>14</v>
      </c>
      <c r="V34" s="39">
        <f t="shared" si="26"/>
        <v>269</v>
      </c>
      <c r="W34" s="39">
        <f t="shared" si="26"/>
        <v>8</v>
      </c>
      <c r="X34" s="39">
        <f t="shared" si="26"/>
        <v>31</v>
      </c>
      <c r="Y34" s="39">
        <f t="shared" si="26"/>
        <v>86</v>
      </c>
      <c r="Z34" s="39">
        <f t="shared" si="26"/>
        <v>18</v>
      </c>
      <c r="AA34" s="39">
        <f t="shared" si="26"/>
        <v>10</v>
      </c>
      <c r="AB34" s="39">
        <f t="shared" si="26"/>
        <v>3</v>
      </c>
      <c r="AC34" s="39">
        <f t="shared" si="26"/>
        <v>935</v>
      </c>
      <c r="AD34" s="39">
        <f t="shared" si="26"/>
        <v>0</v>
      </c>
      <c r="AE34" s="40">
        <f t="shared" si="26"/>
        <v>490</v>
      </c>
      <c r="AF34" s="40">
        <f t="shared" si="26"/>
        <v>1425</v>
      </c>
    </row>
    <row r="35" spans="2:32" ht="23.1" customHeight="1" x14ac:dyDescent="0.25">
      <c r="B35" s="46" t="s">
        <v>62</v>
      </c>
      <c r="C35" s="50">
        <v>3</v>
      </c>
      <c r="D35" s="50">
        <v>6</v>
      </c>
      <c r="E35" s="50">
        <v>9</v>
      </c>
      <c r="F35" s="50">
        <v>15</v>
      </c>
      <c r="G35" s="50">
        <v>0</v>
      </c>
      <c r="H35" s="50">
        <v>0</v>
      </c>
      <c r="I35" s="50">
        <v>7</v>
      </c>
      <c r="J35" s="50">
        <v>3</v>
      </c>
      <c r="K35" s="50">
        <v>0</v>
      </c>
      <c r="L35" s="50">
        <v>0</v>
      </c>
      <c r="M35" s="50">
        <v>97</v>
      </c>
      <c r="N35" s="50">
        <v>0</v>
      </c>
      <c r="O35" s="15">
        <f t="shared" si="0"/>
        <v>43</v>
      </c>
      <c r="P35" s="15">
        <f t="shared" si="1"/>
        <v>140</v>
      </c>
      <c r="R35" s="38" t="s">
        <v>91</v>
      </c>
      <c r="S35" s="39">
        <f t="shared" ref="S35:AF35" si="27">MAX(S13:S18)</f>
        <v>80</v>
      </c>
      <c r="T35" s="39">
        <f t="shared" si="27"/>
        <v>46</v>
      </c>
      <c r="U35" s="39">
        <f t="shared" si="27"/>
        <v>21</v>
      </c>
      <c r="V35" s="39">
        <f t="shared" si="27"/>
        <v>177</v>
      </c>
      <c r="W35" s="39">
        <f t="shared" si="27"/>
        <v>4</v>
      </c>
      <c r="X35" s="39">
        <f t="shared" si="27"/>
        <v>1</v>
      </c>
      <c r="Y35" s="39">
        <f t="shared" si="27"/>
        <v>60</v>
      </c>
      <c r="Z35" s="39">
        <f t="shared" si="27"/>
        <v>20</v>
      </c>
      <c r="AA35" s="39">
        <f t="shared" si="27"/>
        <v>7</v>
      </c>
      <c r="AB35" s="39">
        <f t="shared" si="27"/>
        <v>5</v>
      </c>
      <c r="AC35" s="39">
        <f t="shared" si="27"/>
        <v>681</v>
      </c>
      <c r="AD35" s="39">
        <f t="shared" si="27"/>
        <v>0</v>
      </c>
      <c r="AE35" s="40">
        <f t="shared" si="27"/>
        <v>338</v>
      </c>
      <c r="AF35" s="40">
        <f t="shared" si="27"/>
        <v>1019</v>
      </c>
    </row>
    <row r="36" spans="2:32" ht="23.1" customHeight="1" x14ac:dyDescent="0.25">
      <c r="B36" s="46" t="s">
        <v>63</v>
      </c>
      <c r="C36" s="50">
        <v>7</v>
      </c>
      <c r="D36" s="50">
        <v>11</v>
      </c>
      <c r="E36" s="50">
        <v>7</v>
      </c>
      <c r="F36" s="50">
        <v>17</v>
      </c>
      <c r="G36" s="50">
        <v>1</v>
      </c>
      <c r="H36" s="50">
        <v>0</v>
      </c>
      <c r="I36" s="50">
        <v>6</v>
      </c>
      <c r="J36" s="50">
        <v>5</v>
      </c>
      <c r="K36" s="50">
        <v>1</v>
      </c>
      <c r="L36" s="50">
        <v>0</v>
      </c>
      <c r="M36" s="50">
        <v>158</v>
      </c>
      <c r="N36" s="50">
        <v>0</v>
      </c>
      <c r="O36" s="15">
        <f t="shared" si="0"/>
        <v>55</v>
      </c>
      <c r="P36" s="15">
        <f t="shared" si="1"/>
        <v>213</v>
      </c>
      <c r="R36" s="38" t="s">
        <v>92</v>
      </c>
      <c r="S36" s="39">
        <f t="shared" ref="S36:AF36" si="28">MAX(S19:S21)</f>
        <v>93</v>
      </c>
      <c r="T36" s="39">
        <f t="shared" si="28"/>
        <v>26</v>
      </c>
      <c r="U36" s="39">
        <f t="shared" si="28"/>
        <v>20</v>
      </c>
      <c r="V36" s="39">
        <f t="shared" si="28"/>
        <v>155</v>
      </c>
      <c r="W36" s="39">
        <f t="shared" si="28"/>
        <v>5</v>
      </c>
      <c r="X36" s="39">
        <f t="shared" si="28"/>
        <v>3</v>
      </c>
      <c r="Y36" s="39">
        <f t="shared" si="28"/>
        <v>75</v>
      </c>
      <c r="Z36" s="39">
        <f t="shared" si="28"/>
        <v>23</v>
      </c>
      <c r="AA36" s="39">
        <f t="shared" si="28"/>
        <v>6</v>
      </c>
      <c r="AB36" s="39">
        <f t="shared" si="28"/>
        <v>4</v>
      </c>
      <c r="AC36" s="39">
        <f t="shared" si="28"/>
        <v>741</v>
      </c>
      <c r="AD36" s="39">
        <f t="shared" si="28"/>
        <v>0</v>
      </c>
      <c r="AE36" s="40">
        <f t="shared" si="28"/>
        <v>393</v>
      </c>
      <c r="AF36" s="40">
        <f t="shared" si="28"/>
        <v>1035</v>
      </c>
    </row>
    <row r="37" spans="2:32" ht="23.1" customHeight="1" x14ac:dyDescent="0.25">
      <c r="B37" s="45" t="s">
        <v>64</v>
      </c>
      <c r="C37" s="50">
        <v>12</v>
      </c>
      <c r="D37" s="50">
        <v>2</v>
      </c>
      <c r="E37" s="50">
        <v>0</v>
      </c>
      <c r="F37" s="50">
        <v>33</v>
      </c>
      <c r="G37" s="50">
        <v>0</v>
      </c>
      <c r="H37" s="50">
        <v>0</v>
      </c>
      <c r="I37" s="50">
        <v>11</v>
      </c>
      <c r="J37" s="50">
        <v>3</v>
      </c>
      <c r="K37" s="50">
        <v>1</v>
      </c>
      <c r="L37" s="50">
        <v>2</v>
      </c>
      <c r="M37" s="50">
        <v>142</v>
      </c>
      <c r="N37" s="50">
        <v>0</v>
      </c>
      <c r="O37" s="15">
        <f t="shared" si="0"/>
        <v>64</v>
      </c>
      <c r="P37" s="15">
        <f t="shared" si="1"/>
        <v>206</v>
      </c>
      <c r="R37" s="37" t="s">
        <v>85</v>
      </c>
      <c r="S37" s="35">
        <f t="shared" ref="S37:AF37" si="29">SUM(S10:S12)</f>
        <v>212</v>
      </c>
      <c r="T37" s="16">
        <f t="shared" si="29"/>
        <v>158</v>
      </c>
      <c r="U37" s="16">
        <f t="shared" si="29"/>
        <v>28</v>
      </c>
      <c r="V37" s="16">
        <f t="shared" si="29"/>
        <v>523</v>
      </c>
      <c r="W37" s="16">
        <f t="shared" si="29"/>
        <v>14</v>
      </c>
      <c r="X37" s="16">
        <f t="shared" si="29"/>
        <v>31</v>
      </c>
      <c r="Y37" s="16">
        <f t="shared" si="29"/>
        <v>151</v>
      </c>
      <c r="Z37" s="16">
        <f t="shared" si="29"/>
        <v>35</v>
      </c>
      <c r="AA37" s="16">
        <f t="shared" si="29"/>
        <v>10</v>
      </c>
      <c r="AB37" s="16">
        <f t="shared" si="29"/>
        <v>4</v>
      </c>
      <c r="AC37" s="16">
        <f t="shared" si="29"/>
        <v>2366</v>
      </c>
      <c r="AD37" s="16">
        <f t="shared" si="29"/>
        <v>0</v>
      </c>
      <c r="AE37" s="32">
        <f t="shared" si="29"/>
        <v>1166</v>
      </c>
      <c r="AF37" s="32">
        <f t="shared" si="29"/>
        <v>3532</v>
      </c>
    </row>
    <row r="38" spans="2:32" ht="23.1" customHeight="1" x14ac:dyDescent="0.25">
      <c r="B38" s="46" t="s">
        <v>65</v>
      </c>
      <c r="C38" s="50">
        <v>17</v>
      </c>
      <c r="D38" s="50">
        <v>2</v>
      </c>
      <c r="E38" s="50">
        <v>3</v>
      </c>
      <c r="F38" s="50">
        <v>23</v>
      </c>
      <c r="G38" s="50">
        <v>0</v>
      </c>
      <c r="H38" s="50">
        <v>0</v>
      </c>
      <c r="I38" s="50">
        <v>13</v>
      </c>
      <c r="J38" s="50">
        <v>8</v>
      </c>
      <c r="K38" s="50">
        <v>0</v>
      </c>
      <c r="L38" s="50">
        <v>0</v>
      </c>
      <c r="M38" s="50">
        <v>98</v>
      </c>
      <c r="N38" s="50">
        <v>0</v>
      </c>
      <c r="O38" s="15">
        <f t="shared" si="0"/>
        <v>66</v>
      </c>
      <c r="P38" s="15">
        <f t="shared" si="1"/>
        <v>164</v>
      </c>
      <c r="R38" s="28" t="s">
        <v>86</v>
      </c>
      <c r="S38" s="16">
        <f t="shared" ref="S38:AF38" si="30">SUM(S13:S18)</f>
        <v>349</v>
      </c>
      <c r="T38" s="16">
        <f t="shared" si="30"/>
        <v>179</v>
      </c>
      <c r="U38" s="16">
        <f t="shared" si="30"/>
        <v>80</v>
      </c>
      <c r="V38" s="16">
        <f t="shared" si="30"/>
        <v>625</v>
      </c>
      <c r="W38" s="16">
        <f t="shared" si="30"/>
        <v>13</v>
      </c>
      <c r="X38" s="16">
        <f t="shared" si="30"/>
        <v>1</v>
      </c>
      <c r="Y38" s="16">
        <f t="shared" si="30"/>
        <v>261</v>
      </c>
      <c r="Z38" s="16">
        <f t="shared" si="30"/>
        <v>95</v>
      </c>
      <c r="AA38" s="16">
        <f t="shared" si="30"/>
        <v>19</v>
      </c>
      <c r="AB38" s="16">
        <f t="shared" si="30"/>
        <v>11</v>
      </c>
      <c r="AC38" s="16">
        <f t="shared" si="30"/>
        <v>3120</v>
      </c>
      <c r="AD38" s="16">
        <f t="shared" si="30"/>
        <v>0</v>
      </c>
      <c r="AE38" s="32">
        <f t="shared" si="30"/>
        <v>1633</v>
      </c>
      <c r="AF38" s="32">
        <f t="shared" si="30"/>
        <v>4753</v>
      </c>
    </row>
    <row r="39" spans="2:32" ht="23.1" customHeight="1" x14ac:dyDescent="0.25">
      <c r="B39" s="46" t="s">
        <v>66</v>
      </c>
      <c r="C39" s="50">
        <v>23</v>
      </c>
      <c r="D39" s="50">
        <v>16</v>
      </c>
      <c r="E39" s="50">
        <v>2</v>
      </c>
      <c r="F39" s="50">
        <v>33</v>
      </c>
      <c r="G39" s="50">
        <v>0</v>
      </c>
      <c r="H39" s="50">
        <v>0</v>
      </c>
      <c r="I39" s="50">
        <v>17</v>
      </c>
      <c r="J39" s="50">
        <v>2</v>
      </c>
      <c r="K39" s="50">
        <v>0</v>
      </c>
      <c r="L39" s="50">
        <v>0</v>
      </c>
      <c r="M39" s="50">
        <v>105</v>
      </c>
      <c r="N39" s="50">
        <v>0</v>
      </c>
      <c r="O39" s="15">
        <f t="shared" si="0"/>
        <v>93</v>
      </c>
      <c r="P39" s="15">
        <f t="shared" si="1"/>
        <v>198</v>
      </c>
      <c r="R39" s="29" t="s">
        <v>87</v>
      </c>
      <c r="S39" s="16">
        <f t="shared" ref="S39:AF39" si="31">SUM(S19:S21)</f>
        <v>215</v>
      </c>
      <c r="T39" s="16">
        <f t="shared" si="31"/>
        <v>71</v>
      </c>
      <c r="U39" s="16">
        <f t="shared" si="31"/>
        <v>48</v>
      </c>
      <c r="V39" s="16">
        <f t="shared" si="31"/>
        <v>292</v>
      </c>
      <c r="W39" s="16">
        <f t="shared" si="31"/>
        <v>7</v>
      </c>
      <c r="X39" s="16">
        <f t="shared" si="31"/>
        <v>6</v>
      </c>
      <c r="Y39" s="16">
        <f t="shared" si="31"/>
        <v>178</v>
      </c>
      <c r="Z39" s="16">
        <f t="shared" si="31"/>
        <v>30</v>
      </c>
      <c r="AA39" s="16">
        <f t="shared" si="31"/>
        <v>6</v>
      </c>
      <c r="AB39" s="16">
        <f t="shared" si="31"/>
        <v>5</v>
      </c>
      <c r="AC39" s="16">
        <f t="shared" si="31"/>
        <v>1595</v>
      </c>
      <c r="AD39" s="16">
        <f t="shared" si="31"/>
        <v>0</v>
      </c>
      <c r="AE39" s="32">
        <f t="shared" si="31"/>
        <v>858</v>
      </c>
      <c r="AF39" s="32">
        <f t="shared" si="31"/>
        <v>2453</v>
      </c>
    </row>
    <row r="40" spans="2:32" ht="23.1" customHeight="1" x14ac:dyDescent="0.25">
      <c r="B40" s="46" t="s">
        <v>67</v>
      </c>
      <c r="C40" s="50">
        <v>24</v>
      </c>
      <c r="D40" s="50">
        <v>17</v>
      </c>
      <c r="E40" s="50">
        <v>8</v>
      </c>
      <c r="F40" s="50">
        <v>23</v>
      </c>
      <c r="G40" s="50">
        <v>1</v>
      </c>
      <c r="H40" s="50">
        <v>0</v>
      </c>
      <c r="I40" s="50">
        <v>12</v>
      </c>
      <c r="J40" s="50">
        <v>3</v>
      </c>
      <c r="K40" s="50">
        <v>0</v>
      </c>
      <c r="L40" s="50">
        <v>0</v>
      </c>
      <c r="M40" s="50">
        <v>134</v>
      </c>
      <c r="N40" s="50">
        <v>0</v>
      </c>
      <c r="O40" s="15">
        <f t="shared" si="0"/>
        <v>88</v>
      </c>
      <c r="P40" s="15">
        <f t="shared" si="1"/>
        <v>222</v>
      </c>
      <c r="R40" s="5" t="s">
        <v>17</v>
      </c>
      <c r="S40" s="16">
        <f t="shared" ref="S40:AF40" si="32">SUM(S10:S21)</f>
        <v>776</v>
      </c>
      <c r="T40" s="16">
        <f t="shared" si="32"/>
        <v>408</v>
      </c>
      <c r="U40" s="16">
        <f t="shared" si="32"/>
        <v>156</v>
      </c>
      <c r="V40" s="16">
        <f t="shared" si="32"/>
        <v>1440</v>
      </c>
      <c r="W40" s="16">
        <f t="shared" si="32"/>
        <v>34</v>
      </c>
      <c r="X40" s="16">
        <f t="shared" si="32"/>
        <v>38</v>
      </c>
      <c r="Y40" s="16">
        <f t="shared" si="32"/>
        <v>590</v>
      </c>
      <c r="Z40" s="16">
        <f t="shared" si="32"/>
        <v>160</v>
      </c>
      <c r="AA40" s="16">
        <f t="shared" si="32"/>
        <v>35</v>
      </c>
      <c r="AB40" s="16">
        <f t="shared" si="32"/>
        <v>20</v>
      </c>
      <c r="AC40" s="16">
        <f t="shared" si="32"/>
        <v>7081</v>
      </c>
      <c r="AD40" s="16">
        <f t="shared" si="32"/>
        <v>0</v>
      </c>
      <c r="AE40" s="32">
        <f t="shared" si="32"/>
        <v>3657</v>
      </c>
      <c r="AF40" s="32">
        <f t="shared" si="32"/>
        <v>10738</v>
      </c>
    </row>
    <row r="41" spans="2:32" ht="23.1" customHeight="1" x14ac:dyDescent="0.25">
      <c r="B41" s="45" t="s">
        <v>68</v>
      </c>
      <c r="C41" s="50">
        <v>8</v>
      </c>
      <c r="D41" s="50">
        <v>3</v>
      </c>
      <c r="E41" s="50">
        <v>2</v>
      </c>
      <c r="F41" s="50">
        <v>13</v>
      </c>
      <c r="G41" s="50">
        <v>1</v>
      </c>
      <c r="H41" s="50">
        <v>0</v>
      </c>
      <c r="I41" s="50">
        <v>8</v>
      </c>
      <c r="J41" s="50">
        <v>7</v>
      </c>
      <c r="K41" s="50">
        <v>1</v>
      </c>
      <c r="L41" s="50">
        <v>0</v>
      </c>
      <c r="M41" s="50">
        <v>141</v>
      </c>
      <c r="N41" s="50">
        <v>0</v>
      </c>
      <c r="O41" s="15">
        <f t="shared" si="0"/>
        <v>43</v>
      </c>
      <c r="P41" s="15">
        <f t="shared" si="1"/>
        <v>184</v>
      </c>
      <c r="R41" s="5" t="s">
        <v>159</v>
      </c>
      <c r="S41" s="16">
        <f>SUM(S10:S33)</f>
        <v>1791</v>
      </c>
      <c r="T41" s="16">
        <f t="shared" ref="T41:AF41" si="33">SUM(T10:T33)</f>
        <v>535</v>
      </c>
      <c r="U41" s="16">
        <f t="shared" si="33"/>
        <v>237</v>
      </c>
      <c r="V41" s="16">
        <f t="shared" si="33"/>
        <v>2011</v>
      </c>
      <c r="W41" s="16">
        <f t="shared" si="33"/>
        <v>50</v>
      </c>
      <c r="X41" s="16">
        <f t="shared" si="33"/>
        <v>55</v>
      </c>
      <c r="Y41" s="16">
        <f t="shared" si="33"/>
        <v>805</v>
      </c>
      <c r="Z41" s="16">
        <f t="shared" si="33"/>
        <v>341</v>
      </c>
      <c r="AA41" s="16">
        <f t="shared" si="33"/>
        <v>81</v>
      </c>
      <c r="AB41" s="16">
        <f t="shared" si="33"/>
        <v>66</v>
      </c>
      <c r="AC41" s="16">
        <f t="shared" si="33"/>
        <v>11550</v>
      </c>
      <c r="AD41" s="16">
        <f t="shared" si="33"/>
        <v>90</v>
      </c>
      <c r="AE41" s="32">
        <f t="shared" si="33"/>
        <v>6062</v>
      </c>
      <c r="AF41" s="32">
        <f t="shared" si="33"/>
        <v>17612</v>
      </c>
    </row>
    <row r="42" spans="2:32" ht="23.1" customHeight="1" x14ac:dyDescent="0.25">
      <c r="B42" s="46" t="s">
        <v>69</v>
      </c>
      <c r="C42" s="50">
        <v>13</v>
      </c>
      <c r="D42" s="50">
        <v>7</v>
      </c>
      <c r="E42" s="50">
        <v>5</v>
      </c>
      <c r="F42" s="50">
        <v>18</v>
      </c>
      <c r="G42" s="50">
        <v>0</v>
      </c>
      <c r="H42" s="50">
        <v>0</v>
      </c>
      <c r="I42" s="50">
        <v>12</v>
      </c>
      <c r="J42" s="50">
        <v>9</v>
      </c>
      <c r="K42" s="50">
        <v>1</v>
      </c>
      <c r="L42" s="50">
        <v>0</v>
      </c>
      <c r="M42" s="50">
        <v>97</v>
      </c>
      <c r="N42" s="50">
        <v>0</v>
      </c>
      <c r="O42" s="15">
        <f t="shared" si="0"/>
        <v>65</v>
      </c>
      <c r="P42" s="15">
        <f t="shared" si="1"/>
        <v>162</v>
      </c>
      <c r="R42" s="5" t="s">
        <v>160</v>
      </c>
      <c r="S42" s="48">
        <f>S41/S40</f>
        <v>2.3079896907216493</v>
      </c>
      <c r="T42" s="48">
        <f t="shared" ref="T42:AF42" si="34">T41/T40</f>
        <v>1.3112745098039216</v>
      </c>
      <c r="U42" s="48">
        <f t="shared" si="34"/>
        <v>1.5192307692307692</v>
      </c>
      <c r="V42" s="48">
        <f t="shared" si="34"/>
        <v>1.3965277777777778</v>
      </c>
      <c r="W42" s="48">
        <f t="shared" si="34"/>
        <v>1.4705882352941178</v>
      </c>
      <c r="X42" s="48">
        <f t="shared" si="34"/>
        <v>1.4473684210526316</v>
      </c>
      <c r="Y42" s="48">
        <f t="shared" si="34"/>
        <v>1.3644067796610169</v>
      </c>
      <c r="Z42" s="48">
        <f t="shared" si="34"/>
        <v>2.1312500000000001</v>
      </c>
      <c r="AA42" s="48">
        <f t="shared" si="34"/>
        <v>2.3142857142857145</v>
      </c>
      <c r="AB42" s="48">
        <f t="shared" si="34"/>
        <v>3.3</v>
      </c>
      <c r="AC42" s="48">
        <f t="shared" si="34"/>
        <v>1.6311255472390904</v>
      </c>
      <c r="AD42" s="48" t="e">
        <f t="shared" si="34"/>
        <v>#DIV/0!</v>
      </c>
      <c r="AE42" s="48">
        <f t="shared" si="34"/>
        <v>1.6576428766748701</v>
      </c>
      <c r="AF42" s="48">
        <f t="shared" si="34"/>
        <v>1.6401564537157758</v>
      </c>
    </row>
    <row r="43" spans="2:32" ht="23.1" customHeight="1" x14ac:dyDescent="0.25">
      <c r="B43" s="45" t="s">
        <v>70</v>
      </c>
      <c r="C43" s="50">
        <v>8</v>
      </c>
      <c r="D43" s="50">
        <v>5</v>
      </c>
      <c r="E43" s="50">
        <v>1</v>
      </c>
      <c r="F43" s="50">
        <v>6</v>
      </c>
      <c r="G43" s="50">
        <v>0</v>
      </c>
      <c r="H43" s="50">
        <v>0</v>
      </c>
      <c r="I43" s="50">
        <v>4</v>
      </c>
      <c r="J43" s="50">
        <v>1</v>
      </c>
      <c r="K43" s="50">
        <v>0</v>
      </c>
      <c r="L43" s="50">
        <v>0</v>
      </c>
      <c r="M43" s="50">
        <v>93</v>
      </c>
      <c r="N43" s="50">
        <v>0</v>
      </c>
      <c r="O43" s="15">
        <f t="shared" si="0"/>
        <v>25</v>
      </c>
      <c r="P43" s="15">
        <f t="shared" si="1"/>
        <v>118</v>
      </c>
    </row>
    <row r="44" spans="2:32" ht="23.1" customHeight="1" x14ac:dyDescent="0.25">
      <c r="B44" s="47" t="s">
        <v>71</v>
      </c>
      <c r="C44" s="50">
        <v>4</v>
      </c>
      <c r="D44" s="50">
        <v>6</v>
      </c>
      <c r="E44" s="50">
        <v>4</v>
      </c>
      <c r="F44" s="50">
        <v>24</v>
      </c>
      <c r="G44" s="50">
        <v>0</v>
      </c>
      <c r="H44" s="50">
        <v>0</v>
      </c>
      <c r="I44" s="50">
        <v>8</v>
      </c>
      <c r="J44" s="50">
        <v>3</v>
      </c>
      <c r="K44" s="50">
        <v>1</v>
      </c>
      <c r="L44" s="50">
        <v>2</v>
      </c>
      <c r="M44" s="50">
        <v>44</v>
      </c>
      <c r="N44" s="50">
        <v>0</v>
      </c>
      <c r="O44" s="15">
        <f t="shared" si="0"/>
        <v>52</v>
      </c>
      <c r="P44" s="15">
        <f t="shared" si="1"/>
        <v>96</v>
      </c>
    </row>
    <row r="45" spans="2:32" ht="23.1" customHeight="1" x14ac:dyDescent="0.25">
      <c r="B45" s="45" t="s">
        <v>72</v>
      </c>
      <c r="C45" s="50">
        <v>19</v>
      </c>
      <c r="D45" s="50">
        <v>4</v>
      </c>
      <c r="E45" s="50">
        <v>1</v>
      </c>
      <c r="F45" s="50">
        <v>9</v>
      </c>
      <c r="G45" s="50">
        <v>0</v>
      </c>
      <c r="H45" s="50">
        <v>0</v>
      </c>
      <c r="I45" s="50">
        <v>10</v>
      </c>
      <c r="J45" s="50">
        <v>2</v>
      </c>
      <c r="K45" s="50">
        <v>0</v>
      </c>
      <c r="L45" s="50">
        <v>0</v>
      </c>
      <c r="M45" s="50">
        <v>19</v>
      </c>
      <c r="N45" s="50">
        <v>0</v>
      </c>
      <c r="O45" s="15">
        <f t="shared" si="0"/>
        <v>45</v>
      </c>
      <c r="P45" s="15">
        <f t="shared" si="1"/>
        <v>64</v>
      </c>
    </row>
    <row r="46" spans="2:32" ht="23.1" customHeight="1" x14ac:dyDescent="0.25">
      <c r="B46" s="46" t="s">
        <v>73</v>
      </c>
      <c r="C46" s="50">
        <v>22</v>
      </c>
      <c r="D46" s="50">
        <v>12</v>
      </c>
      <c r="E46" s="50">
        <v>3</v>
      </c>
      <c r="F46" s="50">
        <v>7</v>
      </c>
      <c r="G46" s="50">
        <v>1</v>
      </c>
      <c r="H46" s="50">
        <v>0</v>
      </c>
      <c r="I46" s="50">
        <v>15</v>
      </c>
      <c r="J46" s="50">
        <v>0</v>
      </c>
      <c r="K46" s="50">
        <v>0</v>
      </c>
      <c r="L46" s="50">
        <v>0</v>
      </c>
      <c r="M46" s="50">
        <v>38</v>
      </c>
      <c r="N46" s="50">
        <v>0</v>
      </c>
      <c r="O46" s="15">
        <f t="shared" si="0"/>
        <v>60</v>
      </c>
      <c r="P46" s="15">
        <f t="shared" si="1"/>
        <v>98</v>
      </c>
      <c r="R46" s="8"/>
      <c r="T46"/>
    </row>
    <row r="47" spans="2:32" ht="23.1" customHeight="1" x14ac:dyDescent="0.25">
      <c r="B47" s="46" t="s">
        <v>74</v>
      </c>
      <c r="C47" s="50">
        <v>5</v>
      </c>
      <c r="D47" s="50">
        <v>0</v>
      </c>
      <c r="E47" s="50">
        <v>6</v>
      </c>
      <c r="F47" s="50">
        <v>10</v>
      </c>
      <c r="G47" s="50">
        <v>0</v>
      </c>
      <c r="H47" s="50">
        <v>1</v>
      </c>
      <c r="I47" s="50">
        <v>7</v>
      </c>
      <c r="J47" s="50">
        <v>0</v>
      </c>
      <c r="K47" s="50">
        <v>0</v>
      </c>
      <c r="L47" s="50">
        <v>0</v>
      </c>
      <c r="M47" s="50">
        <v>49</v>
      </c>
      <c r="N47" s="50">
        <v>0</v>
      </c>
      <c r="O47" s="15">
        <f t="shared" si="0"/>
        <v>29</v>
      </c>
      <c r="P47" s="15">
        <f t="shared" si="1"/>
        <v>78</v>
      </c>
      <c r="R47" s="8"/>
      <c r="T47"/>
    </row>
    <row r="48" spans="2:32" ht="23.1" customHeight="1" x14ac:dyDescent="0.25">
      <c r="B48" s="46" t="s">
        <v>75</v>
      </c>
      <c r="C48" s="50">
        <v>8</v>
      </c>
      <c r="D48" s="50">
        <v>9</v>
      </c>
      <c r="E48" s="50">
        <v>5</v>
      </c>
      <c r="F48" s="50">
        <v>11</v>
      </c>
      <c r="G48" s="50">
        <v>1</v>
      </c>
      <c r="H48" s="50">
        <v>0</v>
      </c>
      <c r="I48" s="50">
        <v>5</v>
      </c>
      <c r="J48" s="50">
        <v>1</v>
      </c>
      <c r="K48" s="50">
        <v>0</v>
      </c>
      <c r="L48" s="50">
        <v>0</v>
      </c>
      <c r="M48" s="50">
        <v>114</v>
      </c>
      <c r="N48" s="50">
        <v>0</v>
      </c>
      <c r="O48" s="15">
        <f t="shared" si="0"/>
        <v>40</v>
      </c>
      <c r="P48" s="15">
        <f t="shared" si="1"/>
        <v>154</v>
      </c>
      <c r="R48" s="8"/>
      <c r="T48"/>
    </row>
    <row r="49" spans="2:20" ht="23.1" customHeight="1" x14ac:dyDescent="0.25">
      <c r="B49" s="45" t="s">
        <v>76</v>
      </c>
      <c r="C49" s="50">
        <v>13</v>
      </c>
      <c r="D49" s="50">
        <v>2</v>
      </c>
      <c r="E49" s="50">
        <v>1</v>
      </c>
      <c r="F49" s="50">
        <v>13</v>
      </c>
      <c r="G49" s="50">
        <v>0</v>
      </c>
      <c r="H49" s="50">
        <v>2</v>
      </c>
      <c r="I49" s="50">
        <v>9</v>
      </c>
      <c r="J49" s="50">
        <v>2</v>
      </c>
      <c r="K49" s="50">
        <v>0</v>
      </c>
      <c r="L49" s="50">
        <v>0</v>
      </c>
      <c r="M49" s="50">
        <v>84</v>
      </c>
      <c r="N49" s="50">
        <v>0</v>
      </c>
      <c r="O49" s="15">
        <f t="shared" si="0"/>
        <v>42</v>
      </c>
      <c r="P49" s="15">
        <f t="shared" si="1"/>
        <v>126</v>
      </c>
      <c r="R49" s="8"/>
      <c r="T49"/>
    </row>
    <row r="50" spans="2:20" ht="23.1" customHeight="1" x14ac:dyDescent="0.25">
      <c r="B50" s="46" t="s">
        <v>77</v>
      </c>
      <c r="C50" s="50">
        <v>23</v>
      </c>
      <c r="D50" s="50">
        <v>12</v>
      </c>
      <c r="E50" s="50">
        <v>3</v>
      </c>
      <c r="F50" s="50">
        <v>28</v>
      </c>
      <c r="G50" s="50">
        <v>0</v>
      </c>
      <c r="H50" s="50">
        <v>1</v>
      </c>
      <c r="I50" s="50">
        <v>17</v>
      </c>
      <c r="J50" s="50">
        <v>4</v>
      </c>
      <c r="K50" s="50">
        <v>3</v>
      </c>
      <c r="L50" s="50">
        <v>1</v>
      </c>
      <c r="M50" s="50">
        <v>157</v>
      </c>
      <c r="N50" s="50">
        <v>0</v>
      </c>
      <c r="O50" s="15">
        <f t="shared" si="0"/>
        <v>92</v>
      </c>
      <c r="P50" s="15">
        <f t="shared" si="1"/>
        <v>249</v>
      </c>
      <c r="R50" s="8"/>
      <c r="T50"/>
    </row>
    <row r="51" spans="2:20" ht="23.1" customHeight="1" x14ac:dyDescent="0.25">
      <c r="B51" s="46" t="s">
        <v>78</v>
      </c>
      <c r="C51" s="50">
        <v>18</v>
      </c>
      <c r="D51" s="50">
        <v>1</v>
      </c>
      <c r="E51" s="50">
        <v>3</v>
      </c>
      <c r="F51" s="50">
        <v>19</v>
      </c>
      <c r="G51" s="50">
        <v>0</v>
      </c>
      <c r="H51" s="50">
        <v>2</v>
      </c>
      <c r="I51" s="50">
        <v>14</v>
      </c>
      <c r="J51" s="50">
        <v>0</v>
      </c>
      <c r="K51" s="50">
        <v>0</v>
      </c>
      <c r="L51" s="50">
        <v>0</v>
      </c>
      <c r="M51" s="50">
        <v>163</v>
      </c>
      <c r="N51" s="50">
        <v>0</v>
      </c>
      <c r="O51" s="15">
        <f t="shared" si="0"/>
        <v>57</v>
      </c>
      <c r="P51" s="15">
        <f t="shared" si="1"/>
        <v>220</v>
      </c>
      <c r="R51" s="8"/>
      <c r="T51"/>
    </row>
    <row r="52" spans="2:20" ht="23.1" customHeight="1" x14ac:dyDescent="0.25">
      <c r="B52" s="46" t="s">
        <v>79</v>
      </c>
      <c r="C52" s="50">
        <v>16</v>
      </c>
      <c r="D52" s="50">
        <v>7</v>
      </c>
      <c r="E52" s="50">
        <v>4</v>
      </c>
      <c r="F52" s="50">
        <v>36</v>
      </c>
      <c r="G52" s="50">
        <v>0</v>
      </c>
      <c r="H52" s="50">
        <v>0</v>
      </c>
      <c r="I52" s="50">
        <v>20</v>
      </c>
      <c r="J52" s="50">
        <v>0</v>
      </c>
      <c r="K52" s="50">
        <v>3</v>
      </c>
      <c r="L52" s="50">
        <v>0</v>
      </c>
      <c r="M52" s="50">
        <v>176</v>
      </c>
      <c r="N52" s="50">
        <v>0</v>
      </c>
      <c r="O52" s="15">
        <f t="shared" si="0"/>
        <v>86</v>
      </c>
      <c r="P52" s="15">
        <f t="shared" si="1"/>
        <v>262</v>
      </c>
      <c r="R52" s="8"/>
      <c r="T52"/>
    </row>
    <row r="53" spans="2:20" ht="23.1" customHeight="1" x14ac:dyDescent="0.25">
      <c r="B53" s="45" t="s">
        <v>80</v>
      </c>
      <c r="C53" s="50">
        <v>17</v>
      </c>
      <c r="D53" s="50">
        <v>2</v>
      </c>
      <c r="E53" s="50">
        <v>3</v>
      </c>
      <c r="F53" s="50">
        <v>13</v>
      </c>
      <c r="G53" s="50">
        <v>0</v>
      </c>
      <c r="H53" s="50">
        <v>0</v>
      </c>
      <c r="I53" s="50">
        <v>24</v>
      </c>
      <c r="J53" s="50">
        <v>0</v>
      </c>
      <c r="K53" s="50">
        <v>0</v>
      </c>
      <c r="L53" s="50">
        <v>0</v>
      </c>
      <c r="M53" s="50">
        <v>245</v>
      </c>
      <c r="N53" s="50">
        <v>0</v>
      </c>
      <c r="O53" s="15">
        <f t="shared" si="0"/>
        <v>59</v>
      </c>
      <c r="P53" s="15">
        <f t="shared" si="1"/>
        <v>304</v>
      </c>
      <c r="R53" s="8"/>
      <c r="T53"/>
    </row>
    <row r="54" spans="2:20" ht="23.1" customHeight="1" x14ac:dyDescent="0.25">
      <c r="B54" s="45" t="s">
        <v>81</v>
      </c>
      <c r="C54" s="50">
        <v>18</v>
      </c>
      <c r="D54" s="50">
        <v>3</v>
      </c>
      <c r="E54" s="50">
        <v>4</v>
      </c>
      <c r="F54" s="50">
        <v>23</v>
      </c>
      <c r="G54" s="50">
        <v>1</v>
      </c>
      <c r="H54" s="50">
        <v>0</v>
      </c>
      <c r="I54" s="50">
        <v>17</v>
      </c>
      <c r="J54" s="50">
        <v>8</v>
      </c>
      <c r="K54" s="50">
        <v>0</v>
      </c>
      <c r="L54" s="50">
        <v>0</v>
      </c>
      <c r="M54" s="50">
        <v>103</v>
      </c>
      <c r="N54" s="50">
        <v>0</v>
      </c>
      <c r="O54" s="15">
        <f t="shared" si="0"/>
        <v>74</v>
      </c>
      <c r="P54" s="15">
        <f t="shared" si="1"/>
        <v>177</v>
      </c>
      <c r="R54" s="8"/>
      <c r="T54"/>
    </row>
    <row r="55" spans="2:20" ht="23.1" customHeight="1" x14ac:dyDescent="0.25">
      <c r="B55" s="45" t="s">
        <v>82</v>
      </c>
      <c r="C55" s="50">
        <v>16</v>
      </c>
      <c r="D55" s="50">
        <v>11</v>
      </c>
      <c r="E55" s="50">
        <v>2</v>
      </c>
      <c r="F55" s="50">
        <v>54</v>
      </c>
      <c r="G55" s="50">
        <v>0</v>
      </c>
      <c r="H55" s="50">
        <v>0</v>
      </c>
      <c r="I55" s="50">
        <v>19</v>
      </c>
      <c r="J55" s="50">
        <v>3</v>
      </c>
      <c r="K55" s="50">
        <v>0</v>
      </c>
      <c r="L55" s="50">
        <v>1</v>
      </c>
      <c r="M55" s="50">
        <v>160</v>
      </c>
      <c r="N55" s="50">
        <v>0</v>
      </c>
      <c r="O55" s="15">
        <f t="shared" si="0"/>
        <v>106</v>
      </c>
      <c r="P55" s="15">
        <f t="shared" si="1"/>
        <v>266</v>
      </c>
      <c r="R55" s="8"/>
      <c r="T55"/>
    </row>
    <row r="56" spans="2:20" ht="23.1" customHeight="1" x14ac:dyDescent="0.25">
      <c r="B56" s="45" t="s">
        <v>83</v>
      </c>
      <c r="C56" s="50">
        <v>32</v>
      </c>
      <c r="D56" s="50">
        <v>4</v>
      </c>
      <c r="E56" s="50">
        <v>6</v>
      </c>
      <c r="F56" s="50">
        <v>26</v>
      </c>
      <c r="G56" s="50">
        <v>3</v>
      </c>
      <c r="H56" s="50">
        <v>0</v>
      </c>
      <c r="I56" s="50">
        <v>23</v>
      </c>
      <c r="J56" s="50">
        <v>4</v>
      </c>
      <c r="K56" s="50">
        <v>0</v>
      </c>
      <c r="L56" s="50">
        <v>1</v>
      </c>
      <c r="M56" s="50">
        <v>143</v>
      </c>
      <c r="N56" s="50">
        <v>0</v>
      </c>
      <c r="O56" s="15">
        <f t="shared" si="0"/>
        <v>99</v>
      </c>
      <c r="P56" s="15">
        <f t="shared" si="1"/>
        <v>242</v>
      </c>
      <c r="R56" s="8"/>
      <c r="T56"/>
    </row>
    <row r="57" spans="2:20" ht="23.1" customHeight="1" x14ac:dyDescent="0.25">
      <c r="B57" s="45" t="s">
        <v>84</v>
      </c>
      <c r="C57" s="50">
        <v>27</v>
      </c>
      <c r="D57" s="50">
        <v>8</v>
      </c>
      <c r="E57" s="50">
        <v>8</v>
      </c>
      <c r="F57" s="50">
        <v>52</v>
      </c>
      <c r="G57" s="50">
        <v>1</v>
      </c>
      <c r="H57" s="50">
        <v>0</v>
      </c>
      <c r="I57" s="50">
        <v>8</v>
      </c>
      <c r="J57" s="50">
        <v>8</v>
      </c>
      <c r="K57" s="50">
        <v>0</v>
      </c>
      <c r="L57" s="50">
        <v>2</v>
      </c>
      <c r="M57" s="50">
        <v>163</v>
      </c>
      <c r="N57" s="50">
        <v>0</v>
      </c>
      <c r="O57" s="15">
        <f t="shared" si="0"/>
        <v>114</v>
      </c>
      <c r="P57" s="15">
        <f t="shared" si="1"/>
        <v>277</v>
      </c>
      <c r="R57" s="8"/>
      <c r="T57"/>
    </row>
    <row r="58" spans="2:20" ht="23.1" customHeight="1" x14ac:dyDescent="0.25">
      <c r="B58" s="45" t="s">
        <v>99</v>
      </c>
      <c r="C58" s="50">
        <v>39</v>
      </c>
      <c r="D58" s="50">
        <v>3</v>
      </c>
      <c r="E58" s="50">
        <v>3</v>
      </c>
      <c r="F58" s="50">
        <v>16</v>
      </c>
      <c r="G58" s="50">
        <v>1</v>
      </c>
      <c r="H58" s="50">
        <v>0</v>
      </c>
      <c r="I58" s="50">
        <v>6</v>
      </c>
      <c r="J58" s="50">
        <v>8</v>
      </c>
      <c r="K58" s="50">
        <v>0</v>
      </c>
      <c r="L58" s="50">
        <v>1</v>
      </c>
      <c r="M58" s="50">
        <v>137</v>
      </c>
      <c r="N58" s="50">
        <v>0</v>
      </c>
      <c r="O58" s="15">
        <f t="shared" si="0"/>
        <v>77</v>
      </c>
      <c r="P58" s="15">
        <f t="shared" si="1"/>
        <v>214</v>
      </c>
      <c r="R58" s="8"/>
      <c r="T58"/>
    </row>
    <row r="59" spans="2:20" ht="23.1" customHeight="1" x14ac:dyDescent="0.25">
      <c r="B59" s="45" t="s">
        <v>100</v>
      </c>
      <c r="C59" s="50">
        <v>29</v>
      </c>
      <c r="D59" s="50">
        <v>2</v>
      </c>
      <c r="E59" s="50">
        <v>1</v>
      </c>
      <c r="F59" s="50">
        <v>20</v>
      </c>
      <c r="G59" s="50">
        <v>0</v>
      </c>
      <c r="H59" s="50">
        <v>0</v>
      </c>
      <c r="I59" s="50">
        <v>11</v>
      </c>
      <c r="J59" s="50">
        <v>7</v>
      </c>
      <c r="K59" s="50">
        <v>2</v>
      </c>
      <c r="L59" s="50">
        <v>4</v>
      </c>
      <c r="M59" s="50">
        <v>143</v>
      </c>
      <c r="N59" s="50">
        <v>0</v>
      </c>
      <c r="O59" s="15">
        <f t="shared" si="0"/>
        <v>76</v>
      </c>
      <c r="P59" s="15">
        <f t="shared" si="1"/>
        <v>219</v>
      </c>
      <c r="R59" s="8"/>
      <c r="T59"/>
    </row>
    <row r="60" spans="2:20" ht="23.1" customHeight="1" x14ac:dyDescent="0.25">
      <c r="B60" s="45" t="s">
        <v>101</v>
      </c>
      <c r="C60" s="50">
        <v>16</v>
      </c>
      <c r="D60" s="50">
        <v>2</v>
      </c>
      <c r="E60" s="50">
        <v>2</v>
      </c>
      <c r="F60" s="50">
        <v>7</v>
      </c>
      <c r="G60" s="50">
        <v>0</v>
      </c>
      <c r="H60" s="50">
        <v>0</v>
      </c>
      <c r="I60" s="50">
        <v>7</v>
      </c>
      <c r="J60" s="50">
        <v>3</v>
      </c>
      <c r="K60" s="50">
        <v>4</v>
      </c>
      <c r="L60" s="50">
        <v>3</v>
      </c>
      <c r="M60" s="50">
        <v>135</v>
      </c>
      <c r="N60" s="50">
        <v>0</v>
      </c>
      <c r="O60" s="15">
        <f t="shared" si="0"/>
        <v>44</v>
      </c>
      <c r="P60" s="15">
        <f t="shared" si="1"/>
        <v>179</v>
      </c>
      <c r="R60" s="8"/>
      <c r="T60"/>
    </row>
    <row r="61" spans="2:20" ht="23.1" customHeight="1" x14ac:dyDescent="0.25">
      <c r="B61" s="45" t="s">
        <v>102</v>
      </c>
      <c r="C61" s="50">
        <v>35</v>
      </c>
      <c r="D61" s="50">
        <v>2</v>
      </c>
      <c r="E61" s="50">
        <v>4</v>
      </c>
      <c r="F61" s="50">
        <v>20</v>
      </c>
      <c r="G61" s="50">
        <v>0</v>
      </c>
      <c r="H61" s="50">
        <v>0</v>
      </c>
      <c r="I61" s="50">
        <v>4</v>
      </c>
      <c r="J61" s="50">
        <v>2</v>
      </c>
      <c r="K61" s="50">
        <v>3</v>
      </c>
      <c r="L61" s="50">
        <v>1</v>
      </c>
      <c r="M61" s="50">
        <v>175</v>
      </c>
      <c r="N61" s="50">
        <v>0</v>
      </c>
      <c r="O61" s="15">
        <f t="shared" si="0"/>
        <v>71</v>
      </c>
      <c r="P61" s="15">
        <f t="shared" si="1"/>
        <v>246</v>
      </c>
      <c r="R61" s="8"/>
      <c r="T61"/>
    </row>
    <row r="62" spans="2:20" ht="23.1" customHeight="1" x14ac:dyDescent="0.25">
      <c r="B62" s="45" t="s">
        <v>107</v>
      </c>
      <c r="C62" s="50">
        <v>26</v>
      </c>
      <c r="D62" s="50">
        <v>1</v>
      </c>
      <c r="E62" s="50">
        <v>0</v>
      </c>
      <c r="F62" s="50">
        <v>17</v>
      </c>
      <c r="G62" s="50">
        <v>1</v>
      </c>
      <c r="H62" s="50">
        <v>0</v>
      </c>
      <c r="I62" s="50">
        <v>7</v>
      </c>
      <c r="J62" s="50">
        <v>3</v>
      </c>
      <c r="K62" s="50">
        <v>1</v>
      </c>
      <c r="L62" s="50">
        <v>0</v>
      </c>
      <c r="M62" s="50">
        <v>157</v>
      </c>
      <c r="N62" s="50">
        <v>0</v>
      </c>
      <c r="O62" s="15">
        <f t="shared" si="0"/>
        <v>56</v>
      </c>
      <c r="P62" s="15">
        <f t="shared" si="1"/>
        <v>213</v>
      </c>
      <c r="R62" s="8"/>
      <c r="T62"/>
    </row>
    <row r="63" spans="2:20" ht="23.1" customHeight="1" x14ac:dyDescent="0.25">
      <c r="B63" s="45" t="s">
        <v>108</v>
      </c>
      <c r="C63" s="50">
        <v>18</v>
      </c>
      <c r="D63" s="50">
        <v>5</v>
      </c>
      <c r="E63" s="50">
        <v>0</v>
      </c>
      <c r="F63" s="50">
        <v>14</v>
      </c>
      <c r="G63" s="50">
        <v>0</v>
      </c>
      <c r="H63" s="50">
        <v>0</v>
      </c>
      <c r="I63" s="50">
        <v>4</v>
      </c>
      <c r="J63" s="50">
        <v>1</v>
      </c>
      <c r="K63" s="50">
        <v>2</v>
      </c>
      <c r="L63" s="50">
        <v>1</v>
      </c>
      <c r="M63" s="50">
        <v>90</v>
      </c>
      <c r="N63" s="50">
        <v>0</v>
      </c>
      <c r="O63" s="15">
        <f t="shared" si="0"/>
        <v>45</v>
      </c>
      <c r="P63" s="15">
        <f t="shared" si="1"/>
        <v>135</v>
      </c>
      <c r="R63" s="8"/>
      <c r="T63"/>
    </row>
    <row r="64" spans="2:20" ht="23.1" customHeight="1" x14ac:dyDescent="0.25">
      <c r="B64" s="45" t="s">
        <v>109</v>
      </c>
      <c r="C64" s="50">
        <v>36</v>
      </c>
      <c r="D64" s="50">
        <v>3</v>
      </c>
      <c r="E64" s="50">
        <v>2</v>
      </c>
      <c r="F64" s="50">
        <v>18</v>
      </c>
      <c r="G64" s="50">
        <v>0</v>
      </c>
      <c r="H64" s="50">
        <v>1</v>
      </c>
      <c r="I64" s="50">
        <v>9</v>
      </c>
      <c r="J64" s="50">
        <v>5</v>
      </c>
      <c r="K64" s="50">
        <v>1</v>
      </c>
      <c r="L64" s="50">
        <v>2</v>
      </c>
      <c r="M64" s="50">
        <v>90</v>
      </c>
      <c r="N64" s="50">
        <v>0</v>
      </c>
      <c r="O64" s="15">
        <f t="shared" si="0"/>
        <v>77</v>
      </c>
      <c r="P64" s="15">
        <f t="shared" si="1"/>
        <v>167</v>
      </c>
      <c r="R64" s="8"/>
      <c r="T64"/>
    </row>
    <row r="65" spans="2:20" ht="23.1" customHeight="1" x14ac:dyDescent="0.25">
      <c r="B65" s="45" t="s">
        <v>158</v>
      </c>
      <c r="C65" s="50">
        <v>20</v>
      </c>
      <c r="D65" s="50">
        <v>2</v>
      </c>
      <c r="E65" s="50">
        <v>1</v>
      </c>
      <c r="F65" s="50">
        <v>16</v>
      </c>
      <c r="G65" s="50">
        <v>1</v>
      </c>
      <c r="H65" s="50">
        <v>3</v>
      </c>
      <c r="I65" s="50">
        <v>6</v>
      </c>
      <c r="J65" s="50">
        <v>7</v>
      </c>
      <c r="K65" s="50">
        <v>1</v>
      </c>
      <c r="L65" s="50">
        <v>2</v>
      </c>
      <c r="M65" s="50">
        <v>215</v>
      </c>
      <c r="N65" s="50">
        <v>0</v>
      </c>
      <c r="O65" s="15">
        <f t="shared" si="0"/>
        <v>59</v>
      </c>
      <c r="P65" s="15">
        <f t="shared" si="1"/>
        <v>274</v>
      </c>
      <c r="R65" s="8"/>
      <c r="T65"/>
    </row>
    <row r="66" spans="2:20" ht="23.1" customHeight="1" x14ac:dyDescent="0.25">
      <c r="B66" s="45" t="s">
        <v>103</v>
      </c>
      <c r="C66" s="50">
        <v>29</v>
      </c>
      <c r="D66" s="50">
        <v>11</v>
      </c>
      <c r="E66" s="50">
        <v>4</v>
      </c>
      <c r="F66" s="50">
        <v>14</v>
      </c>
      <c r="G66" s="50">
        <v>0</v>
      </c>
      <c r="H66" s="50">
        <v>0</v>
      </c>
      <c r="I66" s="50">
        <v>5</v>
      </c>
      <c r="J66" s="50">
        <v>7</v>
      </c>
      <c r="K66" s="50">
        <v>1</v>
      </c>
      <c r="L66" s="50">
        <v>1</v>
      </c>
      <c r="M66" s="50">
        <v>105</v>
      </c>
      <c r="N66" s="50">
        <v>0</v>
      </c>
      <c r="O66" s="15">
        <f t="shared" si="0"/>
        <v>72</v>
      </c>
      <c r="P66" s="15">
        <f t="shared" si="1"/>
        <v>177</v>
      </c>
      <c r="R66" s="8"/>
      <c r="T66"/>
    </row>
    <row r="67" spans="2:20" ht="23.1" customHeight="1" x14ac:dyDescent="0.25">
      <c r="B67" s="45" t="s">
        <v>104</v>
      </c>
      <c r="C67" s="50">
        <v>33</v>
      </c>
      <c r="D67" s="50">
        <v>3</v>
      </c>
      <c r="E67" s="50">
        <v>2</v>
      </c>
      <c r="F67" s="50">
        <v>14</v>
      </c>
      <c r="G67" s="50">
        <v>2</v>
      </c>
      <c r="H67" s="50">
        <v>1</v>
      </c>
      <c r="I67" s="50">
        <v>8</v>
      </c>
      <c r="J67" s="50">
        <v>9</v>
      </c>
      <c r="K67" s="50">
        <v>0</v>
      </c>
      <c r="L67" s="50">
        <v>2</v>
      </c>
      <c r="M67" s="50">
        <v>165</v>
      </c>
      <c r="N67" s="50">
        <v>0</v>
      </c>
      <c r="O67" s="15">
        <f t="shared" si="0"/>
        <v>74</v>
      </c>
      <c r="P67" s="15">
        <f t="shared" si="1"/>
        <v>239</v>
      </c>
      <c r="R67" s="8"/>
      <c r="T67"/>
    </row>
    <row r="68" spans="2:20" ht="23.1" customHeight="1" x14ac:dyDescent="0.25">
      <c r="B68" s="45" t="s">
        <v>105</v>
      </c>
      <c r="C68" s="50">
        <v>32</v>
      </c>
      <c r="D68" s="50">
        <v>2</v>
      </c>
      <c r="E68" s="50">
        <v>2</v>
      </c>
      <c r="F68" s="50">
        <v>16</v>
      </c>
      <c r="G68" s="50">
        <v>1</v>
      </c>
      <c r="H68" s="50">
        <v>0</v>
      </c>
      <c r="I68" s="50">
        <v>1</v>
      </c>
      <c r="J68" s="50">
        <v>7</v>
      </c>
      <c r="K68" s="50">
        <v>2</v>
      </c>
      <c r="L68" s="50">
        <v>1</v>
      </c>
      <c r="M68" s="50">
        <v>200</v>
      </c>
      <c r="N68" s="50">
        <v>0</v>
      </c>
      <c r="O68" s="15">
        <f t="shared" si="0"/>
        <v>64</v>
      </c>
      <c r="P68" s="15">
        <f t="shared" si="1"/>
        <v>264</v>
      </c>
      <c r="R68" s="8"/>
      <c r="T68"/>
    </row>
    <row r="69" spans="2:20" ht="23.1" customHeight="1" x14ac:dyDescent="0.25">
      <c r="B69" s="45" t="s">
        <v>106</v>
      </c>
      <c r="C69" s="50">
        <v>40</v>
      </c>
      <c r="D69" s="50">
        <v>5</v>
      </c>
      <c r="E69" s="50">
        <v>3</v>
      </c>
      <c r="F69" s="50">
        <v>18</v>
      </c>
      <c r="G69" s="50">
        <v>0</v>
      </c>
      <c r="H69" s="50">
        <v>1</v>
      </c>
      <c r="I69" s="50">
        <v>11</v>
      </c>
      <c r="J69" s="50">
        <v>3</v>
      </c>
      <c r="K69" s="50">
        <v>1</v>
      </c>
      <c r="L69" s="50">
        <v>1</v>
      </c>
      <c r="M69" s="50">
        <v>200</v>
      </c>
      <c r="N69" s="50">
        <v>0</v>
      </c>
      <c r="O69" s="15">
        <f t="shared" si="0"/>
        <v>83</v>
      </c>
      <c r="P69" s="15">
        <f t="shared" si="1"/>
        <v>283</v>
      </c>
      <c r="R69" s="8"/>
      <c r="T69"/>
    </row>
    <row r="70" spans="2:20" ht="23.1" customHeight="1" x14ac:dyDescent="0.25">
      <c r="B70" s="45" t="s">
        <v>110</v>
      </c>
      <c r="C70" s="50">
        <v>40</v>
      </c>
      <c r="D70" s="50">
        <v>4</v>
      </c>
      <c r="E70" s="50">
        <v>3</v>
      </c>
      <c r="F70" s="50">
        <v>14</v>
      </c>
      <c r="G70" s="50">
        <v>1</v>
      </c>
      <c r="H70" s="50">
        <v>0</v>
      </c>
      <c r="I70" s="50">
        <v>5</v>
      </c>
      <c r="J70" s="50">
        <v>4</v>
      </c>
      <c r="K70" s="50">
        <v>0</v>
      </c>
      <c r="L70" s="50">
        <v>2</v>
      </c>
      <c r="M70" s="50">
        <v>121</v>
      </c>
      <c r="N70" s="50">
        <v>0</v>
      </c>
      <c r="O70" s="15">
        <f t="shared" si="0"/>
        <v>73</v>
      </c>
      <c r="P70" s="15">
        <f t="shared" si="1"/>
        <v>194</v>
      </c>
      <c r="R70" s="8"/>
      <c r="T70"/>
    </row>
    <row r="71" spans="2:20" ht="23.1" customHeight="1" x14ac:dyDescent="0.25">
      <c r="B71" s="45" t="s">
        <v>111</v>
      </c>
      <c r="C71" s="50">
        <v>36</v>
      </c>
      <c r="D71" s="50">
        <v>1</v>
      </c>
      <c r="E71" s="50">
        <v>0</v>
      </c>
      <c r="F71" s="50">
        <v>18</v>
      </c>
      <c r="G71" s="50">
        <v>0</v>
      </c>
      <c r="H71" s="50">
        <v>0</v>
      </c>
      <c r="I71" s="50">
        <v>3</v>
      </c>
      <c r="J71" s="50">
        <v>6</v>
      </c>
      <c r="K71" s="50">
        <v>1</v>
      </c>
      <c r="L71" s="50">
        <v>2</v>
      </c>
      <c r="M71" s="50">
        <v>103</v>
      </c>
      <c r="N71" s="50">
        <v>0</v>
      </c>
      <c r="O71" s="15">
        <f t="shared" si="0"/>
        <v>67</v>
      </c>
      <c r="P71" s="15">
        <f t="shared" si="1"/>
        <v>170</v>
      </c>
      <c r="R71" s="8"/>
      <c r="T71"/>
    </row>
    <row r="72" spans="2:20" ht="23.1" customHeight="1" x14ac:dyDescent="0.25">
      <c r="B72" s="45" t="s">
        <v>112</v>
      </c>
      <c r="C72" s="50">
        <v>33</v>
      </c>
      <c r="D72" s="50">
        <v>2</v>
      </c>
      <c r="E72" s="50">
        <v>5</v>
      </c>
      <c r="F72" s="50">
        <v>26</v>
      </c>
      <c r="G72" s="50">
        <v>0</v>
      </c>
      <c r="H72" s="50">
        <v>0</v>
      </c>
      <c r="I72" s="50">
        <v>5</v>
      </c>
      <c r="J72" s="50">
        <v>2</v>
      </c>
      <c r="K72" s="50">
        <v>1</v>
      </c>
      <c r="L72" s="50">
        <v>0</v>
      </c>
      <c r="M72" s="50">
        <v>89</v>
      </c>
      <c r="N72" s="50">
        <v>0</v>
      </c>
      <c r="O72" s="15">
        <f t="shared" si="0"/>
        <v>74</v>
      </c>
      <c r="P72" s="15">
        <f t="shared" si="1"/>
        <v>163</v>
      </c>
      <c r="R72" s="8"/>
      <c r="T72"/>
    </row>
    <row r="73" spans="2:20" ht="23.1" customHeight="1" x14ac:dyDescent="0.25">
      <c r="B73" s="45" t="s">
        <v>113</v>
      </c>
      <c r="C73" s="50">
        <v>33</v>
      </c>
      <c r="D73" s="50">
        <v>4</v>
      </c>
      <c r="E73" s="50">
        <v>2</v>
      </c>
      <c r="F73" s="50">
        <v>27</v>
      </c>
      <c r="G73" s="50">
        <v>0</v>
      </c>
      <c r="H73" s="50">
        <v>0</v>
      </c>
      <c r="I73" s="50">
        <v>6</v>
      </c>
      <c r="J73" s="50">
        <v>4</v>
      </c>
      <c r="K73" s="50">
        <v>1</v>
      </c>
      <c r="L73" s="50">
        <v>1</v>
      </c>
      <c r="M73" s="50">
        <v>116</v>
      </c>
      <c r="N73" s="50">
        <v>0</v>
      </c>
      <c r="O73" s="15">
        <f t="shared" si="0"/>
        <v>78</v>
      </c>
      <c r="P73" s="15">
        <f t="shared" si="1"/>
        <v>194</v>
      </c>
      <c r="R73" s="8"/>
      <c r="T73"/>
    </row>
    <row r="74" spans="2:20" ht="23.1" customHeight="1" x14ac:dyDescent="0.25">
      <c r="B74" s="45" t="s">
        <v>114</v>
      </c>
      <c r="C74" s="50">
        <v>51</v>
      </c>
      <c r="D74" s="50">
        <v>4</v>
      </c>
      <c r="E74" s="50">
        <v>6</v>
      </c>
      <c r="F74" s="50">
        <v>23</v>
      </c>
      <c r="G74" s="50">
        <v>0</v>
      </c>
      <c r="H74" s="50">
        <v>1</v>
      </c>
      <c r="I74" s="50">
        <v>6</v>
      </c>
      <c r="J74" s="50">
        <v>4</v>
      </c>
      <c r="K74" s="50">
        <v>1</v>
      </c>
      <c r="L74" s="50">
        <v>1</v>
      </c>
      <c r="M74" s="50">
        <v>123</v>
      </c>
      <c r="N74" s="50">
        <v>0</v>
      </c>
      <c r="O74" s="15">
        <f t="shared" ref="O74:O105" si="35">SUM(C74:L74,N74)</f>
        <v>97</v>
      </c>
      <c r="P74" s="15">
        <f t="shared" ref="P74:P105" si="36">SUM(C74:N74)</f>
        <v>220</v>
      </c>
      <c r="R74" s="8"/>
      <c r="T74"/>
    </row>
    <row r="75" spans="2:20" ht="23.1" customHeight="1" x14ac:dyDescent="0.25">
      <c r="B75" s="45" t="s">
        <v>115</v>
      </c>
      <c r="C75" s="50">
        <v>23</v>
      </c>
      <c r="D75" s="50">
        <v>7</v>
      </c>
      <c r="E75" s="50">
        <v>3</v>
      </c>
      <c r="F75" s="50">
        <v>27</v>
      </c>
      <c r="G75" s="50">
        <v>1</v>
      </c>
      <c r="H75" s="50">
        <v>2</v>
      </c>
      <c r="I75" s="50">
        <v>3</v>
      </c>
      <c r="J75" s="50">
        <v>4</v>
      </c>
      <c r="K75" s="50">
        <v>3</v>
      </c>
      <c r="L75" s="50">
        <v>0</v>
      </c>
      <c r="M75" s="50">
        <v>105</v>
      </c>
      <c r="N75" s="50">
        <v>0</v>
      </c>
      <c r="O75" s="15">
        <f t="shared" si="35"/>
        <v>73</v>
      </c>
      <c r="P75" s="15">
        <f t="shared" si="36"/>
        <v>178</v>
      </c>
      <c r="R75" s="8"/>
      <c r="T75"/>
    </row>
    <row r="76" spans="2:20" ht="23.1" customHeight="1" x14ac:dyDescent="0.25">
      <c r="B76" s="45" t="s">
        <v>116</v>
      </c>
      <c r="C76" s="50">
        <v>36</v>
      </c>
      <c r="D76" s="50">
        <v>4</v>
      </c>
      <c r="E76" s="50">
        <v>0</v>
      </c>
      <c r="F76" s="50">
        <v>19</v>
      </c>
      <c r="G76" s="50">
        <v>1</v>
      </c>
      <c r="H76" s="50">
        <v>0</v>
      </c>
      <c r="I76" s="50">
        <v>7</v>
      </c>
      <c r="J76" s="50">
        <v>2</v>
      </c>
      <c r="K76" s="50">
        <v>3</v>
      </c>
      <c r="L76" s="50">
        <v>0</v>
      </c>
      <c r="M76" s="50">
        <v>145</v>
      </c>
      <c r="N76" s="50">
        <v>0</v>
      </c>
      <c r="O76" s="15">
        <f t="shared" si="35"/>
        <v>72</v>
      </c>
      <c r="P76" s="15">
        <f t="shared" si="36"/>
        <v>217</v>
      </c>
      <c r="R76" s="8"/>
      <c r="T76"/>
    </row>
    <row r="77" spans="2:20" ht="23.1" customHeight="1" x14ac:dyDescent="0.25">
      <c r="B77" s="45" t="s">
        <v>117</v>
      </c>
      <c r="C77" s="50">
        <v>42</v>
      </c>
      <c r="D77" s="50">
        <v>4</v>
      </c>
      <c r="E77" s="50">
        <v>2</v>
      </c>
      <c r="F77" s="50">
        <v>17</v>
      </c>
      <c r="G77" s="50">
        <v>2</v>
      </c>
      <c r="H77" s="50">
        <v>0</v>
      </c>
      <c r="I77" s="50">
        <v>10</v>
      </c>
      <c r="J77" s="50">
        <v>6</v>
      </c>
      <c r="K77" s="50">
        <v>2</v>
      </c>
      <c r="L77" s="50">
        <v>0</v>
      </c>
      <c r="M77" s="50">
        <v>106</v>
      </c>
      <c r="N77" s="50">
        <v>0</v>
      </c>
      <c r="O77" s="15">
        <f t="shared" si="35"/>
        <v>85</v>
      </c>
      <c r="P77" s="15">
        <f t="shared" si="36"/>
        <v>191</v>
      </c>
      <c r="R77" s="8"/>
      <c r="T77"/>
    </row>
    <row r="78" spans="2:20" ht="23.1" customHeight="1" x14ac:dyDescent="0.25">
      <c r="B78" s="46" t="s">
        <v>118</v>
      </c>
      <c r="C78" s="50">
        <v>28</v>
      </c>
      <c r="D78" s="50">
        <v>7</v>
      </c>
      <c r="E78" s="50">
        <v>3</v>
      </c>
      <c r="F78" s="50">
        <v>11</v>
      </c>
      <c r="G78" s="50">
        <v>0</v>
      </c>
      <c r="H78" s="50">
        <v>3</v>
      </c>
      <c r="I78" s="50">
        <v>5</v>
      </c>
      <c r="J78" s="50">
        <v>2</v>
      </c>
      <c r="K78" s="50">
        <v>0</v>
      </c>
      <c r="L78" s="50">
        <v>0</v>
      </c>
      <c r="M78" s="50">
        <v>184</v>
      </c>
      <c r="N78" s="50">
        <v>0</v>
      </c>
      <c r="O78" s="15">
        <f t="shared" si="35"/>
        <v>59</v>
      </c>
      <c r="P78" s="15">
        <f t="shared" si="36"/>
        <v>243</v>
      </c>
      <c r="R78" s="8"/>
      <c r="T78"/>
    </row>
    <row r="79" spans="2:20" ht="23.1" customHeight="1" x14ac:dyDescent="0.25">
      <c r="B79" s="45" t="s">
        <v>119</v>
      </c>
      <c r="C79" s="50">
        <v>27</v>
      </c>
      <c r="D79" s="50">
        <v>4</v>
      </c>
      <c r="E79" s="50">
        <v>0</v>
      </c>
      <c r="F79" s="50">
        <v>4</v>
      </c>
      <c r="G79" s="50">
        <v>0</v>
      </c>
      <c r="H79" s="50">
        <v>0</v>
      </c>
      <c r="I79" s="50">
        <v>4</v>
      </c>
      <c r="J79" s="50">
        <v>2</v>
      </c>
      <c r="K79" s="50">
        <v>0</v>
      </c>
      <c r="L79" s="50">
        <v>1</v>
      </c>
      <c r="M79" s="50">
        <v>147</v>
      </c>
      <c r="N79" s="50">
        <v>0</v>
      </c>
      <c r="O79" s="15">
        <f t="shared" si="35"/>
        <v>42</v>
      </c>
      <c r="P79" s="15">
        <f t="shared" si="36"/>
        <v>189</v>
      </c>
      <c r="R79" s="8"/>
      <c r="T79"/>
    </row>
    <row r="80" spans="2:20" ht="23.1" customHeight="1" x14ac:dyDescent="0.25">
      <c r="B80" s="47" t="s">
        <v>120</v>
      </c>
      <c r="C80" s="50">
        <v>21</v>
      </c>
      <c r="D80" s="50">
        <v>0</v>
      </c>
      <c r="E80" s="50">
        <v>2</v>
      </c>
      <c r="F80" s="50">
        <v>9</v>
      </c>
      <c r="G80" s="50">
        <v>0</v>
      </c>
      <c r="H80" s="50">
        <v>1</v>
      </c>
      <c r="I80" s="50">
        <v>6</v>
      </c>
      <c r="J80" s="50">
        <v>2</v>
      </c>
      <c r="K80" s="50">
        <v>1</v>
      </c>
      <c r="L80" s="50">
        <v>2</v>
      </c>
      <c r="M80" s="50">
        <v>135</v>
      </c>
      <c r="N80" s="50">
        <v>0</v>
      </c>
      <c r="O80" s="15">
        <f t="shared" si="35"/>
        <v>44</v>
      </c>
      <c r="P80" s="15">
        <f t="shared" si="36"/>
        <v>179</v>
      </c>
      <c r="R80" s="8"/>
      <c r="T80"/>
    </row>
    <row r="81" spans="2:20" ht="23.1" customHeight="1" x14ac:dyDescent="0.25">
      <c r="B81" s="45" t="s">
        <v>121</v>
      </c>
      <c r="C81" s="50">
        <v>23</v>
      </c>
      <c r="D81" s="50">
        <v>3</v>
      </c>
      <c r="E81" s="50">
        <v>1</v>
      </c>
      <c r="F81" s="50">
        <v>7</v>
      </c>
      <c r="G81" s="50">
        <v>1</v>
      </c>
      <c r="H81" s="50">
        <v>0</v>
      </c>
      <c r="I81" s="50">
        <v>2</v>
      </c>
      <c r="J81" s="50">
        <v>4</v>
      </c>
      <c r="K81" s="50">
        <v>0</v>
      </c>
      <c r="L81" s="50">
        <v>0</v>
      </c>
      <c r="M81" s="50">
        <v>58</v>
      </c>
      <c r="N81" s="50">
        <v>0</v>
      </c>
      <c r="O81" s="15">
        <f t="shared" si="35"/>
        <v>41</v>
      </c>
      <c r="P81" s="15">
        <f t="shared" si="36"/>
        <v>99</v>
      </c>
      <c r="R81" s="8"/>
      <c r="T81"/>
    </row>
    <row r="82" spans="2:20" ht="23.1" customHeight="1" x14ac:dyDescent="0.25">
      <c r="B82" s="46" t="s">
        <v>122</v>
      </c>
      <c r="C82" s="50">
        <v>9</v>
      </c>
      <c r="D82" s="50">
        <v>0</v>
      </c>
      <c r="E82" s="50">
        <v>0</v>
      </c>
      <c r="F82" s="50">
        <v>3</v>
      </c>
      <c r="G82" s="50">
        <v>0</v>
      </c>
      <c r="H82" s="50">
        <v>0</v>
      </c>
      <c r="I82" s="50">
        <v>1</v>
      </c>
      <c r="J82" s="50">
        <v>1</v>
      </c>
      <c r="K82" s="50">
        <v>0</v>
      </c>
      <c r="L82" s="50">
        <v>0</v>
      </c>
      <c r="M82" s="50">
        <v>77</v>
      </c>
      <c r="N82" s="50">
        <v>0</v>
      </c>
      <c r="O82" s="15">
        <f t="shared" si="35"/>
        <v>14</v>
      </c>
      <c r="P82" s="15">
        <f t="shared" si="36"/>
        <v>91</v>
      </c>
      <c r="R82" s="8"/>
      <c r="T82"/>
    </row>
    <row r="83" spans="2:20" ht="23.1" customHeight="1" x14ac:dyDescent="0.25">
      <c r="B83" s="45" t="s">
        <v>123</v>
      </c>
      <c r="C83" s="50">
        <v>7</v>
      </c>
      <c r="D83" s="50">
        <v>1</v>
      </c>
      <c r="E83" s="50">
        <v>0</v>
      </c>
      <c r="F83" s="50">
        <v>4</v>
      </c>
      <c r="G83" s="50">
        <v>0</v>
      </c>
      <c r="H83" s="50">
        <v>0</v>
      </c>
      <c r="I83" s="50">
        <v>1</v>
      </c>
      <c r="J83" s="50">
        <v>3</v>
      </c>
      <c r="K83" s="50">
        <v>1</v>
      </c>
      <c r="L83" s="50">
        <v>1</v>
      </c>
      <c r="M83" s="50">
        <v>56</v>
      </c>
      <c r="N83" s="50">
        <v>0</v>
      </c>
      <c r="O83" s="15">
        <f t="shared" si="35"/>
        <v>18</v>
      </c>
      <c r="P83" s="15">
        <f t="shared" si="36"/>
        <v>74</v>
      </c>
      <c r="R83" s="8"/>
      <c r="T83"/>
    </row>
    <row r="84" spans="2:20" ht="23.1" customHeight="1" x14ac:dyDescent="0.25">
      <c r="B84" s="47" t="s">
        <v>124</v>
      </c>
      <c r="C84" s="50">
        <v>25</v>
      </c>
      <c r="D84" s="50">
        <v>5</v>
      </c>
      <c r="E84" s="50">
        <v>1</v>
      </c>
      <c r="F84" s="50">
        <v>5</v>
      </c>
      <c r="G84" s="50">
        <v>0</v>
      </c>
      <c r="H84" s="50">
        <v>0</v>
      </c>
      <c r="I84" s="50">
        <v>3</v>
      </c>
      <c r="J84" s="50">
        <v>2</v>
      </c>
      <c r="K84" s="50">
        <v>0</v>
      </c>
      <c r="L84" s="50">
        <v>1</v>
      </c>
      <c r="M84" s="50">
        <v>33</v>
      </c>
      <c r="N84" s="50">
        <v>0</v>
      </c>
      <c r="O84" s="15">
        <f t="shared" si="35"/>
        <v>42</v>
      </c>
      <c r="P84" s="15">
        <f t="shared" si="36"/>
        <v>75</v>
      </c>
      <c r="R84" s="8"/>
      <c r="T84"/>
    </row>
    <row r="85" spans="2:20" ht="23.1" customHeight="1" x14ac:dyDescent="0.25">
      <c r="B85" s="45" t="s">
        <v>125</v>
      </c>
      <c r="C85" s="50">
        <v>17</v>
      </c>
      <c r="D85" s="50">
        <v>2</v>
      </c>
      <c r="E85" s="50">
        <v>3</v>
      </c>
      <c r="F85" s="50">
        <v>1</v>
      </c>
      <c r="G85" s="50">
        <v>0</v>
      </c>
      <c r="H85" s="50">
        <v>0</v>
      </c>
      <c r="I85" s="50">
        <v>4</v>
      </c>
      <c r="J85" s="50">
        <v>0</v>
      </c>
      <c r="K85" s="50">
        <v>0</v>
      </c>
      <c r="L85" s="50">
        <v>2</v>
      </c>
      <c r="M85" s="50">
        <v>41</v>
      </c>
      <c r="N85" s="50">
        <v>0</v>
      </c>
      <c r="O85" s="15">
        <f t="shared" si="35"/>
        <v>29</v>
      </c>
      <c r="P85" s="15">
        <f t="shared" si="36"/>
        <v>70</v>
      </c>
      <c r="R85" s="8"/>
      <c r="T85"/>
    </row>
    <row r="86" spans="2:20" ht="23.1" customHeight="1" x14ac:dyDescent="0.25">
      <c r="B86" s="46" t="s">
        <v>126</v>
      </c>
      <c r="C86" s="50">
        <v>19</v>
      </c>
      <c r="D86" s="50">
        <v>1</v>
      </c>
      <c r="E86" s="50">
        <v>1</v>
      </c>
      <c r="F86" s="50">
        <v>4</v>
      </c>
      <c r="G86" s="50">
        <v>0</v>
      </c>
      <c r="H86" s="50">
        <v>0</v>
      </c>
      <c r="I86" s="50">
        <v>6</v>
      </c>
      <c r="J86" s="50">
        <v>8</v>
      </c>
      <c r="K86" s="50">
        <v>0</v>
      </c>
      <c r="L86" s="50">
        <v>0</v>
      </c>
      <c r="M86" s="50">
        <v>78</v>
      </c>
      <c r="N86" s="50">
        <v>0</v>
      </c>
      <c r="O86" s="15">
        <f t="shared" si="35"/>
        <v>39</v>
      </c>
      <c r="P86" s="15">
        <f t="shared" si="36"/>
        <v>117</v>
      </c>
      <c r="R86" s="8"/>
      <c r="T86"/>
    </row>
    <row r="87" spans="2:20" ht="23.1" customHeight="1" x14ac:dyDescent="0.25">
      <c r="B87" s="45" t="s">
        <v>127</v>
      </c>
      <c r="C87" s="50">
        <v>9</v>
      </c>
      <c r="D87" s="50">
        <v>0</v>
      </c>
      <c r="E87" s="50">
        <v>1</v>
      </c>
      <c r="F87" s="50">
        <v>4</v>
      </c>
      <c r="G87" s="50">
        <v>0</v>
      </c>
      <c r="H87" s="50">
        <v>0</v>
      </c>
      <c r="I87" s="50">
        <v>2</v>
      </c>
      <c r="J87" s="50">
        <v>2</v>
      </c>
      <c r="K87" s="50">
        <v>2</v>
      </c>
      <c r="L87" s="50">
        <v>0</v>
      </c>
      <c r="M87" s="50">
        <v>42</v>
      </c>
      <c r="N87" s="50">
        <v>0</v>
      </c>
      <c r="O87" s="15">
        <f t="shared" si="35"/>
        <v>20</v>
      </c>
      <c r="P87" s="15">
        <f t="shared" si="36"/>
        <v>62</v>
      </c>
      <c r="R87" s="8"/>
      <c r="T87"/>
    </row>
    <row r="88" spans="2:20" ht="23.1" customHeight="1" x14ac:dyDescent="0.25">
      <c r="B88" s="47" t="s">
        <v>128</v>
      </c>
      <c r="C88" s="50">
        <v>14</v>
      </c>
      <c r="D88" s="50">
        <v>2</v>
      </c>
      <c r="E88" s="50">
        <v>0</v>
      </c>
      <c r="F88" s="50">
        <v>1</v>
      </c>
      <c r="G88" s="50">
        <v>0</v>
      </c>
      <c r="H88" s="50">
        <v>0</v>
      </c>
      <c r="I88" s="50">
        <v>1</v>
      </c>
      <c r="J88" s="50">
        <v>1</v>
      </c>
      <c r="K88" s="50">
        <v>2</v>
      </c>
      <c r="L88" s="50">
        <v>1</v>
      </c>
      <c r="M88" s="50">
        <v>71</v>
      </c>
      <c r="N88" s="50">
        <v>0</v>
      </c>
      <c r="O88" s="15">
        <f t="shared" si="35"/>
        <v>22</v>
      </c>
      <c r="P88" s="15">
        <f t="shared" si="36"/>
        <v>93</v>
      </c>
      <c r="R88" s="8"/>
      <c r="T88"/>
    </row>
    <row r="89" spans="2:20" ht="23.1" customHeight="1" x14ac:dyDescent="0.25">
      <c r="B89" s="45" t="s">
        <v>129</v>
      </c>
      <c r="C89" s="50">
        <v>6</v>
      </c>
      <c r="D89" s="50">
        <v>0</v>
      </c>
      <c r="E89" s="50">
        <v>2</v>
      </c>
      <c r="F89" s="50">
        <v>1</v>
      </c>
      <c r="G89" s="50">
        <v>0</v>
      </c>
      <c r="H89" s="50">
        <v>0</v>
      </c>
      <c r="I89" s="50">
        <v>0</v>
      </c>
      <c r="J89" s="50">
        <v>4</v>
      </c>
      <c r="K89" s="50">
        <v>1</v>
      </c>
      <c r="L89" s="50">
        <v>0</v>
      </c>
      <c r="M89" s="50">
        <v>75</v>
      </c>
      <c r="N89" s="50">
        <v>0</v>
      </c>
      <c r="O89" s="15">
        <f t="shared" si="35"/>
        <v>14</v>
      </c>
      <c r="P89" s="15">
        <f t="shared" si="36"/>
        <v>89</v>
      </c>
      <c r="R89" s="8"/>
      <c r="T89"/>
    </row>
    <row r="90" spans="2:20" ht="23.1" customHeight="1" x14ac:dyDescent="0.25">
      <c r="B90" s="46" t="s">
        <v>130</v>
      </c>
      <c r="C90" s="50">
        <v>6</v>
      </c>
      <c r="D90" s="50">
        <v>0</v>
      </c>
      <c r="E90" s="50">
        <v>0</v>
      </c>
      <c r="F90" s="50">
        <v>0</v>
      </c>
      <c r="G90" s="50">
        <v>0</v>
      </c>
      <c r="H90" s="50">
        <v>1</v>
      </c>
      <c r="I90" s="50">
        <v>3</v>
      </c>
      <c r="J90" s="50">
        <v>1</v>
      </c>
      <c r="K90" s="50">
        <v>1</v>
      </c>
      <c r="L90" s="50">
        <v>0</v>
      </c>
      <c r="M90" s="50">
        <v>59</v>
      </c>
      <c r="N90" s="50">
        <v>0</v>
      </c>
      <c r="O90" s="15">
        <f t="shared" si="35"/>
        <v>12</v>
      </c>
      <c r="P90" s="15">
        <f t="shared" si="36"/>
        <v>71</v>
      </c>
      <c r="R90" s="8"/>
      <c r="T90"/>
    </row>
    <row r="91" spans="2:20" ht="23.1" customHeight="1" x14ac:dyDescent="0.25">
      <c r="B91" s="45" t="s">
        <v>131</v>
      </c>
      <c r="C91" s="50">
        <v>2</v>
      </c>
      <c r="D91" s="50">
        <v>1</v>
      </c>
      <c r="E91" s="50">
        <v>0</v>
      </c>
      <c r="F91" s="50">
        <v>2</v>
      </c>
      <c r="G91" s="50">
        <v>0</v>
      </c>
      <c r="H91" s="50">
        <v>0</v>
      </c>
      <c r="I91" s="50">
        <v>1</v>
      </c>
      <c r="J91" s="50">
        <v>3</v>
      </c>
      <c r="K91" s="50">
        <v>0</v>
      </c>
      <c r="L91" s="50">
        <v>0</v>
      </c>
      <c r="M91" s="50">
        <v>25</v>
      </c>
      <c r="N91" s="50">
        <v>0</v>
      </c>
      <c r="O91" s="15">
        <f t="shared" si="35"/>
        <v>9</v>
      </c>
      <c r="P91" s="15">
        <f t="shared" si="36"/>
        <v>34</v>
      </c>
      <c r="R91" s="8"/>
      <c r="T91"/>
    </row>
    <row r="92" spans="2:20" ht="23.1" customHeight="1" x14ac:dyDescent="0.25">
      <c r="B92" s="47" t="s">
        <v>132</v>
      </c>
      <c r="C92" s="50">
        <v>5</v>
      </c>
      <c r="D92" s="50">
        <v>1</v>
      </c>
      <c r="E92" s="50">
        <v>1</v>
      </c>
      <c r="F92" s="50">
        <v>4</v>
      </c>
      <c r="G92" s="50">
        <v>0</v>
      </c>
      <c r="H92" s="50">
        <v>0</v>
      </c>
      <c r="I92" s="50">
        <v>3</v>
      </c>
      <c r="J92" s="50">
        <v>2</v>
      </c>
      <c r="K92" s="50">
        <v>0</v>
      </c>
      <c r="L92" s="50">
        <v>0</v>
      </c>
      <c r="M92" s="50">
        <v>30</v>
      </c>
      <c r="N92" s="50">
        <v>0</v>
      </c>
      <c r="O92" s="15">
        <f t="shared" si="35"/>
        <v>16</v>
      </c>
      <c r="P92" s="15">
        <f t="shared" si="36"/>
        <v>46</v>
      </c>
      <c r="R92" s="8"/>
      <c r="T92"/>
    </row>
    <row r="93" spans="2:20" ht="23.1" customHeight="1" x14ac:dyDescent="0.25">
      <c r="B93" s="45" t="s">
        <v>133</v>
      </c>
      <c r="C93" s="50">
        <v>6</v>
      </c>
      <c r="D93" s="50">
        <v>0</v>
      </c>
      <c r="E93" s="50">
        <v>1</v>
      </c>
      <c r="F93" s="50">
        <v>0</v>
      </c>
      <c r="G93" s="50">
        <v>0</v>
      </c>
      <c r="H93" s="50">
        <v>0</v>
      </c>
      <c r="I93" s="50">
        <v>0</v>
      </c>
      <c r="J93" s="50">
        <v>0</v>
      </c>
      <c r="K93" s="50">
        <v>0</v>
      </c>
      <c r="L93" s="50">
        <v>0</v>
      </c>
      <c r="M93" s="50">
        <v>18</v>
      </c>
      <c r="N93" s="50">
        <v>0</v>
      </c>
      <c r="O93" s="15">
        <f t="shared" si="35"/>
        <v>7</v>
      </c>
      <c r="P93" s="15">
        <f t="shared" si="36"/>
        <v>25</v>
      </c>
      <c r="R93" s="8"/>
      <c r="T93"/>
    </row>
    <row r="94" spans="2:20" ht="23.1" customHeight="1" x14ac:dyDescent="0.25">
      <c r="B94" s="46" t="s">
        <v>134</v>
      </c>
      <c r="C94" s="50">
        <v>2</v>
      </c>
      <c r="D94" s="50">
        <v>1</v>
      </c>
      <c r="E94" s="50">
        <v>2</v>
      </c>
      <c r="F94" s="50">
        <v>2</v>
      </c>
      <c r="G94" s="50">
        <v>0</v>
      </c>
      <c r="H94" s="50">
        <v>0</v>
      </c>
      <c r="I94" s="50">
        <v>0</v>
      </c>
      <c r="J94" s="50">
        <v>2</v>
      </c>
      <c r="K94" s="50">
        <v>0</v>
      </c>
      <c r="L94" s="50">
        <v>0</v>
      </c>
      <c r="M94" s="50">
        <v>0</v>
      </c>
      <c r="N94" s="50">
        <v>24</v>
      </c>
      <c r="O94" s="15">
        <f t="shared" si="35"/>
        <v>33</v>
      </c>
      <c r="P94" s="15">
        <f t="shared" si="36"/>
        <v>33</v>
      </c>
      <c r="R94" s="8"/>
      <c r="T94"/>
    </row>
    <row r="95" spans="2:20" ht="23.1" customHeight="1" x14ac:dyDescent="0.25">
      <c r="B95" s="45" t="s">
        <v>135</v>
      </c>
      <c r="C95" s="50">
        <v>11</v>
      </c>
      <c r="D95" s="50">
        <v>0</v>
      </c>
      <c r="E95" s="50">
        <v>0</v>
      </c>
      <c r="F95" s="50">
        <v>0</v>
      </c>
      <c r="G95" s="50">
        <v>0</v>
      </c>
      <c r="H95" s="50">
        <v>0</v>
      </c>
      <c r="I95" s="50">
        <v>1</v>
      </c>
      <c r="J95" s="50">
        <v>0</v>
      </c>
      <c r="K95" s="50">
        <v>0</v>
      </c>
      <c r="L95" s="50">
        <v>0</v>
      </c>
      <c r="M95" s="50">
        <v>0</v>
      </c>
      <c r="N95" s="50">
        <v>45</v>
      </c>
      <c r="O95" s="15">
        <f t="shared" si="35"/>
        <v>57</v>
      </c>
      <c r="P95" s="15">
        <f t="shared" si="36"/>
        <v>57</v>
      </c>
      <c r="R95" s="8"/>
      <c r="T95"/>
    </row>
    <row r="96" spans="2:20" ht="23.1" customHeight="1" x14ac:dyDescent="0.25">
      <c r="B96" s="47" t="s">
        <v>136</v>
      </c>
      <c r="C96" s="50">
        <v>4</v>
      </c>
      <c r="D96" s="50">
        <v>0</v>
      </c>
      <c r="E96" s="50">
        <v>0</v>
      </c>
      <c r="F96" s="50">
        <v>3</v>
      </c>
      <c r="G96" s="50">
        <v>0</v>
      </c>
      <c r="H96" s="50">
        <v>0</v>
      </c>
      <c r="I96" s="50">
        <v>2</v>
      </c>
      <c r="J96" s="50">
        <v>1</v>
      </c>
      <c r="K96" s="50">
        <v>0</v>
      </c>
      <c r="L96" s="50">
        <v>0</v>
      </c>
      <c r="M96" s="50">
        <v>0</v>
      </c>
      <c r="N96" s="50">
        <v>3</v>
      </c>
      <c r="O96" s="15">
        <f t="shared" si="35"/>
        <v>13</v>
      </c>
      <c r="P96" s="15">
        <f t="shared" si="36"/>
        <v>13</v>
      </c>
      <c r="R96" s="8"/>
      <c r="T96"/>
    </row>
    <row r="97" spans="2:20" ht="23.1" customHeight="1" x14ac:dyDescent="0.25">
      <c r="B97" s="45" t="s">
        <v>137</v>
      </c>
      <c r="C97" s="50">
        <v>8</v>
      </c>
      <c r="D97" s="50">
        <v>2</v>
      </c>
      <c r="E97" s="50">
        <v>0</v>
      </c>
      <c r="F97" s="50">
        <v>3</v>
      </c>
      <c r="G97" s="50">
        <v>0</v>
      </c>
      <c r="H97" s="50">
        <v>0</v>
      </c>
      <c r="I97" s="50">
        <v>6</v>
      </c>
      <c r="J97" s="50">
        <v>1</v>
      </c>
      <c r="K97" s="50">
        <v>0</v>
      </c>
      <c r="L97" s="50">
        <v>0</v>
      </c>
      <c r="M97" s="50">
        <v>0</v>
      </c>
      <c r="N97" s="50">
        <v>18</v>
      </c>
      <c r="O97" s="15">
        <f t="shared" si="35"/>
        <v>38</v>
      </c>
      <c r="P97" s="15">
        <f t="shared" si="36"/>
        <v>38</v>
      </c>
      <c r="R97" s="8"/>
      <c r="T97"/>
    </row>
    <row r="98" spans="2:20" ht="23.1" customHeight="1" x14ac:dyDescent="0.25">
      <c r="B98" s="46" t="s">
        <v>138</v>
      </c>
      <c r="C98" s="50">
        <v>10</v>
      </c>
      <c r="D98" s="50">
        <v>5</v>
      </c>
      <c r="E98" s="50">
        <v>3</v>
      </c>
      <c r="F98" s="50">
        <v>12</v>
      </c>
      <c r="G98" s="50">
        <v>0</v>
      </c>
      <c r="H98" s="50">
        <v>0</v>
      </c>
      <c r="I98" s="50">
        <v>11</v>
      </c>
      <c r="J98" s="50">
        <v>7</v>
      </c>
      <c r="K98" s="50">
        <v>1</v>
      </c>
      <c r="L98" s="50">
        <v>2</v>
      </c>
      <c r="M98" s="50">
        <v>57</v>
      </c>
      <c r="N98" s="50">
        <v>0</v>
      </c>
      <c r="O98" s="15">
        <f t="shared" si="35"/>
        <v>51</v>
      </c>
      <c r="P98" s="15">
        <f t="shared" si="36"/>
        <v>108</v>
      </c>
      <c r="R98" s="8"/>
      <c r="T98"/>
    </row>
    <row r="99" spans="2:20" ht="23.1" customHeight="1" x14ac:dyDescent="0.25">
      <c r="B99" s="45" t="s">
        <v>139</v>
      </c>
      <c r="C99" s="50">
        <v>12</v>
      </c>
      <c r="D99" s="50">
        <v>0</v>
      </c>
      <c r="E99" s="50">
        <v>1</v>
      </c>
      <c r="F99" s="50">
        <v>9</v>
      </c>
      <c r="G99" s="50">
        <v>0</v>
      </c>
      <c r="H99" s="50">
        <v>0</v>
      </c>
      <c r="I99" s="50">
        <v>2</v>
      </c>
      <c r="J99" s="50">
        <v>4</v>
      </c>
      <c r="K99" s="50">
        <v>0</v>
      </c>
      <c r="L99" s="50">
        <v>1</v>
      </c>
      <c r="M99" s="50">
        <v>84</v>
      </c>
      <c r="N99" s="50">
        <v>0</v>
      </c>
      <c r="O99" s="15">
        <f t="shared" si="35"/>
        <v>29</v>
      </c>
      <c r="P99" s="15">
        <f t="shared" si="36"/>
        <v>113</v>
      </c>
      <c r="R99" s="8"/>
      <c r="T99"/>
    </row>
    <row r="100" spans="2:20" ht="23.1" customHeight="1" x14ac:dyDescent="0.25">
      <c r="B100" s="47" t="s">
        <v>140</v>
      </c>
      <c r="C100" s="50">
        <v>13</v>
      </c>
      <c r="D100" s="50">
        <v>5</v>
      </c>
      <c r="E100" s="50">
        <v>2</v>
      </c>
      <c r="F100" s="50">
        <v>19</v>
      </c>
      <c r="G100" s="50">
        <v>0</v>
      </c>
      <c r="H100" s="50">
        <v>0</v>
      </c>
      <c r="I100" s="50">
        <v>3</v>
      </c>
      <c r="J100" s="50">
        <v>7</v>
      </c>
      <c r="K100" s="50">
        <v>2</v>
      </c>
      <c r="L100" s="50">
        <v>2</v>
      </c>
      <c r="M100" s="50">
        <v>81</v>
      </c>
      <c r="N100" s="50">
        <v>0</v>
      </c>
      <c r="O100" s="15">
        <f t="shared" si="35"/>
        <v>53</v>
      </c>
      <c r="P100" s="15">
        <f t="shared" si="36"/>
        <v>134</v>
      </c>
      <c r="R100" s="8"/>
      <c r="T100"/>
    </row>
    <row r="101" spans="2:20" ht="23.1" customHeight="1" x14ac:dyDescent="0.25">
      <c r="B101" s="45" t="s">
        <v>141</v>
      </c>
      <c r="C101" s="50">
        <v>10</v>
      </c>
      <c r="D101" s="50">
        <v>2</v>
      </c>
      <c r="E101" s="50">
        <v>3</v>
      </c>
      <c r="F101" s="50">
        <v>17</v>
      </c>
      <c r="G101" s="50">
        <v>1</v>
      </c>
      <c r="H101" s="50">
        <v>1</v>
      </c>
      <c r="I101" s="50">
        <v>1</v>
      </c>
      <c r="J101" s="50">
        <v>8</v>
      </c>
      <c r="K101" s="50">
        <v>2</v>
      </c>
      <c r="L101" s="50">
        <v>1</v>
      </c>
      <c r="M101" s="50">
        <v>32</v>
      </c>
      <c r="N101" s="50">
        <v>0</v>
      </c>
      <c r="O101" s="15">
        <f t="shared" si="35"/>
        <v>46</v>
      </c>
      <c r="P101" s="15">
        <f t="shared" si="36"/>
        <v>78</v>
      </c>
      <c r="R101" s="8"/>
      <c r="T101"/>
    </row>
    <row r="102" spans="2:20" ht="23.1" customHeight="1" x14ac:dyDescent="0.25">
      <c r="B102" s="46" t="s">
        <v>142</v>
      </c>
      <c r="C102" s="50">
        <v>11</v>
      </c>
      <c r="D102" s="50">
        <v>3</v>
      </c>
      <c r="E102" s="50">
        <v>0</v>
      </c>
      <c r="F102" s="50">
        <v>13</v>
      </c>
      <c r="G102" s="50">
        <v>0</v>
      </c>
      <c r="H102" s="50">
        <v>0</v>
      </c>
      <c r="I102" s="50">
        <v>3</v>
      </c>
      <c r="J102" s="50">
        <v>8</v>
      </c>
      <c r="K102" s="50">
        <v>0</v>
      </c>
      <c r="L102" s="50">
        <v>1</v>
      </c>
      <c r="M102" s="50">
        <v>124</v>
      </c>
      <c r="N102" s="50">
        <v>0</v>
      </c>
      <c r="O102" s="15">
        <f t="shared" si="35"/>
        <v>39</v>
      </c>
      <c r="P102" s="15">
        <f t="shared" si="36"/>
        <v>163</v>
      </c>
      <c r="R102" s="8"/>
      <c r="T102"/>
    </row>
    <row r="103" spans="2:20" ht="23.1" customHeight="1" x14ac:dyDescent="0.25">
      <c r="B103" s="45" t="s">
        <v>143</v>
      </c>
      <c r="C103" s="50">
        <v>14</v>
      </c>
      <c r="D103" s="50">
        <v>0</v>
      </c>
      <c r="E103" s="50">
        <v>2</v>
      </c>
      <c r="F103" s="50">
        <v>22</v>
      </c>
      <c r="G103" s="50">
        <v>1</v>
      </c>
      <c r="H103" s="50">
        <v>1</v>
      </c>
      <c r="I103" s="50">
        <v>7</v>
      </c>
      <c r="J103" s="50">
        <v>3</v>
      </c>
      <c r="K103" s="50">
        <v>1</v>
      </c>
      <c r="L103" s="50">
        <v>2</v>
      </c>
      <c r="M103" s="50">
        <v>103</v>
      </c>
      <c r="N103" s="50">
        <v>0</v>
      </c>
      <c r="O103" s="15">
        <f t="shared" si="35"/>
        <v>53</v>
      </c>
      <c r="P103" s="15">
        <f t="shared" si="36"/>
        <v>156</v>
      </c>
      <c r="R103" s="8"/>
      <c r="T103"/>
    </row>
    <row r="104" spans="2:20" ht="23.1" customHeight="1" x14ac:dyDescent="0.25">
      <c r="B104" s="47" t="s">
        <v>144</v>
      </c>
      <c r="C104" s="50">
        <v>22</v>
      </c>
      <c r="D104" s="50">
        <v>4</v>
      </c>
      <c r="E104" s="50">
        <v>5</v>
      </c>
      <c r="F104" s="50">
        <v>24</v>
      </c>
      <c r="G104" s="50">
        <v>2</v>
      </c>
      <c r="H104" s="50">
        <v>0</v>
      </c>
      <c r="I104" s="50">
        <v>8</v>
      </c>
      <c r="J104" s="50">
        <v>5</v>
      </c>
      <c r="K104" s="50">
        <v>1</v>
      </c>
      <c r="L104" s="50">
        <v>2</v>
      </c>
      <c r="M104" s="50">
        <v>100</v>
      </c>
      <c r="N104" s="50">
        <v>0</v>
      </c>
      <c r="O104" s="15">
        <f t="shared" si="35"/>
        <v>73</v>
      </c>
      <c r="P104" s="15">
        <f t="shared" si="36"/>
        <v>173</v>
      </c>
      <c r="R104" s="8"/>
      <c r="T104"/>
    </row>
    <row r="105" spans="2:20" ht="23.1" customHeight="1" x14ac:dyDescent="0.25">
      <c r="B105" s="45" t="s">
        <v>145</v>
      </c>
      <c r="C105" s="50">
        <v>27</v>
      </c>
      <c r="D105" s="50">
        <v>7</v>
      </c>
      <c r="E105" s="50">
        <v>2</v>
      </c>
      <c r="F105" s="50">
        <v>26</v>
      </c>
      <c r="G105" s="50">
        <v>0</v>
      </c>
      <c r="H105" s="50">
        <v>1</v>
      </c>
      <c r="I105" s="50">
        <v>5</v>
      </c>
      <c r="J105" s="50">
        <v>4</v>
      </c>
      <c r="K105" s="50">
        <v>1</v>
      </c>
      <c r="L105" s="50">
        <v>2</v>
      </c>
      <c r="M105" s="50">
        <v>39</v>
      </c>
      <c r="N105" s="50">
        <v>0</v>
      </c>
      <c r="O105" s="15">
        <f t="shared" si="35"/>
        <v>75</v>
      </c>
      <c r="P105" s="15">
        <f t="shared" si="36"/>
        <v>114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1791</v>
      </c>
      <c r="D106" s="16">
        <f t="shared" ref="D106:P106" si="37">SUM(D10:D105)</f>
        <v>535</v>
      </c>
      <c r="E106" s="16">
        <f t="shared" si="37"/>
        <v>237</v>
      </c>
      <c r="F106" s="16">
        <f t="shared" si="37"/>
        <v>2011</v>
      </c>
      <c r="G106" s="16">
        <f t="shared" si="37"/>
        <v>50</v>
      </c>
      <c r="H106" s="16">
        <f t="shared" si="37"/>
        <v>55</v>
      </c>
      <c r="I106" s="16">
        <f t="shared" si="37"/>
        <v>805</v>
      </c>
      <c r="J106" s="16">
        <f t="shared" si="37"/>
        <v>341</v>
      </c>
      <c r="K106" s="16">
        <f t="shared" si="37"/>
        <v>81</v>
      </c>
      <c r="L106" s="16">
        <f t="shared" si="37"/>
        <v>66</v>
      </c>
      <c r="M106" s="16">
        <f t="shared" si="37"/>
        <v>11550</v>
      </c>
      <c r="N106" s="16">
        <f t="shared" si="37"/>
        <v>90</v>
      </c>
      <c r="O106" s="16">
        <f t="shared" si="37"/>
        <v>6062</v>
      </c>
      <c r="P106" s="16">
        <f t="shared" si="37"/>
        <v>17612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0.1016920281626164</v>
      </c>
      <c r="D107" s="43">
        <f t="shared" si="38"/>
        <v>3.0377015671133319E-2</v>
      </c>
      <c r="E107" s="43">
        <f t="shared" si="38"/>
        <v>1.3456734044969339E-2</v>
      </c>
      <c r="F107" s="43">
        <f t="shared" si="38"/>
        <v>0.11418351124233478</v>
      </c>
      <c r="G107" s="43">
        <f t="shared" si="38"/>
        <v>2.8389734272087214E-3</v>
      </c>
      <c r="H107" s="43">
        <f t="shared" si="38"/>
        <v>3.1228707699295934E-3</v>
      </c>
      <c r="I107" s="43">
        <f t="shared" si="38"/>
        <v>4.5707472178060413E-2</v>
      </c>
      <c r="J107" s="43">
        <f t="shared" si="38"/>
        <v>1.936179877356348E-2</v>
      </c>
      <c r="K107" s="43">
        <f t="shared" si="38"/>
        <v>4.5991369520781283E-3</v>
      </c>
      <c r="L107" s="43">
        <f t="shared" si="38"/>
        <v>3.7474449239155122E-3</v>
      </c>
      <c r="M107" s="43">
        <f t="shared" si="38"/>
        <v>0.65580286168521462</v>
      </c>
      <c r="N107" s="43">
        <f t="shared" si="38"/>
        <v>5.1101521689756986E-3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0.29544704717914877</v>
      </c>
      <c r="D108" s="44">
        <f t="shared" ref="D108:N108" si="39">D106/$O$106</f>
        <v>8.8254701418673712E-2</v>
      </c>
      <c r="E108" s="44">
        <f t="shared" si="39"/>
        <v>3.909600791817882E-2</v>
      </c>
      <c r="F108" s="44">
        <f t="shared" si="39"/>
        <v>0.33173870009897721</v>
      </c>
      <c r="G108" s="44">
        <f t="shared" si="39"/>
        <v>8.2481029363246448E-3</v>
      </c>
      <c r="H108" s="44">
        <f t="shared" si="39"/>
        <v>9.0729132299571091E-3</v>
      </c>
      <c r="I108" s="44">
        <f t="shared" si="39"/>
        <v>0.13279445727482678</v>
      </c>
      <c r="J108" s="44">
        <f t="shared" si="39"/>
        <v>5.625206202573408E-2</v>
      </c>
      <c r="K108" s="44">
        <f t="shared" si="39"/>
        <v>1.3361926756845926E-2</v>
      </c>
      <c r="L108" s="44">
        <f t="shared" si="39"/>
        <v>1.0887495875948531E-2</v>
      </c>
      <c r="M108" s="44"/>
      <c r="N108" s="44">
        <f t="shared" si="39"/>
        <v>1.4846585285384361E-2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249977111117893"/>
  </sheetPr>
  <dimension ref="B1:AF174"/>
  <sheetViews>
    <sheetView view="pageBreakPreview" topLeftCell="A82" zoomScale="60" workbookViewId="0">
      <selection activeCell="K5" activeCellId="8" sqref="K5:L5 D6:E6 D6:E6 D5 C3:G3 G6:H6 G5:H5 K6:L6 K5:L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8" t="s">
        <v>23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</row>
    <row r="2" spans="2:32" ht="20.100000000000001" customHeight="1" x14ac:dyDescent="0.25">
      <c r="B2" s="59" t="s">
        <v>95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</row>
    <row r="3" spans="2:32" ht="20.100000000000001" customHeight="1" x14ac:dyDescent="0.25">
      <c r="B3" s="22" t="s">
        <v>96</v>
      </c>
      <c r="C3" s="63" t="str">
        <f>'22.07 Nateete-Ndeeba'!C3:G3</f>
        <v>MCC - C1 - STN07 - MASAKA ROAD</v>
      </c>
      <c r="D3" s="63"/>
      <c r="E3" s="63"/>
      <c r="F3" s="63"/>
      <c r="G3" s="63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51" t="s">
        <v>166</v>
      </c>
      <c r="E5" s="3"/>
      <c r="F5" s="41" t="s">
        <v>1</v>
      </c>
      <c r="G5" s="64" t="str">
        <f>'26.07 Ndeeba-Nateete-24h'!G5:H5</f>
        <v>Rhino Funeral Services</v>
      </c>
      <c r="H5" s="65"/>
      <c r="I5" s="14"/>
      <c r="J5" s="2" t="s">
        <v>5</v>
      </c>
      <c r="K5" s="64" t="s">
        <v>182</v>
      </c>
      <c r="L5" s="65"/>
      <c r="M5" s="10"/>
      <c r="N5" s="10"/>
      <c r="O5" s="3"/>
      <c r="P5" s="3"/>
    </row>
    <row r="6" spans="2:32" ht="23.25" customHeight="1" x14ac:dyDescent="0.25">
      <c r="C6" s="2" t="s">
        <v>4</v>
      </c>
      <c r="D6" s="64" t="str">
        <f>'22.07 Nateete-Ndeeba'!D6:E6</f>
        <v>Nateete</v>
      </c>
      <c r="E6" s="65"/>
      <c r="F6" s="2" t="s">
        <v>2</v>
      </c>
      <c r="G6" s="64" t="str">
        <f>'22.07 Nateete-Ndeeba'!G6:H6</f>
        <v>Ndeeba</v>
      </c>
      <c r="H6" s="65"/>
      <c r="J6" s="2" t="s">
        <v>21</v>
      </c>
      <c r="K6" s="64" t="str">
        <f>'26.07 Ndeeba-Nateete-24h'!K6:L6</f>
        <v>Felix</v>
      </c>
      <c r="L6" s="65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7" t="s">
        <v>88</v>
      </c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15</v>
      </c>
      <c r="D10" s="50">
        <v>0</v>
      </c>
      <c r="E10" s="50">
        <v>0</v>
      </c>
      <c r="F10" s="50">
        <v>13</v>
      </c>
      <c r="G10" s="50">
        <v>0</v>
      </c>
      <c r="H10" s="50">
        <v>0</v>
      </c>
      <c r="I10" s="50">
        <v>0</v>
      </c>
      <c r="J10" s="50">
        <v>11</v>
      </c>
      <c r="K10" s="50">
        <v>0</v>
      </c>
      <c r="L10" s="50">
        <v>0</v>
      </c>
      <c r="M10" s="50">
        <v>90</v>
      </c>
      <c r="N10" s="50">
        <v>0</v>
      </c>
      <c r="O10" s="15">
        <f t="shared" ref="O10:O73" si="0">SUM(C10:L10,N10)</f>
        <v>39</v>
      </c>
      <c r="P10" s="15">
        <f t="shared" ref="P10:P73" si="1">SUM(C10:N10)</f>
        <v>129</v>
      </c>
      <c r="R10" s="1" t="s">
        <v>6</v>
      </c>
      <c r="S10" s="17">
        <f t="shared" ref="S10:AF10" si="2">SUM(C10:C13)</f>
        <v>120</v>
      </c>
      <c r="T10" s="17">
        <f t="shared" si="2"/>
        <v>10</v>
      </c>
      <c r="U10" s="17">
        <f t="shared" si="2"/>
        <v>7</v>
      </c>
      <c r="V10" s="17">
        <f t="shared" si="2"/>
        <v>101</v>
      </c>
      <c r="W10" s="17">
        <f t="shared" si="2"/>
        <v>0</v>
      </c>
      <c r="X10" s="17">
        <f t="shared" si="2"/>
        <v>1</v>
      </c>
      <c r="Y10" s="17">
        <f t="shared" si="2"/>
        <v>13</v>
      </c>
      <c r="Z10" s="17">
        <f t="shared" si="2"/>
        <v>43</v>
      </c>
      <c r="AA10" s="17">
        <f t="shared" si="2"/>
        <v>10</v>
      </c>
      <c r="AB10" s="17">
        <f t="shared" si="2"/>
        <v>0</v>
      </c>
      <c r="AC10" s="17">
        <f t="shared" si="2"/>
        <v>425</v>
      </c>
      <c r="AD10" s="17">
        <f t="shared" si="2"/>
        <v>0</v>
      </c>
      <c r="AE10" s="31">
        <f t="shared" si="2"/>
        <v>305</v>
      </c>
      <c r="AF10" s="31">
        <f t="shared" si="2"/>
        <v>730</v>
      </c>
    </row>
    <row r="11" spans="2:32" s="6" customFormat="1" ht="23.1" customHeight="1" x14ac:dyDescent="0.25">
      <c r="B11" s="45" t="s">
        <v>38</v>
      </c>
      <c r="C11" s="50">
        <v>28</v>
      </c>
      <c r="D11" s="50">
        <v>3</v>
      </c>
      <c r="E11" s="50">
        <v>2</v>
      </c>
      <c r="F11" s="50">
        <v>26</v>
      </c>
      <c r="G11" s="50">
        <v>0</v>
      </c>
      <c r="H11" s="50">
        <v>0</v>
      </c>
      <c r="I11" s="50">
        <v>5</v>
      </c>
      <c r="J11" s="50">
        <v>10</v>
      </c>
      <c r="K11" s="50">
        <v>10</v>
      </c>
      <c r="L11" s="50">
        <v>0</v>
      </c>
      <c r="M11" s="50">
        <v>100</v>
      </c>
      <c r="N11" s="50">
        <v>0</v>
      </c>
      <c r="O11" s="15">
        <f t="shared" si="0"/>
        <v>84</v>
      </c>
      <c r="P11" s="15">
        <f t="shared" si="1"/>
        <v>184</v>
      </c>
      <c r="R11" s="1" t="s">
        <v>7</v>
      </c>
      <c r="S11" s="17">
        <f t="shared" ref="S11:AF11" si="3">SUM(C14:C17)</f>
        <v>157</v>
      </c>
      <c r="T11" s="17">
        <f t="shared" si="3"/>
        <v>21</v>
      </c>
      <c r="U11" s="17">
        <f t="shared" si="3"/>
        <v>9</v>
      </c>
      <c r="V11" s="17">
        <f t="shared" si="3"/>
        <v>87</v>
      </c>
      <c r="W11" s="17">
        <f t="shared" si="3"/>
        <v>0</v>
      </c>
      <c r="X11" s="17">
        <f t="shared" si="3"/>
        <v>1</v>
      </c>
      <c r="Y11" s="17">
        <f t="shared" si="3"/>
        <v>21</v>
      </c>
      <c r="Z11" s="17">
        <f t="shared" si="3"/>
        <v>39</v>
      </c>
      <c r="AA11" s="17">
        <f t="shared" si="3"/>
        <v>10</v>
      </c>
      <c r="AB11" s="17">
        <f t="shared" si="3"/>
        <v>2</v>
      </c>
      <c r="AC11" s="17">
        <f t="shared" si="3"/>
        <v>565</v>
      </c>
      <c r="AD11" s="17">
        <f t="shared" si="3"/>
        <v>0</v>
      </c>
      <c r="AE11" s="31">
        <f t="shared" si="3"/>
        <v>347</v>
      </c>
      <c r="AF11" s="31">
        <f t="shared" si="3"/>
        <v>912</v>
      </c>
    </row>
    <row r="12" spans="2:32" ht="23.1" customHeight="1" x14ac:dyDescent="0.25">
      <c r="B12" s="45" t="s">
        <v>39</v>
      </c>
      <c r="C12" s="50">
        <v>38</v>
      </c>
      <c r="D12" s="50">
        <v>4</v>
      </c>
      <c r="E12" s="50">
        <v>3</v>
      </c>
      <c r="F12" s="50">
        <v>30</v>
      </c>
      <c r="G12" s="50">
        <v>0</v>
      </c>
      <c r="H12" s="50">
        <v>1</v>
      </c>
      <c r="I12" s="50">
        <v>4</v>
      </c>
      <c r="J12" s="50">
        <v>12</v>
      </c>
      <c r="K12" s="50">
        <v>0</v>
      </c>
      <c r="L12" s="50">
        <v>0</v>
      </c>
      <c r="M12" s="50">
        <v>130</v>
      </c>
      <c r="N12" s="50">
        <v>0</v>
      </c>
      <c r="O12" s="15">
        <f t="shared" si="0"/>
        <v>92</v>
      </c>
      <c r="P12" s="15">
        <f t="shared" si="1"/>
        <v>222</v>
      </c>
      <c r="R12" s="1" t="s">
        <v>8</v>
      </c>
      <c r="S12" s="17">
        <f t="shared" ref="S12:AF12" si="4">SUM(C18:C21)</f>
        <v>180</v>
      </c>
      <c r="T12" s="17">
        <f t="shared" si="4"/>
        <v>29</v>
      </c>
      <c r="U12" s="17">
        <f t="shared" si="4"/>
        <v>15</v>
      </c>
      <c r="V12" s="17">
        <f t="shared" si="4"/>
        <v>107</v>
      </c>
      <c r="W12" s="17">
        <f t="shared" si="4"/>
        <v>5</v>
      </c>
      <c r="X12" s="17">
        <f t="shared" si="4"/>
        <v>5</v>
      </c>
      <c r="Y12" s="17">
        <f t="shared" si="4"/>
        <v>20</v>
      </c>
      <c r="Z12" s="17">
        <f t="shared" si="4"/>
        <v>55</v>
      </c>
      <c r="AA12" s="17">
        <f t="shared" si="4"/>
        <v>4</v>
      </c>
      <c r="AB12" s="17">
        <f t="shared" si="4"/>
        <v>0</v>
      </c>
      <c r="AC12" s="17">
        <f t="shared" si="4"/>
        <v>780</v>
      </c>
      <c r="AD12" s="17">
        <f t="shared" si="4"/>
        <v>0</v>
      </c>
      <c r="AE12" s="31">
        <f t="shared" si="4"/>
        <v>420</v>
      </c>
      <c r="AF12" s="31">
        <f t="shared" si="4"/>
        <v>1200</v>
      </c>
    </row>
    <row r="13" spans="2:32" ht="23.1" customHeight="1" x14ac:dyDescent="0.25">
      <c r="B13" s="45" t="s">
        <v>40</v>
      </c>
      <c r="C13" s="50">
        <v>39</v>
      </c>
      <c r="D13" s="50">
        <v>3</v>
      </c>
      <c r="E13" s="50">
        <v>2</v>
      </c>
      <c r="F13" s="50">
        <v>32</v>
      </c>
      <c r="G13" s="50">
        <v>0</v>
      </c>
      <c r="H13" s="50">
        <v>0</v>
      </c>
      <c r="I13" s="50">
        <v>4</v>
      </c>
      <c r="J13" s="50">
        <v>10</v>
      </c>
      <c r="K13" s="50">
        <v>0</v>
      </c>
      <c r="L13" s="50">
        <v>0</v>
      </c>
      <c r="M13" s="50">
        <v>105</v>
      </c>
      <c r="N13" s="50">
        <v>0</v>
      </c>
      <c r="O13" s="15">
        <f t="shared" si="0"/>
        <v>90</v>
      </c>
      <c r="P13" s="15">
        <f t="shared" si="1"/>
        <v>195</v>
      </c>
      <c r="R13" s="1" t="s">
        <v>9</v>
      </c>
      <c r="S13" s="17">
        <f t="shared" ref="S13:AF13" si="5">SUM(C22:C25)</f>
        <v>148</v>
      </c>
      <c r="T13" s="17">
        <f t="shared" si="5"/>
        <v>16</v>
      </c>
      <c r="U13" s="17">
        <f t="shared" si="5"/>
        <v>9</v>
      </c>
      <c r="V13" s="17">
        <f t="shared" si="5"/>
        <v>88</v>
      </c>
      <c r="W13" s="17">
        <f t="shared" si="5"/>
        <v>0</v>
      </c>
      <c r="X13" s="17">
        <f t="shared" si="5"/>
        <v>0</v>
      </c>
      <c r="Y13" s="17">
        <f t="shared" si="5"/>
        <v>8</v>
      </c>
      <c r="Z13" s="17">
        <f t="shared" si="5"/>
        <v>29</v>
      </c>
      <c r="AA13" s="17">
        <f t="shared" si="5"/>
        <v>6</v>
      </c>
      <c r="AB13" s="17">
        <f t="shared" si="5"/>
        <v>0</v>
      </c>
      <c r="AC13" s="17">
        <f t="shared" si="5"/>
        <v>670</v>
      </c>
      <c r="AD13" s="17">
        <f t="shared" si="5"/>
        <v>0</v>
      </c>
      <c r="AE13" s="31">
        <f t="shared" si="5"/>
        <v>304</v>
      </c>
      <c r="AF13" s="31">
        <f t="shared" si="5"/>
        <v>974</v>
      </c>
    </row>
    <row r="14" spans="2:32" ht="23.1" customHeight="1" x14ac:dyDescent="0.25">
      <c r="B14" s="45" t="s">
        <v>41</v>
      </c>
      <c r="C14" s="50">
        <v>44</v>
      </c>
      <c r="D14" s="50">
        <v>3</v>
      </c>
      <c r="E14" s="50">
        <v>1</v>
      </c>
      <c r="F14" s="50">
        <v>27</v>
      </c>
      <c r="G14" s="50">
        <v>0</v>
      </c>
      <c r="H14" s="50">
        <v>0</v>
      </c>
      <c r="I14" s="50">
        <v>6</v>
      </c>
      <c r="J14" s="50">
        <v>13</v>
      </c>
      <c r="K14" s="50">
        <v>3</v>
      </c>
      <c r="L14" s="50">
        <v>2</v>
      </c>
      <c r="M14" s="50">
        <v>100</v>
      </c>
      <c r="N14" s="50">
        <v>0</v>
      </c>
      <c r="O14" s="15">
        <f t="shared" si="0"/>
        <v>99</v>
      </c>
      <c r="P14" s="15">
        <f t="shared" si="1"/>
        <v>199</v>
      </c>
      <c r="R14" s="1" t="s">
        <v>10</v>
      </c>
      <c r="S14" s="17">
        <f t="shared" ref="S14:AF14" si="6">SUM(C26:C29)</f>
        <v>218</v>
      </c>
      <c r="T14" s="17">
        <f t="shared" si="6"/>
        <v>27</v>
      </c>
      <c r="U14" s="17">
        <f t="shared" si="6"/>
        <v>17</v>
      </c>
      <c r="V14" s="17">
        <f t="shared" si="6"/>
        <v>128</v>
      </c>
      <c r="W14" s="17">
        <f t="shared" si="6"/>
        <v>1</v>
      </c>
      <c r="X14" s="17">
        <f t="shared" si="6"/>
        <v>1</v>
      </c>
      <c r="Y14" s="17">
        <f t="shared" si="6"/>
        <v>14</v>
      </c>
      <c r="Z14" s="17">
        <f t="shared" si="6"/>
        <v>44</v>
      </c>
      <c r="AA14" s="17">
        <f t="shared" si="6"/>
        <v>10</v>
      </c>
      <c r="AB14" s="17">
        <f t="shared" si="6"/>
        <v>0</v>
      </c>
      <c r="AC14" s="17">
        <f t="shared" si="6"/>
        <v>715</v>
      </c>
      <c r="AD14" s="17">
        <f t="shared" si="6"/>
        <v>0</v>
      </c>
      <c r="AE14" s="31">
        <f t="shared" si="6"/>
        <v>460</v>
      </c>
      <c r="AF14" s="31">
        <f t="shared" si="6"/>
        <v>1175</v>
      </c>
    </row>
    <row r="15" spans="2:32" ht="23.1" customHeight="1" x14ac:dyDescent="0.25">
      <c r="B15" s="45" t="s">
        <v>42</v>
      </c>
      <c r="C15" s="50">
        <v>38</v>
      </c>
      <c r="D15" s="50">
        <v>2</v>
      </c>
      <c r="E15" s="50">
        <v>2</v>
      </c>
      <c r="F15" s="50">
        <v>23</v>
      </c>
      <c r="G15" s="50">
        <v>0</v>
      </c>
      <c r="H15" s="50">
        <v>0</v>
      </c>
      <c r="I15" s="50">
        <v>7</v>
      </c>
      <c r="J15" s="50">
        <v>10</v>
      </c>
      <c r="K15" s="50">
        <v>5</v>
      </c>
      <c r="L15" s="50">
        <v>0</v>
      </c>
      <c r="M15" s="50">
        <v>140</v>
      </c>
      <c r="N15" s="50">
        <v>0</v>
      </c>
      <c r="O15" s="15">
        <f t="shared" si="0"/>
        <v>87</v>
      </c>
      <c r="P15" s="15">
        <f t="shared" si="1"/>
        <v>227</v>
      </c>
      <c r="R15" s="1" t="s">
        <v>11</v>
      </c>
      <c r="S15" s="17">
        <f t="shared" ref="S15:AF15" si="7">SUM(C30:C33)</f>
        <v>203</v>
      </c>
      <c r="T15" s="17">
        <f t="shared" si="7"/>
        <v>27</v>
      </c>
      <c r="U15" s="17">
        <f t="shared" si="7"/>
        <v>19</v>
      </c>
      <c r="V15" s="17">
        <f t="shared" si="7"/>
        <v>103</v>
      </c>
      <c r="W15" s="17">
        <f t="shared" si="7"/>
        <v>3</v>
      </c>
      <c r="X15" s="17">
        <f t="shared" si="7"/>
        <v>1</v>
      </c>
      <c r="Y15" s="17">
        <f t="shared" si="7"/>
        <v>29</v>
      </c>
      <c r="Z15" s="17">
        <f t="shared" si="7"/>
        <v>47</v>
      </c>
      <c r="AA15" s="17">
        <f t="shared" si="7"/>
        <v>3</v>
      </c>
      <c r="AB15" s="17">
        <f t="shared" si="7"/>
        <v>1</v>
      </c>
      <c r="AC15" s="17">
        <f t="shared" si="7"/>
        <v>675</v>
      </c>
      <c r="AD15" s="17">
        <f t="shared" si="7"/>
        <v>0</v>
      </c>
      <c r="AE15" s="31">
        <f t="shared" si="7"/>
        <v>436</v>
      </c>
      <c r="AF15" s="31">
        <f t="shared" si="7"/>
        <v>1111</v>
      </c>
    </row>
    <row r="16" spans="2:32" ht="23.1" customHeight="1" x14ac:dyDescent="0.25">
      <c r="B16" s="45" t="s">
        <v>43</v>
      </c>
      <c r="C16" s="50">
        <v>37</v>
      </c>
      <c r="D16" s="50">
        <v>7</v>
      </c>
      <c r="E16" s="50">
        <v>2</v>
      </c>
      <c r="F16" s="50">
        <v>19</v>
      </c>
      <c r="G16" s="50">
        <v>0</v>
      </c>
      <c r="H16" s="50">
        <v>0</v>
      </c>
      <c r="I16" s="50">
        <v>4</v>
      </c>
      <c r="J16" s="50">
        <v>11</v>
      </c>
      <c r="K16" s="50">
        <v>1</v>
      </c>
      <c r="L16" s="50">
        <v>0</v>
      </c>
      <c r="M16" s="50">
        <v>160</v>
      </c>
      <c r="N16" s="50">
        <v>0</v>
      </c>
      <c r="O16" s="15">
        <f t="shared" si="0"/>
        <v>81</v>
      </c>
      <c r="P16" s="15">
        <f t="shared" si="1"/>
        <v>241</v>
      </c>
      <c r="R16" s="1" t="s">
        <v>12</v>
      </c>
      <c r="S16" s="17">
        <f t="shared" ref="S16:AF16" si="8">SUM(C34:C37)</f>
        <v>186</v>
      </c>
      <c r="T16" s="17">
        <f t="shared" si="8"/>
        <v>18</v>
      </c>
      <c r="U16" s="17">
        <f t="shared" si="8"/>
        <v>20</v>
      </c>
      <c r="V16" s="17">
        <f t="shared" si="8"/>
        <v>104</v>
      </c>
      <c r="W16" s="17">
        <f t="shared" si="8"/>
        <v>1</v>
      </c>
      <c r="X16" s="17">
        <f t="shared" si="8"/>
        <v>0</v>
      </c>
      <c r="Y16" s="17">
        <f t="shared" si="8"/>
        <v>20</v>
      </c>
      <c r="Z16" s="17">
        <f t="shared" si="8"/>
        <v>63</v>
      </c>
      <c r="AA16" s="17">
        <f t="shared" si="8"/>
        <v>3</v>
      </c>
      <c r="AB16" s="17">
        <f t="shared" si="8"/>
        <v>2</v>
      </c>
      <c r="AC16" s="17">
        <f t="shared" si="8"/>
        <v>755</v>
      </c>
      <c r="AD16" s="17">
        <f t="shared" si="8"/>
        <v>0</v>
      </c>
      <c r="AE16" s="31">
        <f t="shared" si="8"/>
        <v>417</v>
      </c>
      <c r="AF16" s="31">
        <f t="shared" si="8"/>
        <v>1172</v>
      </c>
    </row>
    <row r="17" spans="2:32" ht="23.1" customHeight="1" x14ac:dyDescent="0.25">
      <c r="B17" s="45" t="s">
        <v>44</v>
      </c>
      <c r="C17" s="50">
        <v>38</v>
      </c>
      <c r="D17" s="50">
        <v>9</v>
      </c>
      <c r="E17" s="50">
        <v>4</v>
      </c>
      <c r="F17" s="50">
        <v>18</v>
      </c>
      <c r="G17" s="50">
        <v>0</v>
      </c>
      <c r="H17" s="50">
        <v>1</v>
      </c>
      <c r="I17" s="50">
        <v>4</v>
      </c>
      <c r="J17" s="50">
        <v>5</v>
      </c>
      <c r="K17" s="50">
        <v>1</v>
      </c>
      <c r="L17" s="50">
        <v>0</v>
      </c>
      <c r="M17" s="50">
        <v>165</v>
      </c>
      <c r="N17" s="50">
        <v>0</v>
      </c>
      <c r="O17" s="15">
        <f t="shared" si="0"/>
        <v>80</v>
      </c>
      <c r="P17" s="15">
        <f t="shared" si="1"/>
        <v>245</v>
      </c>
      <c r="R17" s="1" t="s">
        <v>13</v>
      </c>
      <c r="S17" s="17">
        <f t="shared" ref="S17:AF17" si="9">SUM(C38:C41)</f>
        <v>170</v>
      </c>
      <c r="T17" s="17">
        <f t="shared" si="9"/>
        <v>22</v>
      </c>
      <c r="U17" s="17">
        <f t="shared" si="9"/>
        <v>27</v>
      </c>
      <c r="V17" s="17">
        <f t="shared" si="9"/>
        <v>90</v>
      </c>
      <c r="W17" s="17">
        <f t="shared" si="9"/>
        <v>0</v>
      </c>
      <c r="X17" s="17">
        <f t="shared" si="9"/>
        <v>0</v>
      </c>
      <c r="Y17" s="17">
        <f t="shared" si="9"/>
        <v>17</v>
      </c>
      <c r="Z17" s="17">
        <f t="shared" si="9"/>
        <v>50</v>
      </c>
      <c r="AA17" s="17">
        <f t="shared" si="9"/>
        <v>4</v>
      </c>
      <c r="AB17" s="17">
        <f t="shared" si="9"/>
        <v>1</v>
      </c>
      <c r="AC17" s="17">
        <f t="shared" si="9"/>
        <v>710</v>
      </c>
      <c r="AD17" s="17">
        <f t="shared" si="9"/>
        <v>0</v>
      </c>
      <c r="AE17" s="31">
        <f t="shared" si="9"/>
        <v>381</v>
      </c>
      <c r="AF17" s="31">
        <f t="shared" si="9"/>
        <v>1091</v>
      </c>
    </row>
    <row r="18" spans="2:32" ht="23.1" customHeight="1" x14ac:dyDescent="0.25">
      <c r="B18" s="45" t="s">
        <v>45</v>
      </c>
      <c r="C18" s="50">
        <v>29</v>
      </c>
      <c r="D18" s="50">
        <v>6</v>
      </c>
      <c r="E18" s="50">
        <v>4</v>
      </c>
      <c r="F18" s="50">
        <v>21</v>
      </c>
      <c r="G18" s="50">
        <v>1</v>
      </c>
      <c r="H18" s="50">
        <v>0</v>
      </c>
      <c r="I18" s="50">
        <v>6</v>
      </c>
      <c r="J18" s="50">
        <v>12</v>
      </c>
      <c r="K18" s="50">
        <v>1</v>
      </c>
      <c r="L18" s="50">
        <v>0</v>
      </c>
      <c r="M18" s="50">
        <v>145</v>
      </c>
      <c r="N18" s="50">
        <v>0</v>
      </c>
      <c r="O18" s="15">
        <f t="shared" si="0"/>
        <v>80</v>
      </c>
      <c r="P18" s="15">
        <f t="shared" si="1"/>
        <v>225</v>
      </c>
      <c r="R18" s="1" t="s">
        <v>14</v>
      </c>
      <c r="S18" s="17">
        <f t="shared" ref="S18:AF18" si="10">SUM(C42:C45)</f>
        <v>161</v>
      </c>
      <c r="T18" s="17">
        <f t="shared" si="10"/>
        <v>17</v>
      </c>
      <c r="U18" s="17">
        <f t="shared" si="10"/>
        <v>14</v>
      </c>
      <c r="V18" s="17">
        <f t="shared" si="10"/>
        <v>100</v>
      </c>
      <c r="W18" s="17">
        <f t="shared" si="10"/>
        <v>0</v>
      </c>
      <c r="X18" s="17">
        <f t="shared" si="10"/>
        <v>0</v>
      </c>
      <c r="Y18" s="17">
        <f t="shared" si="10"/>
        <v>9</v>
      </c>
      <c r="Z18" s="17">
        <f t="shared" si="10"/>
        <v>42</v>
      </c>
      <c r="AA18" s="17">
        <f t="shared" si="10"/>
        <v>2</v>
      </c>
      <c r="AB18" s="17">
        <f t="shared" si="10"/>
        <v>3</v>
      </c>
      <c r="AC18" s="17">
        <f t="shared" si="10"/>
        <v>645</v>
      </c>
      <c r="AD18" s="17">
        <f t="shared" si="10"/>
        <v>0</v>
      </c>
      <c r="AE18" s="31">
        <f t="shared" si="10"/>
        <v>348</v>
      </c>
      <c r="AF18" s="31">
        <f t="shared" si="10"/>
        <v>993</v>
      </c>
    </row>
    <row r="19" spans="2:32" ht="23.1" customHeight="1" x14ac:dyDescent="0.25">
      <c r="B19" s="45" t="s">
        <v>46</v>
      </c>
      <c r="C19" s="50">
        <v>45</v>
      </c>
      <c r="D19" s="50">
        <v>12</v>
      </c>
      <c r="E19" s="50">
        <v>5</v>
      </c>
      <c r="F19" s="50">
        <v>30</v>
      </c>
      <c r="G19" s="50">
        <v>1</v>
      </c>
      <c r="H19" s="50">
        <v>1</v>
      </c>
      <c r="I19" s="50">
        <v>5</v>
      </c>
      <c r="J19" s="50">
        <v>11</v>
      </c>
      <c r="K19" s="50">
        <v>3</v>
      </c>
      <c r="L19" s="50">
        <v>0</v>
      </c>
      <c r="M19" s="50">
        <v>210</v>
      </c>
      <c r="N19" s="50">
        <v>0</v>
      </c>
      <c r="O19" s="15">
        <f t="shared" si="0"/>
        <v>113</v>
      </c>
      <c r="P19" s="15">
        <f t="shared" si="1"/>
        <v>323</v>
      </c>
      <c r="R19" s="1" t="s">
        <v>15</v>
      </c>
      <c r="S19" s="17">
        <f t="shared" ref="S19:AF19" si="11">SUM(C46:C49)</f>
        <v>178</v>
      </c>
      <c r="T19" s="17">
        <f t="shared" si="11"/>
        <v>15</v>
      </c>
      <c r="U19" s="17">
        <f t="shared" si="11"/>
        <v>16</v>
      </c>
      <c r="V19" s="17">
        <f t="shared" si="11"/>
        <v>100</v>
      </c>
      <c r="W19" s="17">
        <f t="shared" si="11"/>
        <v>1</v>
      </c>
      <c r="X19" s="17">
        <f t="shared" si="11"/>
        <v>0</v>
      </c>
      <c r="Y19" s="17">
        <f t="shared" si="11"/>
        <v>21</v>
      </c>
      <c r="Z19" s="17">
        <f t="shared" si="11"/>
        <v>46</v>
      </c>
      <c r="AA19" s="17">
        <f t="shared" si="11"/>
        <v>2</v>
      </c>
      <c r="AB19" s="17">
        <f t="shared" si="11"/>
        <v>3</v>
      </c>
      <c r="AC19" s="17">
        <f t="shared" si="11"/>
        <v>655</v>
      </c>
      <c r="AD19" s="17">
        <f t="shared" si="11"/>
        <v>0</v>
      </c>
      <c r="AE19" s="31">
        <f t="shared" si="11"/>
        <v>382</v>
      </c>
      <c r="AF19" s="31">
        <f t="shared" si="11"/>
        <v>1037</v>
      </c>
    </row>
    <row r="20" spans="2:32" ht="23.1" customHeight="1" x14ac:dyDescent="0.25">
      <c r="B20" s="45" t="s">
        <v>47</v>
      </c>
      <c r="C20" s="50">
        <v>50</v>
      </c>
      <c r="D20" s="50">
        <v>3</v>
      </c>
      <c r="E20" s="50">
        <v>4</v>
      </c>
      <c r="F20" s="50">
        <v>24</v>
      </c>
      <c r="G20" s="50">
        <v>1</v>
      </c>
      <c r="H20" s="50">
        <v>1</v>
      </c>
      <c r="I20" s="50">
        <v>1</v>
      </c>
      <c r="J20" s="50">
        <v>15</v>
      </c>
      <c r="K20" s="50">
        <v>0</v>
      </c>
      <c r="L20" s="50">
        <v>0</v>
      </c>
      <c r="M20" s="50">
        <v>200</v>
      </c>
      <c r="N20" s="50">
        <v>0</v>
      </c>
      <c r="O20" s="15">
        <f t="shared" si="0"/>
        <v>99</v>
      </c>
      <c r="P20" s="15">
        <f t="shared" si="1"/>
        <v>299</v>
      </c>
      <c r="R20" s="1" t="s">
        <v>16</v>
      </c>
      <c r="S20" s="17">
        <f t="shared" ref="S20:AF20" si="12">SUM(C50:C53)</f>
        <v>193</v>
      </c>
      <c r="T20" s="17">
        <f t="shared" si="12"/>
        <v>23</v>
      </c>
      <c r="U20" s="17">
        <f t="shared" si="12"/>
        <v>21</v>
      </c>
      <c r="V20" s="17">
        <f t="shared" si="12"/>
        <v>123</v>
      </c>
      <c r="W20" s="17">
        <f t="shared" si="12"/>
        <v>2</v>
      </c>
      <c r="X20" s="17">
        <f t="shared" si="12"/>
        <v>2</v>
      </c>
      <c r="Y20" s="17">
        <f t="shared" si="12"/>
        <v>29</v>
      </c>
      <c r="Z20" s="17">
        <f t="shared" si="12"/>
        <v>45</v>
      </c>
      <c r="AA20" s="17">
        <f t="shared" si="12"/>
        <v>7</v>
      </c>
      <c r="AB20" s="17">
        <f t="shared" si="12"/>
        <v>1</v>
      </c>
      <c r="AC20" s="17">
        <f t="shared" si="12"/>
        <v>690</v>
      </c>
      <c r="AD20" s="17">
        <f t="shared" si="12"/>
        <v>0</v>
      </c>
      <c r="AE20" s="31">
        <f t="shared" si="12"/>
        <v>446</v>
      </c>
      <c r="AF20" s="31">
        <f t="shared" si="12"/>
        <v>1136</v>
      </c>
    </row>
    <row r="21" spans="2:32" ht="23.1" customHeight="1" x14ac:dyDescent="0.25">
      <c r="B21" s="45" t="s">
        <v>48</v>
      </c>
      <c r="C21" s="50">
        <v>56</v>
      </c>
      <c r="D21" s="50">
        <v>8</v>
      </c>
      <c r="E21" s="50">
        <v>2</v>
      </c>
      <c r="F21" s="50">
        <v>32</v>
      </c>
      <c r="G21" s="50">
        <v>2</v>
      </c>
      <c r="H21" s="50">
        <v>3</v>
      </c>
      <c r="I21" s="50">
        <v>8</v>
      </c>
      <c r="J21" s="50">
        <v>17</v>
      </c>
      <c r="K21" s="50">
        <v>0</v>
      </c>
      <c r="L21" s="50">
        <v>0</v>
      </c>
      <c r="M21" s="50">
        <v>225</v>
      </c>
      <c r="N21" s="50">
        <v>0</v>
      </c>
      <c r="O21" s="15">
        <f t="shared" si="0"/>
        <v>128</v>
      </c>
      <c r="P21" s="15">
        <f t="shared" si="1"/>
        <v>353</v>
      </c>
      <c r="R21" s="36" t="s">
        <v>20</v>
      </c>
      <c r="S21" s="34">
        <f t="shared" ref="S21:AF21" si="13">SUM(C54:C57)</f>
        <v>155</v>
      </c>
      <c r="T21" s="17">
        <f t="shared" si="13"/>
        <v>8</v>
      </c>
      <c r="U21" s="17">
        <f t="shared" si="13"/>
        <v>12</v>
      </c>
      <c r="V21" s="17">
        <f t="shared" si="13"/>
        <v>111</v>
      </c>
      <c r="W21" s="17">
        <f t="shared" si="13"/>
        <v>1</v>
      </c>
      <c r="X21" s="17">
        <f t="shared" si="13"/>
        <v>2</v>
      </c>
      <c r="Y21" s="17">
        <f t="shared" si="13"/>
        <v>10</v>
      </c>
      <c r="Z21" s="17">
        <f t="shared" si="13"/>
        <v>27</v>
      </c>
      <c r="AA21" s="17">
        <f t="shared" si="13"/>
        <v>3</v>
      </c>
      <c r="AB21" s="17">
        <f t="shared" si="13"/>
        <v>0</v>
      </c>
      <c r="AC21" s="17">
        <f t="shared" si="13"/>
        <v>505</v>
      </c>
      <c r="AD21" s="17">
        <f t="shared" si="13"/>
        <v>0</v>
      </c>
      <c r="AE21" s="31">
        <f t="shared" si="13"/>
        <v>329</v>
      </c>
      <c r="AF21" s="31">
        <f t="shared" si="13"/>
        <v>834</v>
      </c>
    </row>
    <row r="22" spans="2:32" ht="23.1" customHeight="1" x14ac:dyDescent="0.25">
      <c r="B22" s="45" t="s">
        <v>49</v>
      </c>
      <c r="C22" s="50">
        <v>37</v>
      </c>
      <c r="D22" s="50">
        <v>3</v>
      </c>
      <c r="E22" s="50">
        <v>3</v>
      </c>
      <c r="F22" s="50">
        <v>24</v>
      </c>
      <c r="G22" s="50">
        <v>0</v>
      </c>
      <c r="H22" s="50">
        <v>0</v>
      </c>
      <c r="I22" s="50">
        <v>3</v>
      </c>
      <c r="J22" s="50">
        <v>6</v>
      </c>
      <c r="K22" s="50">
        <v>2</v>
      </c>
      <c r="L22" s="50">
        <v>0</v>
      </c>
      <c r="M22" s="50">
        <v>160</v>
      </c>
      <c r="N22" s="50">
        <v>0</v>
      </c>
      <c r="O22" s="15">
        <f t="shared" si="0"/>
        <v>78</v>
      </c>
      <c r="P22" s="15">
        <f t="shared" si="1"/>
        <v>238</v>
      </c>
      <c r="R22" s="36" t="s">
        <v>146</v>
      </c>
      <c r="S22" s="34">
        <f>SUM(C58:C61)</f>
        <v>174</v>
      </c>
      <c r="T22" s="34">
        <f t="shared" ref="T22:AF22" si="14">SUM(D58:D61)</f>
        <v>33</v>
      </c>
      <c r="U22" s="34">
        <f t="shared" si="14"/>
        <v>18</v>
      </c>
      <c r="V22" s="34">
        <f t="shared" si="14"/>
        <v>110</v>
      </c>
      <c r="W22" s="34">
        <f t="shared" si="14"/>
        <v>1</v>
      </c>
      <c r="X22" s="34">
        <f t="shared" si="14"/>
        <v>2</v>
      </c>
      <c r="Y22" s="34">
        <f t="shared" si="14"/>
        <v>18</v>
      </c>
      <c r="Z22" s="34">
        <f t="shared" si="14"/>
        <v>17</v>
      </c>
      <c r="AA22" s="34">
        <f t="shared" si="14"/>
        <v>7</v>
      </c>
      <c r="AB22" s="34">
        <f t="shared" si="14"/>
        <v>6</v>
      </c>
      <c r="AC22" s="34">
        <f t="shared" si="14"/>
        <v>609</v>
      </c>
      <c r="AD22" s="34">
        <f t="shared" si="14"/>
        <v>0</v>
      </c>
      <c r="AE22" s="31">
        <f t="shared" si="14"/>
        <v>386</v>
      </c>
      <c r="AF22" s="31">
        <f t="shared" si="14"/>
        <v>995</v>
      </c>
    </row>
    <row r="23" spans="2:32" ht="23.1" customHeight="1" x14ac:dyDescent="0.25">
      <c r="B23" s="45" t="s">
        <v>50</v>
      </c>
      <c r="C23" s="50">
        <v>34</v>
      </c>
      <c r="D23" s="50">
        <v>0</v>
      </c>
      <c r="E23" s="50">
        <v>1</v>
      </c>
      <c r="F23" s="50">
        <v>21</v>
      </c>
      <c r="G23" s="50">
        <v>0</v>
      </c>
      <c r="H23" s="50">
        <v>0</v>
      </c>
      <c r="I23" s="50">
        <v>2</v>
      </c>
      <c r="J23" s="50">
        <v>8</v>
      </c>
      <c r="K23" s="50">
        <v>1</v>
      </c>
      <c r="L23" s="50">
        <v>0</v>
      </c>
      <c r="M23" s="50">
        <v>155</v>
      </c>
      <c r="N23" s="50">
        <v>0</v>
      </c>
      <c r="O23" s="15">
        <f t="shared" si="0"/>
        <v>67</v>
      </c>
      <c r="P23" s="15">
        <f t="shared" si="1"/>
        <v>222</v>
      </c>
      <c r="R23" s="36" t="s">
        <v>147</v>
      </c>
      <c r="S23" s="34">
        <f>SUM(C62:C65)</f>
        <v>163</v>
      </c>
      <c r="T23" s="34">
        <f t="shared" ref="T23:AF23" si="15">SUM(D62:D65)</f>
        <v>29</v>
      </c>
      <c r="U23" s="34">
        <f t="shared" si="15"/>
        <v>10</v>
      </c>
      <c r="V23" s="34">
        <f t="shared" si="15"/>
        <v>165</v>
      </c>
      <c r="W23" s="34">
        <f t="shared" si="15"/>
        <v>6</v>
      </c>
      <c r="X23" s="34">
        <f t="shared" si="15"/>
        <v>1</v>
      </c>
      <c r="Y23" s="34">
        <f t="shared" si="15"/>
        <v>18</v>
      </c>
      <c r="Z23" s="34">
        <f t="shared" si="15"/>
        <v>12</v>
      </c>
      <c r="AA23" s="34">
        <f t="shared" si="15"/>
        <v>6</v>
      </c>
      <c r="AB23" s="34">
        <f t="shared" si="15"/>
        <v>5</v>
      </c>
      <c r="AC23" s="34">
        <f t="shared" si="15"/>
        <v>544</v>
      </c>
      <c r="AD23" s="34">
        <f t="shared" si="15"/>
        <v>0</v>
      </c>
      <c r="AE23" s="31">
        <f t="shared" si="15"/>
        <v>415</v>
      </c>
      <c r="AF23" s="31">
        <f t="shared" si="15"/>
        <v>959</v>
      </c>
    </row>
    <row r="24" spans="2:32" ht="23.1" customHeight="1" x14ac:dyDescent="0.25">
      <c r="B24" s="45" t="s">
        <v>51</v>
      </c>
      <c r="C24" s="50">
        <v>33</v>
      </c>
      <c r="D24" s="50">
        <v>4</v>
      </c>
      <c r="E24" s="50">
        <v>4</v>
      </c>
      <c r="F24" s="50">
        <v>22</v>
      </c>
      <c r="G24" s="50">
        <v>0</v>
      </c>
      <c r="H24" s="50">
        <v>0</v>
      </c>
      <c r="I24" s="50">
        <v>2</v>
      </c>
      <c r="J24" s="50">
        <v>7</v>
      </c>
      <c r="K24" s="50">
        <v>1</v>
      </c>
      <c r="L24" s="50">
        <v>0</v>
      </c>
      <c r="M24" s="50">
        <v>170</v>
      </c>
      <c r="N24" s="50">
        <v>0</v>
      </c>
      <c r="O24" s="15">
        <f t="shared" si="0"/>
        <v>73</v>
      </c>
      <c r="P24" s="15">
        <f t="shared" si="1"/>
        <v>243</v>
      </c>
      <c r="R24" s="36" t="s">
        <v>148</v>
      </c>
      <c r="S24" s="34">
        <f>SUM(C66:C69)</f>
        <v>148</v>
      </c>
      <c r="T24" s="34">
        <f t="shared" ref="T24:AF24" si="16">SUM(D66:D69)</f>
        <v>28</v>
      </c>
      <c r="U24" s="34">
        <f t="shared" si="16"/>
        <v>19</v>
      </c>
      <c r="V24" s="34">
        <f t="shared" si="16"/>
        <v>128</v>
      </c>
      <c r="W24" s="34">
        <f t="shared" si="16"/>
        <v>4</v>
      </c>
      <c r="X24" s="34">
        <f t="shared" si="16"/>
        <v>2</v>
      </c>
      <c r="Y24" s="34">
        <f t="shared" si="16"/>
        <v>14</v>
      </c>
      <c r="Z24" s="34">
        <f t="shared" si="16"/>
        <v>16</v>
      </c>
      <c r="AA24" s="34">
        <f t="shared" si="16"/>
        <v>6</v>
      </c>
      <c r="AB24" s="34">
        <f t="shared" si="16"/>
        <v>4</v>
      </c>
      <c r="AC24" s="34">
        <f t="shared" si="16"/>
        <v>417</v>
      </c>
      <c r="AD24" s="34">
        <f t="shared" si="16"/>
        <v>0</v>
      </c>
      <c r="AE24" s="31">
        <f t="shared" si="16"/>
        <v>369</v>
      </c>
      <c r="AF24" s="31">
        <f t="shared" si="16"/>
        <v>786</v>
      </c>
    </row>
    <row r="25" spans="2:32" ht="23.1" customHeight="1" x14ac:dyDescent="0.25">
      <c r="B25" s="45" t="s">
        <v>52</v>
      </c>
      <c r="C25" s="50">
        <v>44</v>
      </c>
      <c r="D25" s="50">
        <v>9</v>
      </c>
      <c r="E25" s="50">
        <v>1</v>
      </c>
      <c r="F25" s="50">
        <v>21</v>
      </c>
      <c r="G25" s="50">
        <v>0</v>
      </c>
      <c r="H25" s="50">
        <v>0</v>
      </c>
      <c r="I25" s="50">
        <v>1</v>
      </c>
      <c r="J25" s="50">
        <v>8</v>
      </c>
      <c r="K25" s="50">
        <v>2</v>
      </c>
      <c r="L25" s="50">
        <v>0</v>
      </c>
      <c r="M25" s="50">
        <v>185</v>
      </c>
      <c r="N25" s="50">
        <v>0</v>
      </c>
      <c r="O25" s="15">
        <f t="shared" si="0"/>
        <v>86</v>
      </c>
      <c r="P25" s="15">
        <f t="shared" si="1"/>
        <v>271</v>
      </c>
      <c r="R25" s="36" t="s">
        <v>149</v>
      </c>
      <c r="S25" s="34">
        <f>SUM(C70:C73)</f>
        <v>112</v>
      </c>
      <c r="T25" s="34">
        <f t="shared" ref="T25:AF25" si="17">SUM(D70:D73)</f>
        <v>11</v>
      </c>
      <c r="U25" s="34">
        <f t="shared" si="17"/>
        <v>17</v>
      </c>
      <c r="V25" s="34">
        <f t="shared" si="17"/>
        <v>84</v>
      </c>
      <c r="W25" s="34">
        <f t="shared" si="17"/>
        <v>2</v>
      </c>
      <c r="X25" s="34">
        <f t="shared" si="17"/>
        <v>1</v>
      </c>
      <c r="Y25" s="34">
        <f t="shared" si="17"/>
        <v>13</v>
      </c>
      <c r="Z25" s="34">
        <f t="shared" si="17"/>
        <v>11</v>
      </c>
      <c r="AA25" s="34">
        <f t="shared" si="17"/>
        <v>7</v>
      </c>
      <c r="AB25" s="34">
        <f t="shared" si="17"/>
        <v>5</v>
      </c>
      <c r="AC25" s="34">
        <f t="shared" si="17"/>
        <v>331</v>
      </c>
      <c r="AD25" s="34">
        <f t="shared" si="17"/>
        <v>0</v>
      </c>
      <c r="AE25" s="31">
        <f t="shared" si="17"/>
        <v>263</v>
      </c>
      <c r="AF25" s="31">
        <f t="shared" si="17"/>
        <v>594</v>
      </c>
    </row>
    <row r="26" spans="2:32" ht="23.1" customHeight="1" x14ac:dyDescent="0.25">
      <c r="B26" s="45" t="s">
        <v>53</v>
      </c>
      <c r="C26" s="50">
        <v>51</v>
      </c>
      <c r="D26" s="50">
        <v>1</v>
      </c>
      <c r="E26" s="50">
        <v>1</v>
      </c>
      <c r="F26" s="50">
        <v>31</v>
      </c>
      <c r="G26" s="50">
        <v>0</v>
      </c>
      <c r="H26" s="50">
        <v>1</v>
      </c>
      <c r="I26" s="50">
        <v>1</v>
      </c>
      <c r="J26" s="50">
        <v>8</v>
      </c>
      <c r="K26" s="50">
        <v>2</v>
      </c>
      <c r="L26" s="50">
        <v>0</v>
      </c>
      <c r="M26" s="50">
        <v>150</v>
      </c>
      <c r="N26" s="50">
        <v>0</v>
      </c>
      <c r="O26" s="15">
        <f t="shared" si="0"/>
        <v>96</v>
      </c>
      <c r="P26" s="15">
        <f t="shared" si="1"/>
        <v>246</v>
      </c>
      <c r="R26" s="36" t="s">
        <v>150</v>
      </c>
      <c r="S26" s="34">
        <f>SUM(C74:C77)</f>
        <v>91</v>
      </c>
      <c r="T26" s="34">
        <f t="shared" ref="T26:AF26" si="18">SUM(D74:D77)</f>
        <v>14</v>
      </c>
      <c r="U26" s="34">
        <f t="shared" si="18"/>
        <v>12</v>
      </c>
      <c r="V26" s="34">
        <f t="shared" si="18"/>
        <v>65</v>
      </c>
      <c r="W26" s="34">
        <f t="shared" si="18"/>
        <v>1</v>
      </c>
      <c r="X26" s="34">
        <f t="shared" si="18"/>
        <v>1</v>
      </c>
      <c r="Y26" s="34">
        <f t="shared" si="18"/>
        <v>3</v>
      </c>
      <c r="Z26" s="34">
        <f t="shared" si="18"/>
        <v>19</v>
      </c>
      <c r="AA26" s="34">
        <f t="shared" si="18"/>
        <v>6</v>
      </c>
      <c r="AB26" s="34">
        <f t="shared" si="18"/>
        <v>2</v>
      </c>
      <c r="AC26" s="34">
        <f t="shared" si="18"/>
        <v>246</v>
      </c>
      <c r="AD26" s="34">
        <f t="shared" si="18"/>
        <v>0</v>
      </c>
      <c r="AE26" s="31">
        <f t="shared" si="18"/>
        <v>214</v>
      </c>
      <c r="AF26" s="31">
        <f t="shared" si="18"/>
        <v>460</v>
      </c>
    </row>
    <row r="27" spans="2:32" ht="23.1" customHeight="1" x14ac:dyDescent="0.25">
      <c r="B27" s="45" t="s">
        <v>54</v>
      </c>
      <c r="C27" s="50">
        <v>36</v>
      </c>
      <c r="D27" s="50">
        <v>3</v>
      </c>
      <c r="E27" s="50">
        <v>6</v>
      </c>
      <c r="F27" s="50">
        <v>17</v>
      </c>
      <c r="G27" s="50">
        <v>0</v>
      </c>
      <c r="H27" s="50">
        <v>0</v>
      </c>
      <c r="I27" s="50">
        <v>4</v>
      </c>
      <c r="J27" s="50">
        <v>12</v>
      </c>
      <c r="K27" s="50">
        <v>1</v>
      </c>
      <c r="L27" s="50">
        <v>0</v>
      </c>
      <c r="M27" s="50">
        <v>190</v>
      </c>
      <c r="N27" s="50">
        <v>0</v>
      </c>
      <c r="O27" s="15">
        <f t="shared" si="0"/>
        <v>79</v>
      </c>
      <c r="P27" s="15">
        <f t="shared" si="1"/>
        <v>269</v>
      </c>
      <c r="R27" s="36" t="s">
        <v>151</v>
      </c>
      <c r="S27" s="34">
        <f>SUM(C78:C81)</f>
        <v>70</v>
      </c>
      <c r="T27" s="34">
        <f t="shared" ref="T27:AF27" si="19">SUM(D78:D81)</f>
        <v>12</v>
      </c>
      <c r="U27" s="34">
        <f t="shared" si="19"/>
        <v>13</v>
      </c>
      <c r="V27" s="34">
        <f t="shared" si="19"/>
        <v>46</v>
      </c>
      <c r="W27" s="34">
        <f t="shared" si="19"/>
        <v>5</v>
      </c>
      <c r="X27" s="34">
        <f t="shared" si="19"/>
        <v>4</v>
      </c>
      <c r="Y27" s="34">
        <f t="shared" si="19"/>
        <v>15</v>
      </c>
      <c r="Z27" s="34">
        <f t="shared" si="19"/>
        <v>27</v>
      </c>
      <c r="AA27" s="34">
        <f t="shared" si="19"/>
        <v>5</v>
      </c>
      <c r="AB27" s="34">
        <f t="shared" si="19"/>
        <v>1</v>
      </c>
      <c r="AC27" s="34">
        <f t="shared" si="19"/>
        <v>285</v>
      </c>
      <c r="AD27" s="34">
        <f t="shared" si="19"/>
        <v>0</v>
      </c>
      <c r="AE27" s="31">
        <f t="shared" si="19"/>
        <v>198</v>
      </c>
      <c r="AF27" s="31">
        <f t="shared" si="19"/>
        <v>483</v>
      </c>
    </row>
    <row r="28" spans="2:32" ht="23.1" customHeight="1" x14ac:dyDescent="0.25">
      <c r="B28" s="45" t="s">
        <v>55</v>
      </c>
      <c r="C28" s="50">
        <v>60</v>
      </c>
      <c r="D28" s="50">
        <v>10</v>
      </c>
      <c r="E28" s="50">
        <v>7</v>
      </c>
      <c r="F28" s="50">
        <v>36</v>
      </c>
      <c r="G28" s="50">
        <v>0</v>
      </c>
      <c r="H28" s="50">
        <v>0</v>
      </c>
      <c r="I28" s="50">
        <v>6</v>
      </c>
      <c r="J28" s="50">
        <v>11</v>
      </c>
      <c r="K28" s="50">
        <v>4</v>
      </c>
      <c r="L28" s="50">
        <v>0</v>
      </c>
      <c r="M28" s="50">
        <v>180</v>
      </c>
      <c r="N28" s="50">
        <v>0</v>
      </c>
      <c r="O28" s="15">
        <f t="shared" si="0"/>
        <v>134</v>
      </c>
      <c r="P28" s="15">
        <f t="shared" si="1"/>
        <v>314</v>
      </c>
      <c r="R28" s="36" t="s">
        <v>152</v>
      </c>
      <c r="S28" s="34">
        <f>SUM(C82:C85)</f>
        <v>165</v>
      </c>
      <c r="T28" s="34">
        <f t="shared" ref="T28:AF28" si="20">SUM(D82:D85)</f>
        <v>13</v>
      </c>
      <c r="U28" s="34">
        <f t="shared" si="20"/>
        <v>8</v>
      </c>
      <c r="V28" s="34">
        <f t="shared" si="20"/>
        <v>59</v>
      </c>
      <c r="W28" s="34">
        <f t="shared" si="20"/>
        <v>2</v>
      </c>
      <c r="X28" s="34">
        <f t="shared" si="20"/>
        <v>7</v>
      </c>
      <c r="Y28" s="34">
        <f t="shared" si="20"/>
        <v>17</v>
      </c>
      <c r="Z28" s="34">
        <f t="shared" si="20"/>
        <v>24</v>
      </c>
      <c r="AA28" s="34">
        <f t="shared" si="20"/>
        <v>12</v>
      </c>
      <c r="AB28" s="34">
        <f t="shared" si="20"/>
        <v>13</v>
      </c>
      <c r="AC28" s="34">
        <f t="shared" si="20"/>
        <v>189</v>
      </c>
      <c r="AD28" s="34">
        <f t="shared" si="20"/>
        <v>0</v>
      </c>
      <c r="AE28" s="31">
        <f t="shared" si="20"/>
        <v>320</v>
      </c>
      <c r="AF28" s="31">
        <f t="shared" si="20"/>
        <v>509</v>
      </c>
    </row>
    <row r="29" spans="2:32" ht="23.1" customHeight="1" x14ac:dyDescent="0.25">
      <c r="B29" s="45" t="s">
        <v>56</v>
      </c>
      <c r="C29" s="50">
        <v>71</v>
      </c>
      <c r="D29" s="50">
        <v>13</v>
      </c>
      <c r="E29" s="50">
        <v>3</v>
      </c>
      <c r="F29" s="50">
        <v>44</v>
      </c>
      <c r="G29" s="50">
        <v>1</v>
      </c>
      <c r="H29" s="50">
        <v>0</v>
      </c>
      <c r="I29" s="50">
        <v>3</v>
      </c>
      <c r="J29" s="50">
        <v>13</v>
      </c>
      <c r="K29" s="50">
        <v>3</v>
      </c>
      <c r="L29" s="50">
        <v>0</v>
      </c>
      <c r="M29" s="50">
        <v>195</v>
      </c>
      <c r="N29" s="50">
        <v>0</v>
      </c>
      <c r="O29" s="15">
        <f t="shared" si="0"/>
        <v>151</v>
      </c>
      <c r="P29" s="15">
        <f t="shared" si="1"/>
        <v>346</v>
      </c>
      <c r="R29" s="36" t="s">
        <v>153</v>
      </c>
      <c r="S29" s="34">
        <f>SUM(C86:C89)</f>
        <v>68</v>
      </c>
      <c r="T29" s="34">
        <f t="shared" ref="T29:AF29" si="21">SUM(D86:D89)</f>
        <v>6</v>
      </c>
      <c r="U29" s="34">
        <f t="shared" si="21"/>
        <v>11</v>
      </c>
      <c r="V29" s="34">
        <f t="shared" si="21"/>
        <v>16</v>
      </c>
      <c r="W29" s="34">
        <f t="shared" si="21"/>
        <v>0</v>
      </c>
      <c r="X29" s="34">
        <f t="shared" si="21"/>
        <v>3</v>
      </c>
      <c r="Y29" s="34">
        <f t="shared" si="21"/>
        <v>15</v>
      </c>
      <c r="Z29" s="34">
        <f t="shared" si="21"/>
        <v>33</v>
      </c>
      <c r="AA29" s="34">
        <f t="shared" si="21"/>
        <v>8</v>
      </c>
      <c r="AB29" s="34">
        <f t="shared" si="21"/>
        <v>5</v>
      </c>
      <c r="AC29" s="34">
        <f t="shared" si="21"/>
        <v>182</v>
      </c>
      <c r="AD29" s="34">
        <f t="shared" si="21"/>
        <v>0</v>
      </c>
      <c r="AE29" s="31">
        <f t="shared" si="21"/>
        <v>165</v>
      </c>
      <c r="AF29" s="31">
        <f t="shared" si="21"/>
        <v>347</v>
      </c>
    </row>
    <row r="30" spans="2:32" ht="23.1" customHeight="1" x14ac:dyDescent="0.25">
      <c r="B30" s="45" t="s">
        <v>57</v>
      </c>
      <c r="C30" s="50">
        <v>39</v>
      </c>
      <c r="D30" s="50">
        <v>7</v>
      </c>
      <c r="E30" s="50">
        <v>5</v>
      </c>
      <c r="F30" s="50">
        <v>21</v>
      </c>
      <c r="G30" s="50">
        <v>1</v>
      </c>
      <c r="H30" s="50">
        <v>1</v>
      </c>
      <c r="I30" s="50">
        <v>5</v>
      </c>
      <c r="J30" s="50">
        <v>7</v>
      </c>
      <c r="K30" s="50">
        <v>0</v>
      </c>
      <c r="L30" s="50">
        <v>0</v>
      </c>
      <c r="M30" s="50">
        <v>160</v>
      </c>
      <c r="N30" s="50">
        <v>0</v>
      </c>
      <c r="O30" s="15">
        <f t="shared" si="0"/>
        <v>86</v>
      </c>
      <c r="P30" s="15">
        <f t="shared" si="1"/>
        <v>246</v>
      </c>
      <c r="R30" s="36" t="s">
        <v>154</v>
      </c>
      <c r="S30" s="34">
        <f>SUM(C90:C93)</f>
        <v>74</v>
      </c>
      <c r="T30" s="34">
        <f t="shared" ref="T30:AF30" si="22">SUM(D90:D93)</f>
        <v>6</v>
      </c>
      <c r="U30" s="34">
        <f t="shared" si="22"/>
        <v>6</v>
      </c>
      <c r="V30" s="34">
        <f t="shared" si="22"/>
        <v>10</v>
      </c>
      <c r="W30" s="34">
        <f t="shared" si="22"/>
        <v>5</v>
      </c>
      <c r="X30" s="34">
        <f t="shared" si="22"/>
        <v>2</v>
      </c>
      <c r="Y30" s="34">
        <f t="shared" si="22"/>
        <v>20</v>
      </c>
      <c r="Z30" s="34">
        <f t="shared" si="22"/>
        <v>28</v>
      </c>
      <c r="AA30" s="34">
        <f t="shared" si="22"/>
        <v>6</v>
      </c>
      <c r="AB30" s="34">
        <f t="shared" si="22"/>
        <v>6</v>
      </c>
      <c r="AC30" s="34">
        <f t="shared" si="22"/>
        <v>172</v>
      </c>
      <c r="AD30" s="34">
        <f t="shared" si="22"/>
        <v>0</v>
      </c>
      <c r="AE30" s="31">
        <f t="shared" si="22"/>
        <v>163</v>
      </c>
      <c r="AF30" s="31">
        <f t="shared" si="22"/>
        <v>335</v>
      </c>
    </row>
    <row r="31" spans="2:32" ht="23.1" customHeight="1" x14ac:dyDescent="0.25">
      <c r="B31" s="46" t="s">
        <v>58</v>
      </c>
      <c r="C31" s="50">
        <v>57</v>
      </c>
      <c r="D31" s="50">
        <v>10</v>
      </c>
      <c r="E31" s="50">
        <v>8</v>
      </c>
      <c r="F31" s="50">
        <v>30</v>
      </c>
      <c r="G31" s="50">
        <v>0</v>
      </c>
      <c r="H31" s="50">
        <v>0</v>
      </c>
      <c r="I31" s="50">
        <v>13</v>
      </c>
      <c r="J31" s="50">
        <v>19</v>
      </c>
      <c r="K31" s="50">
        <v>1</v>
      </c>
      <c r="L31" s="50">
        <v>0</v>
      </c>
      <c r="M31" s="50">
        <v>185</v>
      </c>
      <c r="N31" s="50">
        <v>0</v>
      </c>
      <c r="O31" s="15">
        <f t="shared" si="0"/>
        <v>138</v>
      </c>
      <c r="P31" s="15">
        <f t="shared" si="1"/>
        <v>323</v>
      </c>
      <c r="R31" s="36" t="s">
        <v>155</v>
      </c>
      <c r="S31" s="34">
        <f>SUM(C94:C97)</f>
        <v>29</v>
      </c>
      <c r="T31" s="34">
        <f t="shared" ref="T31:AF31" si="23">SUM(D94:D97)</f>
        <v>0</v>
      </c>
      <c r="U31" s="34">
        <f t="shared" si="23"/>
        <v>3</v>
      </c>
      <c r="V31" s="34">
        <f t="shared" si="23"/>
        <v>7</v>
      </c>
      <c r="W31" s="34">
        <f t="shared" si="23"/>
        <v>1</v>
      </c>
      <c r="X31" s="34">
        <f t="shared" si="23"/>
        <v>4</v>
      </c>
      <c r="Y31" s="34">
        <f t="shared" si="23"/>
        <v>4</v>
      </c>
      <c r="Z31" s="34">
        <f t="shared" si="23"/>
        <v>28</v>
      </c>
      <c r="AA31" s="34">
        <f t="shared" si="23"/>
        <v>4</v>
      </c>
      <c r="AB31" s="34">
        <f t="shared" si="23"/>
        <v>1</v>
      </c>
      <c r="AC31" s="34">
        <f t="shared" si="23"/>
        <v>153</v>
      </c>
      <c r="AD31" s="34">
        <f t="shared" si="23"/>
        <v>0</v>
      </c>
      <c r="AE31" s="31">
        <f t="shared" si="23"/>
        <v>81</v>
      </c>
      <c r="AF31" s="31">
        <f t="shared" si="23"/>
        <v>234</v>
      </c>
    </row>
    <row r="32" spans="2:32" ht="23.1" customHeight="1" x14ac:dyDescent="0.25">
      <c r="B32" s="46" t="s">
        <v>59</v>
      </c>
      <c r="C32" s="50">
        <v>57</v>
      </c>
      <c r="D32" s="50">
        <v>4</v>
      </c>
      <c r="E32" s="50">
        <v>4</v>
      </c>
      <c r="F32" s="50">
        <v>25</v>
      </c>
      <c r="G32" s="50">
        <v>0</v>
      </c>
      <c r="H32" s="50">
        <v>0</v>
      </c>
      <c r="I32" s="50">
        <v>5</v>
      </c>
      <c r="J32" s="50">
        <v>10</v>
      </c>
      <c r="K32" s="50">
        <v>2</v>
      </c>
      <c r="L32" s="50">
        <v>1</v>
      </c>
      <c r="M32" s="50">
        <v>190</v>
      </c>
      <c r="N32" s="50">
        <v>0</v>
      </c>
      <c r="O32" s="15">
        <f t="shared" si="0"/>
        <v>108</v>
      </c>
      <c r="P32" s="15">
        <f t="shared" si="1"/>
        <v>298</v>
      </c>
      <c r="R32" s="33" t="s">
        <v>156</v>
      </c>
      <c r="S32" s="34">
        <f>SUM(C98:C101)</f>
        <v>118</v>
      </c>
      <c r="T32" s="34">
        <f t="shared" ref="T32:AF32" si="24">SUM(D98:D101)</f>
        <v>7</v>
      </c>
      <c r="U32" s="34">
        <f t="shared" si="24"/>
        <v>6</v>
      </c>
      <c r="V32" s="34">
        <f t="shared" si="24"/>
        <v>35</v>
      </c>
      <c r="W32" s="34">
        <f t="shared" si="24"/>
        <v>3</v>
      </c>
      <c r="X32" s="34">
        <f t="shared" si="24"/>
        <v>7</v>
      </c>
      <c r="Y32" s="34">
        <f t="shared" si="24"/>
        <v>7</v>
      </c>
      <c r="Z32" s="34">
        <f t="shared" si="24"/>
        <v>25</v>
      </c>
      <c r="AA32" s="34">
        <f t="shared" si="24"/>
        <v>18</v>
      </c>
      <c r="AB32" s="34">
        <f t="shared" si="24"/>
        <v>11</v>
      </c>
      <c r="AC32" s="34">
        <f t="shared" si="24"/>
        <v>266</v>
      </c>
      <c r="AD32" s="34">
        <f t="shared" si="24"/>
        <v>0</v>
      </c>
      <c r="AE32" s="31">
        <f t="shared" si="24"/>
        <v>237</v>
      </c>
      <c r="AF32" s="31">
        <f t="shared" si="24"/>
        <v>503</v>
      </c>
    </row>
    <row r="33" spans="2:32" ht="23.1" customHeight="1" x14ac:dyDescent="0.25">
      <c r="B33" s="45" t="s">
        <v>60</v>
      </c>
      <c r="C33" s="50">
        <v>50</v>
      </c>
      <c r="D33" s="50">
        <v>6</v>
      </c>
      <c r="E33" s="50">
        <v>2</v>
      </c>
      <c r="F33" s="50">
        <v>27</v>
      </c>
      <c r="G33" s="50">
        <v>2</v>
      </c>
      <c r="H33" s="50">
        <v>0</v>
      </c>
      <c r="I33" s="50">
        <v>6</v>
      </c>
      <c r="J33" s="50">
        <v>11</v>
      </c>
      <c r="K33" s="50">
        <v>0</v>
      </c>
      <c r="L33" s="50">
        <v>0</v>
      </c>
      <c r="M33" s="50">
        <v>140</v>
      </c>
      <c r="N33" s="50">
        <v>0</v>
      </c>
      <c r="O33" s="15">
        <f t="shared" si="0"/>
        <v>104</v>
      </c>
      <c r="P33" s="15">
        <f t="shared" si="1"/>
        <v>244</v>
      </c>
      <c r="R33" s="33" t="s">
        <v>157</v>
      </c>
      <c r="S33" s="34">
        <f>SUM(C102:C105)</f>
        <v>55</v>
      </c>
      <c r="T33" s="34">
        <f t="shared" ref="T33:AF33" si="25">SUM(D102:D105)</f>
        <v>8</v>
      </c>
      <c r="U33" s="34">
        <f t="shared" si="25"/>
        <v>11</v>
      </c>
      <c r="V33" s="34">
        <f t="shared" si="25"/>
        <v>59</v>
      </c>
      <c r="W33" s="34">
        <f t="shared" si="25"/>
        <v>5</v>
      </c>
      <c r="X33" s="34">
        <f t="shared" si="25"/>
        <v>1</v>
      </c>
      <c r="Y33" s="34">
        <f t="shared" si="25"/>
        <v>20</v>
      </c>
      <c r="Z33" s="34">
        <f t="shared" si="25"/>
        <v>40</v>
      </c>
      <c r="AA33" s="34">
        <f t="shared" si="25"/>
        <v>11</v>
      </c>
      <c r="AB33" s="34">
        <f t="shared" si="25"/>
        <v>2</v>
      </c>
      <c r="AC33" s="34">
        <f t="shared" si="25"/>
        <v>405</v>
      </c>
      <c r="AD33" s="34">
        <f t="shared" si="25"/>
        <v>0</v>
      </c>
      <c r="AE33" s="31">
        <f t="shared" si="25"/>
        <v>212</v>
      </c>
      <c r="AF33" s="31">
        <f t="shared" si="25"/>
        <v>617</v>
      </c>
    </row>
    <row r="34" spans="2:32" ht="23.1" customHeight="1" x14ac:dyDescent="0.25">
      <c r="B34" s="46" t="s">
        <v>61</v>
      </c>
      <c r="C34" s="50">
        <v>44</v>
      </c>
      <c r="D34" s="50">
        <v>4</v>
      </c>
      <c r="E34" s="50">
        <v>3</v>
      </c>
      <c r="F34" s="50">
        <v>26</v>
      </c>
      <c r="G34" s="50">
        <v>0</v>
      </c>
      <c r="H34" s="50">
        <v>0</v>
      </c>
      <c r="I34" s="50">
        <v>10</v>
      </c>
      <c r="J34" s="50">
        <v>15</v>
      </c>
      <c r="K34" s="50">
        <v>1</v>
      </c>
      <c r="L34" s="50">
        <v>0</v>
      </c>
      <c r="M34" s="50">
        <v>205</v>
      </c>
      <c r="N34" s="50">
        <v>0</v>
      </c>
      <c r="O34" s="15">
        <f t="shared" si="0"/>
        <v>103</v>
      </c>
      <c r="P34" s="15">
        <f t="shared" si="1"/>
        <v>308</v>
      </c>
      <c r="R34" s="38" t="s">
        <v>90</v>
      </c>
      <c r="S34" s="39">
        <f t="shared" ref="S34:AF34" si="26">MAX(S10:S12)</f>
        <v>180</v>
      </c>
      <c r="T34" s="39">
        <f t="shared" si="26"/>
        <v>29</v>
      </c>
      <c r="U34" s="39">
        <f t="shared" si="26"/>
        <v>15</v>
      </c>
      <c r="V34" s="39">
        <f t="shared" si="26"/>
        <v>107</v>
      </c>
      <c r="W34" s="39">
        <f t="shared" si="26"/>
        <v>5</v>
      </c>
      <c r="X34" s="39">
        <f t="shared" si="26"/>
        <v>5</v>
      </c>
      <c r="Y34" s="39">
        <f t="shared" si="26"/>
        <v>21</v>
      </c>
      <c r="Z34" s="39">
        <f t="shared" si="26"/>
        <v>55</v>
      </c>
      <c r="AA34" s="39">
        <f t="shared" si="26"/>
        <v>10</v>
      </c>
      <c r="AB34" s="39">
        <f t="shared" si="26"/>
        <v>2</v>
      </c>
      <c r="AC34" s="39">
        <f t="shared" si="26"/>
        <v>780</v>
      </c>
      <c r="AD34" s="39">
        <f t="shared" si="26"/>
        <v>0</v>
      </c>
      <c r="AE34" s="40">
        <f t="shared" si="26"/>
        <v>420</v>
      </c>
      <c r="AF34" s="40">
        <f t="shared" si="26"/>
        <v>1200</v>
      </c>
    </row>
    <row r="35" spans="2:32" ht="23.1" customHeight="1" x14ac:dyDescent="0.25">
      <c r="B35" s="46" t="s">
        <v>62</v>
      </c>
      <c r="C35" s="50">
        <v>51</v>
      </c>
      <c r="D35" s="50">
        <v>8</v>
      </c>
      <c r="E35" s="50">
        <v>8</v>
      </c>
      <c r="F35" s="50">
        <v>30</v>
      </c>
      <c r="G35" s="50">
        <v>1</v>
      </c>
      <c r="H35" s="50">
        <v>0</v>
      </c>
      <c r="I35" s="50">
        <v>5</v>
      </c>
      <c r="J35" s="50">
        <v>17</v>
      </c>
      <c r="K35" s="50">
        <v>1</v>
      </c>
      <c r="L35" s="50">
        <v>2</v>
      </c>
      <c r="M35" s="50">
        <v>170</v>
      </c>
      <c r="N35" s="50">
        <v>0</v>
      </c>
      <c r="O35" s="15">
        <f t="shared" si="0"/>
        <v>123</v>
      </c>
      <c r="P35" s="15">
        <f t="shared" si="1"/>
        <v>293</v>
      </c>
      <c r="R35" s="38" t="s">
        <v>91</v>
      </c>
      <c r="S35" s="39">
        <f t="shared" ref="S35:AF35" si="27">MAX(S13:S18)</f>
        <v>218</v>
      </c>
      <c r="T35" s="39">
        <f t="shared" si="27"/>
        <v>27</v>
      </c>
      <c r="U35" s="39">
        <f t="shared" si="27"/>
        <v>27</v>
      </c>
      <c r="V35" s="39">
        <f t="shared" si="27"/>
        <v>128</v>
      </c>
      <c r="W35" s="39">
        <f t="shared" si="27"/>
        <v>3</v>
      </c>
      <c r="X35" s="39">
        <f t="shared" si="27"/>
        <v>1</v>
      </c>
      <c r="Y35" s="39">
        <f t="shared" si="27"/>
        <v>29</v>
      </c>
      <c r="Z35" s="39">
        <f t="shared" si="27"/>
        <v>63</v>
      </c>
      <c r="AA35" s="39">
        <f t="shared" si="27"/>
        <v>10</v>
      </c>
      <c r="AB35" s="39">
        <f t="shared" si="27"/>
        <v>3</v>
      </c>
      <c r="AC35" s="39">
        <f t="shared" si="27"/>
        <v>755</v>
      </c>
      <c r="AD35" s="39">
        <f t="shared" si="27"/>
        <v>0</v>
      </c>
      <c r="AE35" s="40">
        <f t="shared" si="27"/>
        <v>460</v>
      </c>
      <c r="AF35" s="40">
        <f t="shared" si="27"/>
        <v>1175</v>
      </c>
    </row>
    <row r="36" spans="2:32" ht="23.1" customHeight="1" x14ac:dyDescent="0.25">
      <c r="B36" s="46" t="s">
        <v>63</v>
      </c>
      <c r="C36" s="50">
        <v>53</v>
      </c>
      <c r="D36" s="50">
        <v>4</v>
      </c>
      <c r="E36" s="50">
        <v>4</v>
      </c>
      <c r="F36" s="50">
        <v>21</v>
      </c>
      <c r="G36" s="50">
        <v>0</v>
      </c>
      <c r="H36" s="50">
        <v>0</v>
      </c>
      <c r="I36" s="50">
        <v>4</v>
      </c>
      <c r="J36" s="50">
        <v>14</v>
      </c>
      <c r="K36" s="50">
        <v>0</v>
      </c>
      <c r="L36" s="50">
        <v>0</v>
      </c>
      <c r="M36" s="50">
        <v>210</v>
      </c>
      <c r="N36" s="50">
        <v>0</v>
      </c>
      <c r="O36" s="15">
        <f t="shared" si="0"/>
        <v>100</v>
      </c>
      <c r="P36" s="15">
        <f t="shared" si="1"/>
        <v>310</v>
      </c>
      <c r="R36" s="38" t="s">
        <v>92</v>
      </c>
      <c r="S36" s="39">
        <f t="shared" ref="S36:AF36" si="28">MAX(S19:S21)</f>
        <v>193</v>
      </c>
      <c r="T36" s="39">
        <f t="shared" si="28"/>
        <v>23</v>
      </c>
      <c r="U36" s="39">
        <f t="shared" si="28"/>
        <v>21</v>
      </c>
      <c r="V36" s="39">
        <f t="shared" si="28"/>
        <v>123</v>
      </c>
      <c r="W36" s="39">
        <f t="shared" si="28"/>
        <v>2</v>
      </c>
      <c r="X36" s="39">
        <f t="shared" si="28"/>
        <v>2</v>
      </c>
      <c r="Y36" s="39">
        <f t="shared" si="28"/>
        <v>29</v>
      </c>
      <c r="Z36" s="39">
        <f t="shared" si="28"/>
        <v>46</v>
      </c>
      <c r="AA36" s="39">
        <f t="shared" si="28"/>
        <v>7</v>
      </c>
      <c r="AB36" s="39">
        <f t="shared" si="28"/>
        <v>3</v>
      </c>
      <c r="AC36" s="39">
        <f t="shared" si="28"/>
        <v>690</v>
      </c>
      <c r="AD36" s="39">
        <f t="shared" si="28"/>
        <v>0</v>
      </c>
      <c r="AE36" s="40">
        <f t="shared" si="28"/>
        <v>446</v>
      </c>
      <c r="AF36" s="40">
        <f t="shared" si="28"/>
        <v>1136</v>
      </c>
    </row>
    <row r="37" spans="2:32" ht="23.1" customHeight="1" x14ac:dyDescent="0.25">
      <c r="B37" s="45" t="s">
        <v>64</v>
      </c>
      <c r="C37" s="50">
        <v>38</v>
      </c>
      <c r="D37" s="50">
        <v>2</v>
      </c>
      <c r="E37" s="50">
        <v>5</v>
      </c>
      <c r="F37" s="50">
        <v>27</v>
      </c>
      <c r="G37" s="50">
        <v>0</v>
      </c>
      <c r="H37" s="50">
        <v>0</v>
      </c>
      <c r="I37" s="50">
        <v>1</v>
      </c>
      <c r="J37" s="50">
        <v>17</v>
      </c>
      <c r="K37" s="50">
        <v>1</v>
      </c>
      <c r="L37" s="50">
        <v>0</v>
      </c>
      <c r="M37" s="50">
        <v>170</v>
      </c>
      <c r="N37" s="50">
        <v>0</v>
      </c>
      <c r="O37" s="15">
        <f t="shared" si="0"/>
        <v>91</v>
      </c>
      <c r="P37" s="15">
        <f t="shared" si="1"/>
        <v>261</v>
      </c>
      <c r="R37" s="37" t="s">
        <v>85</v>
      </c>
      <c r="S37" s="35">
        <f t="shared" ref="S37:AF37" si="29">SUM(S10:S12)</f>
        <v>457</v>
      </c>
      <c r="T37" s="16">
        <f t="shared" si="29"/>
        <v>60</v>
      </c>
      <c r="U37" s="16">
        <f t="shared" si="29"/>
        <v>31</v>
      </c>
      <c r="V37" s="16">
        <f t="shared" si="29"/>
        <v>295</v>
      </c>
      <c r="W37" s="16">
        <f t="shared" si="29"/>
        <v>5</v>
      </c>
      <c r="X37" s="16">
        <f t="shared" si="29"/>
        <v>7</v>
      </c>
      <c r="Y37" s="16">
        <f t="shared" si="29"/>
        <v>54</v>
      </c>
      <c r="Z37" s="16">
        <f t="shared" si="29"/>
        <v>137</v>
      </c>
      <c r="AA37" s="16">
        <f t="shared" si="29"/>
        <v>24</v>
      </c>
      <c r="AB37" s="16">
        <f t="shared" si="29"/>
        <v>2</v>
      </c>
      <c r="AC37" s="16">
        <f t="shared" si="29"/>
        <v>1770</v>
      </c>
      <c r="AD37" s="16">
        <f t="shared" si="29"/>
        <v>0</v>
      </c>
      <c r="AE37" s="32">
        <f t="shared" si="29"/>
        <v>1072</v>
      </c>
      <c r="AF37" s="32">
        <f t="shared" si="29"/>
        <v>2842</v>
      </c>
    </row>
    <row r="38" spans="2:32" ht="23.1" customHeight="1" x14ac:dyDescent="0.25">
      <c r="B38" s="46" t="s">
        <v>65</v>
      </c>
      <c r="C38" s="50">
        <v>29</v>
      </c>
      <c r="D38" s="50">
        <v>3</v>
      </c>
      <c r="E38" s="50">
        <v>4</v>
      </c>
      <c r="F38" s="50">
        <v>20</v>
      </c>
      <c r="G38" s="50">
        <v>0</v>
      </c>
      <c r="H38" s="50">
        <v>0</v>
      </c>
      <c r="I38" s="50">
        <v>2</v>
      </c>
      <c r="J38" s="50">
        <v>11</v>
      </c>
      <c r="K38" s="50">
        <v>2</v>
      </c>
      <c r="L38" s="50">
        <v>1</v>
      </c>
      <c r="M38" s="50">
        <v>170</v>
      </c>
      <c r="N38" s="50">
        <v>0</v>
      </c>
      <c r="O38" s="15">
        <f t="shared" si="0"/>
        <v>72</v>
      </c>
      <c r="P38" s="15">
        <f t="shared" si="1"/>
        <v>242</v>
      </c>
      <c r="R38" s="28" t="s">
        <v>86</v>
      </c>
      <c r="S38" s="16">
        <f t="shared" ref="S38:AF38" si="30">SUM(S13:S18)</f>
        <v>1086</v>
      </c>
      <c r="T38" s="16">
        <f t="shared" si="30"/>
        <v>127</v>
      </c>
      <c r="U38" s="16">
        <f t="shared" si="30"/>
        <v>106</v>
      </c>
      <c r="V38" s="16">
        <f t="shared" si="30"/>
        <v>613</v>
      </c>
      <c r="W38" s="16">
        <f t="shared" si="30"/>
        <v>5</v>
      </c>
      <c r="X38" s="16">
        <f t="shared" si="30"/>
        <v>2</v>
      </c>
      <c r="Y38" s="16">
        <f t="shared" si="30"/>
        <v>97</v>
      </c>
      <c r="Z38" s="16">
        <f t="shared" si="30"/>
        <v>275</v>
      </c>
      <c r="AA38" s="16">
        <f t="shared" si="30"/>
        <v>28</v>
      </c>
      <c r="AB38" s="16">
        <f t="shared" si="30"/>
        <v>7</v>
      </c>
      <c r="AC38" s="16">
        <f t="shared" si="30"/>
        <v>4170</v>
      </c>
      <c r="AD38" s="16">
        <f t="shared" si="30"/>
        <v>0</v>
      </c>
      <c r="AE38" s="32">
        <f t="shared" si="30"/>
        <v>2346</v>
      </c>
      <c r="AF38" s="32">
        <f t="shared" si="30"/>
        <v>6516</v>
      </c>
    </row>
    <row r="39" spans="2:32" ht="23.1" customHeight="1" x14ac:dyDescent="0.25">
      <c r="B39" s="46" t="s">
        <v>66</v>
      </c>
      <c r="C39" s="50">
        <v>49</v>
      </c>
      <c r="D39" s="50">
        <v>4</v>
      </c>
      <c r="E39" s="50">
        <v>6</v>
      </c>
      <c r="F39" s="50">
        <v>14</v>
      </c>
      <c r="G39" s="50">
        <v>0</v>
      </c>
      <c r="H39" s="50">
        <v>0</v>
      </c>
      <c r="I39" s="50">
        <v>6</v>
      </c>
      <c r="J39" s="50">
        <v>7</v>
      </c>
      <c r="K39" s="50">
        <v>1</v>
      </c>
      <c r="L39" s="50">
        <v>0</v>
      </c>
      <c r="M39" s="50">
        <v>185</v>
      </c>
      <c r="N39" s="50">
        <v>0</v>
      </c>
      <c r="O39" s="15">
        <f t="shared" si="0"/>
        <v>87</v>
      </c>
      <c r="P39" s="15">
        <f t="shared" si="1"/>
        <v>272</v>
      </c>
      <c r="R39" s="29" t="s">
        <v>87</v>
      </c>
      <c r="S39" s="16">
        <f t="shared" ref="S39:AF39" si="31">SUM(S19:S21)</f>
        <v>526</v>
      </c>
      <c r="T39" s="16">
        <f t="shared" si="31"/>
        <v>46</v>
      </c>
      <c r="U39" s="16">
        <f t="shared" si="31"/>
        <v>49</v>
      </c>
      <c r="V39" s="16">
        <f t="shared" si="31"/>
        <v>334</v>
      </c>
      <c r="W39" s="16">
        <f t="shared" si="31"/>
        <v>4</v>
      </c>
      <c r="X39" s="16">
        <f t="shared" si="31"/>
        <v>4</v>
      </c>
      <c r="Y39" s="16">
        <f t="shared" si="31"/>
        <v>60</v>
      </c>
      <c r="Z39" s="16">
        <f t="shared" si="31"/>
        <v>118</v>
      </c>
      <c r="AA39" s="16">
        <f t="shared" si="31"/>
        <v>12</v>
      </c>
      <c r="AB39" s="16">
        <f t="shared" si="31"/>
        <v>4</v>
      </c>
      <c r="AC39" s="16">
        <f t="shared" si="31"/>
        <v>1850</v>
      </c>
      <c r="AD39" s="16">
        <f t="shared" si="31"/>
        <v>0</v>
      </c>
      <c r="AE39" s="32">
        <f t="shared" si="31"/>
        <v>1157</v>
      </c>
      <c r="AF39" s="32">
        <f t="shared" si="31"/>
        <v>3007</v>
      </c>
    </row>
    <row r="40" spans="2:32" ht="23.1" customHeight="1" x14ac:dyDescent="0.25">
      <c r="B40" s="46" t="s">
        <v>67</v>
      </c>
      <c r="C40" s="50">
        <v>56</v>
      </c>
      <c r="D40" s="50">
        <v>10</v>
      </c>
      <c r="E40" s="50">
        <v>9</v>
      </c>
      <c r="F40" s="50">
        <v>25</v>
      </c>
      <c r="G40" s="50">
        <v>0</v>
      </c>
      <c r="H40" s="50">
        <v>0</v>
      </c>
      <c r="I40" s="50">
        <v>5</v>
      </c>
      <c r="J40" s="50">
        <v>23</v>
      </c>
      <c r="K40" s="50">
        <v>0</v>
      </c>
      <c r="L40" s="50">
        <v>0</v>
      </c>
      <c r="M40" s="50">
        <v>155</v>
      </c>
      <c r="N40" s="50">
        <v>0</v>
      </c>
      <c r="O40" s="15">
        <f t="shared" si="0"/>
        <v>128</v>
      </c>
      <c r="P40" s="15">
        <f t="shared" si="1"/>
        <v>283</v>
      </c>
      <c r="R40" s="5" t="s">
        <v>17</v>
      </c>
      <c r="S40" s="16">
        <f t="shared" ref="S40:AF40" si="32">SUM(S10:S21)</f>
        <v>2069</v>
      </c>
      <c r="T40" s="16">
        <f t="shared" si="32"/>
        <v>233</v>
      </c>
      <c r="U40" s="16">
        <f t="shared" si="32"/>
        <v>186</v>
      </c>
      <c r="V40" s="16">
        <f t="shared" si="32"/>
        <v>1242</v>
      </c>
      <c r="W40" s="16">
        <f t="shared" si="32"/>
        <v>14</v>
      </c>
      <c r="X40" s="16">
        <f t="shared" si="32"/>
        <v>13</v>
      </c>
      <c r="Y40" s="16">
        <f t="shared" si="32"/>
        <v>211</v>
      </c>
      <c r="Z40" s="16">
        <f t="shared" si="32"/>
        <v>530</v>
      </c>
      <c r="AA40" s="16">
        <f t="shared" si="32"/>
        <v>64</v>
      </c>
      <c r="AB40" s="16">
        <f t="shared" si="32"/>
        <v>13</v>
      </c>
      <c r="AC40" s="16">
        <f t="shared" si="32"/>
        <v>7790</v>
      </c>
      <c r="AD40" s="16">
        <f t="shared" si="32"/>
        <v>0</v>
      </c>
      <c r="AE40" s="32">
        <f t="shared" si="32"/>
        <v>4575</v>
      </c>
      <c r="AF40" s="32">
        <f t="shared" si="32"/>
        <v>12365</v>
      </c>
    </row>
    <row r="41" spans="2:32" ht="23.1" customHeight="1" x14ac:dyDescent="0.25">
      <c r="B41" s="45" t="s">
        <v>68</v>
      </c>
      <c r="C41" s="50">
        <v>36</v>
      </c>
      <c r="D41" s="50">
        <v>5</v>
      </c>
      <c r="E41" s="50">
        <v>8</v>
      </c>
      <c r="F41" s="50">
        <v>31</v>
      </c>
      <c r="G41" s="50">
        <v>0</v>
      </c>
      <c r="H41" s="50">
        <v>0</v>
      </c>
      <c r="I41" s="50">
        <v>4</v>
      </c>
      <c r="J41" s="50">
        <v>9</v>
      </c>
      <c r="K41" s="50">
        <v>1</v>
      </c>
      <c r="L41" s="50">
        <v>0</v>
      </c>
      <c r="M41" s="50">
        <v>200</v>
      </c>
      <c r="N41" s="50">
        <v>0</v>
      </c>
      <c r="O41" s="15">
        <f t="shared" si="0"/>
        <v>94</v>
      </c>
      <c r="P41" s="15">
        <f t="shared" si="1"/>
        <v>294</v>
      </c>
      <c r="R41" s="5" t="s">
        <v>159</v>
      </c>
      <c r="S41" s="16">
        <f>SUM(S10:S33)</f>
        <v>3336</v>
      </c>
      <c r="T41" s="16">
        <f t="shared" ref="T41:AF41" si="33">SUM(T10:T33)</f>
        <v>400</v>
      </c>
      <c r="U41" s="16">
        <f t="shared" si="33"/>
        <v>320</v>
      </c>
      <c r="V41" s="16">
        <f t="shared" si="33"/>
        <v>2026</v>
      </c>
      <c r="W41" s="16">
        <f t="shared" si="33"/>
        <v>49</v>
      </c>
      <c r="X41" s="16">
        <f t="shared" si="33"/>
        <v>48</v>
      </c>
      <c r="Y41" s="16">
        <f t="shared" si="33"/>
        <v>375</v>
      </c>
      <c r="Z41" s="16">
        <f t="shared" si="33"/>
        <v>810</v>
      </c>
      <c r="AA41" s="16">
        <f t="shared" si="33"/>
        <v>160</v>
      </c>
      <c r="AB41" s="16">
        <f t="shared" si="33"/>
        <v>74</v>
      </c>
      <c r="AC41" s="16">
        <f t="shared" si="33"/>
        <v>11589</v>
      </c>
      <c r="AD41" s="16">
        <f t="shared" si="33"/>
        <v>0</v>
      </c>
      <c r="AE41" s="32">
        <f t="shared" si="33"/>
        <v>7598</v>
      </c>
      <c r="AF41" s="32">
        <f t="shared" si="33"/>
        <v>19187</v>
      </c>
    </row>
    <row r="42" spans="2:32" ht="23.1" customHeight="1" x14ac:dyDescent="0.25">
      <c r="B42" s="46" t="s">
        <v>69</v>
      </c>
      <c r="C42" s="50">
        <v>45</v>
      </c>
      <c r="D42" s="50">
        <v>4</v>
      </c>
      <c r="E42" s="50">
        <v>5</v>
      </c>
      <c r="F42" s="50">
        <v>27</v>
      </c>
      <c r="G42" s="50">
        <v>0</v>
      </c>
      <c r="H42" s="50">
        <v>0</v>
      </c>
      <c r="I42" s="50">
        <v>5</v>
      </c>
      <c r="J42" s="50">
        <v>10</v>
      </c>
      <c r="K42" s="50">
        <v>0</v>
      </c>
      <c r="L42" s="50">
        <v>1</v>
      </c>
      <c r="M42" s="50">
        <v>170</v>
      </c>
      <c r="N42" s="50">
        <v>0</v>
      </c>
      <c r="O42" s="15">
        <f t="shared" si="0"/>
        <v>97</v>
      </c>
      <c r="P42" s="15">
        <f t="shared" si="1"/>
        <v>267</v>
      </c>
      <c r="R42" s="5" t="s">
        <v>160</v>
      </c>
      <c r="S42" s="48">
        <f>S41/S40</f>
        <v>1.6123731271145481</v>
      </c>
      <c r="T42" s="48">
        <f t="shared" ref="T42:AF42" si="34">T41/T40</f>
        <v>1.7167381974248928</v>
      </c>
      <c r="U42" s="48">
        <f t="shared" si="34"/>
        <v>1.7204301075268817</v>
      </c>
      <c r="V42" s="48">
        <f t="shared" si="34"/>
        <v>1.6312399355877616</v>
      </c>
      <c r="W42" s="48">
        <f t="shared" si="34"/>
        <v>3.5</v>
      </c>
      <c r="X42" s="48">
        <f t="shared" si="34"/>
        <v>3.6923076923076925</v>
      </c>
      <c r="Y42" s="48">
        <f t="shared" si="34"/>
        <v>1.7772511848341233</v>
      </c>
      <c r="Z42" s="48">
        <f t="shared" si="34"/>
        <v>1.5283018867924529</v>
      </c>
      <c r="AA42" s="48">
        <f t="shared" si="34"/>
        <v>2.5</v>
      </c>
      <c r="AB42" s="48">
        <f t="shared" si="34"/>
        <v>5.6923076923076925</v>
      </c>
      <c r="AC42" s="48">
        <f t="shared" si="34"/>
        <v>1.4876765083440309</v>
      </c>
      <c r="AD42" s="48" t="e">
        <f t="shared" si="34"/>
        <v>#DIV/0!</v>
      </c>
      <c r="AE42" s="48">
        <f t="shared" si="34"/>
        <v>1.6607650273224044</v>
      </c>
      <c r="AF42" s="48">
        <f t="shared" si="34"/>
        <v>1.5517185604528911</v>
      </c>
    </row>
    <row r="43" spans="2:32" ht="23.1" customHeight="1" x14ac:dyDescent="0.25">
      <c r="B43" s="45" t="s">
        <v>70</v>
      </c>
      <c r="C43" s="50">
        <v>22</v>
      </c>
      <c r="D43" s="50">
        <v>3</v>
      </c>
      <c r="E43" s="50">
        <v>1</v>
      </c>
      <c r="F43" s="50">
        <v>15</v>
      </c>
      <c r="G43" s="50">
        <v>0</v>
      </c>
      <c r="H43" s="50">
        <v>0</v>
      </c>
      <c r="I43" s="50">
        <v>0</v>
      </c>
      <c r="J43" s="50">
        <v>7</v>
      </c>
      <c r="K43" s="50">
        <v>0</v>
      </c>
      <c r="L43" s="50">
        <v>0</v>
      </c>
      <c r="M43" s="50">
        <v>150</v>
      </c>
      <c r="N43" s="50">
        <v>0</v>
      </c>
      <c r="O43" s="15">
        <f t="shared" si="0"/>
        <v>48</v>
      </c>
      <c r="P43" s="15">
        <f t="shared" si="1"/>
        <v>198</v>
      </c>
    </row>
    <row r="44" spans="2:32" ht="23.1" customHeight="1" x14ac:dyDescent="0.25">
      <c r="B44" s="47" t="s">
        <v>71</v>
      </c>
      <c r="C44" s="50">
        <v>44</v>
      </c>
      <c r="D44" s="50">
        <v>2</v>
      </c>
      <c r="E44" s="50">
        <v>4</v>
      </c>
      <c r="F44" s="50">
        <v>22</v>
      </c>
      <c r="G44" s="50">
        <v>0</v>
      </c>
      <c r="H44" s="50">
        <v>0</v>
      </c>
      <c r="I44" s="50">
        <v>1</v>
      </c>
      <c r="J44" s="50">
        <v>5</v>
      </c>
      <c r="K44" s="50">
        <v>2</v>
      </c>
      <c r="L44" s="50">
        <v>0</v>
      </c>
      <c r="M44" s="50">
        <v>145</v>
      </c>
      <c r="N44" s="50">
        <v>0</v>
      </c>
      <c r="O44" s="15">
        <f t="shared" si="0"/>
        <v>80</v>
      </c>
      <c r="P44" s="15">
        <f t="shared" si="1"/>
        <v>225</v>
      </c>
    </row>
    <row r="45" spans="2:32" ht="23.1" customHeight="1" x14ac:dyDescent="0.25">
      <c r="B45" s="45" t="s">
        <v>72</v>
      </c>
      <c r="C45" s="50">
        <v>50</v>
      </c>
      <c r="D45" s="50">
        <v>8</v>
      </c>
      <c r="E45" s="50">
        <v>4</v>
      </c>
      <c r="F45" s="50">
        <v>36</v>
      </c>
      <c r="G45" s="50">
        <v>0</v>
      </c>
      <c r="H45" s="50">
        <v>0</v>
      </c>
      <c r="I45" s="50">
        <v>3</v>
      </c>
      <c r="J45" s="50">
        <v>20</v>
      </c>
      <c r="K45" s="50">
        <v>0</v>
      </c>
      <c r="L45" s="50">
        <v>2</v>
      </c>
      <c r="M45" s="50">
        <v>180</v>
      </c>
      <c r="N45" s="50">
        <v>0</v>
      </c>
      <c r="O45" s="15">
        <f t="shared" si="0"/>
        <v>123</v>
      </c>
      <c r="P45" s="15">
        <f t="shared" si="1"/>
        <v>303</v>
      </c>
    </row>
    <row r="46" spans="2:32" ht="23.1" customHeight="1" x14ac:dyDescent="0.25">
      <c r="B46" s="46" t="s">
        <v>73</v>
      </c>
      <c r="C46" s="50">
        <v>42</v>
      </c>
      <c r="D46" s="50">
        <v>6</v>
      </c>
      <c r="E46" s="50">
        <v>4</v>
      </c>
      <c r="F46" s="50">
        <v>27</v>
      </c>
      <c r="G46" s="50">
        <v>0</v>
      </c>
      <c r="H46" s="50">
        <v>0</v>
      </c>
      <c r="I46" s="50">
        <v>3</v>
      </c>
      <c r="J46" s="50">
        <v>11</v>
      </c>
      <c r="K46" s="50">
        <v>0</v>
      </c>
      <c r="L46" s="50">
        <v>0</v>
      </c>
      <c r="M46" s="50">
        <v>175</v>
      </c>
      <c r="N46" s="50">
        <v>0</v>
      </c>
      <c r="O46" s="15">
        <f t="shared" si="0"/>
        <v>93</v>
      </c>
      <c r="P46" s="15">
        <f t="shared" si="1"/>
        <v>268</v>
      </c>
      <c r="R46" s="8"/>
      <c r="T46"/>
    </row>
    <row r="47" spans="2:32" ht="23.1" customHeight="1" x14ac:dyDescent="0.25">
      <c r="B47" s="46" t="s">
        <v>74</v>
      </c>
      <c r="C47" s="50">
        <v>43</v>
      </c>
      <c r="D47" s="50">
        <v>2</v>
      </c>
      <c r="E47" s="50">
        <v>9</v>
      </c>
      <c r="F47" s="50">
        <v>24</v>
      </c>
      <c r="G47" s="50">
        <v>1</v>
      </c>
      <c r="H47" s="50">
        <v>0</v>
      </c>
      <c r="I47" s="50">
        <v>2</v>
      </c>
      <c r="J47" s="50">
        <v>11</v>
      </c>
      <c r="K47" s="50">
        <v>0</v>
      </c>
      <c r="L47" s="50">
        <v>0</v>
      </c>
      <c r="M47" s="50">
        <v>125</v>
      </c>
      <c r="N47" s="50">
        <v>0</v>
      </c>
      <c r="O47" s="15">
        <f t="shared" si="0"/>
        <v>92</v>
      </c>
      <c r="P47" s="15">
        <f t="shared" si="1"/>
        <v>217</v>
      </c>
      <c r="R47" s="8"/>
      <c r="T47"/>
    </row>
    <row r="48" spans="2:32" ht="23.1" customHeight="1" x14ac:dyDescent="0.25">
      <c r="B48" s="46" t="s">
        <v>75</v>
      </c>
      <c r="C48" s="50">
        <v>53</v>
      </c>
      <c r="D48" s="50">
        <v>6</v>
      </c>
      <c r="E48" s="50">
        <v>0</v>
      </c>
      <c r="F48" s="50">
        <v>25</v>
      </c>
      <c r="G48" s="50">
        <v>0</v>
      </c>
      <c r="H48" s="50">
        <v>0</v>
      </c>
      <c r="I48" s="50">
        <v>5</v>
      </c>
      <c r="J48" s="50">
        <v>9</v>
      </c>
      <c r="K48" s="50">
        <v>2</v>
      </c>
      <c r="L48" s="50">
        <v>0</v>
      </c>
      <c r="M48" s="50">
        <v>180</v>
      </c>
      <c r="N48" s="50">
        <v>0</v>
      </c>
      <c r="O48" s="15">
        <f t="shared" si="0"/>
        <v>100</v>
      </c>
      <c r="P48" s="15">
        <f t="shared" si="1"/>
        <v>280</v>
      </c>
      <c r="R48" s="8"/>
      <c r="T48"/>
    </row>
    <row r="49" spans="2:20" ht="23.1" customHeight="1" x14ac:dyDescent="0.25">
      <c r="B49" s="45" t="s">
        <v>76</v>
      </c>
      <c r="C49" s="50">
        <v>40</v>
      </c>
      <c r="D49" s="50">
        <v>1</v>
      </c>
      <c r="E49" s="50">
        <v>3</v>
      </c>
      <c r="F49" s="50">
        <v>24</v>
      </c>
      <c r="G49" s="50">
        <v>0</v>
      </c>
      <c r="H49" s="50">
        <v>0</v>
      </c>
      <c r="I49" s="50">
        <v>11</v>
      </c>
      <c r="J49" s="50">
        <v>15</v>
      </c>
      <c r="K49" s="50">
        <v>0</v>
      </c>
      <c r="L49" s="50">
        <v>3</v>
      </c>
      <c r="M49" s="50">
        <v>175</v>
      </c>
      <c r="N49" s="50">
        <v>0</v>
      </c>
      <c r="O49" s="15">
        <f t="shared" si="0"/>
        <v>97</v>
      </c>
      <c r="P49" s="15">
        <f t="shared" si="1"/>
        <v>272</v>
      </c>
      <c r="R49" s="8"/>
      <c r="T49"/>
    </row>
    <row r="50" spans="2:20" ht="23.1" customHeight="1" x14ac:dyDescent="0.25">
      <c r="B50" s="46" t="s">
        <v>77</v>
      </c>
      <c r="C50" s="50">
        <v>37</v>
      </c>
      <c r="D50" s="50">
        <v>1</v>
      </c>
      <c r="E50" s="50">
        <v>2</v>
      </c>
      <c r="F50" s="50">
        <v>37</v>
      </c>
      <c r="G50" s="50">
        <v>1</v>
      </c>
      <c r="H50" s="50">
        <v>1</v>
      </c>
      <c r="I50" s="50">
        <v>6</v>
      </c>
      <c r="J50" s="50">
        <v>12</v>
      </c>
      <c r="K50" s="50">
        <v>0</v>
      </c>
      <c r="L50" s="50">
        <v>0</v>
      </c>
      <c r="M50" s="50">
        <v>180</v>
      </c>
      <c r="N50" s="50">
        <v>0</v>
      </c>
      <c r="O50" s="15">
        <f t="shared" si="0"/>
        <v>97</v>
      </c>
      <c r="P50" s="15">
        <f t="shared" si="1"/>
        <v>277</v>
      </c>
      <c r="R50" s="8"/>
      <c r="T50"/>
    </row>
    <row r="51" spans="2:20" ht="23.1" customHeight="1" x14ac:dyDescent="0.25">
      <c r="B51" s="46" t="s">
        <v>78</v>
      </c>
      <c r="C51" s="50">
        <v>51</v>
      </c>
      <c r="D51" s="50">
        <v>9</v>
      </c>
      <c r="E51" s="50">
        <v>6</v>
      </c>
      <c r="F51" s="50">
        <v>39</v>
      </c>
      <c r="G51" s="50">
        <v>1</v>
      </c>
      <c r="H51" s="50">
        <v>1</v>
      </c>
      <c r="I51" s="50">
        <v>12</v>
      </c>
      <c r="J51" s="50">
        <v>11</v>
      </c>
      <c r="K51" s="50">
        <v>1</v>
      </c>
      <c r="L51" s="50">
        <v>1</v>
      </c>
      <c r="M51" s="50">
        <v>195</v>
      </c>
      <c r="N51" s="50">
        <v>0</v>
      </c>
      <c r="O51" s="15">
        <f t="shared" si="0"/>
        <v>132</v>
      </c>
      <c r="P51" s="15">
        <f t="shared" si="1"/>
        <v>327</v>
      </c>
      <c r="R51" s="8"/>
      <c r="T51"/>
    </row>
    <row r="52" spans="2:20" ht="23.1" customHeight="1" x14ac:dyDescent="0.25">
      <c r="B52" s="46" t="s">
        <v>79</v>
      </c>
      <c r="C52" s="50">
        <v>65</v>
      </c>
      <c r="D52" s="50">
        <v>8</v>
      </c>
      <c r="E52" s="50">
        <v>5</v>
      </c>
      <c r="F52" s="50">
        <v>30</v>
      </c>
      <c r="G52" s="50">
        <v>0</v>
      </c>
      <c r="H52" s="50">
        <v>0</v>
      </c>
      <c r="I52" s="50">
        <v>6</v>
      </c>
      <c r="J52" s="50">
        <v>17</v>
      </c>
      <c r="K52" s="50">
        <v>6</v>
      </c>
      <c r="L52" s="50">
        <v>0</v>
      </c>
      <c r="M52" s="50">
        <v>150</v>
      </c>
      <c r="N52" s="50">
        <v>0</v>
      </c>
      <c r="O52" s="15">
        <f t="shared" si="0"/>
        <v>137</v>
      </c>
      <c r="P52" s="15">
        <f t="shared" si="1"/>
        <v>287</v>
      </c>
      <c r="R52" s="8"/>
      <c r="T52"/>
    </row>
    <row r="53" spans="2:20" ht="23.1" customHeight="1" x14ac:dyDescent="0.25">
      <c r="B53" s="45" t="s">
        <v>80</v>
      </c>
      <c r="C53" s="50">
        <v>40</v>
      </c>
      <c r="D53" s="50">
        <v>5</v>
      </c>
      <c r="E53" s="50">
        <v>8</v>
      </c>
      <c r="F53" s="50">
        <v>17</v>
      </c>
      <c r="G53" s="50">
        <v>0</v>
      </c>
      <c r="H53" s="50">
        <v>0</v>
      </c>
      <c r="I53" s="50">
        <v>5</v>
      </c>
      <c r="J53" s="50">
        <v>5</v>
      </c>
      <c r="K53" s="50">
        <v>0</v>
      </c>
      <c r="L53" s="50">
        <v>0</v>
      </c>
      <c r="M53" s="50">
        <v>165</v>
      </c>
      <c r="N53" s="50">
        <v>0</v>
      </c>
      <c r="O53" s="15">
        <f t="shared" si="0"/>
        <v>80</v>
      </c>
      <c r="P53" s="15">
        <f t="shared" si="1"/>
        <v>245</v>
      </c>
      <c r="R53" s="8"/>
      <c r="T53"/>
    </row>
    <row r="54" spans="2:20" ht="23.1" customHeight="1" x14ac:dyDescent="0.25">
      <c r="B54" s="45" t="s">
        <v>81</v>
      </c>
      <c r="C54" s="50">
        <v>29</v>
      </c>
      <c r="D54" s="50">
        <v>4</v>
      </c>
      <c r="E54" s="50">
        <v>6</v>
      </c>
      <c r="F54" s="50">
        <v>29</v>
      </c>
      <c r="G54" s="50">
        <v>0</v>
      </c>
      <c r="H54" s="50">
        <v>0</v>
      </c>
      <c r="I54" s="50">
        <v>5</v>
      </c>
      <c r="J54" s="50">
        <v>9</v>
      </c>
      <c r="K54" s="50">
        <v>2</v>
      </c>
      <c r="L54" s="50">
        <v>0</v>
      </c>
      <c r="M54" s="50">
        <v>185</v>
      </c>
      <c r="N54" s="50">
        <v>0</v>
      </c>
      <c r="O54" s="15">
        <f t="shared" si="0"/>
        <v>84</v>
      </c>
      <c r="P54" s="15">
        <f t="shared" si="1"/>
        <v>269</v>
      </c>
      <c r="R54" s="8"/>
      <c r="T54"/>
    </row>
    <row r="55" spans="2:20" ht="23.1" customHeight="1" x14ac:dyDescent="0.25">
      <c r="B55" s="45" t="s">
        <v>82</v>
      </c>
      <c r="C55" s="50">
        <v>44</v>
      </c>
      <c r="D55" s="50">
        <v>2</v>
      </c>
      <c r="E55" s="50">
        <v>5</v>
      </c>
      <c r="F55" s="50">
        <v>32</v>
      </c>
      <c r="G55" s="50">
        <v>1</v>
      </c>
      <c r="H55" s="50">
        <v>0</v>
      </c>
      <c r="I55" s="50">
        <v>5</v>
      </c>
      <c r="J55" s="50">
        <v>10</v>
      </c>
      <c r="K55" s="50">
        <v>1</v>
      </c>
      <c r="L55" s="50">
        <v>0</v>
      </c>
      <c r="M55" s="50">
        <v>105</v>
      </c>
      <c r="N55" s="50">
        <v>0</v>
      </c>
      <c r="O55" s="15">
        <f t="shared" si="0"/>
        <v>100</v>
      </c>
      <c r="P55" s="15">
        <f t="shared" si="1"/>
        <v>205</v>
      </c>
      <c r="R55" s="8"/>
      <c r="T55"/>
    </row>
    <row r="56" spans="2:20" ht="23.1" customHeight="1" x14ac:dyDescent="0.25">
      <c r="B56" s="45" t="s">
        <v>83</v>
      </c>
      <c r="C56" s="50">
        <v>22</v>
      </c>
      <c r="D56" s="50">
        <v>2</v>
      </c>
      <c r="E56" s="50">
        <v>1</v>
      </c>
      <c r="F56" s="50">
        <v>20</v>
      </c>
      <c r="G56" s="50">
        <v>0</v>
      </c>
      <c r="H56" s="50">
        <v>2</v>
      </c>
      <c r="I56" s="50">
        <v>0</v>
      </c>
      <c r="J56" s="50">
        <v>3</v>
      </c>
      <c r="K56" s="50">
        <v>0</v>
      </c>
      <c r="L56" s="50">
        <v>0</v>
      </c>
      <c r="M56" s="50">
        <v>100</v>
      </c>
      <c r="N56" s="50">
        <v>0</v>
      </c>
      <c r="O56" s="15">
        <f t="shared" si="0"/>
        <v>50</v>
      </c>
      <c r="P56" s="15">
        <f t="shared" si="1"/>
        <v>150</v>
      </c>
      <c r="R56" s="8"/>
      <c r="T56"/>
    </row>
    <row r="57" spans="2:20" ht="23.1" customHeight="1" x14ac:dyDescent="0.25">
      <c r="B57" s="45" t="s">
        <v>84</v>
      </c>
      <c r="C57" s="50">
        <v>60</v>
      </c>
      <c r="D57" s="50">
        <v>0</v>
      </c>
      <c r="E57" s="50">
        <v>0</v>
      </c>
      <c r="F57" s="50">
        <v>30</v>
      </c>
      <c r="G57" s="50">
        <v>0</v>
      </c>
      <c r="H57" s="50">
        <v>0</v>
      </c>
      <c r="I57" s="50">
        <v>0</v>
      </c>
      <c r="J57" s="50">
        <v>5</v>
      </c>
      <c r="K57" s="50">
        <v>0</v>
      </c>
      <c r="L57" s="50">
        <v>0</v>
      </c>
      <c r="M57" s="50">
        <v>115</v>
      </c>
      <c r="N57" s="50">
        <v>0</v>
      </c>
      <c r="O57" s="15">
        <f t="shared" si="0"/>
        <v>95</v>
      </c>
      <c r="P57" s="15">
        <f t="shared" si="1"/>
        <v>210</v>
      </c>
      <c r="R57" s="8"/>
      <c r="T57"/>
    </row>
    <row r="58" spans="2:20" ht="23.1" customHeight="1" x14ac:dyDescent="0.25">
      <c r="B58" s="45" t="s">
        <v>99</v>
      </c>
      <c r="C58" s="50">
        <v>33</v>
      </c>
      <c r="D58" s="50">
        <v>8</v>
      </c>
      <c r="E58" s="50">
        <v>6</v>
      </c>
      <c r="F58" s="50">
        <v>21</v>
      </c>
      <c r="G58" s="50">
        <v>0</v>
      </c>
      <c r="H58" s="50">
        <v>2</v>
      </c>
      <c r="I58" s="50">
        <v>5</v>
      </c>
      <c r="J58" s="50">
        <v>3</v>
      </c>
      <c r="K58" s="50">
        <v>1</v>
      </c>
      <c r="L58" s="50">
        <v>2</v>
      </c>
      <c r="M58" s="50">
        <v>127</v>
      </c>
      <c r="N58" s="50">
        <v>0</v>
      </c>
      <c r="O58" s="15">
        <f t="shared" si="0"/>
        <v>81</v>
      </c>
      <c r="P58" s="15">
        <f t="shared" si="1"/>
        <v>208</v>
      </c>
      <c r="R58" s="8"/>
      <c r="T58"/>
    </row>
    <row r="59" spans="2:20" ht="23.1" customHeight="1" x14ac:dyDescent="0.25">
      <c r="B59" s="45" t="s">
        <v>100</v>
      </c>
      <c r="C59" s="50">
        <v>51</v>
      </c>
      <c r="D59" s="50">
        <v>6</v>
      </c>
      <c r="E59" s="50">
        <v>5</v>
      </c>
      <c r="F59" s="50">
        <v>29</v>
      </c>
      <c r="G59" s="50">
        <v>1</v>
      </c>
      <c r="H59" s="50">
        <v>0</v>
      </c>
      <c r="I59" s="50">
        <v>4</v>
      </c>
      <c r="J59" s="50">
        <v>6</v>
      </c>
      <c r="K59" s="50">
        <v>2</v>
      </c>
      <c r="L59" s="50">
        <v>3</v>
      </c>
      <c r="M59" s="50">
        <v>198</v>
      </c>
      <c r="N59" s="50">
        <v>0</v>
      </c>
      <c r="O59" s="15">
        <f t="shared" si="0"/>
        <v>107</v>
      </c>
      <c r="P59" s="15">
        <f t="shared" si="1"/>
        <v>305</v>
      </c>
      <c r="R59" s="8"/>
      <c r="T59"/>
    </row>
    <row r="60" spans="2:20" ht="23.1" customHeight="1" x14ac:dyDescent="0.25">
      <c r="B60" s="45" t="s">
        <v>101</v>
      </c>
      <c r="C60" s="50">
        <v>46</v>
      </c>
      <c r="D60" s="50">
        <v>10</v>
      </c>
      <c r="E60" s="50">
        <v>1</v>
      </c>
      <c r="F60" s="50">
        <v>30</v>
      </c>
      <c r="G60" s="50">
        <v>0</v>
      </c>
      <c r="H60" s="50">
        <v>0</v>
      </c>
      <c r="I60" s="50">
        <v>5</v>
      </c>
      <c r="J60" s="50">
        <v>5</v>
      </c>
      <c r="K60" s="50">
        <v>4</v>
      </c>
      <c r="L60" s="50">
        <v>1</v>
      </c>
      <c r="M60" s="50">
        <v>137</v>
      </c>
      <c r="N60" s="50">
        <v>0</v>
      </c>
      <c r="O60" s="15">
        <f t="shared" si="0"/>
        <v>102</v>
      </c>
      <c r="P60" s="15">
        <f t="shared" si="1"/>
        <v>239</v>
      </c>
      <c r="R60" s="8"/>
      <c r="T60"/>
    </row>
    <row r="61" spans="2:20" ht="23.1" customHeight="1" x14ac:dyDescent="0.25">
      <c r="B61" s="45" t="s">
        <v>102</v>
      </c>
      <c r="C61" s="50">
        <v>44</v>
      </c>
      <c r="D61" s="50">
        <v>9</v>
      </c>
      <c r="E61" s="50">
        <v>6</v>
      </c>
      <c r="F61" s="50">
        <v>30</v>
      </c>
      <c r="G61" s="50">
        <v>0</v>
      </c>
      <c r="H61" s="50">
        <v>0</v>
      </c>
      <c r="I61" s="50">
        <v>4</v>
      </c>
      <c r="J61" s="50">
        <v>3</v>
      </c>
      <c r="K61" s="50">
        <v>0</v>
      </c>
      <c r="L61" s="50">
        <v>0</v>
      </c>
      <c r="M61" s="50">
        <v>147</v>
      </c>
      <c r="N61" s="50">
        <v>0</v>
      </c>
      <c r="O61" s="15">
        <f t="shared" si="0"/>
        <v>96</v>
      </c>
      <c r="P61" s="15">
        <f t="shared" si="1"/>
        <v>243</v>
      </c>
      <c r="R61" s="8"/>
      <c r="T61"/>
    </row>
    <row r="62" spans="2:20" ht="23.1" customHeight="1" x14ac:dyDescent="0.25">
      <c r="B62" s="45" t="s">
        <v>107</v>
      </c>
      <c r="C62" s="50">
        <v>39</v>
      </c>
      <c r="D62" s="50">
        <v>7</v>
      </c>
      <c r="E62" s="50">
        <v>3</v>
      </c>
      <c r="F62" s="50">
        <v>41</v>
      </c>
      <c r="G62" s="50">
        <v>1</v>
      </c>
      <c r="H62" s="50">
        <v>0</v>
      </c>
      <c r="I62" s="50">
        <v>7</v>
      </c>
      <c r="J62" s="50">
        <v>5</v>
      </c>
      <c r="K62" s="50">
        <v>0</v>
      </c>
      <c r="L62" s="50">
        <v>2</v>
      </c>
      <c r="M62" s="50">
        <v>137</v>
      </c>
      <c r="N62" s="50">
        <v>0</v>
      </c>
      <c r="O62" s="15">
        <f t="shared" si="0"/>
        <v>105</v>
      </c>
      <c r="P62" s="15">
        <f t="shared" si="1"/>
        <v>242</v>
      </c>
      <c r="R62" s="8"/>
      <c r="T62"/>
    </row>
    <row r="63" spans="2:20" ht="23.1" customHeight="1" x14ac:dyDescent="0.25">
      <c r="B63" s="45" t="s">
        <v>108</v>
      </c>
      <c r="C63" s="50">
        <v>47</v>
      </c>
      <c r="D63" s="50">
        <v>7</v>
      </c>
      <c r="E63" s="50">
        <v>2</v>
      </c>
      <c r="F63" s="50">
        <v>50</v>
      </c>
      <c r="G63" s="50">
        <v>3</v>
      </c>
      <c r="H63" s="50">
        <v>0</v>
      </c>
      <c r="I63" s="50">
        <v>4</v>
      </c>
      <c r="J63" s="50">
        <v>0</v>
      </c>
      <c r="K63" s="50">
        <v>2</v>
      </c>
      <c r="L63" s="50">
        <v>1</v>
      </c>
      <c r="M63" s="50">
        <v>153</v>
      </c>
      <c r="N63" s="50">
        <v>0</v>
      </c>
      <c r="O63" s="15">
        <f t="shared" si="0"/>
        <v>116</v>
      </c>
      <c r="P63" s="15">
        <f t="shared" si="1"/>
        <v>269</v>
      </c>
      <c r="R63" s="8"/>
      <c r="T63"/>
    </row>
    <row r="64" spans="2:20" ht="23.1" customHeight="1" x14ac:dyDescent="0.25">
      <c r="B64" s="45" t="s">
        <v>109</v>
      </c>
      <c r="C64" s="50">
        <v>36</v>
      </c>
      <c r="D64" s="50">
        <v>11</v>
      </c>
      <c r="E64" s="50">
        <v>4</v>
      </c>
      <c r="F64" s="50">
        <v>36</v>
      </c>
      <c r="G64" s="50">
        <v>0</v>
      </c>
      <c r="H64" s="50">
        <v>1</v>
      </c>
      <c r="I64" s="50">
        <v>3</v>
      </c>
      <c r="J64" s="50">
        <v>3</v>
      </c>
      <c r="K64" s="50">
        <v>3</v>
      </c>
      <c r="L64" s="50">
        <v>1</v>
      </c>
      <c r="M64" s="50">
        <v>121</v>
      </c>
      <c r="N64" s="50">
        <v>0</v>
      </c>
      <c r="O64" s="15">
        <f t="shared" si="0"/>
        <v>98</v>
      </c>
      <c r="P64" s="15">
        <f t="shared" si="1"/>
        <v>219</v>
      </c>
      <c r="R64" s="8"/>
      <c r="T64"/>
    </row>
    <row r="65" spans="2:20" ht="23.1" customHeight="1" x14ac:dyDescent="0.25">
      <c r="B65" s="45" t="s">
        <v>158</v>
      </c>
      <c r="C65" s="50">
        <v>41</v>
      </c>
      <c r="D65" s="50">
        <v>4</v>
      </c>
      <c r="E65" s="50">
        <v>1</v>
      </c>
      <c r="F65" s="50">
        <v>38</v>
      </c>
      <c r="G65" s="50">
        <v>2</v>
      </c>
      <c r="H65" s="50">
        <v>0</v>
      </c>
      <c r="I65" s="50">
        <v>4</v>
      </c>
      <c r="J65" s="50">
        <v>4</v>
      </c>
      <c r="K65" s="50">
        <v>1</v>
      </c>
      <c r="L65" s="50">
        <v>1</v>
      </c>
      <c r="M65" s="50">
        <v>133</v>
      </c>
      <c r="N65" s="50">
        <v>0</v>
      </c>
      <c r="O65" s="15">
        <f t="shared" si="0"/>
        <v>96</v>
      </c>
      <c r="P65" s="15">
        <f t="shared" si="1"/>
        <v>229</v>
      </c>
      <c r="R65" s="8"/>
      <c r="T65"/>
    </row>
    <row r="66" spans="2:20" ht="23.1" customHeight="1" x14ac:dyDescent="0.25">
      <c r="B66" s="45" t="s">
        <v>103</v>
      </c>
      <c r="C66" s="50">
        <v>30</v>
      </c>
      <c r="D66" s="50">
        <v>6</v>
      </c>
      <c r="E66" s="50">
        <v>7</v>
      </c>
      <c r="F66" s="50">
        <v>29</v>
      </c>
      <c r="G66" s="50">
        <v>0</v>
      </c>
      <c r="H66" s="50">
        <v>2</v>
      </c>
      <c r="I66" s="50">
        <v>4</v>
      </c>
      <c r="J66" s="50">
        <v>4</v>
      </c>
      <c r="K66" s="50">
        <v>2</v>
      </c>
      <c r="L66" s="50">
        <v>0</v>
      </c>
      <c r="M66" s="50">
        <v>115</v>
      </c>
      <c r="N66" s="50">
        <v>0</v>
      </c>
      <c r="O66" s="15">
        <f t="shared" si="0"/>
        <v>84</v>
      </c>
      <c r="P66" s="15">
        <f t="shared" si="1"/>
        <v>199</v>
      </c>
      <c r="R66" s="8"/>
      <c r="T66"/>
    </row>
    <row r="67" spans="2:20" ht="23.1" customHeight="1" x14ac:dyDescent="0.25">
      <c r="B67" s="45" t="s">
        <v>104</v>
      </c>
      <c r="C67" s="50">
        <v>28</v>
      </c>
      <c r="D67" s="50">
        <v>5</v>
      </c>
      <c r="E67" s="50">
        <v>2</v>
      </c>
      <c r="F67" s="50">
        <v>37</v>
      </c>
      <c r="G67" s="50">
        <v>0</v>
      </c>
      <c r="H67" s="50">
        <v>0</v>
      </c>
      <c r="I67" s="50">
        <v>4</v>
      </c>
      <c r="J67" s="50">
        <v>3</v>
      </c>
      <c r="K67" s="50">
        <v>3</v>
      </c>
      <c r="L67" s="50">
        <v>3</v>
      </c>
      <c r="M67" s="50">
        <v>107</v>
      </c>
      <c r="N67" s="50">
        <v>0</v>
      </c>
      <c r="O67" s="15">
        <f t="shared" si="0"/>
        <v>85</v>
      </c>
      <c r="P67" s="15">
        <f t="shared" si="1"/>
        <v>192</v>
      </c>
      <c r="R67" s="8"/>
      <c r="T67"/>
    </row>
    <row r="68" spans="2:20" ht="23.1" customHeight="1" x14ac:dyDescent="0.25">
      <c r="B68" s="45" t="s">
        <v>105</v>
      </c>
      <c r="C68" s="50">
        <v>51</v>
      </c>
      <c r="D68" s="50">
        <v>8</v>
      </c>
      <c r="E68" s="50">
        <v>3</v>
      </c>
      <c r="F68" s="50">
        <v>32</v>
      </c>
      <c r="G68" s="50">
        <v>2</v>
      </c>
      <c r="H68" s="50">
        <v>0</v>
      </c>
      <c r="I68" s="50">
        <v>4</v>
      </c>
      <c r="J68" s="50">
        <v>8</v>
      </c>
      <c r="K68" s="50">
        <v>0</v>
      </c>
      <c r="L68" s="50">
        <v>1</v>
      </c>
      <c r="M68" s="50">
        <v>93</v>
      </c>
      <c r="N68" s="50">
        <v>0</v>
      </c>
      <c r="O68" s="15">
        <f t="shared" si="0"/>
        <v>109</v>
      </c>
      <c r="P68" s="15">
        <f t="shared" si="1"/>
        <v>202</v>
      </c>
      <c r="R68" s="8"/>
      <c r="T68"/>
    </row>
    <row r="69" spans="2:20" ht="23.1" customHeight="1" x14ac:dyDescent="0.25">
      <c r="B69" s="45" t="s">
        <v>106</v>
      </c>
      <c r="C69" s="50">
        <v>39</v>
      </c>
      <c r="D69" s="50">
        <v>9</v>
      </c>
      <c r="E69" s="50">
        <v>7</v>
      </c>
      <c r="F69" s="50">
        <v>30</v>
      </c>
      <c r="G69" s="50">
        <v>2</v>
      </c>
      <c r="H69" s="50">
        <v>0</v>
      </c>
      <c r="I69" s="50">
        <v>2</v>
      </c>
      <c r="J69" s="50">
        <v>1</v>
      </c>
      <c r="K69" s="50">
        <v>1</v>
      </c>
      <c r="L69" s="50">
        <v>0</v>
      </c>
      <c r="M69" s="50">
        <v>102</v>
      </c>
      <c r="N69" s="50">
        <v>0</v>
      </c>
      <c r="O69" s="15">
        <f t="shared" si="0"/>
        <v>91</v>
      </c>
      <c r="P69" s="15">
        <f t="shared" si="1"/>
        <v>193</v>
      </c>
      <c r="R69" s="8"/>
      <c r="T69"/>
    </row>
    <row r="70" spans="2:20" ht="23.1" customHeight="1" x14ac:dyDescent="0.25">
      <c r="B70" s="45" t="s">
        <v>110</v>
      </c>
      <c r="C70" s="50">
        <v>25</v>
      </c>
      <c r="D70" s="50">
        <v>3</v>
      </c>
      <c r="E70" s="50">
        <v>4</v>
      </c>
      <c r="F70" s="50">
        <v>30</v>
      </c>
      <c r="G70" s="50">
        <v>1</v>
      </c>
      <c r="H70" s="50">
        <v>0</v>
      </c>
      <c r="I70" s="50">
        <v>2</v>
      </c>
      <c r="J70" s="50">
        <v>2</v>
      </c>
      <c r="K70" s="50">
        <v>0</v>
      </c>
      <c r="L70" s="50">
        <v>0</v>
      </c>
      <c r="M70" s="50">
        <v>98</v>
      </c>
      <c r="N70" s="50">
        <v>0</v>
      </c>
      <c r="O70" s="15">
        <f t="shared" si="0"/>
        <v>67</v>
      </c>
      <c r="P70" s="15">
        <f t="shared" si="1"/>
        <v>165</v>
      </c>
      <c r="R70" s="8"/>
      <c r="T70"/>
    </row>
    <row r="71" spans="2:20" ht="23.1" customHeight="1" x14ac:dyDescent="0.25">
      <c r="B71" s="45" t="s">
        <v>111</v>
      </c>
      <c r="C71" s="50">
        <v>24</v>
      </c>
      <c r="D71" s="50">
        <v>3</v>
      </c>
      <c r="E71" s="50">
        <v>2</v>
      </c>
      <c r="F71" s="50">
        <v>25</v>
      </c>
      <c r="G71" s="50">
        <v>1</v>
      </c>
      <c r="H71" s="50">
        <v>0</v>
      </c>
      <c r="I71" s="50">
        <v>1</v>
      </c>
      <c r="J71" s="50">
        <v>2</v>
      </c>
      <c r="K71" s="50">
        <v>2</v>
      </c>
      <c r="L71" s="50">
        <v>0</v>
      </c>
      <c r="M71" s="50">
        <v>72</v>
      </c>
      <c r="N71" s="50">
        <v>0</v>
      </c>
      <c r="O71" s="15">
        <f t="shared" si="0"/>
        <v>60</v>
      </c>
      <c r="P71" s="15">
        <f t="shared" si="1"/>
        <v>132</v>
      </c>
      <c r="R71" s="8"/>
      <c r="T71"/>
    </row>
    <row r="72" spans="2:20" ht="23.1" customHeight="1" x14ac:dyDescent="0.25">
      <c r="B72" s="45" t="s">
        <v>112</v>
      </c>
      <c r="C72" s="50">
        <v>32</v>
      </c>
      <c r="D72" s="50">
        <v>3</v>
      </c>
      <c r="E72" s="50">
        <v>8</v>
      </c>
      <c r="F72" s="50">
        <v>18</v>
      </c>
      <c r="G72" s="50">
        <v>0</v>
      </c>
      <c r="H72" s="50">
        <v>1</v>
      </c>
      <c r="I72" s="50">
        <v>4</v>
      </c>
      <c r="J72" s="50">
        <v>1</v>
      </c>
      <c r="K72" s="50">
        <v>1</v>
      </c>
      <c r="L72" s="50">
        <v>2</v>
      </c>
      <c r="M72" s="50">
        <v>81</v>
      </c>
      <c r="N72" s="50">
        <v>0</v>
      </c>
      <c r="O72" s="15">
        <f t="shared" si="0"/>
        <v>70</v>
      </c>
      <c r="P72" s="15">
        <f t="shared" si="1"/>
        <v>151</v>
      </c>
      <c r="R72" s="8"/>
      <c r="T72"/>
    </row>
    <row r="73" spans="2:20" ht="23.1" customHeight="1" x14ac:dyDescent="0.25">
      <c r="B73" s="45" t="s">
        <v>113</v>
      </c>
      <c r="C73" s="50">
        <v>31</v>
      </c>
      <c r="D73" s="50">
        <v>2</v>
      </c>
      <c r="E73" s="50">
        <v>3</v>
      </c>
      <c r="F73" s="50">
        <v>11</v>
      </c>
      <c r="G73" s="50">
        <v>0</v>
      </c>
      <c r="H73" s="50">
        <v>0</v>
      </c>
      <c r="I73" s="50">
        <v>6</v>
      </c>
      <c r="J73" s="50">
        <v>6</v>
      </c>
      <c r="K73" s="50">
        <v>4</v>
      </c>
      <c r="L73" s="50">
        <v>3</v>
      </c>
      <c r="M73" s="50">
        <v>80</v>
      </c>
      <c r="N73" s="50">
        <v>0</v>
      </c>
      <c r="O73" s="15">
        <f t="shared" si="0"/>
        <v>66</v>
      </c>
      <c r="P73" s="15">
        <f t="shared" si="1"/>
        <v>146</v>
      </c>
      <c r="R73" s="8"/>
      <c r="T73"/>
    </row>
    <row r="74" spans="2:20" ht="23.1" customHeight="1" x14ac:dyDescent="0.25">
      <c r="B74" s="45" t="s">
        <v>114</v>
      </c>
      <c r="C74" s="50">
        <v>28</v>
      </c>
      <c r="D74" s="50">
        <v>3</v>
      </c>
      <c r="E74" s="50">
        <v>3</v>
      </c>
      <c r="F74" s="50">
        <v>16</v>
      </c>
      <c r="G74" s="50">
        <v>0</v>
      </c>
      <c r="H74" s="50">
        <v>1</v>
      </c>
      <c r="I74" s="50">
        <v>1</v>
      </c>
      <c r="J74" s="50">
        <v>2</v>
      </c>
      <c r="K74" s="50">
        <v>2</v>
      </c>
      <c r="L74" s="50">
        <v>1</v>
      </c>
      <c r="M74" s="50">
        <v>62</v>
      </c>
      <c r="N74" s="50">
        <v>0</v>
      </c>
      <c r="O74" s="15">
        <f t="shared" ref="O74:O105" si="35">SUM(C74:L74,N74)</f>
        <v>57</v>
      </c>
      <c r="P74" s="15">
        <f t="shared" ref="P74:P105" si="36">SUM(C74:N74)</f>
        <v>119</v>
      </c>
      <c r="R74" s="8"/>
      <c r="T74"/>
    </row>
    <row r="75" spans="2:20" ht="23.1" customHeight="1" x14ac:dyDescent="0.25">
      <c r="B75" s="45" t="s">
        <v>115</v>
      </c>
      <c r="C75" s="50">
        <v>24</v>
      </c>
      <c r="D75" s="50">
        <v>4</v>
      </c>
      <c r="E75" s="50">
        <v>5</v>
      </c>
      <c r="F75" s="50">
        <v>19</v>
      </c>
      <c r="G75" s="50">
        <v>0</v>
      </c>
      <c r="H75" s="50">
        <v>0</v>
      </c>
      <c r="I75" s="50">
        <v>0</v>
      </c>
      <c r="J75" s="50">
        <v>5</v>
      </c>
      <c r="K75" s="50">
        <v>2</v>
      </c>
      <c r="L75" s="50">
        <v>1</v>
      </c>
      <c r="M75" s="50">
        <v>64</v>
      </c>
      <c r="N75" s="50">
        <v>0</v>
      </c>
      <c r="O75" s="15">
        <f t="shared" si="35"/>
        <v>60</v>
      </c>
      <c r="P75" s="15">
        <f t="shared" si="36"/>
        <v>124</v>
      </c>
      <c r="R75" s="8"/>
      <c r="T75"/>
    </row>
    <row r="76" spans="2:20" ht="23.1" customHeight="1" x14ac:dyDescent="0.25">
      <c r="B76" s="45" t="s">
        <v>116</v>
      </c>
      <c r="C76" s="50">
        <v>18</v>
      </c>
      <c r="D76" s="50">
        <v>2</v>
      </c>
      <c r="E76" s="50">
        <v>2</v>
      </c>
      <c r="F76" s="50">
        <v>13</v>
      </c>
      <c r="G76" s="50">
        <v>0</v>
      </c>
      <c r="H76" s="50">
        <v>0</v>
      </c>
      <c r="I76" s="50">
        <v>2</v>
      </c>
      <c r="J76" s="50">
        <v>8</v>
      </c>
      <c r="K76" s="50">
        <v>1</v>
      </c>
      <c r="L76" s="50">
        <v>0</v>
      </c>
      <c r="M76" s="50">
        <v>56</v>
      </c>
      <c r="N76" s="50">
        <v>0</v>
      </c>
      <c r="O76" s="15">
        <f t="shared" si="35"/>
        <v>46</v>
      </c>
      <c r="P76" s="15">
        <f t="shared" si="36"/>
        <v>102</v>
      </c>
      <c r="R76" s="8"/>
      <c r="T76"/>
    </row>
    <row r="77" spans="2:20" ht="23.1" customHeight="1" x14ac:dyDescent="0.25">
      <c r="B77" s="45" t="s">
        <v>117</v>
      </c>
      <c r="C77" s="50">
        <v>21</v>
      </c>
      <c r="D77" s="50">
        <v>5</v>
      </c>
      <c r="E77" s="50">
        <v>2</v>
      </c>
      <c r="F77" s="50">
        <v>17</v>
      </c>
      <c r="G77" s="50">
        <v>1</v>
      </c>
      <c r="H77" s="50">
        <v>0</v>
      </c>
      <c r="I77" s="50">
        <v>0</v>
      </c>
      <c r="J77" s="50">
        <v>4</v>
      </c>
      <c r="K77" s="50">
        <v>1</v>
      </c>
      <c r="L77" s="50">
        <v>0</v>
      </c>
      <c r="M77" s="50">
        <v>64</v>
      </c>
      <c r="N77" s="50">
        <v>0</v>
      </c>
      <c r="O77" s="15">
        <f t="shared" si="35"/>
        <v>51</v>
      </c>
      <c r="P77" s="15">
        <f t="shared" si="36"/>
        <v>115</v>
      </c>
      <c r="R77" s="8"/>
      <c r="T77"/>
    </row>
    <row r="78" spans="2:20" ht="23.1" customHeight="1" x14ac:dyDescent="0.25">
      <c r="B78" s="46" t="s">
        <v>118</v>
      </c>
      <c r="C78" s="50">
        <v>13</v>
      </c>
      <c r="D78" s="50">
        <v>1</v>
      </c>
      <c r="E78" s="50">
        <v>2</v>
      </c>
      <c r="F78" s="50">
        <v>9</v>
      </c>
      <c r="G78" s="50">
        <v>2</v>
      </c>
      <c r="H78" s="50">
        <v>1</v>
      </c>
      <c r="I78" s="50">
        <v>0</v>
      </c>
      <c r="J78" s="50">
        <v>4</v>
      </c>
      <c r="K78" s="50">
        <v>2</v>
      </c>
      <c r="L78" s="50">
        <v>0</v>
      </c>
      <c r="M78" s="50">
        <v>58</v>
      </c>
      <c r="N78" s="50">
        <v>0</v>
      </c>
      <c r="O78" s="15">
        <f t="shared" si="35"/>
        <v>34</v>
      </c>
      <c r="P78" s="15">
        <f t="shared" si="36"/>
        <v>92</v>
      </c>
      <c r="R78" s="8"/>
      <c r="T78"/>
    </row>
    <row r="79" spans="2:20" ht="23.1" customHeight="1" x14ac:dyDescent="0.25">
      <c r="B79" s="45" t="s">
        <v>119</v>
      </c>
      <c r="C79" s="50">
        <v>5</v>
      </c>
      <c r="D79" s="50">
        <v>3</v>
      </c>
      <c r="E79" s="50">
        <v>2</v>
      </c>
      <c r="F79" s="50">
        <v>17</v>
      </c>
      <c r="G79" s="50">
        <v>0</v>
      </c>
      <c r="H79" s="50">
        <v>0</v>
      </c>
      <c r="I79" s="50">
        <v>6</v>
      </c>
      <c r="J79" s="50">
        <v>8</v>
      </c>
      <c r="K79" s="50">
        <v>1</v>
      </c>
      <c r="L79" s="50">
        <v>0</v>
      </c>
      <c r="M79" s="50">
        <v>81</v>
      </c>
      <c r="N79" s="50">
        <v>0</v>
      </c>
      <c r="O79" s="15">
        <f t="shared" si="35"/>
        <v>42</v>
      </c>
      <c r="P79" s="15">
        <f t="shared" si="36"/>
        <v>123</v>
      </c>
      <c r="R79" s="8"/>
      <c r="T79"/>
    </row>
    <row r="80" spans="2:20" ht="23.1" customHeight="1" x14ac:dyDescent="0.25">
      <c r="B80" s="47" t="s">
        <v>120</v>
      </c>
      <c r="C80" s="50">
        <v>23</v>
      </c>
      <c r="D80" s="50">
        <v>3</v>
      </c>
      <c r="E80" s="50">
        <v>4</v>
      </c>
      <c r="F80" s="50">
        <v>6</v>
      </c>
      <c r="G80" s="50">
        <v>3</v>
      </c>
      <c r="H80" s="50">
        <v>0</v>
      </c>
      <c r="I80" s="50">
        <v>4</v>
      </c>
      <c r="J80" s="50">
        <v>6</v>
      </c>
      <c r="K80" s="50">
        <v>2</v>
      </c>
      <c r="L80" s="50">
        <v>0</v>
      </c>
      <c r="M80" s="50">
        <v>80</v>
      </c>
      <c r="N80" s="50">
        <v>0</v>
      </c>
      <c r="O80" s="15">
        <f t="shared" si="35"/>
        <v>51</v>
      </c>
      <c r="P80" s="15">
        <f t="shared" si="36"/>
        <v>131</v>
      </c>
      <c r="R80" s="8"/>
      <c r="T80"/>
    </row>
    <row r="81" spans="2:20" ht="23.1" customHeight="1" x14ac:dyDescent="0.25">
      <c r="B81" s="45" t="s">
        <v>121</v>
      </c>
      <c r="C81" s="50">
        <v>29</v>
      </c>
      <c r="D81" s="50">
        <v>5</v>
      </c>
      <c r="E81" s="50">
        <v>5</v>
      </c>
      <c r="F81" s="50">
        <v>14</v>
      </c>
      <c r="G81" s="50">
        <v>0</v>
      </c>
      <c r="H81" s="50">
        <v>3</v>
      </c>
      <c r="I81" s="50">
        <v>5</v>
      </c>
      <c r="J81" s="50">
        <v>9</v>
      </c>
      <c r="K81" s="50">
        <v>0</v>
      </c>
      <c r="L81" s="50">
        <v>1</v>
      </c>
      <c r="M81" s="50">
        <v>66</v>
      </c>
      <c r="N81" s="50">
        <v>0</v>
      </c>
      <c r="O81" s="15">
        <f t="shared" si="35"/>
        <v>71</v>
      </c>
      <c r="P81" s="15">
        <f t="shared" si="36"/>
        <v>137</v>
      </c>
      <c r="R81" s="8"/>
      <c r="T81"/>
    </row>
    <row r="82" spans="2:20" ht="23.1" customHeight="1" x14ac:dyDescent="0.25">
      <c r="B82" s="46" t="s">
        <v>122</v>
      </c>
      <c r="C82" s="50">
        <v>23</v>
      </c>
      <c r="D82" s="50">
        <v>3</v>
      </c>
      <c r="E82" s="50">
        <v>1</v>
      </c>
      <c r="F82" s="50">
        <v>8</v>
      </c>
      <c r="G82" s="50">
        <v>0</v>
      </c>
      <c r="H82" s="50">
        <v>0</v>
      </c>
      <c r="I82" s="50">
        <v>3</v>
      </c>
      <c r="J82" s="50">
        <v>8</v>
      </c>
      <c r="K82" s="50">
        <v>2</v>
      </c>
      <c r="L82" s="50">
        <v>3</v>
      </c>
      <c r="M82" s="50">
        <v>41</v>
      </c>
      <c r="N82" s="50">
        <v>0</v>
      </c>
      <c r="O82" s="15">
        <f t="shared" si="35"/>
        <v>51</v>
      </c>
      <c r="P82" s="15">
        <f t="shared" si="36"/>
        <v>92</v>
      </c>
      <c r="R82" s="8"/>
      <c r="T82"/>
    </row>
    <row r="83" spans="2:20" ht="23.1" customHeight="1" x14ac:dyDescent="0.25">
      <c r="B83" s="45" t="s">
        <v>123</v>
      </c>
      <c r="C83" s="50">
        <v>34</v>
      </c>
      <c r="D83" s="50">
        <v>2</v>
      </c>
      <c r="E83" s="50">
        <v>3</v>
      </c>
      <c r="F83" s="50">
        <v>23</v>
      </c>
      <c r="G83" s="50">
        <v>0</v>
      </c>
      <c r="H83" s="50">
        <v>3</v>
      </c>
      <c r="I83" s="50">
        <v>6</v>
      </c>
      <c r="J83" s="50">
        <v>0</v>
      </c>
      <c r="K83" s="50">
        <v>4</v>
      </c>
      <c r="L83" s="50">
        <v>4</v>
      </c>
      <c r="M83" s="50">
        <v>53</v>
      </c>
      <c r="N83" s="50">
        <v>0</v>
      </c>
      <c r="O83" s="15">
        <f t="shared" si="35"/>
        <v>79</v>
      </c>
      <c r="P83" s="15">
        <f t="shared" si="36"/>
        <v>132</v>
      </c>
      <c r="R83" s="8"/>
      <c r="T83"/>
    </row>
    <row r="84" spans="2:20" ht="23.1" customHeight="1" x14ac:dyDescent="0.25">
      <c r="B84" s="47" t="s">
        <v>124</v>
      </c>
      <c r="C84" s="50">
        <v>51</v>
      </c>
      <c r="D84" s="50">
        <v>6</v>
      </c>
      <c r="E84" s="50">
        <v>2</v>
      </c>
      <c r="F84" s="50">
        <v>15</v>
      </c>
      <c r="G84" s="50">
        <v>0</v>
      </c>
      <c r="H84" s="50">
        <v>2</v>
      </c>
      <c r="I84" s="50">
        <v>5</v>
      </c>
      <c r="J84" s="50">
        <v>13</v>
      </c>
      <c r="K84" s="50">
        <v>1</v>
      </c>
      <c r="L84" s="50">
        <v>2</v>
      </c>
      <c r="M84" s="50">
        <v>48</v>
      </c>
      <c r="N84" s="50">
        <v>0</v>
      </c>
      <c r="O84" s="15">
        <f t="shared" si="35"/>
        <v>97</v>
      </c>
      <c r="P84" s="15">
        <f t="shared" si="36"/>
        <v>145</v>
      </c>
      <c r="R84" s="8"/>
      <c r="T84"/>
    </row>
    <row r="85" spans="2:20" ht="23.1" customHeight="1" x14ac:dyDescent="0.25">
      <c r="B85" s="45" t="s">
        <v>125</v>
      </c>
      <c r="C85" s="50">
        <v>57</v>
      </c>
      <c r="D85" s="50">
        <v>2</v>
      </c>
      <c r="E85" s="50">
        <v>2</v>
      </c>
      <c r="F85" s="50">
        <v>13</v>
      </c>
      <c r="G85" s="50">
        <v>2</v>
      </c>
      <c r="H85" s="50">
        <v>2</v>
      </c>
      <c r="I85" s="50">
        <v>3</v>
      </c>
      <c r="J85" s="50">
        <v>3</v>
      </c>
      <c r="K85" s="50">
        <v>5</v>
      </c>
      <c r="L85" s="50">
        <v>4</v>
      </c>
      <c r="M85" s="50">
        <v>47</v>
      </c>
      <c r="N85" s="50">
        <v>0</v>
      </c>
      <c r="O85" s="15">
        <f t="shared" si="35"/>
        <v>93</v>
      </c>
      <c r="P85" s="15">
        <f t="shared" si="36"/>
        <v>140</v>
      </c>
      <c r="R85" s="8"/>
      <c r="T85"/>
    </row>
    <row r="86" spans="2:20" ht="23.1" customHeight="1" x14ac:dyDescent="0.25">
      <c r="B86" s="46" t="s">
        <v>126</v>
      </c>
      <c r="C86" s="50">
        <v>21</v>
      </c>
      <c r="D86" s="50">
        <v>1</v>
      </c>
      <c r="E86" s="50">
        <v>8</v>
      </c>
      <c r="F86" s="50">
        <v>9</v>
      </c>
      <c r="G86" s="50">
        <v>0</v>
      </c>
      <c r="H86" s="50">
        <v>2</v>
      </c>
      <c r="I86" s="50">
        <v>4</v>
      </c>
      <c r="J86" s="50">
        <v>10</v>
      </c>
      <c r="K86" s="50">
        <v>4</v>
      </c>
      <c r="L86" s="50">
        <v>4</v>
      </c>
      <c r="M86" s="50">
        <v>37</v>
      </c>
      <c r="N86" s="50">
        <v>0</v>
      </c>
      <c r="O86" s="15">
        <f t="shared" si="35"/>
        <v>63</v>
      </c>
      <c r="P86" s="15">
        <f t="shared" si="36"/>
        <v>100</v>
      </c>
      <c r="R86" s="8"/>
      <c r="T86"/>
    </row>
    <row r="87" spans="2:20" ht="23.1" customHeight="1" x14ac:dyDescent="0.25">
      <c r="B87" s="45" t="s">
        <v>127</v>
      </c>
      <c r="C87" s="50">
        <v>18</v>
      </c>
      <c r="D87" s="50">
        <v>1</v>
      </c>
      <c r="E87" s="50">
        <v>2</v>
      </c>
      <c r="F87" s="50">
        <v>1</v>
      </c>
      <c r="G87" s="50">
        <v>0</v>
      </c>
      <c r="H87" s="50">
        <v>0</v>
      </c>
      <c r="I87" s="50">
        <v>8</v>
      </c>
      <c r="J87" s="50">
        <v>6</v>
      </c>
      <c r="K87" s="50">
        <v>2</v>
      </c>
      <c r="L87" s="50">
        <v>0</v>
      </c>
      <c r="M87" s="50">
        <v>42</v>
      </c>
      <c r="N87" s="50">
        <v>0</v>
      </c>
      <c r="O87" s="15">
        <f t="shared" si="35"/>
        <v>38</v>
      </c>
      <c r="P87" s="15">
        <f t="shared" si="36"/>
        <v>80</v>
      </c>
      <c r="R87" s="8"/>
      <c r="T87"/>
    </row>
    <row r="88" spans="2:20" ht="23.1" customHeight="1" x14ac:dyDescent="0.25">
      <c r="B88" s="47" t="s">
        <v>128</v>
      </c>
      <c r="C88" s="50">
        <v>14</v>
      </c>
      <c r="D88" s="50">
        <v>0</v>
      </c>
      <c r="E88" s="50">
        <v>0</v>
      </c>
      <c r="F88" s="50">
        <v>4</v>
      </c>
      <c r="G88" s="50">
        <v>0</v>
      </c>
      <c r="H88" s="50">
        <v>1</v>
      </c>
      <c r="I88" s="50">
        <v>0</v>
      </c>
      <c r="J88" s="50">
        <v>8</v>
      </c>
      <c r="K88" s="50">
        <v>0</v>
      </c>
      <c r="L88" s="50">
        <v>0</v>
      </c>
      <c r="M88" s="50">
        <v>48</v>
      </c>
      <c r="N88" s="50">
        <v>0</v>
      </c>
      <c r="O88" s="15">
        <f t="shared" si="35"/>
        <v>27</v>
      </c>
      <c r="P88" s="15">
        <f t="shared" si="36"/>
        <v>75</v>
      </c>
      <c r="R88" s="8"/>
      <c r="T88"/>
    </row>
    <row r="89" spans="2:20" ht="23.1" customHeight="1" x14ac:dyDescent="0.25">
      <c r="B89" s="45" t="s">
        <v>129</v>
      </c>
      <c r="C89" s="50">
        <v>15</v>
      </c>
      <c r="D89" s="50">
        <v>4</v>
      </c>
      <c r="E89" s="50">
        <v>1</v>
      </c>
      <c r="F89" s="50">
        <v>2</v>
      </c>
      <c r="G89" s="50">
        <v>0</v>
      </c>
      <c r="H89" s="50">
        <v>0</v>
      </c>
      <c r="I89" s="50">
        <v>3</v>
      </c>
      <c r="J89" s="50">
        <v>9</v>
      </c>
      <c r="K89" s="50">
        <v>2</v>
      </c>
      <c r="L89" s="50">
        <v>1</v>
      </c>
      <c r="M89" s="50">
        <v>55</v>
      </c>
      <c r="N89" s="50">
        <v>0</v>
      </c>
      <c r="O89" s="15">
        <f t="shared" si="35"/>
        <v>37</v>
      </c>
      <c r="P89" s="15">
        <f t="shared" si="36"/>
        <v>92</v>
      </c>
      <c r="R89" s="8"/>
      <c r="T89"/>
    </row>
    <row r="90" spans="2:20" ht="23.1" customHeight="1" x14ac:dyDescent="0.25">
      <c r="B90" s="46" t="s">
        <v>130</v>
      </c>
      <c r="C90" s="50">
        <v>12</v>
      </c>
      <c r="D90" s="50">
        <v>2</v>
      </c>
      <c r="E90" s="50">
        <v>0</v>
      </c>
      <c r="F90" s="50">
        <v>1</v>
      </c>
      <c r="G90" s="50">
        <v>0</v>
      </c>
      <c r="H90" s="50">
        <v>0</v>
      </c>
      <c r="I90" s="50">
        <v>5</v>
      </c>
      <c r="J90" s="50">
        <v>11</v>
      </c>
      <c r="K90" s="50">
        <v>0</v>
      </c>
      <c r="L90" s="50">
        <v>0</v>
      </c>
      <c r="M90" s="50">
        <v>33</v>
      </c>
      <c r="N90" s="50">
        <v>0</v>
      </c>
      <c r="O90" s="15">
        <f t="shared" si="35"/>
        <v>31</v>
      </c>
      <c r="P90" s="15">
        <f t="shared" si="36"/>
        <v>64</v>
      </c>
      <c r="R90" s="8"/>
      <c r="T90"/>
    </row>
    <row r="91" spans="2:20" ht="23.1" customHeight="1" x14ac:dyDescent="0.25">
      <c r="B91" s="45" t="s">
        <v>131</v>
      </c>
      <c r="C91" s="50">
        <v>11</v>
      </c>
      <c r="D91" s="50">
        <v>1</v>
      </c>
      <c r="E91" s="50">
        <v>1</v>
      </c>
      <c r="F91" s="50">
        <v>4</v>
      </c>
      <c r="G91" s="50">
        <v>2</v>
      </c>
      <c r="H91" s="50">
        <v>1</v>
      </c>
      <c r="I91" s="50">
        <v>2</v>
      </c>
      <c r="J91" s="50">
        <v>4</v>
      </c>
      <c r="K91" s="50">
        <v>2</v>
      </c>
      <c r="L91" s="50">
        <v>1</v>
      </c>
      <c r="M91" s="50">
        <v>38</v>
      </c>
      <c r="N91" s="50">
        <v>0</v>
      </c>
      <c r="O91" s="15">
        <f t="shared" si="35"/>
        <v>29</v>
      </c>
      <c r="P91" s="15">
        <f t="shared" si="36"/>
        <v>67</v>
      </c>
      <c r="R91" s="8"/>
      <c r="T91"/>
    </row>
    <row r="92" spans="2:20" ht="23.1" customHeight="1" x14ac:dyDescent="0.25">
      <c r="B92" s="47" t="s">
        <v>132</v>
      </c>
      <c r="C92" s="50">
        <v>15</v>
      </c>
      <c r="D92" s="50">
        <v>2</v>
      </c>
      <c r="E92" s="50">
        <v>2</v>
      </c>
      <c r="F92" s="50">
        <v>3</v>
      </c>
      <c r="G92" s="50">
        <v>3</v>
      </c>
      <c r="H92" s="50">
        <v>1</v>
      </c>
      <c r="I92" s="50">
        <v>4</v>
      </c>
      <c r="J92" s="50">
        <v>6</v>
      </c>
      <c r="K92" s="50">
        <v>1</v>
      </c>
      <c r="L92" s="50">
        <v>3</v>
      </c>
      <c r="M92" s="50">
        <v>60</v>
      </c>
      <c r="N92" s="50">
        <v>0</v>
      </c>
      <c r="O92" s="15">
        <f t="shared" si="35"/>
        <v>40</v>
      </c>
      <c r="P92" s="15">
        <f t="shared" si="36"/>
        <v>100</v>
      </c>
      <c r="R92" s="8"/>
      <c r="T92"/>
    </row>
    <row r="93" spans="2:20" ht="23.1" customHeight="1" x14ac:dyDescent="0.25">
      <c r="B93" s="45" t="s">
        <v>133</v>
      </c>
      <c r="C93" s="50">
        <v>36</v>
      </c>
      <c r="D93" s="50">
        <v>1</v>
      </c>
      <c r="E93" s="50">
        <v>3</v>
      </c>
      <c r="F93" s="50">
        <v>2</v>
      </c>
      <c r="G93" s="50">
        <v>0</v>
      </c>
      <c r="H93" s="50">
        <v>0</v>
      </c>
      <c r="I93" s="50">
        <v>9</v>
      </c>
      <c r="J93" s="50">
        <v>7</v>
      </c>
      <c r="K93" s="50">
        <v>3</v>
      </c>
      <c r="L93" s="50">
        <v>2</v>
      </c>
      <c r="M93" s="50">
        <v>41</v>
      </c>
      <c r="N93" s="50">
        <v>0</v>
      </c>
      <c r="O93" s="15">
        <f t="shared" si="35"/>
        <v>63</v>
      </c>
      <c r="P93" s="15">
        <f t="shared" si="36"/>
        <v>104</v>
      </c>
      <c r="R93" s="8"/>
      <c r="T93"/>
    </row>
    <row r="94" spans="2:20" ht="23.1" customHeight="1" x14ac:dyDescent="0.25">
      <c r="B94" s="46" t="s">
        <v>134</v>
      </c>
      <c r="C94" s="50">
        <v>4</v>
      </c>
      <c r="D94" s="50">
        <v>0</v>
      </c>
      <c r="E94" s="50">
        <v>0</v>
      </c>
      <c r="F94" s="50">
        <v>0</v>
      </c>
      <c r="G94" s="50">
        <v>0</v>
      </c>
      <c r="H94" s="50">
        <v>1</v>
      </c>
      <c r="I94" s="50">
        <v>0</v>
      </c>
      <c r="J94" s="50">
        <v>1</v>
      </c>
      <c r="K94" s="50">
        <v>1</v>
      </c>
      <c r="L94" s="50">
        <v>0</v>
      </c>
      <c r="M94" s="50">
        <v>26</v>
      </c>
      <c r="N94" s="50">
        <v>0</v>
      </c>
      <c r="O94" s="15">
        <f t="shared" si="35"/>
        <v>7</v>
      </c>
      <c r="P94" s="15">
        <f t="shared" si="36"/>
        <v>33</v>
      </c>
      <c r="R94" s="8"/>
      <c r="T94"/>
    </row>
    <row r="95" spans="2:20" ht="23.1" customHeight="1" x14ac:dyDescent="0.25">
      <c r="B95" s="45" t="s">
        <v>135</v>
      </c>
      <c r="C95" s="50">
        <v>6</v>
      </c>
      <c r="D95" s="50">
        <v>0</v>
      </c>
      <c r="E95" s="50">
        <v>1</v>
      </c>
      <c r="F95" s="50">
        <v>0</v>
      </c>
      <c r="G95" s="50">
        <v>0</v>
      </c>
      <c r="H95" s="50">
        <v>0</v>
      </c>
      <c r="I95" s="50">
        <v>1</v>
      </c>
      <c r="J95" s="50">
        <v>6</v>
      </c>
      <c r="K95" s="50">
        <v>0</v>
      </c>
      <c r="L95" s="50">
        <v>1</v>
      </c>
      <c r="M95" s="50">
        <v>29</v>
      </c>
      <c r="N95" s="50">
        <v>0</v>
      </c>
      <c r="O95" s="15">
        <f t="shared" si="35"/>
        <v>15</v>
      </c>
      <c r="P95" s="15">
        <f t="shared" si="36"/>
        <v>44</v>
      </c>
      <c r="R95" s="8"/>
      <c r="T95"/>
    </row>
    <row r="96" spans="2:20" ht="23.1" customHeight="1" x14ac:dyDescent="0.25">
      <c r="B96" s="47" t="s">
        <v>136</v>
      </c>
      <c r="C96" s="50">
        <v>9</v>
      </c>
      <c r="D96" s="50">
        <v>0</v>
      </c>
      <c r="E96" s="50">
        <v>1</v>
      </c>
      <c r="F96" s="50">
        <v>4</v>
      </c>
      <c r="G96" s="50">
        <v>0</v>
      </c>
      <c r="H96" s="50">
        <v>3</v>
      </c>
      <c r="I96" s="50">
        <v>2</v>
      </c>
      <c r="J96" s="50">
        <v>13</v>
      </c>
      <c r="K96" s="50">
        <v>1</v>
      </c>
      <c r="L96" s="50">
        <v>0</v>
      </c>
      <c r="M96" s="50">
        <v>45</v>
      </c>
      <c r="N96" s="50">
        <v>0</v>
      </c>
      <c r="O96" s="15">
        <f t="shared" si="35"/>
        <v>33</v>
      </c>
      <c r="P96" s="15">
        <f t="shared" si="36"/>
        <v>78</v>
      </c>
      <c r="R96" s="8"/>
      <c r="T96"/>
    </row>
    <row r="97" spans="2:20" ht="23.1" customHeight="1" x14ac:dyDescent="0.25">
      <c r="B97" s="45" t="s">
        <v>137</v>
      </c>
      <c r="C97" s="50">
        <v>10</v>
      </c>
      <c r="D97" s="50">
        <v>0</v>
      </c>
      <c r="E97" s="50">
        <v>1</v>
      </c>
      <c r="F97" s="50">
        <v>3</v>
      </c>
      <c r="G97" s="50">
        <v>1</v>
      </c>
      <c r="H97" s="50">
        <v>0</v>
      </c>
      <c r="I97" s="50">
        <v>1</v>
      </c>
      <c r="J97" s="50">
        <v>8</v>
      </c>
      <c r="K97" s="50">
        <v>2</v>
      </c>
      <c r="L97" s="50">
        <v>0</v>
      </c>
      <c r="M97" s="50">
        <v>53</v>
      </c>
      <c r="N97" s="50">
        <v>0</v>
      </c>
      <c r="O97" s="15">
        <f t="shared" si="35"/>
        <v>26</v>
      </c>
      <c r="P97" s="15">
        <f t="shared" si="36"/>
        <v>79</v>
      </c>
      <c r="R97" s="8"/>
      <c r="T97"/>
    </row>
    <row r="98" spans="2:20" ht="23.1" customHeight="1" x14ac:dyDescent="0.25">
      <c r="B98" s="46" t="s">
        <v>138</v>
      </c>
      <c r="C98" s="50">
        <v>30</v>
      </c>
      <c r="D98" s="50">
        <v>3</v>
      </c>
      <c r="E98" s="50">
        <v>3</v>
      </c>
      <c r="F98" s="50">
        <v>9</v>
      </c>
      <c r="G98" s="50">
        <v>0</v>
      </c>
      <c r="H98" s="50">
        <v>2</v>
      </c>
      <c r="I98" s="50">
        <v>1</v>
      </c>
      <c r="J98" s="50">
        <v>5</v>
      </c>
      <c r="K98" s="50">
        <v>5</v>
      </c>
      <c r="L98" s="50">
        <v>3</v>
      </c>
      <c r="M98" s="50">
        <v>51</v>
      </c>
      <c r="N98" s="50">
        <v>0</v>
      </c>
      <c r="O98" s="15">
        <f t="shared" si="35"/>
        <v>61</v>
      </c>
      <c r="P98" s="15">
        <f t="shared" si="36"/>
        <v>112</v>
      </c>
      <c r="R98" s="8"/>
      <c r="T98"/>
    </row>
    <row r="99" spans="2:20" ht="23.1" customHeight="1" x14ac:dyDescent="0.25">
      <c r="B99" s="45" t="s">
        <v>139</v>
      </c>
      <c r="C99" s="50">
        <v>48</v>
      </c>
      <c r="D99" s="50">
        <v>3</v>
      </c>
      <c r="E99" s="50">
        <v>0</v>
      </c>
      <c r="F99" s="50">
        <v>7</v>
      </c>
      <c r="G99" s="50">
        <v>2</v>
      </c>
      <c r="H99" s="50">
        <v>3</v>
      </c>
      <c r="I99" s="50">
        <v>4</v>
      </c>
      <c r="J99" s="50">
        <v>6</v>
      </c>
      <c r="K99" s="50">
        <v>7</v>
      </c>
      <c r="L99" s="50">
        <v>3</v>
      </c>
      <c r="M99" s="50">
        <v>49</v>
      </c>
      <c r="N99" s="50">
        <v>0</v>
      </c>
      <c r="O99" s="15">
        <f t="shared" si="35"/>
        <v>83</v>
      </c>
      <c r="P99" s="15">
        <f t="shared" si="36"/>
        <v>132</v>
      </c>
      <c r="R99" s="8"/>
      <c r="T99"/>
    </row>
    <row r="100" spans="2:20" ht="23.1" customHeight="1" x14ac:dyDescent="0.25">
      <c r="B100" s="47" t="s">
        <v>140</v>
      </c>
      <c r="C100" s="50">
        <v>18</v>
      </c>
      <c r="D100" s="50">
        <v>0</v>
      </c>
      <c r="E100" s="50">
        <v>2</v>
      </c>
      <c r="F100" s="50">
        <v>10</v>
      </c>
      <c r="G100" s="50">
        <v>0</v>
      </c>
      <c r="H100" s="50">
        <v>1</v>
      </c>
      <c r="I100" s="50">
        <v>1</v>
      </c>
      <c r="J100" s="50">
        <v>3</v>
      </c>
      <c r="K100" s="50">
        <v>2</v>
      </c>
      <c r="L100" s="50">
        <v>2</v>
      </c>
      <c r="M100" s="50">
        <v>73</v>
      </c>
      <c r="N100" s="50">
        <v>0</v>
      </c>
      <c r="O100" s="15">
        <f t="shared" si="35"/>
        <v>39</v>
      </c>
      <c r="P100" s="15">
        <f t="shared" si="36"/>
        <v>112</v>
      </c>
      <c r="R100" s="8"/>
      <c r="T100"/>
    </row>
    <row r="101" spans="2:20" ht="23.1" customHeight="1" x14ac:dyDescent="0.25">
      <c r="B101" s="45" t="s">
        <v>141</v>
      </c>
      <c r="C101" s="50">
        <v>22</v>
      </c>
      <c r="D101" s="50">
        <v>1</v>
      </c>
      <c r="E101" s="50">
        <v>1</v>
      </c>
      <c r="F101" s="50">
        <v>9</v>
      </c>
      <c r="G101" s="50">
        <v>1</v>
      </c>
      <c r="H101" s="50">
        <v>1</v>
      </c>
      <c r="I101" s="50">
        <v>1</v>
      </c>
      <c r="J101" s="50">
        <v>11</v>
      </c>
      <c r="K101" s="50">
        <v>4</v>
      </c>
      <c r="L101" s="50">
        <v>3</v>
      </c>
      <c r="M101" s="50">
        <v>93</v>
      </c>
      <c r="N101" s="50">
        <v>0</v>
      </c>
      <c r="O101" s="15">
        <f t="shared" si="35"/>
        <v>54</v>
      </c>
      <c r="P101" s="15">
        <f t="shared" si="36"/>
        <v>147</v>
      </c>
      <c r="R101" s="8"/>
      <c r="T101"/>
    </row>
    <row r="102" spans="2:20" ht="23.1" customHeight="1" x14ac:dyDescent="0.25">
      <c r="B102" s="46" t="s">
        <v>142</v>
      </c>
      <c r="C102" s="50">
        <v>10</v>
      </c>
      <c r="D102" s="50">
        <v>2</v>
      </c>
      <c r="E102" s="50">
        <v>1</v>
      </c>
      <c r="F102" s="50">
        <v>7</v>
      </c>
      <c r="G102" s="50">
        <v>2</v>
      </c>
      <c r="H102" s="50">
        <v>1</v>
      </c>
      <c r="I102" s="50">
        <v>4</v>
      </c>
      <c r="J102" s="50">
        <v>12</v>
      </c>
      <c r="K102" s="50">
        <v>4</v>
      </c>
      <c r="L102" s="50">
        <v>0</v>
      </c>
      <c r="M102" s="50">
        <v>80</v>
      </c>
      <c r="N102" s="50">
        <v>0</v>
      </c>
      <c r="O102" s="15">
        <f t="shared" si="35"/>
        <v>43</v>
      </c>
      <c r="P102" s="15">
        <f t="shared" si="36"/>
        <v>123</v>
      </c>
      <c r="R102" s="8"/>
      <c r="T102"/>
    </row>
    <row r="103" spans="2:20" ht="23.1" customHeight="1" x14ac:dyDescent="0.25">
      <c r="B103" s="45" t="s">
        <v>143</v>
      </c>
      <c r="C103" s="50">
        <v>10</v>
      </c>
      <c r="D103" s="50">
        <v>1</v>
      </c>
      <c r="E103" s="50">
        <v>1</v>
      </c>
      <c r="F103" s="50">
        <v>10</v>
      </c>
      <c r="G103" s="50">
        <v>1</v>
      </c>
      <c r="H103" s="50">
        <v>0</v>
      </c>
      <c r="I103" s="50">
        <v>5</v>
      </c>
      <c r="J103" s="50">
        <v>6</v>
      </c>
      <c r="K103" s="50">
        <v>2</v>
      </c>
      <c r="L103" s="50">
        <v>2</v>
      </c>
      <c r="M103" s="50">
        <v>102</v>
      </c>
      <c r="N103" s="50">
        <v>0</v>
      </c>
      <c r="O103" s="15">
        <f t="shared" si="35"/>
        <v>38</v>
      </c>
      <c r="P103" s="15">
        <f t="shared" si="36"/>
        <v>140</v>
      </c>
      <c r="R103" s="8"/>
      <c r="T103"/>
    </row>
    <row r="104" spans="2:20" ht="23.1" customHeight="1" x14ac:dyDescent="0.25">
      <c r="B104" s="47" t="s">
        <v>144</v>
      </c>
      <c r="C104" s="50">
        <v>13</v>
      </c>
      <c r="D104" s="50">
        <v>3</v>
      </c>
      <c r="E104" s="50">
        <v>6</v>
      </c>
      <c r="F104" s="50">
        <v>15</v>
      </c>
      <c r="G104" s="50">
        <v>2</v>
      </c>
      <c r="H104" s="50">
        <v>0</v>
      </c>
      <c r="I104" s="50">
        <v>6</v>
      </c>
      <c r="J104" s="50">
        <v>12</v>
      </c>
      <c r="K104" s="50">
        <v>3</v>
      </c>
      <c r="L104" s="50">
        <v>0</v>
      </c>
      <c r="M104" s="50">
        <v>96</v>
      </c>
      <c r="N104" s="50">
        <v>0</v>
      </c>
      <c r="O104" s="15">
        <f t="shared" si="35"/>
        <v>60</v>
      </c>
      <c r="P104" s="15">
        <f t="shared" si="36"/>
        <v>156</v>
      </c>
      <c r="R104" s="8"/>
      <c r="T104"/>
    </row>
    <row r="105" spans="2:20" ht="23.1" customHeight="1" x14ac:dyDescent="0.25">
      <c r="B105" s="45" t="s">
        <v>145</v>
      </c>
      <c r="C105" s="50">
        <v>22</v>
      </c>
      <c r="D105" s="50">
        <v>2</v>
      </c>
      <c r="E105" s="50">
        <v>3</v>
      </c>
      <c r="F105" s="50">
        <v>27</v>
      </c>
      <c r="G105" s="50">
        <v>0</v>
      </c>
      <c r="H105" s="50">
        <v>0</v>
      </c>
      <c r="I105" s="50">
        <v>5</v>
      </c>
      <c r="J105" s="50">
        <v>10</v>
      </c>
      <c r="K105" s="50">
        <v>2</v>
      </c>
      <c r="L105" s="50">
        <v>0</v>
      </c>
      <c r="M105" s="50">
        <v>127</v>
      </c>
      <c r="N105" s="50">
        <v>0</v>
      </c>
      <c r="O105" s="15">
        <f t="shared" si="35"/>
        <v>71</v>
      </c>
      <c r="P105" s="15">
        <f t="shared" si="36"/>
        <v>198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3336</v>
      </c>
      <c r="D106" s="16">
        <f t="shared" ref="D106:P106" si="37">SUM(D10:D105)</f>
        <v>400</v>
      </c>
      <c r="E106" s="16">
        <f t="shared" si="37"/>
        <v>320</v>
      </c>
      <c r="F106" s="16">
        <f t="shared" si="37"/>
        <v>2026</v>
      </c>
      <c r="G106" s="16">
        <f t="shared" si="37"/>
        <v>49</v>
      </c>
      <c r="H106" s="16">
        <f t="shared" si="37"/>
        <v>48</v>
      </c>
      <c r="I106" s="16">
        <f t="shared" si="37"/>
        <v>375</v>
      </c>
      <c r="J106" s="16">
        <f t="shared" si="37"/>
        <v>810</v>
      </c>
      <c r="K106" s="16">
        <f t="shared" si="37"/>
        <v>160</v>
      </c>
      <c r="L106" s="16">
        <f t="shared" si="37"/>
        <v>74</v>
      </c>
      <c r="M106" s="16">
        <f t="shared" si="37"/>
        <v>11589</v>
      </c>
      <c r="N106" s="16">
        <f t="shared" si="37"/>
        <v>0</v>
      </c>
      <c r="O106" s="16">
        <f t="shared" si="37"/>
        <v>7598</v>
      </c>
      <c r="P106" s="16">
        <f t="shared" si="37"/>
        <v>19187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0.17386772293740554</v>
      </c>
      <c r="D107" s="43">
        <f t="shared" si="38"/>
        <v>2.0847448793453901E-2</v>
      </c>
      <c r="E107" s="43">
        <f t="shared" si="38"/>
        <v>1.6677959034763122E-2</v>
      </c>
      <c r="F107" s="43">
        <f t="shared" si="38"/>
        <v>0.105592328138844</v>
      </c>
      <c r="G107" s="43">
        <f t="shared" si="38"/>
        <v>2.553812477198103E-3</v>
      </c>
      <c r="H107" s="43">
        <f t="shared" si="38"/>
        <v>2.501693855214468E-3</v>
      </c>
      <c r="I107" s="43">
        <f t="shared" si="38"/>
        <v>1.9544483243863032E-2</v>
      </c>
      <c r="J107" s="43">
        <f t="shared" si="38"/>
        <v>4.2216083806744152E-2</v>
      </c>
      <c r="K107" s="43">
        <f t="shared" si="38"/>
        <v>8.338979517381561E-3</v>
      </c>
      <c r="L107" s="43">
        <f t="shared" si="38"/>
        <v>3.8567780267889716E-3</v>
      </c>
      <c r="M107" s="43">
        <f t="shared" si="38"/>
        <v>0.60400271016834317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0.4390629112924454</v>
      </c>
      <c r="D108" s="44">
        <f t="shared" ref="D108:N108" si="39">D106/$O$106</f>
        <v>5.2645433008686494E-2</v>
      </c>
      <c r="E108" s="44">
        <f t="shared" si="39"/>
        <v>4.2116346406949196E-2</v>
      </c>
      <c r="F108" s="44">
        <f t="shared" si="39"/>
        <v>0.26664911818899711</v>
      </c>
      <c r="G108" s="44">
        <f t="shared" si="39"/>
        <v>6.449065543564096E-3</v>
      </c>
      <c r="H108" s="44">
        <f t="shared" si="39"/>
        <v>6.3174519610423793E-3</v>
      </c>
      <c r="I108" s="44">
        <f t="shared" si="39"/>
        <v>4.9355093445643587E-2</v>
      </c>
      <c r="J108" s="44">
        <f t="shared" si="39"/>
        <v>0.10660700184259016</v>
      </c>
      <c r="K108" s="44">
        <f t="shared" si="39"/>
        <v>2.1058173203474598E-2</v>
      </c>
      <c r="L108" s="44">
        <f t="shared" si="39"/>
        <v>9.7394051066070023E-3</v>
      </c>
      <c r="M108" s="44"/>
      <c r="N108" s="44">
        <f t="shared" si="39"/>
        <v>0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249977111117893"/>
  </sheetPr>
  <dimension ref="B1:AF174"/>
  <sheetViews>
    <sheetView view="pageBreakPreview" topLeftCell="A76" zoomScale="60" workbookViewId="0">
      <selection activeCell="K5" activeCellId="8" sqref="K5:L5 D6:E6 D6:E6 D5 C3:G3 G6:H6 G5:H5 K6:L6 K5:L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8" t="s">
        <v>23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</row>
    <row r="2" spans="2:32" ht="20.100000000000001" customHeight="1" x14ac:dyDescent="0.25">
      <c r="B2" s="59" t="s">
        <v>95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</row>
    <row r="3" spans="2:32" ht="20.100000000000001" customHeight="1" x14ac:dyDescent="0.25">
      <c r="B3" s="22" t="s">
        <v>96</v>
      </c>
      <c r="C3" s="63" t="str">
        <f>'22.07 Nateete-Ndeeba'!C3:G3</f>
        <v>MCC - C1 - STN07 - MASAKA ROAD</v>
      </c>
      <c r="D3" s="63"/>
      <c r="E3" s="63"/>
      <c r="F3" s="63"/>
      <c r="G3" s="63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51" t="str">
        <f>'27.07 Nateete-Ndeeba-24h'!D5</f>
        <v>27.07.19</v>
      </c>
      <c r="E5" s="3"/>
      <c r="F5" s="41" t="s">
        <v>1</v>
      </c>
      <c r="G5" s="64" t="str">
        <f>'27.07 Nateete-Ndeeba-24h'!G5:H5</f>
        <v>Rhino Funeral Services</v>
      </c>
      <c r="H5" s="65"/>
      <c r="I5" s="14"/>
      <c r="J5" s="2" t="s">
        <v>5</v>
      </c>
      <c r="K5" s="64" t="s">
        <v>183</v>
      </c>
      <c r="L5" s="65"/>
      <c r="M5" s="10"/>
      <c r="N5" s="10"/>
      <c r="O5" s="3"/>
      <c r="P5" s="3"/>
    </row>
    <row r="6" spans="2:32" ht="23.25" customHeight="1" x14ac:dyDescent="0.25">
      <c r="C6" s="2" t="s">
        <v>4</v>
      </c>
      <c r="D6" s="64" t="str">
        <f>'22.07 Ndeeba-Nateete'!D6:E6</f>
        <v>Ndeeba</v>
      </c>
      <c r="E6" s="65"/>
      <c r="F6" s="2" t="s">
        <v>2</v>
      </c>
      <c r="G6" s="64" t="str">
        <f>'22.07 Ndeeba-Nateete'!G6:H6</f>
        <v>Nateete</v>
      </c>
      <c r="H6" s="65"/>
      <c r="J6" s="2" t="s">
        <v>21</v>
      </c>
      <c r="K6" s="64" t="str">
        <f>'27.07 Nateete-Ndeeba-24h'!K6:L6</f>
        <v>Felix</v>
      </c>
      <c r="L6" s="65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7" t="s">
        <v>88</v>
      </c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15</v>
      </c>
      <c r="D10" s="50">
        <v>0</v>
      </c>
      <c r="E10" s="50">
        <v>0</v>
      </c>
      <c r="F10" s="50">
        <v>17</v>
      </c>
      <c r="G10" s="50">
        <v>0</v>
      </c>
      <c r="H10" s="50">
        <v>1</v>
      </c>
      <c r="I10" s="50">
        <v>7</v>
      </c>
      <c r="J10" s="50">
        <v>0</v>
      </c>
      <c r="K10" s="50">
        <v>0</v>
      </c>
      <c r="L10" s="50">
        <v>0</v>
      </c>
      <c r="M10" s="50">
        <v>47</v>
      </c>
      <c r="N10" s="50">
        <v>0</v>
      </c>
      <c r="O10" s="15">
        <f t="shared" ref="O10:O73" si="0">SUM(C10:L10,N10)</f>
        <v>40</v>
      </c>
      <c r="P10" s="15">
        <f t="shared" ref="P10:P73" si="1">SUM(C10:N10)</f>
        <v>87</v>
      </c>
      <c r="R10" s="1" t="s">
        <v>6</v>
      </c>
      <c r="S10" s="17">
        <f t="shared" ref="S10:AF10" si="2">SUM(C10:C13)</f>
        <v>77</v>
      </c>
      <c r="T10" s="17">
        <f t="shared" si="2"/>
        <v>26</v>
      </c>
      <c r="U10" s="17">
        <f t="shared" si="2"/>
        <v>9</v>
      </c>
      <c r="V10" s="17">
        <f t="shared" si="2"/>
        <v>110</v>
      </c>
      <c r="W10" s="17">
        <f t="shared" si="2"/>
        <v>2</v>
      </c>
      <c r="X10" s="17">
        <f t="shared" si="2"/>
        <v>1</v>
      </c>
      <c r="Y10" s="17">
        <f t="shared" si="2"/>
        <v>36</v>
      </c>
      <c r="Z10" s="17">
        <f t="shared" si="2"/>
        <v>14</v>
      </c>
      <c r="AA10" s="17">
        <f t="shared" si="2"/>
        <v>3</v>
      </c>
      <c r="AB10" s="17">
        <f t="shared" si="2"/>
        <v>4</v>
      </c>
      <c r="AC10" s="17">
        <f t="shared" si="2"/>
        <v>666</v>
      </c>
      <c r="AD10" s="17">
        <f t="shared" si="2"/>
        <v>0</v>
      </c>
      <c r="AE10" s="31">
        <f t="shared" si="2"/>
        <v>282</v>
      </c>
      <c r="AF10" s="31">
        <f t="shared" si="2"/>
        <v>948</v>
      </c>
    </row>
    <row r="11" spans="2:32" s="6" customFormat="1" ht="23.1" customHeight="1" x14ac:dyDescent="0.25">
      <c r="B11" s="45" t="s">
        <v>38</v>
      </c>
      <c r="C11" s="50">
        <v>20</v>
      </c>
      <c r="D11" s="50">
        <v>7</v>
      </c>
      <c r="E11" s="50">
        <v>2</v>
      </c>
      <c r="F11" s="50">
        <v>23</v>
      </c>
      <c r="G11" s="50">
        <v>1</v>
      </c>
      <c r="H11" s="50">
        <v>0</v>
      </c>
      <c r="I11" s="50">
        <v>6</v>
      </c>
      <c r="J11" s="50">
        <v>2</v>
      </c>
      <c r="K11" s="50">
        <v>0</v>
      </c>
      <c r="L11" s="50">
        <v>3</v>
      </c>
      <c r="M11" s="50">
        <v>175</v>
      </c>
      <c r="N11" s="50">
        <v>0</v>
      </c>
      <c r="O11" s="15">
        <f t="shared" si="0"/>
        <v>64</v>
      </c>
      <c r="P11" s="15">
        <f t="shared" si="1"/>
        <v>239</v>
      </c>
      <c r="R11" s="1" t="s">
        <v>7</v>
      </c>
      <c r="S11" s="17">
        <f t="shared" ref="S11:AF11" si="3">SUM(C14:C17)</f>
        <v>68</v>
      </c>
      <c r="T11" s="17">
        <f t="shared" si="3"/>
        <v>38</v>
      </c>
      <c r="U11" s="17">
        <f t="shared" si="3"/>
        <v>9</v>
      </c>
      <c r="V11" s="17">
        <f t="shared" si="3"/>
        <v>141</v>
      </c>
      <c r="W11" s="17">
        <f t="shared" si="3"/>
        <v>1</v>
      </c>
      <c r="X11" s="17">
        <f t="shared" si="3"/>
        <v>1</v>
      </c>
      <c r="Y11" s="17">
        <f t="shared" si="3"/>
        <v>39</v>
      </c>
      <c r="Z11" s="17">
        <f t="shared" si="3"/>
        <v>13</v>
      </c>
      <c r="AA11" s="17">
        <f t="shared" si="3"/>
        <v>3</v>
      </c>
      <c r="AB11" s="17">
        <f t="shared" si="3"/>
        <v>2</v>
      </c>
      <c r="AC11" s="17">
        <f t="shared" si="3"/>
        <v>938</v>
      </c>
      <c r="AD11" s="17">
        <f t="shared" si="3"/>
        <v>0</v>
      </c>
      <c r="AE11" s="31">
        <f t="shared" si="3"/>
        <v>315</v>
      </c>
      <c r="AF11" s="31">
        <f t="shared" si="3"/>
        <v>1253</v>
      </c>
    </row>
    <row r="12" spans="2:32" ht="23.1" customHeight="1" x14ac:dyDescent="0.25">
      <c r="B12" s="45" t="s">
        <v>39</v>
      </c>
      <c r="C12" s="50">
        <v>24</v>
      </c>
      <c r="D12" s="50">
        <v>13</v>
      </c>
      <c r="E12" s="50">
        <v>5</v>
      </c>
      <c r="F12" s="50">
        <v>43</v>
      </c>
      <c r="G12" s="50">
        <v>1</v>
      </c>
      <c r="H12" s="50">
        <v>0</v>
      </c>
      <c r="I12" s="50">
        <v>13</v>
      </c>
      <c r="J12" s="50">
        <v>7</v>
      </c>
      <c r="K12" s="50">
        <v>2</v>
      </c>
      <c r="L12" s="50">
        <v>1</v>
      </c>
      <c r="M12" s="50">
        <v>182</v>
      </c>
      <c r="N12" s="50">
        <v>0</v>
      </c>
      <c r="O12" s="15">
        <f t="shared" si="0"/>
        <v>109</v>
      </c>
      <c r="P12" s="15">
        <f t="shared" si="1"/>
        <v>291</v>
      </c>
      <c r="R12" s="1" t="s">
        <v>8</v>
      </c>
      <c r="S12" s="17">
        <f t="shared" ref="S12:AF12" si="4">SUM(C18:C21)</f>
        <v>78</v>
      </c>
      <c r="T12" s="17">
        <f t="shared" si="4"/>
        <v>29</v>
      </c>
      <c r="U12" s="17">
        <f t="shared" si="4"/>
        <v>10</v>
      </c>
      <c r="V12" s="17">
        <f t="shared" si="4"/>
        <v>134</v>
      </c>
      <c r="W12" s="17">
        <f t="shared" si="4"/>
        <v>2</v>
      </c>
      <c r="X12" s="17">
        <f t="shared" si="4"/>
        <v>0</v>
      </c>
      <c r="Y12" s="17">
        <f t="shared" si="4"/>
        <v>55</v>
      </c>
      <c r="Z12" s="17">
        <f t="shared" si="4"/>
        <v>15</v>
      </c>
      <c r="AA12" s="17">
        <f t="shared" si="4"/>
        <v>0</v>
      </c>
      <c r="AB12" s="17">
        <f t="shared" si="4"/>
        <v>3</v>
      </c>
      <c r="AC12" s="17">
        <f t="shared" si="4"/>
        <v>648</v>
      </c>
      <c r="AD12" s="17">
        <f t="shared" si="4"/>
        <v>0</v>
      </c>
      <c r="AE12" s="31">
        <f t="shared" si="4"/>
        <v>326</v>
      </c>
      <c r="AF12" s="31">
        <f t="shared" si="4"/>
        <v>974</v>
      </c>
    </row>
    <row r="13" spans="2:32" ht="23.1" customHeight="1" x14ac:dyDescent="0.25">
      <c r="B13" s="45" t="s">
        <v>40</v>
      </c>
      <c r="C13" s="50">
        <v>18</v>
      </c>
      <c r="D13" s="50">
        <v>6</v>
      </c>
      <c r="E13" s="50">
        <v>2</v>
      </c>
      <c r="F13" s="50">
        <v>27</v>
      </c>
      <c r="G13" s="50">
        <v>0</v>
      </c>
      <c r="H13" s="50">
        <v>0</v>
      </c>
      <c r="I13" s="50">
        <v>10</v>
      </c>
      <c r="J13" s="50">
        <v>5</v>
      </c>
      <c r="K13" s="50">
        <v>1</v>
      </c>
      <c r="L13" s="50">
        <v>0</v>
      </c>
      <c r="M13" s="50">
        <v>262</v>
      </c>
      <c r="N13" s="50">
        <v>0</v>
      </c>
      <c r="O13" s="15">
        <f t="shared" si="0"/>
        <v>69</v>
      </c>
      <c r="P13" s="15">
        <f t="shared" si="1"/>
        <v>331</v>
      </c>
      <c r="R13" s="1" t="s">
        <v>9</v>
      </c>
      <c r="S13" s="17">
        <f t="shared" ref="S13:AF13" si="5">SUM(C22:C25)</f>
        <v>47</v>
      </c>
      <c r="T13" s="17">
        <f t="shared" si="5"/>
        <v>13</v>
      </c>
      <c r="U13" s="17">
        <f t="shared" si="5"/>
        <v>16</v>
      </c>
      <c r="V13" s="17">
        <f t="shared" si="5"/>
        <v>108</v>
      </c>
      <c r="W13" s="17">
        <f t="shared" si="5"/>
        <v>2</v>
      </c>
      <c r="X13" s="17">
        <f t="shared" si="5"/>
        <v>1</v>
      </c>
      <c r="Y13" s="17">
        <f t="shared" si="5"/>
        <v>48</v>
      </c>
      <c r="Z13" s="17">
        <f t="shared" si="5"/>
        <v>9</v>
      </c>
      <c r="AA13" s="17">
        <f t="shared" si="5"/>
        <v>0</v>
      </c>
      <c r="AB13" s="17">
        <f t="shared" si="5"/>
        <v>1</v>
      </c>
      <c r="AC13" s="17">
        <f t="shared" si="5"/>
        <v>585</v>
      </c>
      <c r="AD13" s="17">
        <f t="shared" si="5"/>
        <v>0</v>
      </c>
      <c r="AE13" s="31">
        <f t="shared" si="5"/>
        <v>245</v>
      </c>
      <c r="AF13" s="31">
        <f t="shared" si="5"/>
        <v>830</v>
      </c>
    </row>
    <row r="14" spans="2:32" ht="23.1" customHeight="1" x14ac:dyDescent="0.25">
      <c r="B14" s="45" t="s">
        <v>41</v>
      </c>
      <c r="C14" s="50">
        <v>16</v>
      </c>
      <c r="D14" s="50">
        <v>12</v>
      </c>
      <c r="E14" s="50">
        <v>3</v>
      </c>
      <c r="F14" s="50">
        <v>44</v>
      </c>
      <c r="G14" s="50">
        <v>0</v>
      </c>
      <c r="H14" s="50">
        <v>0</v>
      </c>
      <c r="I14" s="50">
        <v>3</v>
      </c>
      <c r="J14" s="50">
        <v>0</v>
      </c>
      <c r="K14" s="50">
        <v>0</v>
      </c>
      <c r="L14" s="50">
        <v>0</v>
      </c>
      <c r="M14" s="50">
        <v>240</v>
      </c>
      <c r="N14" s="50">
        <v>0</v>
      </c>
      <c r="O14" s="15">
        <f t="shared" si="0"/>
        <v>78</v>
      </c>
      <c r="P14" s="15">
        <f t="shared" si="1"/>
        <v>318</v>
      </c>
      <c r="R14" s="1" t="s">
        <v>10</v>
      </c>
      <c r="S14" s="17">
        <f t="shared" ref="S14:AF14" si="6">SUM(C26:C29)</f>
        <v>74</v>
      </c>
      <c r="T14" s="17">
        <f t="shared" si="6"/>
        <v>47</v>
      </c>
      <c r="U14" s="17">
        <f t="shared" si="6"/>
        <v>21</v>
      </c>
      <c r="V14" s="17">
        <f t="shared" si="6"/>
        <v>87</v>
      </c>
      <c r="W14" s="17">
        <f t="shared" si="6"/>
        <v>6</v>
      </c>
      <c r="X14" s="17">
        <f t="shared" si="6"/>
        <v>0</v>
      </c>
      <c r="Y14" s="17">
        <f t="shared" si="6"/>
        <v>44</v>
      </c>
      <c r="Z14" s="17">
        <f t="shared" si="6"/>
        <v>16</v>
      </c>
      <c r="AA14" s="17">
        <f t="shared" si="6"/>
        <v>0</v>
      </c>
      <c r="AB14" s="17">
        <f t="shared" si="6"/>
        <v>4</v>
      </c>
      <c r="AC14" s="17">
        <f t="shared" si="6"/>
        <v>620</v>
      </c>
      <c r="AD14" s="17">
        <f t="shared" si="6"/>
        <v>0</v>
      </c>
      <c r="AE14" s="31">
        <f t="shared" si="6"/>
        <v>299</v>
      </c>
      <c r="AF14" s="31">
        <f t="shared" si="6"/>
        <v>919</v>
      </c>
    </row>
    <row r="15" spans="2:32" ht="23.1" customHeight="1" x14ac:dyDescent="0.25">
      <c r="B15" s="45" t="s">
        <v>42</v>
      </c>
      <c r="C15" s="50">
        <v>18</v>
      </c>
      <c r="D15" s="50">
        <v>7</v>
      </c>
      <c r="E15" s="50">
        <v>1</v>
      </c>
      <c r="F15" s="50">
        <v>44</v>
      </c>
      <c r="G15" s="50">
        <v>1</v>
      </c>
      <c r="H15" s="50">
        <v>1</v>
      </c>
      <c r="I15" s="50">
        <v>12</v>
      </c>
      <c r="J15" s="50">
        <v>3</v>
      </c>
      <c r="K15" s="50">
        <v>0</v>
      </c>
      <c r="L15" s="50">
        <v>1</v>
      </c>
      <c r="M15" s="50">
        <v>285</v>
      </c>
      <c r="N15" s="50">
        <v>0</v>
      </c>
      <c r="O15" s="15">
        <f t="shared" si="0"/>
        <v>88</v>
      </c>
      <c r="P15" s="15">
        <f t="shared" si="1"/>
        <v>373</v>
      </c>
      <c r="R15" s="1" t="s">
        <v>11</v>
      </c>
      <c r="S15" s="17">
        <f t="shared" ref="S15:AF15" si="7">SUM(C30:C33)</f>
        <v>62</v>
      </c>
      <c r="T15" s="17">
        <f t="shared" si="7"/>
        <v>37</v>
      </c>
      <c r="U15" s="17">
        <f t="shared" si="7"/>
        <v>14</v>
      </c>
      <c r="V15" s="17">
        <f t="shared" si="7"/>
        <v>64</v>
      </c>
      <c r="W15" s="17">
        <f t="shared" si="7"/>
        <v>2</v>
      </c>
      <c r="X15" s="17">
        <f t="shared" si="7"/>
        <v>1</v>
      </c>
      <c r="Y15" s="17">
        <f t="shared" si="7"/>
        <v>49</v>
      </c>
      <c r="Z15" s="17">
        <f t="shared" si="7"/>
        <v>24</v>
      </c>
      <c r="AA15" s="17">
        <f t="shared" si="7"/>
        <v>7</v>
      </c>
      <c r="AB15" s="17">
        <f t="shared" si="7"/>
        <v>5</v>
      </c>
      <c r="AC15" s="17">
        <f t="shared" si="7"/>
        <v>551</v>
      </c>
      <c r="AD15" s="17">
        <f t="shared" si="7"/>
        <v>0</v>
      </c>
      <c r="AE15" s="31">
        <f t="shared" si="7"/>
        <v>265</v>
      </c>
      <c r="AF15" s="31">
        <f t="shared" si="7"/>
        <v>816</v>
      </c>
    </row>
    <row r="16" spans="2:32" ht="23.1" customHeight="1" x14ac:dyDescent="0.25">
      <c r="B16" s="45" t="s">
        <v>43</v>
      </c>
      <c r="C16" s="50">
        <v>18</v>
      </c>
      <c r="D16" s="50">
        <v>13</v>
      </c>
      <c r="E16" s="50">
        <v>3</v>
      </c>
      <c r="F16" s="50">
        <v>26</v>
      </c>
      <c r="G16" s="50">
        <v>0</v>
      </c>
      <c r="H16" s="50">
        <v>0</v>
      </c>
      <c r="I16" s="50">
        <v>9</v>
      </c>
      <c r="J16" s="50">
        <v>5</v>
      </c>
      <c r="K16" s="50">
        <v>2</v>
      </c>
      <c r="L16" s="50">
        <v>1</v>
      </c>
      <c r="M16" s="50">
        <v>290</v>
      </c>
      <c r="N16" s="50">
        <v>0</v>
      </c>
      <c r="O16" s="15">
        <f t="shared" si="0"/>
        <v>77</v>
      </c>
      <c r="P16" s="15">
        <f t="shared" si="1"/>
        <v>367</v>
      </c>
      <c r="R16" s="1" t="s">
        <v>12</v>
      </c>
      <c r="S16" s="17">
        <f t="shared" ref="S16:AF16" si="8">SUM(C34:C37)</f>
        <v>60</v>
      </c>
      <c r="T16" s="17">
        <f t="shared" si="8"/>
        <v>28</v>
      </c>
      <c r="U16" s="17">
        <f t="shared" si="8"/>
        <v>12</v>
      </c>
      <c r="V16" s="17">
        <f t="shared" si="8"/>
        <v>65</v>
      </c>
      <c r="W16" s="17">
        <f t="shared" si="8"/>
        <v>3</v>
      </c>
      <c r="X16" s="17">
        <f t="shared" si="8"/>
        <v>0</v>
      </c>
      <c r="Y16" s="17">
        <f t="shared" si="8"/>
        <v>42</v>
      </c>
      <c r="Z16" s="17">
        <f t="shared" si="8"/>
        <v>13</v>
      </c>
      <c r="AA16" s="17">
        <f t="shared" si="8"/>
        <v>2</v>
      </c>
      <c r="AB16" s="17">
        <f t="shared" si="8"/>
        <v>3</v>
      </c>
      <c r="AC16" s="17">
        <f t="shared" si="8"/>
        <v>491</v>
      </c>
      <c r="AD16" s="17">
        <f t="shared" si="8"/>
        <v>0</v>
      </c>
      <c r="AE16" s="31">
        <f t="shared" si="8"/>
        <v>228</v>
      </c>
      <c r="AF16" s="31">
        <f t="shared" si="8"/>
        <v>719</v>
      </c>
    </row>
    <row r="17" spans="2:32" ht="23.1" customHeight="1" x14ac:dyDescent="0.25">
      <c r="B17" s="45" t="s">
        <v>44</v>
      </c>
      <c r="C17" s="50">
        <v>16</v>
      </c>
      <c r="D17" s="50">
        <v>6</v>
      </c>
      <c r="E17" s="50">
        <v>2</v>
      </c>
      <c r="F17" s="50">
        <v>27</v>
      </c>
      <c r="G17" s="50">
        <v>0</v>
      </c>
      <c r="H17" s="50">
        <v>0</v>
      </c>
      <c r="I17" s="50">
        <v>15</v>
      </c>
      <c r="J17" s="50">
        <v>5</v>
      </c>
      <c r="K17" s="50">
        <v>1</v>
      </c>
      <c r="L17" s="50">
        <v>0</v>
      </c>
      <c r="M17" s="50">
        <v>123</v>
      </c>
      <c r="N17" s="50">
        <v>0</v>
      </c>
      <c r="O17" s="15">
        <f t="shared" si="0"/>
        <v>72</v>
      </c>
      <c r="P17" s="15">
        <f t="shared" si="1"/>
        <v>195</v>
      </c>
      <c r="R17" s="1" t="s">
        <v>13</v>
      </c>
      <c r="S17" s="17">
        <f t="shared" ref="S17:AF17" si="9">SUM(C38:C41)</f>
        <v>91</v>
      </c>
      <c r="T17" s="17">
        <f t="shared" si="9"/>
        <v>40</v>
      </c>
      <c r="U17" s="17">
        <f t="shared" si="9"/>
        <v>18</v>
      </c>
      <c r="V17" s="17">
        <f t="shared" si="9"/>
        <v>88</v>
      </c>
      <c r="W17" s="17">
        <f t="shared" si="9"/>
        <v>0</v>
      </c>
      <c r="X17" s="17">
        <f t="shared" si="9"/>
        <v>1</v>
      </c>
      <c r="Y17" s="17">
        <f t="shared" si="9"/>
        <v>47</v>
      </c>
      <c r="Z17" s="17">
        <f t="shared" si="9"/>
        <v>19</v>
      </c>
      <c r="AA17" s="17">
        <f t="shared" si="9"/>
        <v>0</v>
      </c>
      <c r="AB17" s="17">
        <f t="shared" si="9"/>
        <v>2</v>
      </c>
      <c r="AC17" s="17">
        <f t="shared" si="9"/>
        <v>571</v>
      </c>
      <c r="AD17" s="17">
        <f t="shared" si="9"/>
        <v>0</v>
      </c>
      <c r="AE17" s="31">
        <f t="shared" si="9"/>
        <v>306</v>
      </c>
      <c r="AF17" s="31">
        <f t="shared" si="9"/>
        <v>877</v>
      </c>
    </row>
    <row r="18" spans="2:32" ht="23.1" customHeight="1" x14ac:dyDescent="0.25">
      <c r="B18" s="45" t="s">
        <v>45</v>
      </c>
      <c r="C18" s="50">
        <v>16</v>
      </c>
      <c r="D18" s="50">
        <v>5</v>
      </c>
      <c r="E18" s="50">
        <v>1</v>
      </c>
      <c r="F18" s="50">
        <v>32</v>
      </c>
      <c r="G18" s="50">
        <v>1</v>
      </c>
      <c r="H18" s="50">
        <v>0</v>
      </c>
      <c r="I18" s="50">
        <v>23</v>
      </c>
      <c r="J18" s="50">
        <v>1</v>
      </c>
      <c r="K18" s="50">
        <v>0</v>
      </c>
      <c r="L18" s="50">
        <v>0</v>
      </c>
      <c r="M18" s="50">
        <v>180</v>
      </c>
      <c r="N18" s="50">
        <v>0</v>
      </c>
      <c r="O18" s="15">
        <f t="shared" si="0"/>
        <v>79</v>
      </c>
      <c r="P18" s="15">
        <f t="shared" si="1"/>
        <v>259</v>
      </c>
      <c r="R18" s="1" t="s">
        <v>14</v>
      </c>
      <c r="S18" s="17">
        <f t="shared" ref="S18:AF18" si="10">SUM(C42:C45)</f>
        <v>103</v>
      </c>
      <c r="T18" s="17">
        <f t="shared" si="10"/>
        <v>22</v>
      </c>
      <c r="U18" s="17">
        <f t="shared" si="10"/>
        <v>18</v>
      </c>
      <c r="V18" s="17">
        <f t="shared" si="10"/>
        <v>104</v>
      </c>
      <c r="W18" s="17">
        <f t="shared" si="10"/>
        <v>2</v>
      </c>
      <c r="X18" s="17">
        <f t="shared" si="10"/>
        <v>0</v>
      </c>
      <c r="Y18" s="17">
        <f t="shared" si="10"/>
        <v>59</v>
      </c>
      <c r="Z18" s="17">
        <f t="shared" si="10"/>
        <v>10</v>
      </c>
      <c r="AA18" s="17">
        <f t="shared" si="10"/>
        <v>0</v>
      </c>
      <c r="AB18" s="17">
        <f t="shared" si="10"/>
        <v>1</v>
      </c>
      <c r="AC18" s="17">
        <f t="shared" si="10"/>
        <v>551</v>
      </c>
      <c r="AD18" s="17">
        <f t="shared" si="10"/>
        <v>0</v>
      </c>
      <c r="AE18" s="31">
        <f t="shared" si="10"/>
        <v>319</v>
      </c>
      <c r="AF18" s="31">
        <f t="shared" si="10"/>
        <v>870</v>
      </c>
    </row>
    <row r="19" spans="2:32" ht="23.1" customHeight="1" x14ac:dyDescent="0.25">
      <c r="B19" s="45" t="s">
        <v>46</v>
      </c>
      <c r="C19" s="50">
        <v>11</v>
      </c>
      <c r="D19" s="50">
        <v>3</v>
      </c>
      <c r="E19" s="50">
        <v>4</v>
      </c>
      <c r="F19" s="50">
        <v>24</v>
      </c>
      <c r="G19" s="50">
        <v>0</v>
      </c>
      <c r="H19" s="50">
        <v>0</v>
      </c>
      <c r="I19" s="50">
        <v>12</v>
      </c>
      <c r="J19" s="50">
        <v>3</v>
      </c>
      <c r="K19" s="50">
        <v>0</v>
      </c>
      <c r="L19" s="50">
        <v>1</v>
      </c>
      <c r="M19" s="50">
        <v>133</v>
      </c>
      <c r="N19" s="50">
        <v>0</v>
      </c>
      <c r="O19" s="15">
        <f t="shared" si="0"/>
        <v>58</v>
      </c>
      <c r="P19" s="15">
        <f t="shared" si="1"/>
        <v>191</v>
      </c>
      <c r="R19" s="1" t="s">
        <v>15</v>
      </c>
      <c r="S19" s="17">
        <f t="shared" ref="S19:AF19" si="11">SUM(C46:C49)</f>
        <v>85</v>
      </c>
      <c r="T19" s="17">
        <f t="shared" si="11"/>
        <v>47</v>
      </c>
      <c r="U19" s="17">
        <f t="shared" si="11"/>
        <v>15</v>
      </c>
      <c r="V19" s="17">
        <f t="shared" si="11"/>
        <v>122</v>
      </c>
      <c r="W19" s="17">
        <f t="shared" si="11"/>
        <v>2</v>
      </c>
      <c r="X19" s="17">
        <f t="shared" si="11"/>
        <v>1</v>
      </c>
      <c r="Y19" s="17">
        <f t="shared" si="11"/>
        <v>50</v>
      </c>
      <c r="Z19" s="17">
        <f t="shared" si="11"/>
        <v>15</v>
      </c>
      <c r="AA19" s="17">
        <f t="shared" si="11"/>
        <v>6</v>
      </c>
      <c r="AB19" s="17">
        <f t="shared" si="11"/>
        <v>3</v>
      </c>
      <c r="AC19" s="17">
        <f t="shared" si="11"/>
        <v>536</v>
      </c>
      <c r="AD19" s="17">
        <f t="shared" si="11"/>
        <v>0</v>
      </c>
      <c r="AE19" s="31">
        <f t="shared" si="11"/>
        <v>346</v>
      </c>
      <c r="AF19" s="31">
        <f t="shared" si="11"/>
        <v>882</v>
      </c>
    </row>
    <row r="20" spans="2:32" ht="23.1" customHeight="1" x14ac:dyDescent="0.25">
      <c r="B20" s="45" t="s">
        <v>47</v>
      </c>
      <c r="C20" s="50">
        <v>31</v>
      </c>
      <c r="D20" s="50">
        <v>12</v>
      </c>
      <c r="E20" s="50">
        <v>2</v>
      </c>
      <c r="F20" s="50">
        <v>52</v>
      </c>
      <c r="G20" s="50">
        <v>1</v>
      </c>
      <c r="H20" s="50">
        <v>0</v>
      </c>
      <c r="I20" s="50">
        <v>16</v>
      </c>
      <c r="J20" s="50">
        <v>8</v>
      </c>
      <c r="K20" s="50">
        <v>0</v>
      </c>
      <c r="L20" s="50">
        <v>2</v>
      </c>
      <c r="M20" s="50">
        <v>170</v>
      </c>
      <c r="N20" s="50">
        <v>0</v>
      </c>
      <c r="O20" s="15">
        <f t="shared" si="0"/>
        <v>124</v>
      </c>
      <c r="P20" s="15">
        <f t="shared" si="1"/>
        <v>294</v>
      </c>
      <c r="R20" s="1" t="s">
        <v>16</v>
      </c>
      <c r="S20" s="17">
        <f t="shared" ref="S20:AF20" si="12">SUM(C50:C53)</f>
        <v>81</v>
      </c>
      <c r="T20" s="17">
        <f t="shared" si="12"/>
        <v>39</v>
      </c>
      <c r="U20" s="17">
        <f t="shared" si="12"/>
        <v>12</v>
      </c>
      <c r="V20" s="17">
        <f t="shared" si="12"/>
        <v>77</v>
      </c>
      <c r="W20" s="17">
        <f t="shared" si="12"/>
        <v>4</v>
      </c>
      <c r="X20" s="17">
        <f t="shared" si="12"/>
        <v>0</v>
      </c>
      <c r="Y20" s="17">
        <f t="shared" si="12"/>
        <v>43</v>
      </c>
      <c r="Z20" s="17">
        <f t="shared" si="12"/>
        <v>19</v>
      </c>
      <c r="AA20" s="17">
        <f t="shared" si="12"/>
        <v>4</v>
      </c>
      <c r="AB20" s="17">
        <f t="shared" si="12"/>
        <v>3</v>
      </c>
      <c r="AC20" s="17">
        <f t="shared" si="12"/>
        <v>596</v>
      </c>
      <c r="AD20" s="17">
        <f t="shared" si="12"/>
        <v>0</v>
      </c>
      <c r="AE20" s="31">
        <f t="shared" si="12"/>
        <v>282</v>
      </c>
      <c r="AF20" s="31">
        <f t="shared" si="12"/>
        <v>878</v>
      </c>
    </row>
    <row r="21" spans="2:32" ht="23.1" customHeight="1" x14ac:dyDescent="0.25">
      <c r="B21" s="45" t="s">
        <v>48</v>
      </c>
      <c r="C21" s="50">
        <v>20</v>
      </c>
      <c r="D21" s="50">
        <v>9</v>
      </c>
      <c r="E21" s="50">
        <v>3</v>
      </c>
      <c r="F21" s="50">
        <v>26</v>
      </c>
      <c r="G21" s="50">
        <v>0</v>
      </c>
      <c r="H21" s="50">
        <v>0</v>
      </c>
      <c r="I21" s="50">
        <v>4</v>
      </c>
      <c r="J21" s="50">
        <v>3</v>
      </c>
      <c r="K21" s="50">
        <v>0</v>
      </c>
      <c r="L21" s="50">
        <v>0</v>
      </c>
      <c r="M21" s="50">
        <v>165</v>
      </c>
      <c r="N21" s="50">
        <v>0</v>
      </c>
      <c r="O21" s="15">
        <f t="shared" si="0"/>
        <v>65</v>
      </c>
      <c r="P21" s="15">
        <f t="shared" si="1"/>
        <v>230</v>
      </c>
      <c r="R21" s="36" t="s">
        <v>20</v>
      </c>
      <c r="S21" s="34">
        <f t="shared" ref="S21:AF21" si="13">SUM(C54:C57)</f>
        <v>84</v>
      </c>
      <c r="T21" s="17">
        <f t="shared" si="13"/>
        <v>30</v>
      </c>
      <c r="U21" s="17">
        <f t="shared" si="13"/>
        <v>6</v>
      </c>
      <c r="V21" s="17">
        <f t="shared" si="13"/>
        <v>84</v>
      </c>
      <c r="W21" s="17">
        <f t="shared" si="13"/>
        <v>4</v>
      </c>
      <c r="X21" s="17">
        <f t="shared" si="13"/>
        <v>2</v>
      </c>
      <c r="Y21" s="17">
        <f t="shared" si="13"/>
        <v>43</v>
      </c>
      <c r="Z21" s="17">
        <f t="shared" si="13"/>
        <v>12</v>
      </c>
      <c r="AA21" s="17">
        <f t="shared" si="13"/>
        <v>4</v>
      </c>
      <c r="AB21" s="17">
        <f t="shared" si="13"/>
        <v>0</v>
      </c>
      <c r="AC21" s="17">
        <f t="shared" si="13"/>
        <v>430</v>
      </c>
      <c r="AD21" s="17">
        <f t="shared" si="13"/>
        <v>0</v>
      </c>
      <c r="AE21" s="31">
        <f t="shared" si="13"/>
        <v>269</v>
      </c>
      <c r="AF21" s="31">
        <f t="shared" si="13"/>
        <v>699</v>
      </c>
    </row>
    <row r="22" spans="2:32" ht="23.1" customHeight="1" x14ac:dyDescent="0.25">
      <c r="B22" s="45" t="s">
        <v>49</v>
      </c>
      <c r="C22" s="50">
        <v>10</v>
      </c>
      <c r="D22" s="50">
        <v>2</v>
      </c>
      <c r="E22" s="50">
        <v>5</v>
      </c>
      <c r="F22" s="50">
        <v>24</v>
      </c>
      <c r="G22" s="50">
        <v>0</v>
      </c>
      <c r="H22" s="50">
        <v>0</v>
      </c>
      <c r="I22" s="50">
        <v>12</v>
      </c>
      <c r="J22" s="50">
        <v>4</v>
      </c>
      <c r="K22" s="50">
        <v>0</v>
      </c>
      <c r="L22" s="50">
        <v>0</v>
      </c>
      <c r="M22" s="50">
        <v>141</v>
      </c>
      <c r="N22" s="50">
        <v>0</v>
      </c>
      <c r="O22" s="15">
        <f t="shared" si="0"/>
        <v>57</v>
      </c>
      <c r="P22" s="15">
        <f t="shared" si="1"/>
        <v>198</v>
      </c>
      <c r="R22" s="36" t="s">
        <v>146</v>
      </c>
      <c r="S22" s="34">
        <f>SUM(C58:C61)</f>
        <v>160</v>
      </c>
      <c r="T22" s="34">
        <f t="shared" ref="T22:AF22" si="14">SUM(D58:D61)</f>
        <v>10</v>
      </c>
      <c r="U22" s="34">
        <f t="shared" si="14"/>
        <v>16</v>
      </c>
      <c r="V22" s="34">
        <f t="shared" si="14"/>
        <v>84</v>
      </c>
      <c r="W22" s="34">
        <f t="shared" si="14"/>
        <v>0</v>
      </c>
      <c r="X22" s="34">
        <f t="shared" si="14"/>
        <v>2</v>
      </c>
      <c r="Y22" s="34">
        <f t="shared" si="14"/>
        <v>32</v>
      </c>
      <c r="Z22" s="34">
        <f t="shared" si="14"/>
        <v>25</v>
      </c>
      <c r="AA22" s="34">
        <f t="shared" si="14"/>
        <v>9</v>
      </c>
      <c r="AB22" s="34">
        <f t="shared" si="14"/>
        <v>8</v>
      </c>
      <c r="AC22" s="34">
        <f t="shared" si="14"/>
        <v>0</v>
      </c>
      <c r="AD22" s="34">
        <f t="shared" si="14"/>
        <v>0</v>
      </c>
      <c r="AE22" s="31">
        <f t="shared" si="14"/>
        <v>346</v>
      </c>
      <c r="AF22" s="31">
        <f t="shared" si="14"/>
        <v>346</v>
      </c>
    </row>
    <row r="23" spans="2:32" ht="23.1" customHeight="1" x14ac:dyDescent="0.25">
      <c r="B23" s="45" t="s">
        <v>50</v>
      </c>
      <c r="C23" s="50">
        <v>17</v>
      </c>
      <c r="D23" s="50">
        <v>0</v>
      </c>
      <c r="E23" s="50">
        <v>3</v>
      </c>
      <c r="F23" s="50">
        <v>32</v>
      </c>
      <c r="G23" s="50">
        <v>0</v>
      </c>
      <c r="H23" s="50">
        <v>1</v>
      </c>
      <c r="I23" s="50">
        <v>15</v>
      </c>
      <c r="J23" s="50">
        <v>0</v>
      </c>
      <c r="K23" s="50">
        <v>0</v>
      </c>
      <c r="L23" s="50">
        <v>0</v>
      </c>
      <c r="M23" s="50">
        <v>147</v>
      </c>
      <c r="N23" s="50">
        <v>0</v>
      </c>
      <c r="O23" s="15">
        <f t="shared" si="0"/>
        <v>68</v>
      </c>
      <c r="P23" s="15">
        <f t="shared" si="1"/>
        <v>215</v>
      </c>
      <c r="R23" s="36" t="s">
        <v>147</v>
      </c>
      <c r="S23" s="34">
        <f>SUM(C62:C65)</f>
        <v>141</v>
      </c>
      <c r="T23" s="34">
        <f t="shared" ref="T23:AF23" si="15">SUM(D62:D65)</f>
        <v>10</v>
      </c>
      <c r="U23" s="34">
        <f t="shared" si="15"/>
        <v>5</v>
      </c>
      <c r="V23" s="34">
        <f t="shared" si="15"/>
        <v>81</v>
      </c>
      <c r="W23" s="34">
        <f t="shared" si="15"/>
        <v>0</v>
      </c>
      <c r="X23" s="34">
        <f t="shared" si="15"/>
        <v>0</v>
      </c>
      <c r="Y23" s="34">
        <f t="shared" si="15"/>
        <v>15</v>
      </c>
      <c r="Z23" s="34">
        <f t="shared" si="15"/>
        <v>22</v>
      </c>
      <c r="AA23" s="34">
        <f t="shared" si="15"/>
        <v>4</v>
      </c>
      <c r="AB23" s="34">
        <f t="shared" si="15"/>
        <v>3</v>
      </c>
      <c r="AC23" s="34">
        <f t="shared" si="15"/>
        <v>0</v>
      </c>
      <c r="AD23" s="34">
        <f t="shared" si="15"/>
        <v>0</v>
      </c>
      <c r="AE23" s="31">
        <f t="shared" si="15"/>
        <v>281</v>
      </c>
      <c r="AF23" s="31">
        <f t="shared" si="15"/>
        <v>281</v>
      </c>
    </row>
    <row r="24" spans="2:32" ht="23.1" customHeight="1" x14ac:dyDescent="0.25">
      <c r="B24" s="45" t="s">
        <v>51</v>
      </c>
      <c r="C24" s="50">
        <v>12</v>
      </c>
      <c r="D24" s="50">
        <v>4</v>
      </c>
      <c r="E24" s="50">
        <v>0</v>
      </c>
      <c r="F24" s="50">
        <v>34</v>
      </c>
      <c r="G24" s="50">
        <v>2</v>
      </c>
      <c r="H24" s="50">
        <v>0</v>
      </c>
      <c r="I24" s="50">
        <v>13</v>
      </c>
      <c r="J24" s="50">
        <v>4</v>
      </c>
      <c r="K24" s="50">
        <v>0</v>
      </c>
      <c r="L24" s="50">
        <v>1</v>
      </c>
      <c r="M24" s="50">
        <v>130</v>
      </c>
      <c r="N24" s="50">
        <v>0</v>
      </c>
      <c r="O24" s="15">
        <f t="shared" si="0"/>
        <v>70</v>
      </c>
      <c r="P24" s="15">
        <f t="shared" si="1"/>
        <v>200</v>
      </c>
      <c r="R24" s="36" t="s">
        <v>148</v>
      </c>
      <c r="S24" s="34">
        <f>SUM(C66:C69)</f>
        <v>147</v>
      </c>
      <c r="T24" s="34">
        <f t="shared" ref="T24:AF24" si="16">SUM(D66:D69)</f>
        <v>19</v>
      </c>
      <c r="U24" s="34">
        <f t="shared" si="16"/>
        <v>8</v>
      </c>
      <c r="V24" s="34">
        <f t="shared" si="16"/>
        <v>78</v>
      </c>
      <c r="W24" s="34">
        <f t="shared" si="16"/>
        <v>4</v>
      </c>
      <c r="X24" s="34">
        <f t="shared" si="16"/>
        <v>0</v>
      </c>
      <c r="Y24" s="34">
        <f t="shared" si="16"/>
        <v>14</v>
      </c>
      <c r="Z24" s="34">
        <f t="shared" si="16"/>
        <v>12</v>
      </c>
      <c r="AA24" s="34">
        <f t="shared" si="16"/>
        <v>5</v>
      </c>
      <c r="AB24" s="34">
        <f t="shared" si="16"/>
        <v>3</v>
      </c>
      <c r="AC24" s="34">
        <f t="shared" si="16"/>
        <v>0</v>
      </c>
      <c r="AD24" s="34">
        <f t="shared" si="16"/>
        <v>0</v>
      </c>
      <c r="AE24" s="31">
        <f t="shared" si="16"/>
        <v>290</v>
      </c>
      <c r="AF24" s="31">
        <f t="shared" si="16"/>
        <v>290</v>
      </c>
    </row>
    <row r="25" spans="2:32" ht="23.1" customHeight="1" x14ac:dyDescent="0.25">
      <c r="B25" s="45" t="s">
        <v>52</v>
      </c>
      <c r="C25" s="50">
        <v>8</v>
      </c>
      <c r="D25" s="50">
        <v>7</v>
      </c>
      <c r="E25" s="50">
        <v>8</v>
      </c>
      <c r="F25" s="50">
        <v>18</v>
      </c>
      <c r="G25" s="50">
        <v>0</v>
      </c>
      <c r="H25" s="50">
        <v>0</v>
      </c>
      <c r="I25" s="50">
        <v>8</v>
      </c>
      <c r="J25" s="50">
        <v>1</v>
      </c>
      <c r="K25" s="50">
        <v>0</v>
      </c>
      <c r="L25" s="50">
        <v>0</v>
      </c>
      <c r="M25" s="50">
        <v>167</v>
      </c>
      <c r="N25" s="50">
        <v>0</v>
      </c>
      <c r="O25" s="15">
        <f t="shared" si="0"/>
        <v>50</v>
      </c>
      <c r="P25" s="15">
        <f t="shared" si="1"/>
        <v>217</v>
      </c>
      <c r="R25" s="36" t="s">
        <v>149</v>
      </c>
      <c r="S25" s="34">
        <f>SUM(C70:C73)</f>
        <v>202</v>
      </c>
      <c r="T25" s="34">
        <f t="shared" ref="T25:AF25" si="17">SUM(D70:D73)</f>
        <v>13</v>
      </c>
      <c r="U25" s="34">
        <f t="shared" si="17"/>
        <v>4</v>
      </c>
      <c r="V25" s="34">
        <f t="shared" si="17"/>
        <v>159</v>
      </c>
      <c r="W25" s="34">
        <f t="shared" si="17"/>
        <v>0</v>
      </c>
      <c r="X25" s="34">
        <f t="shared" si="17"/>
        <v>0</v>
      </c>
      <c r="Y25" s="34">
        <f t="shared" si="17"/>
        <v>27</v>
      </c>
      <c r="Z25" s="34">
        <f t="shared" si="17"/>
        <v>4</v>
      </c>
      <c r="AA25" s="34">
        <f t="shared" si="17"/>
        <v>4</v>
      </c>
      <c r="AB25" s="34">
        <f t="shared" si="17"/>
        <v>4</v>
      </c>
      <c r="AC25" s="34">
        <f t="shared" si="17"/>
        <v>0</v>
      </c>
      <c r="AD25" s="34">
        <f t="shared" si="17"/>
        <v>0</v>
      </c>
      <c r="AE25" s="31">
        <f t="shared" si="17"/>
        <v>417</v>
      </c>
      <c r="AF25" s="31">
        <f t="shared" si="17"/>
        <v>417</v>
      </c>
    </row>
    <row r="26" spans="2:32" ht="23.1" customHeight="1" x14ac:dyDescent="0.25">
      <c r="B26" s="45" t="s">
        <v>53</v>
      </c>
      <c r="C26" s="50">
        <v>18</v>
      </c>
      <c r="D26" s="50">
        <v>6</v>
      </c>
      <c r="E26" s="50">
        <v>2</v>
      </c>
      <c r="F26" s="50">
        <v>28</v>
      </c>
      <c r="G26" s="50">
        <v>3</v>
      </c>
      <c r="H26" s="50">
        <v>0</v>
      </c>
      <c r="I26" s="50">
        <v>14</v>
      </c>
      <c r="J26" s="50">
        <v>5</v>
      </c>
      <c r="K26" s="50">
        <v>0</v>
      </c>
      <c r="L26" s="50">
        <v>0</v>
      </c>
      <c r="M26" s="50">
        <v>102</v>
      </c>
      <c r="N26" s="50">
        <v>0</v>
      </c>
      <c r="O26" s="15">
        <f t="shared" si="0"/>
        <v>76</v>
      </c>
      <c r="P26" s="15">
        <f t="shared" si="1"/>
        <v>178</v>
      </c>
      <c r="R26" s="36" t="s">
        <v>150</v>
      </c>
      <c r="S26" s="34">
        <f>SUM(C74:C77)</f>
        <v>112</v>
      </c>
      <c r="T26" s="34">
        <f t="shared" ref="T26:AF26" si="18">SUM(D74:D77)</f>
        <v>20</v>
      </c>
      <c r="U26" s="34">
        <f t="shared" si="18"/>
        <v>13</v>
      </c>
      <c r="V26" s="34">
        <f t="shared" si="18"/>
        <v>190</v>
      </c>
      <c r="W26" s="34">
        <f t="shared" si="18"/>
        <v>0</v>
      </c>
      <c r="X26" s="34">
        <f t="shared" si="18"/>
        <v>1</v>
      </c>
      <c r="Y26" s="34">
        <f t="shared" si="18"/>
        <v>18</v>
      </c>
      <c r="Z26" s="34">
        <f t="shared" si="18"/>
        <v>20</v>
      </c>
      <c r="AA26" s="34">
        <f t="shared" si="18"/>
        <v>4</v>
      </c>
      <c r="AB26" s="34">
        <f t="shared" si="18"/>
        <v>0</v>
      </c>
      <c r="AC26" s="34">
        <f t="shared" si="18"/>
        <v>655</v>
      </c>
      <c r="AD26" s="34">
        <f t="shared" si="18"/>
        <v>0</v>
      </c>
      <c r="AE26" s="31">
        <f t="shared" si="18"/>
        <v>378</v>
      </c>
      <c r="AF26" s="31">
        <f t="shared" si="18"/>
        <v>1033</v>
      </c>
    </row>
    <row r="27" spans="2:32" ht="23.1" customHeight="1" x14ac:dyDescent="0.25">
      <c r="B27" s="45" t="s">
        <v>54</v>
      </c>
      <c r="C27" s="50">
        <v>12</v>
      </c>
      <c r="D27" s="50">
        <v>8</v>
      </c>
      <c r="E27" s="50">
        <v>5</v>
      </c>
      <c r="F27" s="50">
        <v>7</v>
      </c>
      <c r="G27" s="50">
        <v>3</v>
      </c>
      <c r="H27" s="50">
        <v>0</v>
      </c>
      <c r="I27" s="50">
        <v>7</v>
      </c>
      <c r="J27" s="50">
        <v>3</v>
      </c>
      <c r="K27" s="50">
        <v>0</v>
      </c>
      <c r="L27" s="50">
        <v>1</v>
      </c>
      <c r="M27" s="50">
        <v>159</v>
      </c>
      <c r="N27" s="50">
        <v>0</v>
      </c>
      <c r="O27" s="15">
        <f t="shared" si="0"/>
        <v>46</v>
      </c>
      <c r="P27" s="15">
        <f t="shared" si="1"/>
        <v>205</v>
      </c>
      <c r="R27" s="36" t="s">
        <v>151</v>
      </c>
      <c r="S27" s="34">
        <f>SUM(C78:C81)</f>
        <v>179</v>
      </c>
      <c r="T27" s="34">
        <f t="shared" ref="T27:AF27" si="19">SUM(D78:D81)</f>
        <v>8</v>
      </c>
      <c r="U27" s="34">
        <f t="shared" si="19"/>
        <v>11</v>
      </c>
      <c r="V27" s="34">
        <f t="shared" si="19"/>
        <v>136</v>
      </c>
      <c r="W27" s="34">
        <f t="shared" si="19"/>
        <v>0</v>
      </c>
      <c r="X27" s="34">
        <f t="shared" si="19"/>
        <v>0</v>
      </c>
      <c r="Y27" s="34">
        <f t="shared" si="19"/>
        <v>13</v>
      </c>
      <c r="Z27" s="34">
        <f t="shared" si="19"/>
        <v>13</v>
      </c>
      <c r="AA27" s="34">
        <f t="shared" si="19"/>
        <v>3</v>
      </c>
      <c r="AB27" s="34">
        <f t="shared" si="19"/>
        <v>3</v>
      </c>
      <c r="AC27" s="34">
        <f t="shared" si="19"/>
        <v>429</v>
      </c>
      <c r="AD27" s="34">
        <f t="shared" si="19"/>
        <v>0</v>
      </c>
      <c r="AE27" s="31">
        <f t="shared" si="19"/>
        <v>366</v>
      </c>
      <c r="AF27" s="31">
        <f t="shared" si="19"/>
        <v>795</v>
      </c>
    </row>
    <row r="28" spans="2:32" ht="23.1" customHeight="1" x14ac:dyDescent="0.25">
      <c r="B28" s="45" t="s">
        <v>55</v>
      </c>
      <c r="C28" s="50">
        <v>13</v>
      </c>
      <c r="D28" s="50">
        <v>14</v>
      </c>
      <c r="E28" s="50">
        <v>6</v>
      </c>
      <c r="F28" s="50">
        <v>14</v>
      </c>
      <c r="G28" s="50">
        <v>0</v>
      </c>
      <c r="H28" s="50">
        <v>0</v>
      </c>
      <c r="I28" s="50">
        <v>10</v>
      </c>
      <c r="J28" s="50">
        <v>5</v>
      </c>
      <c r="K28" s="50">
        <v>0</v>
      </c>
      <c r="L28" s="50">
        <v>3</v>
      </c>
      <c r="M28" s="50">
        <v>177</v>
      </c>
      <c r="N28" s="50">
        <v>0</v>
      </c>
      <c r="O28" s="15">
        <f t="shared" si="0"/>
        <v>65</v>
      </c>
      <c r="P28" s="15">
        <f t="shared" si="1"/>
        <v>242</v>
      </c>
      <c r="R28" s="36" t="s">
        <v>152</v>
      </c>
      <c r="S28" s="34">
        <f>SUM(C82:C85)</f>
        <v>202</v>
      </c>
      <c r="T28" s="34">
        <f t="shared" ref="T28:AF28" si="20">SUM(D82:D85)</f>
        <v>12</v>
      </c>
      <c r="U28" s="34">
        <f t="shared" si="20"/>
        <v>6</v>
      </c>
      <c r="V28" s="34">
        <f t="shared" si="20"/>
        <v>121</v>
      </c>
      <c r="W28" s="34">
        <f t="shared" si="20"/>
        <v>1</v>
      </c>
      <c r="X28" s="34">
        <f t="shared" si="20"/>
        <v>0</v>
      </c>
      <c r="Y28" s="34">
        <f t="shared" si="20"/>
        <v>42</v>
      </c>
      <c r="Z28" s="34">
        <f t="shared" si="20"/>
        <v>20</v>
      </c>
      <c r="AA28" s="34">
        <f t="shared" si="20"/>
        <v>7</v>
      </c>
      <c r="AB28" s="34">
        <f t="shared" si="20"/>
        <v>4</v>
      </c>
      <c r="AC28" s="34">
        <f t="shared" si="20"/>
        <v>223</v>
      </c>
      <c r="AD28" s="34">
        <f t="shared" si="20"/>
        <v>0</v>
      </c>
      <c r="AE28" s="31">
        <f t="shared" si="20"/>
        <v>415</v>
      </c>
      <c r="AF28" s="31">
        <f t="shared" si="20"/>
        <v>638</v>
      </c>
    </row>
    <row r="29" spans="2:32" ht="23.1" customHeight="1" x14ac:dyDescent="0.25">
      <c r="B29" s="45" t="s">
        <v>56</v>
      </c>
      <c r="C29" s="50">
        <v>31</v>
      </c>
      <c r="D29" s="50">
        <v>19</v>
      </c>
      <c r="E29" s="50">
        <v>8</v>
      </c>
      <c r="F29" s="50">
        <v>38</v>
      </c>
      <c r="G29" s="50">
        <v>0</v>
      </c>
      <c r="H29" s="50">
        <v>0</v>
      </c>
      <c r="I29" s="50">
        <v>13</v>
      </c>
      <c r="J29" s="50">
        <v>3</v>
      </c>
      <c r="K29" s="50">
        <v>0</v>
      </c>
      <c r="L29" s="50">
        <v>0</v>
      </c>
      <c r="M29" s="50">
        <v>182</v>
      </c>
      <c r="N29" s="50">
        <v>0</v>
      </c>
      <c r="O29" s="15">
        <f t="shared" si="0"/>
        <v>112</v>
      </c>
      <c r="P29" s="15">
        <f t="shared" si="1"/>
        <v>294</v>
      </c>
      <c r="R29" s="36" t="s">
        <v>153</v>
      </c>
      <c r="S29" s="34">
        <f>SUM(C86:C89)</f>
        <v>65</v>
      </c>
      <c r="T29" s="34">
        <f t="shared" ref="T29:AF29" si="21">SUM(D86:D89)</f>
        <v>6</v>
      </c>
      <c r="U29" s="34">
        <f t="shared" si="21"/>
        <v>3</v>
      </c>
      <c r="V29" s="34">
        <f t="shared" si="21"/>
        <v>18</v>
      </c>
      <c r="W29" s="34">
        <f t="shared" si="21"/>
        <v>0</v>
      </c>
      <c r="X29" s="34">
        <f t="shared" si="21"/>
        <v>3</v>
      </c>
      <c r="Y29" s="34">
        <f t="shared" si="21"/>
        <v>11</v>
      </c>
      <c r="Z29" s="34">
        <f t="shared" si="21"/>
        <v>14</v>
      </c>
      <c r="AA29" s="34">
        <f t="shared" si="21"/>
        <v>6</v>
      </c>
      <c r="AB29" s="34">
        <f t="shared" si="21"/>
        <v>4</v>
      </c>
      <c r="AC29" s="34">
        <f t="shared" si="21"/>
        <v>286</v>
      </c>
      <c r="AD29" s="34">
        <f t="shared" si="21"/>
        <v>0</v>
      </c>
      <c r="AE29" s="31">
        <f t="shared" si="21"/>
        <v>130</v>
      </c>
      <c r="AF29" s="31">
        <f t="shared" si="21"/>
        <v>416</v>
      </c>
    </row>
    <row r="30" spans="2:32" ht="23.1" customHeight="1" x14ac:dyDescent="0.25">
      <c r="B30" s="45" t="s">
        <v>57</v>
      </c>
      <c r="C30" s="50">
        <v>16</v>
      </c>
      <c r="D30" s="50">
        <v>15</v>
      </c>
      <c r="E30" s="50">
        <v>1</v>
      </c>
      <c r="F30" s="50">
        <v>14</v>
      </c>
      <c r="G30" s="50">
        <v>0</v>
      </c>
      <c r="H30" s="50">
        <v>1</v>
      </c>
      <c r="I30" s="50">
        <v>12</v>
      </c>
      <c r="J30" s="50">
        <v>7</v>
      </c>
      <c r="K30" s="50">
        <v>3</v>
      </c>
      <c r="L30" s="50">
        <v>0</v>
      </c>
      <c r="M30" s="50">
        <v>152</v>
      </c>
      <c r="N30" s="50">
        <v>0</v>
      </c>
      <c r="O30" s="15">
        <f t="shared" si="0"/>
        <v>69</v>
      </c>
      <c r="P30" s="15">
        <f t="shared" si="1"/>
        <v>221</v>
      </c>
      <c r="R30" s="36" t="s">
        <v>154</v>
      </c>
      <c r="S30" s="34">
        <f>SUM(C90:C93)</f>
        <v>112</v>
      </c>
      <c r="T30" s="34">
        <f t="shared" ref="T30:AF30" si="22">SUM(D90:D93)</f>
        <v>8</v>
      </c>
      <c r="U30" s="34">
        <f t="shared" si="22"/>
        <v>2</v>
      </c>
      <c r="V30" s="34">
        <f t="shared" si="22"/>
        <v>22</v>
      </c>
      <c r="W30" s="34">
        <f t="shared" si="22"/>
        <v>0</v>
      </c>
      <c r="X30" s="34">
        <f t="shared" si="22"/>
        <v>0</v>
      </c>
      <c r="Y30" s="34">
        <f t="shared" si="22"/>
        <v>17</v>
      </c>
      <c r="Z30" s="34">
        <f t="shared" si="22"/>
        <v>12</v>
      </c>
      <c r="AA30" s="34">
        <f t="shared" si="22"/>
        <v>2</v>
      </c>
      <c r="AB30" s="34">
        <f t="shared" si="22"/>
        <v>2</v>
      </c>
      <c r="AC30" s="34">
        <f t="shared" si="22"/>
        <v>302</v>
      </c>
      <c r="AD30" s="34">
        <f t="shared" si="22"/>
        <v>0</v>
      </c>
      <c r="AE30" s="31">
        <f t="shared" si="22"/>
        <v>177</v>
      </c>
      <c r="AF30" s="31">
        <f t="shared" si="22"/>
        <v>479</v>
      </c>
    </row>
    <row r="31" spans="2:32" ht="23.1" customHeight="1" x14ac:dyDescent="0.25">
      <c r="B31" s="46" t="s">
        <v>58</v>
      </c>
      <c r="C31" s="50">
        <v>18</v>
      </c>
      <c r="D31" s="50">
        <v>10</v>
      </c>
      <c r="E31" s="50">
        <v>4</v>
      </c>
      <c r="F31" s="50">
        <v>12</v>
      </c>
      <c r="G31" s="50">
        <v>1</v>
      </c>
      <c r="H31" s="50">
        <v>0</v>
      </c>
      <c r="I31" s="50">
        <v>17</v>
      </c>
      <c r="J31" s="50">
        <v>12</v>
      </c>
      <c r="K31" s="50">
        <v>2</v>
      </c>
      <c r="L31" s="50">
        <v>2</v>
      </c>
      <c r="M31" s="50">
        <v>157</v>
      </c>
      <c r="N31" s="50">
        <v>0</v>
      </c>
      <c r="O31" s="15">
        <f t="shared" si="0"/>
        <v>78</v>
      </c>
      <c r="P31" s="15">
        <f t="shared" si="1"/>
        <v>235</v>
      </c>
      <c r="R31" s="36" t="s">
        <v>155</v>
      </c>
      <c r="S31" s="34">
        <f>SUM(C94:C97)</f>
        <v>203</v>
      </c>
      <c r="T31" s="34">
        <f t="shared" ref="T31:AF31" si="23">SUM(D94:D97)</f>
        <v>10</v>
      </c>
      <c r="U31" s="34">
        <f t="shared" si="23"/>
        <v>8</v>
      </c>
      <c r="V31" s="34">
        <f t="shared" si="23"/>
        <v>28</v>
      </c>
      <c r="W31" s="34">
        <f t="shared" si="23"/>
        <v>1</v>
      </c>
      <c r="X31" s="34">
        <f t="shared" si="23"/>
        <v>0</v>
      </c>
      <c r="Y31" s="34">
        <f t="shared" si="23"/>
        <v>17</v>
      </c>
      <c r="Z31" s="34">
        <f t="shared" si="23"/>
        <v>9</v>
      </c>
      <c r="AA31" s="34">
        <f t="shared" si="23"/>
        <v>4</v>
      </c>
      <c r="AB31" s="34">
        <f t="shared" si="23"/>
        <v>3</v>
      </c>
      <c r="AC31" s="34">
        <f t="shared" si="23"/>
        <v>301</v>
      </c>
      <c r="AD31" s="34">
        <f t="shared" si="23"/>
        <v>0</v>
      </c>
      <c r="AE31" s="31">
        <f t="shared" si="23"/>
        <v>283</v>
      </c>
      <c r="AF31" s="31">
        <f t="shared" si="23"/>
        <v>584</v>
      </c>
    </row>
    <row r="32" spans="2:32" ht="23.1" customHeight="1" x14ac:dyDescent="0.25">
      <c r="B32" s="46" t="s">
        <v>59</v>
      </c>
      <c r="C32" s="50">
        <v>15</v>
      </c>
      <c r="D32" s="50">
        <v>4</v>
      </c>
      <c r="E32" s="50">
        <v>2</v>
      </c>
      <c r="F32" s="50">
        <v>16</v>
      </c>
      <c r="G32" s="50">
        <v>1</v>
      </c>
      <c r="H32" s="50">
        <v>0</v>
      </c>
      <c r="I32" s="50">
        <v>12</v>
      </c>
      <c r="J32" s="50">
        <v>1</v>
      </c>
      <c r="K32" s="50">
        <v>0</v>
      </c>
      <c r="L32" s="50">
        <v>3</v>
      </c>
      <c r="M32" s="50">
        <v>103</v>
      </c>
      <c r="N32" s="50">
        <v>0</v>
      </c>
      <c r="O32" s="15">
        <f t="shared" si="0"/>
        <v>54</v>
      </c>
      <c r="P32" s="15">
        <f t="shared" si="1"/>
        <v>157</v>
      </c>
      <c r="R32" s="33" t="s">
        <v>156</v>
      </c>
      <c r="S32" s="34">
        <f>SUM(C98:C101)</f>
        <v>170</v>
      </c>
      <c r="T32" s="34">
        <f t="shared" ref="T32:AF32" si="24">SUM(D98:D101)</f>
        <v>31</v>
      </c>
      <c r="U32" s="34">
        <f t="shared" si="24"/>
        <v>10</v>
      </c>
      <c r="V32" s="34">
        <f t="shared" si="24"/>
        <v>66</v>
      </c>
      <c r="W32" s="34">
        <f t="shared" si="24"/>
        <v>0</v>
      </c>
      <c r="X32" s="34">
        <f t="shared" si="24"/>
        <v>0</v>
      </c>
      <c r="Y32" s="34">
        <f t="shared" si="24"/>
        <v>32</v>
      </c>
      <c r="Z32" s="34">
        <f t="shared" si="24"/>
        <v>25</v>
      </c>
      <c r="AA32" s="34">
        <f t="shared" si="24"/>
        <v>10</v>
      </c>
      <c r="AB32" s="34">
        <f t="shared" si="24"/>
        <v>7</v>
      </c>
      <c r="AC32" s="34">
        <f t="shared" si="24"/>
        <v>170</v>
      </c>
      <c r="AD32" s="34">
        <f t="shared" si="24"/>
        <v>0</v>
      </c>
      <c r="AE32" s="31">
        <f t="shared" si="24"/>
        <v>351</v>
      </c>
      <c r="AF32" s="31">
        <f t="shared" si="24"/>
        <v>521</v>
      </c>
    </row>
    <row r="33" spans="2:32" ht="23.1" customHeight="1" x14ac:dyDescent="0.25">
      <c r="B33" s="45" t="s">
        <v>60</v>
      </c>
      <c r="C33" s="50">
        <v>13</v>
      </c>
      <c r="D33" s="50">
        <v>8</v>
      </c>
      <c r="E33" s="50">
        <v>7</v>
      </c>
      <c r="F33" s="50">
        <v>22</v>
      </c>
      <c r="G33" s="50">
        <v>0</v>
      </c>
      <c r="H33" s="50">
        <v>0</v>
      </c>
      <c r="I33" s="50">
        <v>8</v>
      </c>
      <c r="J33" s="50">
        <v>4</v>
      </c>
      <c r="K33" s="50">
        <v>2</v>
      </c>
      <c r="L33" s="50">
        <v>0</v>
      </c>
      <c r="M33" s="50">
        <v>139</v>
      </c>
      <c r="N33" s="50">
        <v>0</v>
      </c>
      <c r="O33" s="15">
        <f t="shared" si="0"/>
        <v>64</v>
      </c>
      <c r="P33" s="15">
        <f t="shared" si="1"/>
        <v>203</v>
      </c>
      <c r="R33" s="33" t="s">
        <v>157</v>
      </c>
      <c r="S33" s="34">
        <f>SUM(C102:C105)</f>
        <v>98</v>
      </c>
      <c r="T33" s="34">
        <f t="shared" ref="T33:AF33" si="25">SUM(D102:D105)</f>
        <v>13</v>
      </c>
      <c r="U33" s="34">
        <f t="shared" si="25"/>
        <v>7</v>
      </c>
      <c r="V33" s="34">
        <f t="shared" si="25"/>
        <v>98</v>
      </c>
      <c r="W33" s="34">
        <f t="shared" si="25"/>
        <v>1</v>
      </c>
      <c r="X33" s="34">
        <f t="shared" si="25"/>
        <v>0</v>
      </c>
      <c r="Y33" s="34">
        <f t="shared" si="25"/>
        <v>16</v>
      </c>
      <c r="Z33" s="34">
        <f t="shared" si="25"/>
        <v>12</v>
      </c>
      <c r="AA33" s="34">
        <f t="shared" si="25"/>
        <v>10</v>
      </c>
      <c r="AB33" s="34">
        <f t="shared" si="25"/>
        <v>0</v>
      </c>
      <c r="AC33" s="34">
        <f t="shared" si="25"/>
        <v>550</v>
      </c>
      <c r="AD33" s="34">
        <f t="shared" si="25"/>
        <v>0</v>
      </c>
      <c r="AE33" s="31">
        <f t="shared" si="25"/>
        <v>255</v>
      </c>
      <c r="AF33" s="31">
        <f t="shared" si="25"/>
        <v>805</v>
      </c>
    </row>
    <row r="34" spans="2:32" ht="23.1" customHeight="1" x14ac:dyDescent="0.25">
      <c r="B34" s="46" t="s">
        <v>61</v>
      </c>
      <c r="C34" s="50">
        <v>17</v>
      </c>
      <c r="D34" s="50">
        <v>4</v>
      </c>
      <c r="E34" s="50">
        <v>1</v>
      </c>
      <c r="F34" s="50">
        <v>23</v>
      </c>
      <c r="G34" s="50">
        <v>1</v>
      </c>
      <c r="H34" s="50">
        <v>0</v>
      </c>
      <c r="I34" s="50">
        <v>9</v>
      </c>
      <c r="J34" s="50">
        <v>0</v>
      </c>
      <c r="K34" s="50">
        <v>0</v>
      </c>
      <c r="L34" s="50">
        <v>0</v>
      </c>
      <c r="M34" s="50">
        <v>107</v>
      </c>
      <c r="N34" s="50">
        <v>0</v>
      </c>
      <c r="O34" s="15">
        <f t="shared" si="0"/>
        <v>55</v>
      </c>
      <c r="P34" s="15">
        <f t="shared" si="1"/>
        <v>162</v>
      </c>
      <c r="R34" s="38" t="s">
        <v>90</v>
      </c>
      <c r="S34" s="39">
        <f t="shared" ref="S34:AF34" si="26">MAX(S10:S12)</f>
        <v>78</v>
      </c>
      <c r="T34" s="39">
        <f t="shared" si="26"/>
        <v>38</v>
      </c>
      <c r="U34" s="39">
        <f t="shared" si="26"/>
        <v>10</v>
      </c>
      <c r="V34" s="39">
        <f t="shared" si="26"/>
        <v>141</v>
      </c>
      <c r="W34" s="39">
        <f t="shared" si="26"/>
        <v>2</v>
      </c>
      <c r="X34" s="39">
        <f t="shared" si="26"/>
        <v>1</v>
      </c>
      <c r="Y34" s="39">
        <f t="shared" si="26"/>
        <v>55</v>
      </c>
      <c r="Z34" s="39">
        <f t="shared" si="26"/>
        <v>15</v>
      </c>
      <c r="AA34" s="39">
        <f t="shared" si="26"/>
        <v>3</v>
      </c>
      <c r="AB34" s="39">
        <f t="shared" si="26"/>
        <v>4</v>
      </c>
      <c r="AC34" s="39">
        <f t="shared" si="26"/>
        <v>938</v>
      </c>
      <c r="AD34" s="39">
        <f t="shared" si="26"/>
        <v>0</v>
      </c>
      <c r="AE34" s="40">
        <f t="shared" si="26"/>
        <v>326</v>
      </c>
      <c r="AF34" s="40">
        <f t="shared" si="26"/>
        <v>1253</v>
      </c>
    </row>
    <row r="35" spans="2:32" ht="23.1" customHeight="1" x14ac:dyDescent="0.25">
      <c r="B35" s="46" t="s">
        <v>62</v>
      </c>
      <c r="C35" s="50">
        <v>21</v>
      </c>
      <c r="D35" s="50">
        <v>5</v>
      </c>
      <c r="E35" s="50">
        <v>3</v>
      </c>
      <c r="F35" s="50">
        <v>19</v>
      </c>
      <c r="G35" s="50">
        <v>1</v>
      </c>
      <c r="H35" s="50">
        <v>0</v>
      </c>
      <c r="I35" s="50">
        <v>18</v>
      </c>
      <c r="J35" s="50">
        <v>2</v>
      </c>
      <c r="K35" s="50">
        <v>1</v>
      </c>
      <c r="L35" s="50">
        <v>1</v>
      </c>
      <c r="M35" s="50">
        <v>163</v>
      </c>
      <c r="N35" s="50">
        <v>0</v>
      </c>
      <c r="O35" s="15">
        <f t="shared" si="0"/>
        <v>71</v>
      </c>
      <c r="P35" s="15">
        <f t="shared" si="1"/>
        <v>234</v>
      </c>
      <c r="R35" s="38" t="s">
        <v>91</v>
      </c>
      <c r="S35" s="39">
        <f t="shared" ref="S35:AF35" si="27">MAX(S13:S18)</f>
        <v>103</v>
      </c>
      <c r="T35" s="39">
        <f t="shared" si="27"/>
        <v>47</v>
      </c>
      <c r="U35" s="39">
        <f t="shared" si="27"/>
        <v>21</v>
      </c>
      <c r="V35" s="39">
        <f t="shared" si="27"/>
        <v>108</v>
      </c>
      <c r="W35" s="39">
        <f t="shared" si="27"/>
        <v>6</v>
      </c>
      <c r="X35" s="39">
        <f t="shared" si="27"/>
        <v>1</v>
      </c>
      <c r="Y35" s="39">
        <f t="shared" si="27"/>
        <v>59</v>
      </c>
      <c r="Z35" s="39">
        <f t="shared" si="27"/>
        <v>24</v>
      </c>
      <c r="AA35" s="39">
        <f t="shared" si="27"/>
        <v>7</v>
      </c>
      <c r="AB35" s="39">
        <f t="shared" si="27"/>
        <v>5</v>
      </c>
      <c r="AC35" s="39">
        <f t="shared" si="27"/>
        <v>620</v>
      </c>
      <c r="AD35" s="39">
        <f t="shared" si="27"/>
        <v>0</v>
      </c>
      <c r="AE35" s="40">
        <f t="shared" si="27"/>
        <v>319</v>
      </c>
      <c r="AF35" s="40">
        <f t="shared" si="27"/>
        <v>919</v>
      </c>
    </row>
    <row r="36" spans="2:32" ht="23.1" customHeight="1" x14ac:dyDescent="0.25">
      <c r="B36" s="46" t="s">
        <v>63</v>
      </c>
      <c r="C36" s="50">
        <v>12</v>
      </c>
      <c r="D36" s="50">
        <v>8</v>
      </c>
      <c r="E36" s="50">
        <v>2</v>
      </c>
      <c r="F36" s="50">
        <v>11</v>
      </c>
      <c r="G36" s="50">
        <v>1</v>
      </c>
      <c r="H36" s="50">
        <v>0</v>
      </c>
      <c r="I36" s="50">
        <v>5</v>
      </c>
      <c r="J36" s="50">
        <v>3</v>
      </c>
      <c r="K36" s="50">
        <v>1</v>
      </c>
      <c r="L36" s="50">
        <v>1</v>
      </c>
      <c r="M36" s="50">
        <v>71</v>
      </c>
      <c r="N36" s="50">
        <v>0</v>
      </c>
      <c r="O36" s="15">
        <f t="shared" si="0"/>
        <v>44</v>
      </c>
      <c r="P36" s="15">
        <f t="shared" si="1"/>
        <v>115</v>
      </c>
      <c r="R36" s="38" t="s">
        <v>92</v>
      </c>
      <c r="S36" s="39">
        <f t="shared" ref="S36:AF36" si="28">MAX(S19:S21)</f>
        <v>85</v>
      </c>
      <c r="T36" s="39">
        <f t="shared" si="28"/>
        <v>47</v>
      </c>
      <c r="U36" s="39">
        <f t="shared" si="28"/>
        <v>15</v>
      </c>
      <c r="V36" s="39">
        <f t="shared" si="28"/>
        <v>122</v>
      </c>
      <c r="W36" s="39">
        <f t="shared" si="28"/>
        <v>4</v>
      </c>
      <c r="X36" s="39">
        <f t="shared" si="28"/>
        <v>2</v>
      </c>
      <c r="Y36" s="39">
        <f t="shared" si="28"/>
        <v>50</v>
      </c>
      <c r="Z36" s="39">
        <f t="shared" si="28"/>
        <v>19</v>
      </c>
      <c r="AA36" s="39">
        <f t="shared" si="28"/>
        <v>6</v>
      </c>
      <c r="AB36" s="39">
        <f t="shared" si="28"/>
        <v>3</v>
      </c>
      <c r="AC36" s="39">
        <f t="shared" si="28"/>
        <v>596</v>
      </c>
      <c r="AD36" s="39">
        <f t="shared" si="28"/>
        <v>0</v>
      </c>
      <c r="AE36" s="40">
        <f t="shared" si="28"/>
        <v>346</v>
      </c>
      <c r="AF36" s="40">
        <f t="shared" si="28"/>
        <v>882</v>
      </c>
    </row>
    <row r="37" spans="2:32" ht="23.1" customHeight="1" x14ac:dyDescent="0.25">
      <c r="B37" s="45" t="s">
        <v>64</v>
      </c>
      <c r="C37" s="50">
        <v>10</v>
      </c>
      <c r="D37" s="50">
        <v>11</v>
      </c>
      <c r="E37" s="50">
        <v>6</v>
      </c>
      <c r="F37" s="50">
        <v>12</v>
      </c>
      <c r="G37" s="50">
        <v>0</v>
      </c>
      <c r="H37" s="50">
        <v>0</v>
      </c>
      <c r="I37" s="50">
        <v>10</v>
      </c>
      <c r="J37" s="50">
        <v>8</v>
      </c>
      <c r="K37" s="50">
        <v>0</v>
      </c>
      <c r="L37" s="50">
        <v>1</v>
      </c>
      <c r="M37" s="50">
        <v>150</v>
      </c>
      <c r="N37" s="50">
        <v>0</v>
      </c>
      <c r="O37" s="15">
        <f t="shared" si="0"/>
        <v>58</v>
      </c>
      <c r="P37" s="15">
        <f t="shared" si="1"/>
        <v>208</v>
      </c>
      <c r="R37" s="37" t="s">
        <v>85</v>
      </c>
      <c r="S37" s="35">
        <f t="shared" ref="S37:AF37" si="29">SUM(S10:S12)</f>
        <v>223</v>
      </c>
      <c r="T37" s="16">
        <f t="shared" si="29"/>
        <v>93</v>
      </c>
      <c r="U37" s="16">
        <f t="shared" si="29"/>
        <v>28</v>
      </c>
      <c r="V37" s="16">
        <f t="shared" si="29"/>
        <v>385</v>
      </c>
      <c r="W37" s="16">
        <f t="shared" si="29"/>
        <v>5</v>
      </c>
      <c r="X37" s="16">
        <f t="shared" si="29"/>
        <v>2</v>
      </c>
      <c r="Y37" s="16">
        <f t="shared" si="29"/>
        <v>130</v>
      </c>
      <c r="Z37" s="16">
        <f t="shared" si="29"/>
        <v>42</v>
      </c>
      <c r="AA37" s="16">
        <f t="shared" si="29"/>
        <v>6</v>
      </c>
      <c r="AB37" s="16">
        <f t="shared" si="29"/>
        <v>9</v>
      </c>
      <c r="AC37" s="16">
        <f t="shared" si="29"/>
        <v>2252</v>
      </c>
      <c r="AD37" s="16">
        <f t="shared" si="29"/>
        <v>0</v>
      </c>
      <c r="AE37" s="32">
        <f t="shared" si="29"/>
        <v>923</v>
      </c>
      <c r="AF37" s="32">
        <f t="shared" si="29"/>
        <v>3175</v>
      </c>
    </row>
    <row r="38" spans="2:32" ht="23.1" customHeight="1" x14ac:dyDescent="0.25">
      <c r="B38" s="46" t="s">
        <v>65</v>
      </c>
      <c r="C38" s="50">
        <v>17</v>
      </c>
      <c r="D38" s="50">
        <v>12</v>
      </c>
      <c r="E38" s="50">
        <v>5</v>
      </c>
      <c r="F38" s="50">
        <v>29</v>
      </c>
      <c r="G38" s="50">
        <v>0</v>
      </c>
      <c r="H38" s="50">
        <v>0</v>
      </c>
      <c r="I38" s="50">
        <v>11</v>
      </c>
      <c r="J38" s="50">
        <v>7</v>
      </c>
      <c r="K38" s="50">
        <v>0</v>
      </c>
      <c r="L38" s="50">
        <v>0</v>
      </c>
      <c r="M38" s="50">
        <v>191</v>
      </c>
      <c r="N38" s="50">
        <v>0</v>
      </c>
      <c r="O38" s="15">
        <f t="shared" si="0"/>
        <v>81</v>
      </c>
      <c r="P38" s="15">
        <f t="shared" si="1"/>
        <v>272</v>
      </c>
      <c r="R38" s="28" t="s">
        <v>86</v>
      </c>
      <c r="S38" s="16">
        <f t="shared" ref="S38:AF38" si="30">SUM(S13:S18)</f>
        <v>437</v>
      </c>
      <c r="T38" s="16">
        <f t="shared" si="30"/>
        <v>187</v>
      </c>
      <c r="U38" s="16">
        <f t="shared" si="30"/>
        <v>99</v>
      </c>
      <c r="V38" s="16">
        <f t="shared" si="30"/>
        <v>516</v>
      </c>
      <c r="W38" s="16">
        <f t="shared" si="30"/>
        <v>15</v>
      </c>
      <c r="X38" s="16">
        <f t="shared" si="30"/>
        <v>3</v>
      </c>
      <c r="Y38" s="16">
        <f t="shared" si="30"/>
        <v>289</v>
      </c>
      <c r="Z38" s="16">
        <f t="shared" si="30"/>
        <v>91</v>
      </c>
      <c r="AA38" s="16">
        <f t="shared" si="30"/>
        <v>9</v>
      </c>
      <c r="AB38" s="16">
        <f t="shared" si="30"/>
        <v>16</v>
      </c>
      <c r="AC38" s="16">
        <f t="shared" si="30"/>
        <v>3369</v>
      </c>
      <c r="AD38" s="16">
        <f t="shared" si="30"/>
        <v>0</v>
      </c>
      <c r="AE38" s="32">
        <f t="shared" si="30"/>
        <v>1662</v>
      </c>
      <c r="AF38" s="32">
        <f t="shared" si="30"/>
        <v>5031</v>
      </c>
    </row>
    <row r="39" spans="2:32" ht="23.1" customHeight="1" x14ac:dyDescent="0.25">
      <c r="B39" s="46" t="s">
        <v>66</v>
      </c>
      <c r="C39" s="50">
        <v>31</v>
      </c>
      <c r="D39" s="50">
        <v>9</v>
      </c>
      <c r="E39" s="50">
        <v>4</v>
      </c>
      <c r="F39" s="50">
        <v>8</v>
      </c>
      <c r="G39" s="50">
        <v>0</v>
      </c>
      <c r="H39" s="50">
        <v>0</v>
      </c>
      <c r="I39" s="50">
        <v>9</v>
      </c>
      <c r="J39" s="50">
        <v>6</v>
      </c>
      <c r="K39" s="50">
        <v>0</v>
      </c>
      <c r="L39" s="50">
        <v>1</v>
      </c>
      <c r="M39" s="50">
        <v>105</v>
      </c>
      <c r="N39" s="50">
        <v>0</v>
      </c>
      <c r="O39" s="15">
        <f t="shared" si="0"/>
        <v>68</v>
      </c>
      <c r="P39" s="15">
        <f t="shared" si="1"/>
        <v>173</v>
      </c>
      <c r="R39" s="29" t="s">
        <v>87</v>
      </c>
      <c r="S39" s="16">
        <f t="shared" ref="S39:AF39" si="31">SUM(S19:S21)</f>
        <v>250</v>
      </c>
      <c r="T39" s="16">
        <f t="shared" si="31"/>
        <v>116</v>
      </c>
      <c r="U39" s="16">
        <f t="shared" si="31"/>
        <v>33</v>
      </c>
      <c r="V39" s="16">
        <f t="shared" si="31"/>
        <v>283</v>
      </c>
      <c r="W39" s="16">
        <f t="shared" si="31"/>
        <v>10</v>
      </c>
      <c r="X39" s="16">
        <f t="shared" si="31"/>
        <v>3</v>
      </c>
      <c r="Y39" s="16">
        <f t="shared" si="31"/>
        <v>136</v>
      </c>
      <c r="Z39" s="16">
        <f t="shared" si="31"/>
        <v>46</v>
      </c>
      <c r="AA39" s="16">
        <f t="shared" si="31"/>
        <v>14</v>
      </c>
      <c r="AB39" s="16">
        <f t="shared" si="31"/>
        <v>6</v>
      </c>
      <c r="AC39" s="16">
        <f t="shared" si="31"/>
        <v>1562</v>
      </c>
      <c r="AD39" s="16">
        <f t="shared" si="31"/>
        <v>0</v>
      </c>
      <c r="AE39" s="32">
        <f t="shared" si="31"/>
        <v>897</v>
      </c>
      <c r="AF39" s="32">
        <f t="shared" si="31"/>
        <v>2459</v>
      </c>
    </row>
    <row r="40" spans="2:32" ht="23.1" customHeight="1" x14ac:dyDescent="0.25">
      <c r="B40" s="46" t="s">
        <v>67</v>
      </c>
      <c r="C40" s="50">
        <v>23</v>
      </c>
      <c r="D40" s="50">
        <v>5</v>
      </c>
      <c r="E40" s="50">
        <v>4</v>
      </c>
      <c r="F40" s="50">
        <v>15</v>
      </c>
      <c r="G40" s="50">
        <v>0</v>
      </c>
      <c r="H40" s="50">
        <v>0</v>
      </c>
      <c r="I40" s="50">
        <v>13</v>
      </c>
      <c r="J40" s="50">
        <v>3</v>
      </c>
      <c r="K40" s="50">
        <v>0</v>
      </c>
      <c r="L40" s="50">
        <v>0</v>
      </c>
      <c r="M40" s="50">
        <v>144</v>
      </c>
      <c r="N40" s="50">
        <v>0</v>
      </c>
      <c r="O40" s="15">
        <f t="shared" si="0"/>
        <v>63</v>
      </c>
      <c r="P40" s="15">
        <f t="shared" si="1"/>
        <v>207</v>
      </c>
      <c r="R40" s="5" t="s">
        <v>17</v>
      </c>
      <c r="S40" s="16">
        <f t="shared" ref="S40:AF40" si="32">SUM(S10:S21)</f>
        <v>910</v>
      </c>
      <c r="T40" s="16">
        <f t="shared" si="32"/>
        <v>396</v>
      </c>
      <c r="U40" s="16">
        <f t="shared" si="32"/>
        <v>160</v>
      </c>
      <c r="V40" s="16">
        <f t="shared" si="32"/>
        <v>1184</v>
      </c>
      <c r="W40" s="16">
        <f t="shared" si="32"/>
        <v>30</v>
      </c>
      <c r="X40" s="16">
        <f t="shared" si="32"/>
        <v>8</v>
      </c>
      <c r="Y40" s="16">
        <f t="shared" si="32"/>
        <v>555</v>
      </c>
      <c r="Z40" s="16">
        <f t="shared" si="32"/>
        <v>179</v>
      </c>
      <c r="AA40" s="16">
        <f t="shared" si="32"/>
        <v>29</v>
      </c>
      <c r="AB40" s="16">
        <f t="shared" si="32"/>
        <v>31</v>
      </c>
      <c r="AC40" s="16">
        <f t="shared" si="32"/>
        <v>7183</v>
      </c>
      <c r="AD40" s="16">
        <f t="shared" si="32"/>
        <v>0</v>
      </c>
      <c r="AE40" s="32">
        <f t="shared" si="32"/>
        <v>3482</v>
      </c>
      <c r="AF40" s="32">
        <f t="shared" si="32"/>
        <v>10665</v>
      </c>
    </row>
    <row r="41" spans="2:32" ht="23.1" customHeight="1" x14ac:dyDescent="0.25">
      <c r="B41" s="45" t="s">
        <v>68</v>
      </c>
      <c r="C41" s="50">
        <v>20</v>
      </c>
      <c r="D41" s="50">
        <v>14</v>
      </c>
      <c r="E41" s="50">
        <v>5</v>
      </c>
      <c r="F41" s="50">
        <v>36</v>
      </c>
      <c r="G41" s="50">
        <v>0</v>
      </c>
      <c r="H41" s="50">
        <v>1</v>
      </c>
      <c r="I41" s="50">
        <v>14</v>
      </c>
      <c r="J41" s="50">
        <v>3</v>
      </c>
      <c r="K41" s="50">
        <v>0</v>
      </c>
      <c r="L41" s="50">
        <v>1</v>
      </c>
      <c r="M41" s="50">
        <v>131</v>
      </c>
      <c r="N41" s="50">
        <v>0</v>
      </c>
      <c r="O41" s="15">
        <f t="shared" si="0"/>
        <v>94</v>
      </c>
      <c r="P41" s="15">
        <f t="shared" si="1"/>
        <v>225</v>
      </c>
      <c r="R41" s="5" t="s">
        <v>159</v>
      </c>
      <c r="S41" s="16">
        <f>SUM(S10:S33)</f>
        <v>2701</v>
      </c>
      <c r="T41" s="16">
        <f t="shared" ref="T41:AF41" si="33">SUM(T10:T33)</f>
        <v>556</v>
      </c>
      <c r="U41" s="16">
        <f t="shared" si="33"/>
        <v>253</v>
      </c>
      <c r="V41" s="16">
        <f t="shared" si="33"/>
        <v>2265</v>
      </c>
      <c r="W41" s="16">
        <f t="shared" si="33"/>
        <v>37</v>
      </c>
      <c r="X41" s="16">
        <f t="shared" si="33"/>
        <v>14</v>
      </c>
      <c r="Y41" s="16">
        <f t="shared" si="33"/>
        <v>809</v>
      </c>
      <c r="Z41" s="16">
        <f t="shared" si="33"/>
        <v>367</v>
      </c>
      <c r="AA41" s="16">
        <f t="shared" si="33"/>
        <v>97</v>
      </c>
      <c r="AB41" s="16">
        <f t="shared" si="33"/>
        <v>72</v>
      </c>
      <c r="AC41" s="16">
        <f t="shared" si="33"/>
        <v>10099</v>
      </c>
      <c r="AD41" s="16">
        <f t="shared" si="33"/>
        <v>0</v>
      </c>
      <c r="AE41" s="32">
        <f t="shared" si="33"/>
        <v>7171</v>
      </c>
      <c r="AF41" s="32">
        <f t="shared" si="33"/>
        <v>17270</v>
      </c>
    </row>
    <row r="42" spans="2:32" ht="23.1" customHeight="1" x14ac:dyDescent="0.25">
      <c r="B42" s="46" t="s">
        <v>69</v>
      </c>
      <c r="C42" s="50">
        <v>21</v>
      </c>
      <c r="D42" s="50">
        <v>7</v>
      </c>
      <c r="E42" s="50">
        <v>4</v>
      </c>
      <c r="F42" s="50">
        <v>19</v>
      </c>
      <c r="G42" s="50">
        <v>1</v>
      </c>
      <c r="H42" s="50">
        <v>0</v>
      </c>
      <c r="I42" s="50">
        <v>19</v>
      </c>
      <c r="J42" s="50">
        <v>0</v>
      </c>
      <c r="K42" s="50">
        <v>0</v>
      </c>
      <c r="L42" s="50">
        <v>0</v>
      </c>
      <c r="M42" s="50">
        <v>145</v>
      </c>
      <c r="N42" s="50">
        <v>0</v>
      </c>
      <c r="O42" s="15">
        <f t="shared" si="0"/>
        <v>71</v>
      </c>
      <c r="P42" s="15">
        <f t="shared" si="1"/>
        <v>216</v>
      </c>
      <c r="R42" s="5" t="s">
        <v>160</v>
      </c>
      <c r="S42" s="48">
        <f>S41/S40</f>
        <v>2.9681318681318682</v>
      </c>
      <c r="T42" s="48">
        <f t="shared" ref="T42:AF42" si="34">T41/T40</f>
        <v>1.404040404040404</v>
      </c>
      <c r="U42" s="48">
        <f t="shared" si="34"/>
        <v>1.58125</v>
      </c>
      <c r="V42" s="48">
        <f t="shared" si="34"/>
        <v>1.9130067567567568</v>
      </c>
      <c r="W42" s="48">
        <f t="shared" si="34"/>
        <v>1.2333333333333334</v>
      </c>
      <c r="X42" s="48">
        <f t="shared" si="34"/>
        <v>1.75</v>
      </c>
      <c r="Y42" s="48">
        <f t="shared" si="34"/>
        <v>1.4576576576576576</v>
      </c>
      <c r="Z42" s="48">
        <f t="shared" si="34"/>
        <v>2.0502793296089385</v>
      </c>
      <c r="AA42" s="48">
        <f t="shared" si="34"/>
        <v>3.3448275862068964</v>
      </c>
      <c r="AB42" s="48">
        <f t="shared" si="34"/>
        <v>2.3225806451612905</v>
      </c>
      <c r="AC42" s="48">
        <f t="shared" si="34"/>
        <v>1.405958513156063</v>
      </c>
      <c r="AD42" s="48" t="e">
        <f t="shared" si="34"/>
        <v>#DIV/0!</v>
      </c>
      <c r="AE42" s="48">
        <f t="shared" si="34"/>
        <v>2.0594485927627799</v>
      </c>
      <c r="AF42" s="48">
        <f t="shared" si="34"/>
        <v>1.6193155180496952</v>
      </c>
    </row>
    <row r="43" spans="2:32" ht="23.1" customHeight="1" x14ac:dyDescent="0.25">
      <c r="B43" s="45" t="s">
        <v>70</v>
      </c>
      <c r="C43" s="50">
        <v>18</v>
      </c>
      <c r="D43" s="50">
        <v>4</v>
      </c>
      <c r="E43" s="50">
        <v>2</v>
      </c>
      <c r="F43" s="50">
        <v>13</v>
      </c>
      <c r="G43" s="50">
        <v>0</v>
      </c>
      <c r="H43" s="50">
        <v>0</v>
      </c>
      <c r="I43" s="50">
        <v>18</v>
      </c>
      <c r="J43" s="50">
        <v>0</v>
      </c>
      <c r="K43" s="50">
        <v>0</v>
      </c>
      <c r="L43" s="50">
        <v>0</v>
      </c>
      <c r="M43" s="50">
        <v>104</v>
      </c>
      <c r="N43" s="50">
        <v>0</v>
      </c>
      <c r="O43" s="15">
        <f t="shared" si="0"/>
        <v>55</v>
      </c>
      <c r="P43" s="15">
        <f t="shared" si="1"/>
        <v>159</v>
      </c>
    </row>
    <row r="44" spans="2:32" ht="23.1" customHeight="1" x14ac:dyDescent="0.25">
      <c r="B44" s="47" t="s">
        <v>71</v>
      </c>
      <c r="C44" s="50">
        <v>23</v>
      </c>
      <c r="D44" s="50">
        <v>0</v>
      </c>
      <c r="E44" s="50">
        <v>5</v>
      </c>
      <c r="F44" s="50">
        <v>34</v>
      </c>
      <c r="G44" s="50">
        <v>0</v>
      </c>
      <c r="H44" s="50">
        <v>0</v>
      </c>
      <c r="I44" s="50">
        <v>8</v>
      </c>
      <c r="J44" s="50">
        <v>3</v>
      </c>
      <c r="K44" s="50">
        <v>0</v>
      </c>
      <c r="L44" s="50">
        <v>0</v>
      </c>
      <c r="M44" s="50">
        <v>145</v>
      </c>
      <c r="N44" s="50">
        <v>0</v>
      </c>
      <c r="O44" s="15">
        <f t="shared" si="0"/>
        <v>73</v>
      </c>
      <c r="P44" s="15">
        <f t="shared" si="1"/>
        <v>218</v>
      </c>
    </row>
    <row r="45" spans="2:32" ht="23.1" customHeight="1" x14ac:dyDescent="0.25">
      <c r="B45" s="45" t="s">
        <v>72</v>
      </c>
      <c r="C45" s="50">
        <v>41</v>
      </c>
      <c r="D45" s="50">
        <v>11</v>
      </c>
      <c r="E45" s="50">
        <v>7</v>
      </c>
      <c r="F45" s="50">
        <v>38</v>
      </c>
      <c r="G45" s="50">
        <v>1</v>
      </c>
      <c r="H45" s="50">
        <v>0</v>
      </c>
      <c r="I45" s="50">
        <v>14</v>
      </c>
      <c r="J45" s="50">
        <v>7</v>
      </c>
      <c r="K45" s="50">
        <v>0</v>
      </c>
      <c r="L45" s="50">
        <v>1</v>
      </c>
      <c r="M45" s="50">
        <v>157</v>
      </c>
      <c r="N45" s="50">
        <v>0</v>
      </c>
      <c r="O45" s="15">
        <f t="shared" si="0"/>
        <v>120</v>
      </c>
      <c r="P45" s="15">
        <f t="shared" si="1"/>
        <v>277</v>
      </c>
    </row>
    <row r="46" spans="2:32" ht="23.1" customHeight="1" x14ac:dyDescent="0.25">
      <c r="B46" s="46" t="s">
        <v>73</v>
      </c>
      <c r="C46" s="50">
        <v>13</v>
      </c>
      <c r="D46" s="50">
        <v>18</v>
      </c>
      <c r="E46" s="50">
        <v>4</v>
      </c>
      <c r="F46" s="50">
        <v>11</v>
      </c>
      <c r="G46" s="50">
        <v>0</v>
      </c>
      <c r="H46" s="50">
        <v>0</v>
      </c>
      <c r="I46" s="50">
        <v>16</v>
      </c>
      <c r="J46" s="50">
        <v>3</v>
      </c>
      <c r="K46" s="50">
        <v>1</v>
      </c>
      <c r="L46" s="50">
        <v>0</v>
      </c>
      <c r="M46" s="50">
        <v>122</v>
      </c>
      <c r="N46" s="50">
        <v>0</v>
      </c>
      <c r="O46" s="15">
        <f t="shared" si="0"/>
        <v>66</v>
      </c>
      <c r="P46" s="15">
        <f t="shared" si="1"/>
        <v>188</v>
      </c>
      <c r="R46" s="8"/>
      <c r="T46"/>
    </row>
    <row r="47" spans="2:32" ht="23.1" customHeight="1" x14ac:dyDescent="0.25">
      <c r="B47" s="46" t="s">
        <v>74</v>
      </c>
      <c r="C47" s="50">
        <v>23</v>
      </c>
      <c r="D47" s="50">
        <v>8</v>
      </c>
      <c r="E47" s="50">
        <v>3</v>
      </c>
      <c r="F47" s="50">
        <v>45</v>
      </c>
      <c r="G47" s="50">
        <v>0</v>
      </c>
      <c r="H47" s="50">
        <v>0</v>
      </c>
      <c r="I47" s="50">
        <v>11</v>
      </c>
      <c r="J47" s="50">
        <v>2</v>
      </c>
      <c r="K47" s="50">
        <v>3</v>
      </c>
      <c r="L47" s="50">
        <v>2</v>
      </c>
      <c r="M47" s="50">
        <v>162</v>
      </c>
      <c r="N47" s="50">
        <v>0</v>
      </c>
      <c r="O47" s="15">
        <f t="shared" si="0"/>
        <v>97</v>
      </c>
      <c r="P47" s="15">
        <f t="shared" si="1"/>
        <v>259</v>
      </c>
      <c r="R47" s="8"/>
      <c r="T47"/>
    </row>
    <row r="48" spans="2:32" ht="23.1" customHeight="1" x14ac:dyDescent="0.25">
      <c r="B48" s="46" t="s">
        <v>75</v>
      </c>
      <c r="C48" s="50">
        <v>22</v>
      </c>
      <c r="D48" s="50">
        <v>16</v>
      </c>
      <c r="E48" s="50">
        <v>2</v>
      </c>
      <c r="F48" s="50">
        <v>48</v>
      </c>
      <c r="G48" s="50">
        <v>2</v>
      </c>
      <c r="H48" s="50">
        <v>1</v>
      </c>
      <c r="I48" s="50">
        <v>15</v>
      </c>
      <c r="J48" s="50">
        <v>6</v>
      </c>
      <c r="K48" s="50">
        <v>0</v>
      </c>
      <c r="L48" s="50">
        <v>1</v>
      </c>
      <c r="M48" s="50">
        <v>160</v>
      </c>
      <c r="N48" s="50">
        <v>0</v>
      </c>
      <c r="O48" s="15">
        <f t="shared" si="0"/>
        <v>113</v>
      </c>
      <c r="P48" s="15">
        <f t="shared" si="1"/>
        <v>273</v>
      </c>
      <c r="R48" s="8"/>
      <c r="T48"/>
    </row>
    <row r="49" spans="2:20" ht="23.1" customHeight="1" x14ac:dyDescent="0.25">
      <c r="B49" s="45" t="s">
        <v>76</v>
      </c>
      <c r="C49" s="50">
        <v>27</v>
      </c>
      <c r="D49" s="50">
        <v>5</v>
      </c>
      <c r="E49" s="50">
        <v>6</v>
      </c>
      <c r="F49" s="50">
        <v>18</v>
      </c>
      <c r="G49" s="50">
        <v>0</v>
      </c>
      <c r="H49" s="50">
        <v>0</v>
      </c>
      <c r="I49" s="50">
        <v>8</v>
      </c>
      <c r="J49" s="50">
        <v>4</v>
      </c>
      <c r="K49" s="50">
        <v>2</v>
      </c>
      <c r="L49" s="50">
        <v>0</v>
      </c>
      <c r="M49" s="50">
        <v>92</v>
      </c>
      <c r="N49" s="50">
        <v>0</v>
      </c>
      <c r="O49" s="15">
        <f t="shared" si="0"/>
        <v>70</v>
      </c>
      <c r="P49" s="15">
        <f t="shared" si="1"/>
        <v>162</v>
      </c>
      <c r="R49" s="8"/>
      <c r="T49"/>
    </row>
    <row r="50" spans="2:20" ht="23.1" customHeight="1" x14ac:dyDescent="0.25">
      <c r="B50" s="46" t="s">
        <v>77</v>
      </c>
      <c r="C50" s="50">
        <v>18</v>
      </c>
      <c r="D50" s="50">
        <v>7</v>
      </c>
      <c r="E50" s="50">
        <v>4</v>
      </c>
      <c r="F50" s="50">
        <v>25</v>
      </c>
      <c r="G50" s="50">
        <v>0</v>
      </c>
      <c r="H50" s="50">
        <v>0</v>
      </c>
      <c r="I50" s="50">
        <v>8</v>
      </c>
      <c r="J50" s="50">
        <v>4</v>
      </c>
      <c r="K50" s="50">
        <v>1</v>
      </c>
      <c r="L50" s="50">
        <v>2</v>
      </c>
      <c r="M50" s="50">
        <v>213</v>
      </c>
      <c r="N50" s="50">
        <v>0</v>
      </c>
      <c r="O50" s="15">
        <f t="shared" si="0"/>
        <v>69</v>
      </c>
      <c r="P50" s="15">
        <f t="shared" si="1"/>
        <v>282</v>
      </c>
      <c r="R50" s="8"/>
      <c r="T50"/>
    </row>
    <row r="51" spans="2:20" ht="23.1" customHeight="1" x14ac:dyDescent="0.25">
      <c r="B51" s="46" t="s">
        <v>78</v>
      </c>
      <c r="C51" s="50">
        <v>24</v>
      </c>
      <c r="D51" s="50">
        <v>12</v>
      </c>
      <c r="E51" s="50">
        <v>0</v>
      </c>
      <c r="F51" s="50">
        <v>20</v>
      </c>
      <c r="G51" s="50">
        <v>2</v>
      </c>
      <c r="H51" s="50">
        <v>0</v>
      </c>
      <c r="I51" s="50">
        <v>18</v>
      </c>
      <c r="J51" s="50">
        <v>6</v>
      </c>
      <c r="K51" s="50">
        <v>1</v>
      </c>
      <c r="L51" s="50">
        <v>0</v>
      </c>
      <c r="M51" s="50">
        <v>106</v>
      </c>
      <c r="N51" s="50">
        <v>0</v>
      </c>
      <c r="O51" s="15">
        <f t="shared" si="0"/>
        <v>83</v>
      </c>
      <c r="P51" s="15">
        <f t="shared" si="1"/>
        <v>189</v>
      </c>
      <c r="R51" s="8"/>
      <c r="T51"/>
    </row>
    <row r="52" spans="2:20" ht="23.1" customHeight="1" x14ac:dyDescent="0.25">
      <c r="B52" s="46" t="s">
        <v>79</v>
      </c>
      <c r="C52" s="50">
        <v>17</v>
      </c>
      <c r="D52" s="50">
        <v>12</v>
      </c>
      <c r="E52" s="50">
        <v>1</v>
      </c>
      <c r="F52" s="50">
        <v>15</v>
      </c>
      <c r="G52" s="50">
        <v>1</v>
      </c>
      <c r="H52" s="50">
        <v>0</v>
      </c>
      <c r="I52" s="50">
        <v>8</v>
      </c>
      <c r="J52" s="50">
        <v>5</v>
      </c>
      <c r="K52" s="50">
        <v>2</v>
      </c>
      <c r="L52" s="50">
        <v>0</v>
      </c>
      <c r="M52" s="50">
        <v>151</v>
      </c>
      <c r="N52" s="50">
        <v>0</v>
      </c>
      <c r="O52" s="15">
        <f t="shared" si="0"/>
        <v>61</v>
      </c>
      <c r="P52" s="15">
        <f t="shared" si="1"/>
        <v>212</v>
      </c>
      <c r="R52" s="8"/>
      <c r="T52"/>
    </row>
    <row r="53" spans="2:20" ht="23.1" customHeight="1" x14ac:dyDescent="0.25">
      <c r="B53" s="45" t="s">
        <v>80</v>
      </c>
      <c r="C53" s="50">
        <v>22</v>
      </c>
      <c r="D53" s="50">
        <v>8</v>
      </c>
      <c r="E53" s="50">
        <v>7</v>
      </c>
      <c r="F53" s="50">
        <v>17</v>
      </c>
      <c r="G53" s="50">
        <v>1</v>
      </c>
      <c r="H53" s="50">
        <v>0</v>
      </c>
      <c r="I53" s="50">
        <v>9</v>
      </c>
      <c r="J53" s="50">
        <v>4</v>
      </c>
      <c r="K53" s="50">
        <v>0</v>
      </c>
      <c r="L53" s="50">
        <v>1</v>
      </c>
      <c r="M53" s="50">
        <v>126</v>
      </c>
      <c r="N53" s="50">
        <v>0</v>
      </c>
      <c r="O53" s="15">
        <f t="shared" si="0"/>
        <v>69</v>
      </c>
      <c r="P53" s="15">
        <f t="shared" si="1"/>
        <v>195</v>
      </c>
      <c r="R53" s="8"/>
      <c r="T53"/>
    </row>
    <row r="54" spans="2:20" ht="23.1" customHeight="1" x14ac:dyDescent="0.25">
      <c r="B54" s="45" t="s">
        <v>81</v>
      </c>
      <c r="C54" s="50">
        <v>18</v>
      </c>
      <c r="D54" s="50">
        <v>3</v>
      </c>
      <c r="E54" s="50">
        <v>3</v>
      </c>
      <c r="F54" s="50">
        <v>21</v>
      </c>
      <c r="G54" s="50">
        <v>0</v>
      </c>
      <c r="H54" s="50">
        <v>0</v>
      </c>
      <c r="I54" s="50">
        <v>3</v>
      </c>
      <c r="J54" s="50">
        <v>5</v>
      </c>
      <c r="K54" s="50">
        <v>1</v>
      </c>
      <c r="L54" s="50">
        <v>0</v>
      </c>
      <c r="M54" s="50">
        <v>120</v>
      </c>
      <c r="N54" s="50">
        <v>0</v>
      </c>
      <c r="O54" s="15">
        <f t="shared" si="0"/>
        <v>54</v>
      </c>
      <c r="P54" s="15">
        <f t="shared" si="1"/>
        <v>174</v>
      </c>
      <c r="R54" s="8"/>
      <c r="T54"/>
    </row>
    <row r="55" spans="2:20" ht="23.1" customHeight="1" x14ac:dyDescent="0.25">
      <c r="B55" s="45" t="s">
        <v>82</v>
      </c>
      <c r="C55" s="50">
        <v>27</v>
      </c>
      <c r="D55" s="50">
        <v>12</v>
      </c>
      <c r="E55" s="50">
        <v>2</v>
      </c>
      <c r="F55" s="50">
        <v>38</v>
      </c>
      <c r="G55" s="50">
        <v>0</v>
      </c>
      <c r="H55" s="50">
        <v>0</v>
      </c>
      <c r="I55" s="50">
        <v>22</v>
      </c>
      <c r="J55" s="50">
        <v>4</v>
      </c>
      <c r="K55" s="50">
        <v>0</v>
      </c>
      <c r="L55" s="50">
        <v>0</v>
      </c>
      <c r="M55" s="50">
        <v>98</v>
      </c>
      <c r="N55" s="50">
        <v>0</v>
      </c>
      <c r="O55" s="15">
        <f t="shared" si="0"/>
        <v>105</v>
      </c>
      <c r="P55" s="15">
        <f t="shared" si="1"/>
        <v>203</v>
      </c>
      <c r="R55" s="8"/>
      <c r="T55"/>
    </row>
    <row r="56" spans="2:20" ht="23.1" customHeight="1" x14ac:dyDescent="0.25">
      <c r="B56" s="45" t="s">
        <v>83</v>
      </c>
      <c r="C56" s="50">
        <v>25</v>
      </c>
      <c r="D56" s="50">
        <v>5</v>
      </c>
      <c r="E56" s="50">
        <v>0</v>
      </c>
      <c r="F56" s="50">
        <v>7</v>
      </c>
      <c r="G56" s="50">
        <v>1</v>
      </c>
      <c r="H56" s="50">
        <v>2</v>
      </c>
      <c r="I56" s="50">
        <v>4</v>
      </c>
      <c r="J56" s="50">
        <v>2</v>
      </c>
      <c r="K56" s="50">
        <v>1</v>
      </c>
      <c r="L56" s="50">
        <v>0</v>
      </c>
      <c r="M56" s="50">
        <v>124</v>
      </c>
      <c r="N56" s="50">
        <v>0</v>
      </c>
      <c r="O56" s="15">
        <f t="shared" si="0"/>
        <v>47</v>
      </c>
      <c r="P56" s="15">
        <f t="shared" si="1"/>
        <v>171</v>
      </c>
      <c r="R56" s="8"/>
      <c r="T56"/>
    </row>
    <row r="57" spans="2:20" ht="23.1" customHeight="1" x14ac:dyDescent="0.25">
      <c r="B57" s="45" t="s">
        <v>84</v>
      </c>
      <c r="C57" s="50">
        <v>14</v>
      </c>
      <c r="D57" s="50">
        <v>10</v>
      </c>
      <c r="E57" s="50">
        <v>1</v>
      </c>
      <c r="F57" s="50">
        <v>18</v>
      </c>
      <c r="G57" s="50">
        <v>3</v>
      </c>
      <c r="H57" s="50">
        <v>0</v>
      </c>
      <c r="I57" s="50">
        <v>14</v>
      </c>
      <c r="J57" s="50">
        <v>1</v>
      </c>
      <c r="K57" s="50">
        <v>2</v>
      </c>
      <c r="L57" s="50">
        <v>0</v>
      </c>
      <c r="M57" s="50">
        <v>88</v>
      </c>
      <c r="N57" s="50">
        <v>0</v>
      </c>
      <c r="O57" s="15">
        <f t="shared" si="0"/>
        <v>63</v>
      </c>
      <c r="P57" s="15">
        <f t="shared" si="1"/>
        <v>151</v>
      </c>
      <c r="R57" s="8"/>
      <c r="T57"/>
    </row>
    <row r="58" spans="2:20" ht="23.1" customHeight="1" x14ac:dyDescent="0.25">
      <c r="B58" s="45" t="s">
        <v>99</v>
      </c>
      <c r="C58" s="50">
        <v>37</v>
      </c>
      <c r="D58" s="50">
        <v>5</v>
      </c>
      <c r="E58" s="50">
        <v>3</v>
      </c>
      <c r="F58" s="50">
        <v>16</v>
      </c>
      <c r="G58" s="50">
        <v>0</v>
      </c>
      <c r="H58" s="50">
        <v>0</v>
      </c>
      <c r="I58" s="50">
        <v>10</v>
      </c>
      <c r="J58" s="50">
        <v>10</v>
      </c>
      <c r="K58" s="50">
        <v>1</v>
      </c>
      <c r="L58" s="50">
        <v>3</v>
      </c>
      <c r="M58" s="50">
        <v>0</v>
      </c>
      <c r="N58" s="50">
        <v>0</v>
      </c>
      <c r="O58" s="15">
        <f t="shared" si="0"/>
        <v>85</v>
      </c>
      <c r="P58" s="15">
        <f t="shared" si="1"/>
        <v>85</v>
      </c>
      <c r="R58" s="8"/>
      <c r="T58"/>
    </row>
    <row r="59" spans="2:20" ht="23.1" customHeight="1" x14ac:dyDescent="0.25">
      <c r="B59" s="45" t="s">
        <v>100</v>
      </c>
      <c r="C59" s="50">
        <v>43</v>
      </c>
      <c r="D59" s="50">
        <v>2</v>
      </c>
      <c r="E59" s="50">
        <v>6</v>
      </c>
      <c r="F59" s="50">
        <v>26</v>
      </c>
      <c r="G59" s="50">
        <v>0</v>
      </c>
      <c r="H59" s="50">
        <v>2</v>
      </c>
      <c r="I59" s="50">
        <v>10</v>
      </c>
      <c r="J59" s="50">
        <v>6</v>
      </c>
      <c r="K59" s="50">
        <v>3</v>
      </c>
      <c r="L59" s="50">
        <v>4</v>
      </c>
      <c r="M59" s="50">
        <v>0</v>
      </c>
      <c r="N59" s="50">
        <v>0</v>
      </c>
      <c r="O59" s="15">
        <f t="shared" si="0"/>
        <v>102</v>
      </c>
      <c r="P59" s="15">
        <f t="shared" si="1"/>
        <v>102</v>
      </c>
      <c r="R59" s="8"/>
      <c r="T59"/>
    </row>
    <row r="60" spans="2:20" ht="23.1" customHeight="1" x14ac:dyDescent="0.25">
      <c r="B60" s="45" t="s">
        <v>101</v>
      </c>
      <c r="C60" s="50">
        <v>50</v>
      </c>
      <c r="D60" s="50">
        <v>1</v>
      </c>
      <c r="E60" s="50">
        <v>3</v>
      </c>
      <c r="F60" s="50">
        <v>24</v>
      </c>
      <c r="G60" s="50">
        <v>0</v>
      </c>
      <c r="H60" s="50">
        <v>0</v>
      </c>
      <c r="I60" s="50">
        <v>9</v>
      </c>
      <c r="J60" s="50">
        <v>7</v>
      </c>
      <c r="K60" s="50">
        <v>5</v>
      </c>
      <c r="L60" s="50">
        <v>1</v>
      </c>
      <c r="M60" s="50">
        <v>0</v>
      </c>
      <c r="N60" s="50">
        <v>0</v>
      </c>
      <c r="O60" s="15">
        <f t="shared" si="0"/>
        <v>100</v>
      </c>
      <c r="P60" s="15">
        <f t="shared" si="1"/>
        <v>100</v>
      </c>
      <c r="R60" s="8"/>
      <c r="T60"/>
    </row>
    <row r="61" spans="2:20" ht="23.1" customHeight="1" x14ac:dyDescent="0.25">
      <c r="B61" s="45" t="s">
        <v>102</v>
      </c>
      <c r="C61" s="50">
        <v>30</v>
      </c>
      <c r="D61" s="50">
        <v>2</v>
      </c>
      <c r="E61" s="50">
        <v>4</v>
      </c>
      <c r="F61" s="50">
        <v>18</v>
      </c>
      <c r="G61" s="50">
        <v>0</v>
      </c>
      <c r="H61" s="50">
        <v>0</v>
      </c>
      <c r="I61" s="50">
        <v>3</v>
      </c>
      <c r="J61" s="50">
        <v>2</v>
      </c>
      <c r="K61" s="50">
        <v>0</v>
      </c>
      <c r="L61" s="50">
        <v>0</v>
      </c>
      <c r="M61" s="50">
        <v>0</v>
      </c>
      <c r="N61" s="50">
        <v>0</v>
      </c>
      <c r="O61" s="15">
        <f t="shared" si="0"/>
        <v>59</v>
      </c>
      <c r="P61" s="15">
        <f t="shared" si="1"/>
        <v>59</v>
      </c>
      <c r="R61" s="8"/>
      <c r="T61"/>
    </row>
    <row r="62" spans="2:20" ht="23.1" customHeight="1" x14ac:dyDescent="0.25">
      <c r="B62" s="45" t="s">
        <v>107</v>
      </c>
      <c r="C62" s="50">
        <v>45</v>
      </c>
      <c r="D62" s="50">
        <v>5</v>
      </c>
      <c r="E62" s="50">
        <v>2</v>
      </c>
      <c r="F62" s="50">
        <v>21</v>
      </c>
      <c r="G62" s="50">
        <v>0</v>
      </c>
      <c r="H62" s="50">
        <v>0</v>
      </c>
      <c r="I62" s="50">
        <v>3</v>
      </c>
      <c r="J62" s="50">
        <v>8</v>
      </c>
      <c r="K62" s="50">
        <v>2</v>
      </c>
      <c r="L62" s="50">
        <v>0</v>
      </c>
      <c r="M62" s="50">
        <v>0</v>
      </c>
      <c r="N62" s="50">
        <v>0</v>
      </c>
      <c r="O62" s="15">
        <f t="shared" si="0"/>
        <v>86</v>
      </c>
      <c r="P62" s="15">
        <f t="shared" si="1"/>
        <v>86</v>
      </c>
      <c r="R62" s="8"/>
      <c r="T62"/>
    </row>
    <row r="63" spans="2:20" ht="23.1" customHeight="1" x14ac:dyDescent="0.25">
      <c r="B63" s="45" t="s">
        <v>108</v>
      </c>
      <c r="C63" s="50">
        <v>25</v>
      </c>
      <c r="D63" s="50">
        <v>2</v>
      </c>
      <c r="E63" s="50">
        <v>2</v>
      </c>
      <c r="F63" s="50">
        <v>20</v>
      </c>
      <c r="G63" s="50">
        <v>0</v>
      </c>
      <c r="H63" s="50">
        <v>0</v>
      </c>
      <c r="I63" s="50">
        <v>4</v>
      </c>
      <c r="J63" s="50">
        <v>4</v>
      </c>
      <c r="K63" s="50">
        <v>0</v>
      </c>
      <c r="L63" s="50">
        <v>1</v>
      </c>
      <c r="M63" s="50">
        <v>0</v>
      </c>
      <c r="N63" s="50">
        <v>0</v>
      </c>
      <c r="O63" s="15">
        <f t="shared" si="0"/>
        <v>58</v>
      </c>
      <c r="P63" s="15">
        <f t="shared" si="1"/>
        <v>58</v>
      </c>
      <c r="R63" s="8"/>
      <c r="T63"/>
    </row>
    <row r="64" spans="2:20" ht="23.1" customHeight="1" x14ac:dyDescent="0.25">
      <c r="B64" s="45" t="s">
        <v>109</v>
      </c>
      <c r="C64" s="50">
        <v>30</v>
      </c>
      <c r="D64" s="50">
        <v>3</v>
      </c>
      <c r="E64" s="50">
        <v>0</v>
      </c>
      <c r="F64" s="50">
        <v>17</v>
      </c>
      <c r="G64" s="50">
        <v>0</v>
      </c>
      <c r="H64" s="50">
        <v>0</v>
      </c>
      <c r="I64" s="50">
        <v>4</v>
      </c>
      <c r="J64" s="50">
        <v>5</v>
      </c>
      <c r="K64" s="50">
        <v>0</v>
      </c>
      <c r="L64" s="50">
        <v>0</v>
      </c>
      <c r="M64" s="50">
        <v>0</v>
      </c>
      <c r="N64" s="50">
        <v>0</v>
      </c>
      <c r="O64" s="15">
        <f t="shared" si="0"/>
        <v>59</v>
      </c>
      <c r="P64" s="15">
        <f t="shared" si="1"/>
        <v>59</v>
      </c>
      <c r="R64" s="8"/>
      <c r="T64"/>
    </row>
    <row r="65" spans="2:20" ht="23.1" customHeight="1" x14ac:dyDescent="0.25">
      <c r="B65" s="45" t="s">
        <v>158</v>
      </c>
      <c r="C65" s="50">
        <v>41</v>
      </c>
      <c r="D65" s="50">
        <v>0</v>
      </c>
      <c r="E65" s="50">
        <v>1</v>
      </c>
      <c r="F65" s="50">
        <v>23</v>
      </c>
      <c r="G65" s="50">
        <v>0</v>
      </c>
      <c r="H65" s="50">
        <v>0</v>
      </c>
      <c r="I65" s="50">
        <v>4</v>
      </c>
      <c r="J65" s="50">
        <v>5</v>
      </c>
      <c r="K65" s="50">
        <v>2</v>
      </c>
      <c r="L65" s="50">
        <v>2</v>
      </c>
      <c r="M65" s="50">
        <v>0</v>
      </c>
      <c r="N65" s="50">
        <v>0</v>
      </c>
      <c r="O65" s="15">
        <f t="shared" si="0"/>
        <v>78</v>
      </c>
      <c r="P65" s="15">
        <f t="shared" si="1"/>
        <v>78</v>
      </c>
      <c r="R65" s="8"/>
      <c r="T65"/>
    </row>
    <row r="66" spans="2:20" ht="23.1" customHeight="1" x14ac:dyDescent="0.25">
      <c r="B66" s="45" t="s">
        <v>103</v>
      </c>
      <c r="C66" s="50">
        <v>24</v>
      </c>
      <c r="D66" s="50">
        <v>3</v>
      </c>
      <c r="E66" s="50">
        <v>1</v>
      </c>
      <c r="F66" s="50">
        <v>16</v>
      </c>
      <c r="G66" s="50">
        <v>2</v>
      </c>
      <c r="H66" s="50">
        <v>0</v>
      </c>
      <c r="I66" s="50">
        <v>4</v>
      </c>
      <c r="J66" s="50">
        <v>2</v>
      </c>
      <c r="K66" s="50">
        <v>1</v>
      </c>
      <c r="L66" s="50">
        <v>0</v>
      </c>
      <c r="M66" s="50">
        <v>0</v>
      </c>
      <c r="N66" s="50">
        <v>0</v>
      </c>
      <c r="O66" s="15">
        <f t="shared" si="0"/>
        <v>53</v>
      </c>
      <c r="P66" s="15">
        <f t="shared" si="1"/>
        <v>53</v>
      </c>
      <c r="R66" s="8"/>
      <c r="T66"/>
    </row>
    <row r="67" spans="2:20" ht="23.1" customHeight="1" x14ac:dyDescent="0.25">
      <c r="B67" s="45" t="s">
        <v>104</v>
      </c>
      <c r="C67" s="50">
        <v>22</v>
      </c>
      <c r="D67" s="50">
        <v>5</v>
      </c>
      <c r="E67" s="50">
        <v>4</v>
      </c>
      <c r="F67" s="50">
        <v>15</v>
      </c>
      <c r="G67" s="50">
        <v>0</v>
      </c>
      <c r="H67" s="50">
        <v>0</v>
      </c>
      <c r="I67" s="50">
        <v>3</v>
      </c>
      <c r="J67" s="50">
        <v>4</v>
      </c>
      <c r="K67" s="50">
        <v>1</v>
      </c>
      <c r="L67" s="50">
        <v>1</v>
      </c>
      <c r="M67" s="50">
        <v>0</v>
      </c>
      <c r="N67" s="50">
        <v>0</v>
      </c>
      <c r="O67" s="15">
        <f t="shared" si="0"/>
        <v>55</v>
      </c>
      <c r="P67" s="15">
        <f t="shared" si="1"/>
        <v>55</v>
      </c>
      <c r="R67" s="8"/>
      <c r="T67"/>
    </row>
    <row r="68" spans="2:20" ht="23.1" customHeight="1" x14ac:dyDescent="0.25">
      <c r="B68" s="45" t="s">
        <v>105</v>
      </c>
      <c r="C68" s="50">
        <v>58</v>
      </c>
      <c r="D68" s="50">
        <v>3</v>
      </c>
      <c r="E68" s="50">
        <v>1</v>
      </c>
      <c r="F68" s="50">
        <v>22</v>
      </c>
      <c r="G68" s="50">
        <v>1</v>
      </c>
      <c r="H68" s="50">
        <v>0</v>
      </c>
      <c r="I68" s="50">
        <v>3</v>
      </c>
      <c r="J68" s="50">
        <v>0</v>
      </c>
      <c r="K68" s="50">
        <v>2</v>
      </c>
      <c r="L68" s="50">
        <v>0</v>
      </c>
      <c r="M68" s="50">
        <v>0</v>
      </c>
      <c r="N68" s="50">
        <v>0</v>
      </c>
      <c r="O68" s="15">
        <f t="shared" si="0"/>
        <v>90</v>
      </c>
      <c r="P68" s="15">
        <f t="shared" si="1"/>
        <v>90</v>
      </c>
      <c r="R68" s="8"/>
      <c r="T68"/>
    </row>
    <row r="69" spans="2:20" ht="23.1" customHeight="1" x14ac:dyDescent="0.25">
      <c r="B69" s="45" t="s">
        <v>106</v>
      </c>
      <c r="C69" s="50">
        <v>43</v>
      </c>
      <c r="D69" s="50">
        <v>8</v>
      </c>
      <c r="E69" s="50">
        <v>2</v>
      </c>
      <c r="F69" s="50">
        <v>25</v>
      </c>
      <c r="G69" s="50">
        <v>1</v>
      </c>
      <c r="H69" s="50">
        <v>0</v>
      </c>
      <c r="I69" s="50">
        <v>4</v>
      </c>
      <c r="J69" s="50">
        <v>6</v>
      </c>
      <c r="K69" s="50">
        <v>1</v>
      </c>
      <c r="L69" s="50">
        <v>2</v>
      </c>
      <c r="M69" s="50">
        <v>0</v>
      </c>
      <c r="N69" s="50">
        <v>0</v>
      </c>
      <c r="O69" s="15">
        <f t="shared" si="0"/>
        <v>92</v>
      </c>
      <c r="P69" s="15">
        <f t="shared" si="1"/>
        <v>92</v>
      </c>
      <c r="R69" s="8"/>
      <c r="T69"/>
    </row>
    <row r="70" spans="2:20" ht="23.1" customHeight="1" x14ac:dyDescent="0.25">
      <c r="B70" s="45" t="s">
        <v>110</v>
      </c>
      <c r="C70" s="50">
        <v>60</v>
      </c>
      <c r="D70" s="50">
        <v>8</v>
      </c>
      <c r="E70" s="50">
        <v>3</v>
      </c>
      <c r="F70" s="50">
        <v>17</v>
      </c>
      <c r="G70" s="50">
        <v>0</v>
      </c>
      <c r="H70" s="50">
        <v>0</v>
      </c>
      <c r="I70" s="50">
        <v>8</v>
      </c>
      <c r="J70" s="50">
        <v>1</v>
      </c>
      <c r="K70" s="50">
        <v>2</v>
      </c>
      <c r="L70" s="50">
        <v>2</v>
      </c>
      <c r="M70" s="50">
        <v>0</v>
      </c>
      <c r="N70" s="50">
        <v>0</v>
      </c>
      <c r="O70" s="15">
        <f t="shared" si="0"/>
        <v>101</v>
      </c>
      <c r="P70" s="15">
        <f t="shared" si="1"/>
        <v>101</v>
      </c>
      <c r="R70" s="8"/>
      <c r="T70"/>
    </row>
    <row r="71" spans="2:20" ht="23.1" customHeight="1" x14ac:dyDescent="0.25">
      <c r="B71" s="45" t="s">
        <v>111</v>
      </c>
      <c r="C71" s="50">
        <v>21</v>
      </c>
      <c r="D71" s="50">
        <v>5</v>
      </c>
      <c r="E71" s="50">
        <v>1</v>
      </c>
      <c r="F71" s="50">
        <v>47</v>
      </c>
      <c r="G71" s="50">
        <v>0</v>
      </c>
      <c r="H71" s="50">
        <v>0</v>
      </c>
      <c r="I71" s="50">
        <v>7</v>
      </c>
      <c r="J71" s="50">
        <v>0</v>
      </c>
      <c r="K71" s="50">
        <v>0</v>
      </c>
      <c r="L71" s="50">
        <v>1</v>
      </c>
      <c r="M71" s="50">
        <v>0</v>
      </c>
      <c r="N71" s="50">
        <v>0</v>
      </c>
      <c r="O71" s="15">
        <f t="shared" si="0"/>
        <v>82</v>
      </c>
      <c r="P71" s="15">
        <f t="shared" si="1"/>
        <v>82</v>
      </c>
      <c r="R71" s="8"/>
      <c r="T71"/>
    </row>
    <row r="72" spans="2:20" ht="23.1" customHeight="1" x14ac:dyDescent="0.25">
      <c r="B72" s="45" t="s">
        <v>112</v>
      </c>
      <c r="C72" s="50">
        <v>46</v>
      </c>
      <c r="D72" s="50">
        <v>0</v>
      </c>
      <c r="E72" s="50">
        <v>0</v>
      </c>
      <c r="F72" s="50">
        <v>45</v>
      </c>
      <c r="G72" s="50">
        <v>0</v>
      </c>
      <c r="H72" s="50">
        <v>0</v>
      </c>
      <c r="I72" s="50">
        <v>3</v>
      </c>
      <c r="J72" s="50">
        <v>2</v>
      </c>
      <c r="K72" s="50">
        <v>1</v>
      </c>
      <c r="L72" s="50">
        <v>0</v>
      </c>
      <c r="M72" s="50">
        <v>0</v>
      </c>
      <c r="N72" s="50">
        <v>0</v>
      </c>
      <c r="O72" s="15">
        <f t="shared" si="0"/>
        <v>97</v>
      </c>
      <c r="P72" s="15">
        <f t="shared" si="1"/>
        <v>97</v>
      </c>
      <c r="R72" s="8"/>
      <c r="T72"/>
    </row>
    <row r="73" spans="2:20" ht="23.1" customHeight="1" x14ac:dyDescent="0.25">
      <c r="B73" s="45" t="s">
        <v>113</v>
      </c>
      <c r="C73" s="50">
        <v>75</v>
      </c>
      <c r="D73" s="50">
        <v>0</v>
      </c>
      <c r="E73" s="50">
        <v>0</v>
      </c>
      <c r="F73" s="50">
        <v>50</v>
      </c>
      <c r="G73" s="50">
        <v>0</v>
      </c>
      <c r="H73" s="50">
        <v>0</v>
      </c>
      <c r="I73" s="50">
        <v>9</v>
      </c>
      <c r="J73" s="50">
        <v>1</v>
      </c>
      <c r="K73" s="50">
        <v>1</v>
      </c>
      <c r="L73" s="50">
        <v>1</v>
      </c>
      <c r="M73" s="50">
        <v>0</v>
      </c>
      <c r="N73" s="50">
        <v>0</v>
      </c>
      <c r="O73" s="15">
        <f t="shared" si="0"/>
        <v>137</v>
      </c>
      <c r="P73" s="15">
        <f t="shared" si="1"/>
        <v>137</v>
      </c>
      <c r="R73" s="8"/>
      <c r="T73"/>
    </row>
    <row r="74" spans="2:20" ht="23.1" customHeight="1" x14ac:dyDescent="0.25">
      <c r="B74" s="45" t="s">
        <v>114</v>
      </c>
      <c r="C74" s="50">
        <v>17</v>
      </c>
      <c r="D74" s="50">
        <v>3</v>
      </c>
      <c r="E74" s="50">
        <v>2</v>
      </c>
      <c r="F74" s="50">
        <v>60</v>
      </c>
      <c r="G74" s="50">
        <v>0</v>
      </c>
      <c r="H74" s="50">
        <v>1</v>
      </c>
      <c r="I74" s="50">
        <v>1</v>
      </c>
      <c r="J74" s="50">
        <v>1</v>
      </c>
      <c r="K74" s="50">
        <v>0</v>
      </c>
      <c r="L74" s="50">
        <v>0</v>
      </c>
      <c r="M74" s="50">
        <v>230</v>
      </c>
      <c r="N74" s="50">
        <v>0</v>
      </c>
      <c r="O74" s="15">
        <f t="shared" ref="O74:O105" si="35">SUM(C74:L74,N74)</f>
        <v>85</v>
      </c>
      <c r="P74" s="15">
        <f t="shared" ref="P74:P105" si="36">SUM(C74:N74)</f>
        <v>315</v>
      </c>
      <c r="R74" s="8"/>
      <c r="T74"/>
    </row>
    <row r="75" spans="2:20" ht="23.1" customHeight="1" x14ac:dyDescent="0.25">
      <c r="B75" s="45" t="s">
        <v>115</v>
      </c>
      <c r="C75" s="50">
        <v>30</v>
      </c>
      <c r="D75" s="50">
        <v>8</v>
      </c>
      <c r="E75" s="50">
        <v>7</v>
      </c>
      <c r="F75" s="50">
        <v>70</v>
      </c>
      <c r="G75" s="50">
        <v>0</v>
      </c>
      <c r="H75" s="50">
        <v>0</v>
      </c>
      <c r="I75" s="50">
        <v>3</v>
      </c>
      <c r="J75" s="50">
        <v>5</v>
      </c>
      <c r="K75" s="50">
        <v>0</v>
      </c>
      <c r="L75" s="50">
        <v>0</v>
      </c>
      <c r="M75" s="50">
        <v>185</v>
      </c>
      <c r="N75" s="50">
        <v>0</v>
      </c>
      <c r="O75" s="15">
        <f t="shared" si="35"/>
        <v>123</v>
      </c>
      <c r="P75" s="15">
        <f t="shared" si="36"/>
        <v>308</v>
      </c>
      <c r="R75" s="8"/>
      <c r="T75"/>
    </row>
    <row r="76" spans="2:20" ht="23.1" customHeight="1" x14ac:dyDescent="0.25">
      <c r="B76" s="45" t="s">
        <v>116</v>
      </c>
      <c r="C76" s="50">
        <v>25</v>
      </c>
      <c r="D76" s="50">
        <v>8</v>
      </c>
      <c r="E76" s="50">
        <v>3</v>
      </c>
      <c r="F76" s="50">
        <v>40</v>
      </c>
      <c r="G76" s="50">
        <v>0</v>
      </c>
      <c r="H76" s="50">
        <v>0</v>
      </c>
      <c r="I76" s="50">
        <v>10</v>
      </c>
      <c r="J76" s="50">
        <v>3</v>
      </c>
      <c r="K76" s="50">
        <v>2</v>
      </c>
      <c r="L76" s="50">
        <v>0</v>
      </c>
      <c r="M76" s="50">
        <v>120</v>
      </c>
      <c r="N76" s="50">
        <v>0</v>
      </c>
      <c r="O76" s="15">
        <f t="shared" si="35"/>
        <v>91</v>
      </c>
      <c r="P76" s="15">
        <f t="shared" si="36"/>
        <v>211</v>
      </c>
      <c r="R76" s="8"/>
      <c r="T76"/>
    </row>
    <row r="77" spans="2:20" ht="23.1" customHeight="1" x14ac:dyDescent="0.25">
      <c r="B77" s="45" t="s">
        <v>117</v>
      </c>
      <c r="C77" s="50">
        <v>40</v>
      </c>
      <c r="D77" s="50">
        <v>1</v>
      </c>
      <c r="E77" s="50">
        <v>1</v>
      </c>
      <c r="F77" s="50">
        <v>20</v>
      </c>
      <c r="G77" s="50">
        <v>0</v>
      </c>
      <c r="H77" s="50">
        <v>0</v>
      </c>
      <c r="I77" s="50">
        <v>4</v>
      </c>
      <c r="J77" s="50">
        <v>11</v>
      </c>
      <c r="K77" s="50">
        <v>2</v>
      </c>
      <c r="L77" s="50">
        <v>0</v>
      </c>
      <c r="M77" s="50">
        <v>120</v>
      </c>
      <c r="N77" s="50">
        <v>0</v>
      </c>
      <c r="O77" s="15">
        <f t="shared" si="35"/>
        <v>79</v>
      </c>
      <c r="P77" s="15">
        <f t="shared" si="36"/>
        <v>199</v>
      </c>
      <c r="R77" s="8"/>
      <c r="T77"/>
    </row>
    <row r="78" spans="2:20" ht="23.1" customHeight="1" x14ac:dyDescent="0.25">
      <c r="B78" s="46" t="s">
        <v>118</v>
      </c>
      <c r="C78" s="50">
        <v>44</v>
      </c>
      <c r="D78" s="50">
        <v>0</v>
      </c>
      <c r="E78" s="50">
        <v>1</v>
      </c>
      <c r="F78" s="50">
        <v>39</v>
      </c>
      <c r="G78" s="50">
        <v>0</v>
      </c>
      <c r="H78" s="50">
        <v>0</v>
      </c>
      <c r="I78" s="50">
        <v>2</v>
      </c>
      <c r="J78" s="50">
        <v>3</v>
      </c>
      <c r="K78" s="50">
        <v>2</v>
      </c>
      <c r="L78" s="50">
        <v>1</v>
      </c>
      <c r="M78" s="50">
        <v>194</v>
      </c>
      <c r="N78" s="50">
        <v>0</v>
      </c>
      <c r="O78" s="15">
        <f t="shared" si="35"/>
        <v>92</v>
      </c>
      <c r="P78" s="15">
        <f t="shared" si="36"/>
        <v>286</v>
      </c>
      <c r="R78" s="8"/>
      <c r="T78"/>
    </row>
    <row r="79" spans="2:20" ht="23.1" customHeight="1" x14ac:dyDescent="0.25">
      <c r="B79" s="45" t="s">
        <v>119</v>
      </c>
      <c r="C79" s="50">
        <v>62</v>
      </c>
      <c r="D79" s="50">
        <v>0</v>
      </c>
      <c r="E79" s="50">
        <v>0</v>
      </c>
      <c r="F79" s="50">
        <v>55</v>
      </c>
      <c r="G79" s="50">
        <v>0</v>
      </c>
      <c r="H79" s="50">
        <v>0</v>
      </c>
      <c r="I79" s="50">
        <v>3</v>
      </c>
      <c r="J79" s="50">
        <v>6</v>
      </c>
      <c r="K79" s="50">
        <v>0</v>
      </c>
      <c r="L79" s="50">
        <v>0</v>
      </c>
      <c r="M79" s="50">
        <v>105</v>
      </c>
      <c r="N79" s="50">
        <v>0</v>
      </c>
      <c r="O79" s="15">
        <f t="shared" si="35"/>
        <v>126</v>
      </c>
      <c r="P79" s="15">
        <f t="shared" si="36"/>
        <v>231</v>
      </c>
      <c r="R79" s="8"/>
      <c r="T79"/>
    </row>
    <row r="80" spans="2:20" ht="23.1" customHeight="1" x14ac:dyDescent="0.25">
      <c r="B80" s="47" t="s">
        <v>120</v>
      </c>
      <c r="C80" s="50">
        <v>33</v>
      </c>
      <c r="D80" s="50">
        <v>3</v>
      </c>
      <c r="E80" s="50">
        <v>6</v>
      </c>
      <c r="F80" s="50">
        <v>0</v>
      </c>
      <c r="G80" s="50">
        <v>0</v>
      </c>
      <c r="H80" s="50">
        <v>0</v>
      </c>
      <c r="I80" s="50">
        <v>3</v>
      </c>
      <c r="J80" s="50">
        <v>2</v>
      </c>
      <c r="K80" s="50">
        <v>0</v>
      </c>
      <c r="L80" s="50">
        <v>0</v>
      </c>
      <c r="M80" s="50">
        <v>65</v>
      </c>
      <c r="N80" s="50">
        <v>0</v>
      </c>
      <c r="O80" s="15">
        <f t="shared" si="35"/>
        <v>47</v>
      </c>
      <c r="P80" s="15">
        <f t="shared" si="36"/>
        <v>112</v>
      </c>
      <c r="R80" s="8"/>
      <c r="T80"/>
    </row>
    <row r="81" spans="2:20" ht="23.1" customHeight="1" x14ac:dyDescent="0.25">
      <c r="B81" s="45" t="s">
        <v>121</v>
      </c>
      <c r="C81" s="50">
        <v>40</v>
      </c>
      <c r="D81" s="50">
        <v>5</v>
      </c>
      <c r="E81" s="50">
        <v>4</v>
      </c>
      <c r="F81" s="50">
        <v>42</v>
      </c>
      <c r="G81" s="50">
        <v>0</v>
      </c>
      <c r="H81" s="50">
        <v>0</v>
      </c>
      <c r="I81" s="50">
        <v>5</v>
      </c>
      <c r="J81" s="50">
        <v>2</v>
      </c>
      <c r="K81" s="50">
        <v>1</v>
      </c>
      <c r="L81" s="50">
        <v>2</v>
      </c>
      <c r="M81" s="50">
        <v>65</v>
      </c>
      <c r="N81" s="50">
        <v>0</v>
      </c>
      <c r="O81" s="15">
        <f t="shared" si="35"/>
        <v>101</v>
      </c>
      <c r="P81" s="15">
        <f t="shared" si="36"/>
        <v>166</v>
      </c>
      <c r="R81" s="8"/>
      <c r="T81"/>
    </row>
    <row r="82" spans="2:20" ht="23.1" customHeight="1" x14ac:dyDescent="0.25">
      <c r="B82" s="46" t="s">
        <v>122</v>
      </c>
      <c r="C82" s="50">
        <v>33</v>
      </c>
      <c r="D82" s="50">
        <v>2</v>
      </c>
      <c r="E82" s="50">
        <v>3</v>
      </c>
      <c r="F82" s="50">
        <v>44</v>
      </c>
      <c r="G82" s="50">
        <v>0</v>
      </c>
      <c r="H82" s="50">
        <v>0</v>
      </c>
      <c r="I82" s="50">
        <v>10</v>
      </c>
      <c r="J82" s="50">
        <v>2</v>
      </c>
      <c r="K82" s="50">
        <v>1</v>
      </c>
      <c r="L82" s="50">
        <v>0</v>
      </c>
      <c r="M82" s="50">
        <v>68</v>
      </c>
      <c r="N82" s="50">
        <v>0</v>
      </c>
      <c r="O82" s="15">
        <f t="shared" si="35"/>
        <v>95</v>
      </c>
      <c r="P82" s="15">
        <f t="shared" si="36"/>
        <v>163</v>
      </c>
      <c r="R82" s="8"/>
      <c r="T82"/>
    </row>
    <row r="83" spans="2:20" ht="23.1" customHeight="1" x14ac:dyDescent="0.25">
      <c r="B83" s="45" t="s">
        <v>123</v>
      </c>
      <c r="C83" s="50">
        <v>46</v>
      </c>
      <c r="D83" s="50">
        <v>4</v>
      </c>
      <c r="E83" s="50">
        <v>0</v>
      </c>
      <c r="F83" s="50">
        <v>30</v>
      </c>
      <c r="G83" s="50">
        <v>0</v>
      </c>
      <c r="H83" s="50">
        <v>0</v>
      </c>
      <c r="I83" s="50">
        <v>17</v>
      </c>
      <c r="J83" s="50">
        <v>7</v>
      </c>
      <c r="K83" s="50">
        <v>3</v>
      </c>
      <c r="L83" s="50">
        <v>1</v>
      </c>
      <c r="M83" s="50">
        <v>60</v>
      </c>
      <c r="N83" s="50">
        <v>0</v>
      </c>
      <c r="O83" s="15">
        <f t="shared" si="35"/>
        <v>108</v>
      </c>
      <c r="P83" s="15">
        <f t="shared" si="36"/>
        <v>168</v>
      </c>
      <c r="R83" s="8"/>
      <c r="T83"/>
    </row>
    <row r="84" spans="2:20" ht="23.1" customHeight="1" x14ac:dyDescent="0.25">
      <c r="B84" s="47" t="s">
        <v>124</v>
      </c>
      <c r="C84" s="50">
        <v>45</v>
      </c>
      <c r="D84" s="50">
        <v>4</v>
      </c>
      <c r="E84" s="50">
        <v>2</v>
      </c>
      <c r="F84" s="50">
        <v>29</v>
      </c>
      <c r="G84" s="50">
        <v>1</v>
      </c>
      <c r="H84" s="50">
        <v>0</v>
      </c>
      <c r="I84" s="50">
        <v>11</v>
      </c>
      <c r="J84" s="50">
        <v>4</v>
      </c>
      <c r="K84" s="50">
        <v>2</v>
      </c>
      <c r="L84" s="50">
        <v>0</v>
      </c>
      <c r="M84" s="50">
        <v>48</v>
      </c>
      <c r="N84" s="50">
        <v>0</v>
      </c>
      <c r="O84" s="15">
        <f t="shared" si="35"/>
        <v>98</v>
      </c>
      <c r="P84" s="15">
        <f t="shared" si="36"/>
        <v>146</v>
      </c>
      <c r="R84" s="8"/>
      <c r="T84"/>
    </row>
    <row r="85" spans="2:20" ht="23.1" customHeight="1" x14ac:dyDescent="0.25">
      <c r="B85" s="45" t="s">
        <v>125</v>
      </c>
      <c r="C85" s="50">
        <v>78</v>
      </c>
      <c r="D85" s="50">
        <v>2</v>
      </c>
      <c r="E85" s="50">
        <v>1</v>
      </c>
      <c r="F85" s="50">
        <v>18</v>
      </c>
      <c r="G85" s="50">
        <v>0</v>
      </c>
      <c r="H85" s="50">
        <v>0</v>
      </c>
      <c r="I85" s="50">
        <v>4</v>
      </c>
      <c r="J85" s="50">
        <v>7</v>
      </c>
      <c r="K85" s="50">
        <v>1</v>
      </c>
      <c r="L85" s="50">
        <v>3</v>
      </c>
      <c r="M85" s="50">
        <v>47</v>
      </c>
      <c r="N85" s="50">
        <v>0</v>
      </c>
      <c r="O85" s="15">
        <f t="shared" si="35"/>
        <v>114</v>
      </c>
      <c r="P85" s="15">
        <f t="shared" si="36"/>
        <v>161</v>
      </c>
      <c r="R85" s="8"/>
      <c r="T85"/>
    </row>
    <row r="86" spans="2:20" ht="23.1" customHeight="1" x14ac:dyDescent="0.25">
      <c r="B86" s="46" t="s">
        <v>126</v>
      </c>
      <c r="C86" s="50">
        <v>44</v>
      </c>
      <c r="D86" s="50">
        <v>4</v>
      </c>
      <c r="E86" s="50">
        <v>2</v>
      </c>
      <c r="F86" s="50">
        <v>14</v>
      </c>
      <c r="G86" s="50">
        <v>0</v>
      </c>
      <c r="H86" s="50">
        <v>3</v>
      </c>
      <c r="I86" s="50">
        <v>4</v>
      </c>
      <c r="J86" s="50">
        <v>8</v>
      </c>
      <c r="K86" s="50">
        <v>0</v>
      </c>
      <c r="L86" s="50">
        <v>2</v>
      </c>
      <c r="M86" s="50">
        <v>83</v>
      </c>
      <c r="N86" s="50">
        <v>0</v>
      </c>
      <c r="O86" s="15">
        <f t="shared" si="35"/>
        <v>81</v>
      </c>
      <c r="P86" s="15">
        <f t="shared" si="36"/>
        <v>164</v>
      </c>
      <c r="R86" s="8"/>
      <c r="T86"/>
    </row>
    <row r="87" spans="2:20" ht="23.1" customHeight="1" x14ac:dyDescent="0.25">
      <c r="B87" s="45" t="s">
        <v>127</v>
      </c>
      <c r="C87" s="50">
        <v>10</v>
      </c>
      <c r="D87" s="50">
        <v>1</v>
      </c>
      <c r="E87" s="50">
        <v>0</v>
      </c>
      <c r="F87" s="50">
        <v>3</v>
      </c>
      <c r="G87" s="50">
        <v>0</v>
      </c>
      <c r="H87" s="50">
        <v>0</v>
      </c>
      <c r="I87" s="50">
        <v>2</v>
      </c>
      <c r="J87" s="50">
        <v>1</v>
      </c>
      <c r="K87" s="50">
        <v>1</v>
      </c>
      <c r="L87" s="50">
        <v>0</v>
      </c>
      <c r="M87" s="50">
        <v>64</v>
      </c>
      <c r="N87" s="50">
        <v>0</v>
      </c>
      <c r="O87" s="15">
        <f t="shared" si="35"/>
        <v>18</v>
      </c>
      <c r="P87" s="15">
        <f t="shared" si="36"/>
        <v>82</v>
      </c>
      <c r="R87" s="8"/>
      <c r="T87"/>
    </row>
    <row r="88" spans="2:20" ht="23.1" customHeight="1" x14ac:dyDescent="0.25">
      <c r="B88" s="47" t="s">
        <v>128</v>
      </c>
      <c r="C88" s="50">
        <v>9</v>
      </c>
      <c r="D88" s="50">
        <v>1</v>
      </c>
      <c r="E88" s="50">
        <v>0</v>
      </c>
      <c r="F88" s="50">
        <v>1</v>
      </c>
      <c r="G88" s="50">
        <v>0</v>
      </c>
      <c r="H88" s="50">
        <v>0</v>
      </c>
      <c r="I88" s="50">
        <v>1</v>
      </c>
      <c r="J88" s="50">
        <v>2</v>
      </c>
      <c r="K88" s="50">
        <v>2</v>
      </c>
      <c r="L88" s="50">
        <v>0</v>
      </c>
      <c r="M88" s="50">
        <v>80</v>
      </c>
      <c r="N88" s="50">
        <v>0</v>
      </c>
      <c r="O88" s="15">
        <f t="shared" si="35"/>
        <v>16</v>
      </c>
      <c r="P88" s="15">
        <f t="shared" si="36"/>
        <v>96</v>
      </c>
      <c r="R88" s="8"/>
      <c r="T88"/>
    </row>
    <row r="89" spans="2:20" ht="23.1" customHeight="1" x14ac:dyDescent="0.25">
      <c r="B89" s="45" t="s">
        <v>129</v>
      </c>
      <c r="C89" s="50">
        <v>2</v>
      </c>
      <c r="D89" s="50">
        <v>0</v>
      </c>
      <c r="E89" s="50">
        <v>1</v>
      </c>
      <c r="F89" s="50">
        <v>0</v>
      </c>
      <c r="G89" s="50">
        <v>0</v>
      </c>
      <c r="H89" s="50">
        <v>0</v>
      </c>
      <c r="I89" s="50">
        <v>4</v>
      </c>
      <c r="J89" s="50">
        <v>3</v>
      </c>
      <c r="K89" s="50">
        <v>3</v>
      </c>
      <c r="L89" s="50">
        <v>2</v>
      </c>
      <c r="M89" s="50">
        <v>59</v>
      </c>
      <c r="N89" s="50">
        <v>0</v>
      </c>
      <c r="O89" s="15">
        <f t="shared" si="35"/>
        <v>15</v>
      </c>
      <c r="P89" s="15">
        <f t="shared" si="36"/>
        <v>74</v>
      </c>
      <c r="R89" s="8"/>
      <c r="T89"/>
    </row>
    <row r="90" spans="2:20" ht="23.1" customHeight="1" x14ac:dyDescent="0.25">
      <c r="B90" s="46" t="s">
        <v>130</v>
      </c>
      <c r="C90" s="50">
        <v>8</v>
      </c>
      <c r="D90" s="50">
        <v>1</v>
      </c>
      <c r="E90" s="50">
        <v>1</v>
      </c>
      <c r="F90" s="50">
        <v>1</v>
      </c>
      <c r="G90" s="50">
        <v>0</v>
      </c>
      <c r="H90" s="50">
        <v>0</v>
      </c>
      <c r="I90" s="50">
        <v>1</v>
      </c>
      <c r="J90" s="50">
        <v>1</v>
      </c>
      <c r="K90" s="50">
        <v>0</v>
      </c>
      <c r="L90" s="50">
        <v>1</v>
      </c>
      <c r="M90" s="50">
        <v>93</v>
      </c>
      <c r="N90" s="50">
        <v>0</v>
      </c>
      <c r="O90" s="15">
        <f t="shared" si="35"/>
        <v>14</v>
      </c>
      <c r="P90" s="15">
        <f t="shared" si="36"/>
        <v>107</v>
      </c>
      <c r="R90" s="8"/>
      <c r="T90"/>
    </row>
    <row r="91" spans="2:20" ht="23.1" customHeight="1" x14ac:dyDescent="0.25">
      <c r="B91" s="45" t="s">
        <v>131</v>
      </c>
      <c r="C91" s="50">
        <v>17</v>
      </c>
      <c r="D91" s="50">
        <v>0</v>
      </c>
      <c r="E91" s="50">
        <v>0</v>
      </c>
      <c r="F91" s="50">
        <v>6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1</v>
      </c>
      <c r="M91" s="50">
        <v>69</v>
      </c>
      <c r="N91" s="50">
        <v>0</v>
      </c>
      <c r="O91" s="15">
        <f t="shared" si="35"/>
        <v>24</v>
      </c>
      <c r="P91" s="15">
        <f t="shared" si="36"/>
        <v>93</v>
      </c>
      <c r="R91" s="8"/>
      <c r="T91"/>
    </row>
    <row r="92" spans="2:20" ht="23.1" customHeight="1" x14ac:dyDescent="0.25">
      <c r="B92" s="47" t="s">
        <v>132</v>
      </c>
      <c r="C92" s="50">
        <v>38</v>
      </c>
      <c r="D92" s="50">
        <v>3</v>
      </c>
      <c r="E92" s="50">
        <v>1</v>
      </c>
      <c r="F92" s="50">
        <v>4</v>
      </c>
      <c r="G92" s="50">
        <v>0</v>
      </c>
      <c r="H92" s="50">
        <v>0</v>
      </c>
      <c r="I92" s="50">
        <v>7</v>
      </c>
      <c r="J92" s="50">
        <v>3</v>
      </c>
      <c r="K92" s="50">
        <v>1</v>
      </c>
      <c r="L92" s="50">
        <v>0</v>
      </c>
      <c r="M92" s="50">
        <v>80</v>
      </c>
      <c r="N92" s="50">
        <v>0</v>
      </c>
      <c r="O92" s="15">
        <f t="shared" si="35"/>
        <v>57</v>
      </c>
      <c r="P92" s="15">
        <f t="shared" si="36"/>
        <v>137</v>
      </c>
      <c r="R92" s="8"/>
      <c r="T92"/>
    </row>
    <row r="93" spans="2:20" ht="23.1" customHeight="1" x14ac:dyDescent="0.25">
      <c r="B93" s="45" t="s">
        <v>133</v>
      </c>
      <c r="C93" s="50">
        <v>49</v>
      </c>
      <c r="D93" s="50">
        <v>4</v>
      </c>
      <c r="E93" s="50">
        <v>0</v>
      </c>
      <c r="F93" s="50">
        <v>11</v>
      </c>
      <c r="G93" s="50">
        <v>0</v>
      </c>
      <c r="H93" s="50">
        <v>0</v>
      </c>
      <c r="I93" s="50">
        <v>9</v>
      </c>
      <c r="J93" s="50">
        <v>8</v>
      </c>
      <c r="K93" s="50">
        <v>1</v>
      </c>
      <c r="L93" s="50">
        <v>0</v>
      </c>
      <c r="M93" s="50">
        <v>60</v>
      </c>
      <c r="N93" s="50">
        <v>0</v>
      </c>
      <c r="O93" s="15">
        <f t="shared" si="35"/>
        <v>82</v>
      </c>
      <c r="P93" s="15">
        <f t="shared" si="36"/>
        <v>142</v>
      </c>
      <c r="R93" s="8"/>
      <c r="T93"/>
    </row>
    <row r="94" spans="2:20" ht="23.1" customHeight="1" x14ac:dyDescent="0.25">
      <c r="B94" s="46" t="s">
        <v>134</v>
      </c>
      <c r="C94" s="50">
        <v>36</v>
      </c>
      <c r="D94" s="50">
        <v>2</v>
      </c>
      <c r="E94" s="50">
        <v>3</v>
      </c>
      <c r="F94" s="50">
        <v>0</v>
      </c>
      <c r="G94" s="50">
        <v>0</v>
      </c>
      <c r="H94" s="50">
        <v>0</v>
      </c>
      <c r="I94" s="50">
        <v>8</v>
      </c>
      <c r="J94" s="50">
        <v>5</v>
      </c>
      <c r="K94" s="50">
        <v>1</v>
      </c>
      <c r="L94" s="50">
        <v>1</v>
      </c>
      <c r="M94" s="50">
        <v>84</v>
      </c>
      <c r="N94" s="50">
        <v>0</v>
      </c>
      <c r="O94" s="15">
        <f t="shared" si="35"/>
        <v>56</v>
      </c>
      <c r="P94" s="15">
        <f t="shared" si="36"/>
        <v>140</v>
      </c>
      <c r="R94" s="8"/>
      <c r="T94"/>
    </row>
    <row r="95" spans="2:20" ht="23.1" customHeight="1" x14ac:dyDescent="0.25">
      <c r="B95" s="45" t="s">
        <v>135</v>
      </c>
      <c r="C95" s="50">
        <v>63</v>
      </c>
      <c r="D95" s="50">
        <v>1</v>
      </c>
      <c r="E95" s="50">
        <v>1</v>
      </c>
      <c r="F95" s="50">
        <v>0</v>
      </c>
      <c r="G95" s="50">
        <v>1</v>
      </c>
      <c r="H95" s="50">
        <v>0</v>
      </c>
      <c r="I95" s="50">
        <v>6</v>
      </c>
      <c r="J95" s="50">
        <v>1</v>
      </c>
      <c r="K95" s="50">
        <v>1</v>
      </c>
      <c r="L95" s="50">
        <v>1</v>
      </c>
      <c r="M95" s="50">
        <v>57</v>
      </c>
      <c r="N95" s="50">
        <v>0</v>
      </c>
      <c r="O95" s="15">
        <f t="shared" si="35"/>
        <v>75</v>
      </c>
      <c r="P95" s="15">
        <f t="shared" si="36"/>
        <v>132</v>
      </c>
      <c r="R95" s="8"/>
      <c r="T95"/>
    </row>
    <row r="96" spans="2:20" ht="23.1" customHeight="1" x14ac:dyDescent="0.25">
      <c r="B96" s="47" t="s">
        <v>136</v>
      </c>
      <c r="C96" s="50">
        <v>29</v>
      </c>
      <c r="D96" s="50">
        <v>1</v>
      </c>
      <c r="E96" s="50">
        <v>1</v>
      </c>
      <c r="F96" s="50">
        <v>2</v>
      </c>
      <c r="G96" s="50">
        <v>0</v>
      </c>
      <c r="H96" s="50">
        <v>0</v>
      </c>
      <c r="I96" s="50">
        <v>0</v>
      </c>
      <c r="J96" s="50">
        <v>3</v>
      </c>
      <c r="K96" s="50">
        <v>0</v>
      </c>
      <c r="L96" s="50">
        <v>1</v>
      </c>
      <c r="M96" s="50">
        <v>80</v>
      </c>
      <c r="N96" s="50">
        <v>0</v>
      </c>
      <c r="O96" s="15">
        <f t="shared" si="35"/>
        <v>37</v>
      </c>
      <c r="P96" s="15">
        <f t="shared" si="36"/>
        <v>117</v>
      </c>
      <c r="R96" s="8"/>
      <c r="T96"/>
    </row>
    <row r="97" spans="2:20" ht="23.1" customHeight="1" x14ac:dyDescent="0.25">
      <c r="B97" s="45" t="s">
        <v>137</v>
      </c>
      <c r="C97" s="50">
        <v>75</v>
      </c>
      <c r="D97" s="50">
        <v>6</v>
      </c>
      <c r="E97" s="50">
        <v>3</v>
      </c>
      <c r="F97" s="50">
        <v>26</v>
      </c>
      <c r="G97" s="50">
        <v>0</v>
      </c>
      <c r="H97" s="50">
        <v>0</v>
      </c>
      <c r="I97" s="50">
        <v>3</v>
      </c>
      <c r="J97" s="50">
        <v>0</v>
      </c>
      <c r="K97" s="50">
        <v>2</v>
      </c>
      <c r="L97" s="50">
        <v>0</v>
      </c>
      <c r="M97" s="50">
        <v>80</v>
      </c>
      <c r="N97" s="50">
        <v>0</v>
      </c>
      <c r="O97" s="15">
        <f t="shared" si="35"/>
        <v>115</v>
      </c>
      <c r="P97" s="15">
        <f t="shared" si="36"/>
        <v>195</v>
      </c>
      <c r="R97" s="8"/>
      <c r="T97"/>
    </row>
    <row r="98" spans="2:20" ht="23.1" customHeight="1" x14ac:dyDescent="0.25">
      <c r="B98" s="46" t="s">
        <v>138</v>
      </c>
      <c r="C98" s="50">
        <v>45</v>
      </c>
      <c r="D98" s="50">
        <v>2</v>
      </c>
      <c r="E98" s="50">
        <v>2</v>
      </c>
      <c r="F98" s="50">
        <v>0</v>
      </c>
      <c r="G98" s="50">
        <v>0</v>
      </c>
      <c r="H98" s="50">
        <v>0</v>
      </c>
      <c r="I98" s="50">
        <v>2</v>
      </c>
      <c r="J98" s="50">
        <v>12</v>
      </c>
      <c r="K98" s="50">
        <v>3</v>
      </c>
      <c r="L98" s="50">
        <v>3</v>
      </c>
      <c r="M98" s="50">
        <v>33</v>
      </c>
      <c r="N98" s="50">
        <v>0</v>
      </c>
      <c r="O98" s="15">
        <f t="shared" si="35"/>
        <v>69</v>
      </c>
      <c r="P98" s="15">
        <f t="shared" si="36"/>
        <v>102</v>
      </c>
      <c r="R98" s="8"/>
      <c r="T98"/>
    </row>
    <row r="99" spans="2:20" ht="23.1" customHeight="1" x14ac:dyDescent="0.25">
      <c r="B99" s="45" t="s">
        <v>139</v>
      </c>
      <c r="C99" s="50">
        <v>53</v>
      </c>
      <c r="D99" s="50">
        <v>4</v>
      </c>
      <c r="E99" s="50">
        <v>4</v>
      </c>
      <c r="F99" s="50">
        <v>6</v>
      </c>
      <c r="G99" s="50">
        <v>0</v>
      </c>
      <c r="H99" s="50">
        <v>0</v>
      </c>
      <c r="I99" s="50">
        <v>16</v>
      </c>
      <c r="J99" s="50">
        <v>5</v>
      </c>
      <c r="K99" s="50">
        <v>1</v>
      </c>
      <c r="L99" s="50">
        <v>0</v>
      </c>
      <c r="M99" s="50">
        <v>62</v>
      </c>
      <c r="N99" s="50">
        <v>0</v>
      </c>
      <c r="O99" s="15">
        <f t="shared" si="35"/>
        <v>89</v>
      </c>
      <c r="P99" s="15">
        <f t="shared" si="36"/>
        <v>151</v>
      </c>
      <c r="R99" s="8"/>
      <c r="T99"/>
    </row>
    <row r="100" spans="2:20" ht="23.1" customHeight="1" x14ac:dyDescent="0.25">
      <c r="B100" s="47" t="s">
        <v>140</v>
      </c>
      <c r="C100" s="50">
        <v>40</v>
      </c>
      <c r="D100" s="50">
        <v>2</v>
      </c>
      <c r="E100" s="50">
        <v>4</v>
      </c>
      <c r="F100" s="50">
        <v>2</v>
      </c>
      <c r="G100" s="50">
        <v>0</v>
      </c>
      <c r="H100" s="50">
        <v>0</v>
      </c>
      <c r="I100" s="50">
        <v>2</v>
      </c>
      <c r="J100" s="50">
        <v>2</v>
      </c>
      <c r="K100" s="50">
        <v>2</v>
      </c>
      <c r="L100" s="50">
        <v>0</v>
      </c>
      <c r="M100" s="50">
        <v>35</v>
      </c>
      <c r="N100" s="50">
        <v>0</v>
      </c>
      <c r="O100" s="15">
        <f t="shared" si="35"/>
        <v>54</v>
      </c>
      <c r="P100" s="15">
        <f t="shared" si="36"/>
        <v>89</v>
      </c>
      <c r="R100" s="8"/>
      <c r="T100"/>
    </row>
    <row r="101" spans="2:20" ht="23.1" customHeight="1" x14ac:dyDescent="0.25">
      <c r="B101" s="45" t="s">
        <v>141</v>
      </c>
      <c r="C101" s="50">
        <v>32</v>
      </c>
      <c r="D101" s="50">
        <v>23</v>
      </c>
      <c r="E101" s="50">
        <v>0</v>
      </c>
      <c r="F101" s="50">
        <v>58</v>
      </c>
      <c r="G101" s="50">
        <v>0</v>
      </c>
      <c r="H101" s="50">
        <v>0</v>
      </c>
      <c r="I101" s="50">
        <v>12</v>
      </c>
      <c r="J101" s="50">
        <v>6</v>
      </c>
      <c r="K101" s="50">
        <v>4</v>
      </c>
      <c r="L101" s="50">
        <v>4</v>
      </c>
      <c r="M101" s="50">
        <v>40</v>
      </c>
      <c r="N101" s="50">
        <v>0</v>
      </c>
      <c r="O101" s="15">
        <f t="shared" si="35"/>
        <v>139</v>
      </c>
      <c r="P101" s="15">
        <f t="shared" si="36"/>
        <v>179</v>
      </c>
      <c r="R101" s="8"/>
      <c r="T101"/>
    </row>
    <row r="102" spans="2:20" ht="23.1" customHeight="1" x14ac:dyDescent="0.25">
      <c r="B102" s="46" t="s">
        <v>142</v>
      </c>
      <c r="C102" s="50">
        <v>41</v>
      </c>
      <c r="D102" s="50">
        <v>7</v>
      </c>
      <c r="E102" s="50">
        <v>3</v>
      </c>
      <c r="F102" s="50">
        <v>48</v>
      </c>
      <c r="G102" s="50">
        <v>1</v>
      </c>
      <c r="H102" s="50">
        <v>0</v>
      </c>
      <c r="I102" s="50">
        <v>7</v>
      </c>
      <c r="J102" s="50">
        <v>6</v>
      </c>
      <c r="K102" s="50">
        <v>5</v>
      </c>
      <c r="L102" s="50">
        <v>0</v>
      </c>
      <c r="M102" s="50">
        <v>60</v>
      </c>
      <c r="N102" s="50">
        <v>0</v>
      </c>
      <c r="O102" s="15">
        <f t="shared" si="35"/>
        <v>118</v>
      </c>
      <c r="P102" s="15">
        <f t="shared" si="36"/>
        <v>178</v>
      </c>
      <c r="R102" s="8"/>
      <c r="T102"/>
    </row>
    <row r="103" spans="2:20" ht="23.1" customHeight="1" x14ac:dyDescent="0.25">
      <c r="B103" s="45" t="s">
        <v>143</v>
      </c>
      <c r="C103" s="50">
        <v>38</v>
      </c>
      <c r="D103" s="50">
        <v>3</v>
      </c>
      <c r="E103" s="50">
        <v>3</v>
      </c>
      <c r="F103" s="50">
        <v>30</v>
      </c>
      <c r="G103" s="50">
        <v>0</v>
      </c>
      <c r="H103" s="50">
        <v>0</v>
      </c>
      <c r="I103" s="50">
        <v>4</v>
      </c>
      <c r="J103" s="50">
        <v>4</v>
      </c>
      <c r="K103" s="50">
        <v>2</v>
      </c>
      <c r="L103" s="50">
        <v>0</v>
      </c>
      <c r="M103" s="50">
        <v>190</v>
      </c>
      <c r="N103" s="50">
        <v>0</v>
      </c>
      <c r="O103" s="15">
        <f t="shared" si="35"/>
        <v>84</v>
      </c>
      <c r="P103" s="15">
        <f t="shared" si="36"/>
        <v>274</v>
      </c>
      <c r="R103" s="8"/>
      <c r="T103"/>
    </row>
    <row r="104" spans="2:20" ht="23.1" customHeight="1" x14ac:dyDescent="0.25">
      <c r="B104" s="47" t="s">
        <v>144</v>
      </c>
      <c r="C104" s="50">
        <v>10</v>
      </c>
      <c r="D104" s="50">
        <v>3</v>
      </c>
      <c r="E104" s="50">
        <v>1</v>
      </c>
      <c r="F104" s="50">
        <v>10</v>
      </c>
      <c r="G104" s="50">
        <v>0</v>
      </c>
      <c r="H104" s="50">
        <v>0</v>
      </c>
      <c r="I104" s="50">
        <v>2</v>
      </c>
      <c r="J104" s="50">
        <v>0</v>
      </c>
      <c r="K104" s="50">
        <v>3</v>
      </c>
      <c r="L104" s="50">
        <v>0</v>
      </c>
      <c r="M104" s="50">
        <v>185</v>
      </c>
      <c r="N104" s="50">
        <v>0</v>
      </c>
      <c r="O104" s="15">
        <f t="shared" si="35"/>
        <v>29</v>
      </c>
      <c r="P104" s="15">
        <f t="shared" si="36"/>
        <v>214</v>
      </c>
      <c r="R104" s="8"/>
      <c r="T104"/>
    </row>
    <row r="105" spans="2:20" ht="23.1" customHeight="1" x14ac:dyDescent="0.25">
      <c r="B105" s="45" t="s">
        <v>145</v>
      </c>
      <c r="C105" s="50">
        <v>9</v>
      </c>
      <c r="D105" s="50">
        <v>0</v>
      </c>
      <c r="E105" s="50">
        <v>0</v>
      </c>
      <c r="F105" s="50">
        <v>10</v>
      </c>
      <c r="G105" s="50">
        <v>0</v>
      </c>
      <c r="H105" s="50">
        <v>0</v>
      </c>
      <c r="I105" s="50">
        <v>3</v>
      </c>
      <c r="J105" s="50">
        <v>2</v>
      </c>
      <c r="K105" s="50">
        <v>0</v>
      </c>
      <c r="L105" s="50">
        <v>0</v>
      </c>
      <c r="M105" s="50">
        <v>115</v>
      </c>
      <c r="N105" s="50">
        <v>0</v>
      </c>
      <c r="O105" s="15">
        <f t="shared" si="35"/>
        <v>24</v>
      </c>
      <c r="P105" s="15">
        <f t="shared" si="36"/>
        <v>139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2701</v>
      </c>
      <c r="D106" s="16">
        <f t="shared" ref="D106:P106" si="37">SUM(D10:D105)</f>
        <v>556</v>
      </c>
      <c r="E106" s="16">
        <f t="shared" si="37"/>
        <v>253</v>
      </c>
      <c r="F106" s="16">
        <f t="shared" si="37"/>
        <v>2265</v>
      </c>
      <c r="G106" s="16">
        <f t="shared" si="37"/>
        <v>37</v>
      </c>
      <c r="H106" s="16">
        <f t="shared" si="37"/>
        <v>14</v>
      </c>
      <c r="I106" s="16">
        <f t="shared" si="37"/>
        <v>809</v>
      </c>
      <c r="J106" s="16">
        <f t="shared" si="37"/>
        <v>367</v>
      </c>
      <c r="K106" s="16">
        <f t="shared" si="37"/>
        <v>97</v>
      </c>
      <c r="L106" s="16">
        <f t="shared" si="37"/>
        <v>72</v>
      </c>
      <c r="M106" s="16">
        <f t="shared" si="37"/>
        <v>10099</v>
      </c>
      <c r="N106" s="16">
        <f t="shared" si="37"/>
        <v>0</v>
      </c>
      <c r="O106" s="16">
        <f t="shared" si="37"/>
        <v>7171</v>
      </c>
      <c r="P106" s="16">
        <f t="shared" si="37"/>
        <v>17270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0.15639837869137233</v>
      </c>
      <c r="D107" s="43">
        <f t="shared" si="38"/>
        <v>3.2194557035321369E-2</v>
      </c>
      <c r="E107" s="43">
        <f t="shared" si="38"/>
        <v>1.4649681528662421E-2</v>
      </c>
      <c r="F107" s="43">
        <f t="shared" si="38"/>
        <v>0.13115228720324262</v>
      </c>
      <c r="G107" s="43">
        <f t="shared" si="38"/>
        <v>2.1424435437174291E-3</v>
      </c>
      <c r="H107" s="43">
        <f t="shared" si="38"/>
        <v>8.106543138390272E-4</v>
      </c>
      <c r="I107" s="43">
        <f t="shared" si="38"/>
        <v>4.6844238563983787E-2</v>
      </c>
      <c r="J107" s="43">
        <f t="shared" si="38"/>
        <v>2.1250723798494499E-2</v>
      </c>
      <c r="K107" s="43">
        <f t="shared" si="38"/>
        <v>5.61667631731326E-3</v>
      </c>
      <c r="L107" s="43">
        <f t="shared" si="38"/>
        <v>4.1690793283149967E-3</v>
      </c>
      <c r="M107" s="43">
        <f t="shared" si="38"/>
        <v>0.58477127967573828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0.3766559754567006</v>
      </c>
      <c r="D108" s="44">
        <f t="shared" ref="D108:N108" si="39">D106/$O$106</f>
        <v>7.7534514014781758E-2</v>
      </c>
      <c r="E108" s="44">
        <f t="shared" si="39"/>
        <v>3.5280992888021195E-2</v>
      </c>
      <c r="F108" s="44">
        <f t="shared" si="39"/>
        <v>0.31585552921489329</v>
      </c>
      <c r="G108" s="44">
        <f t="shared" si="39"/>
        <v>5.1596708966671319E-3</v>
      </c>
      <c r="H108" s="44">
        <f t="shared" si="39"/>
        <v>1.9523079068470227E-3</v>
      </c>
      <c r="I108" s="44">
        <f t="shared" si="39"/>
        <v>0.11281550690280295</v>
      </c>
      <c r="J108" s="44">
        <f t="shared" si="39"/>
        <v>5.1178357272346951E-2</v>
      </c>
      <c r="K108" s="44">
        <f t="shared" si="39"/>
        <v>1.3526704783154372E-2</v>
      </c>
      <c r="L108" s="44">
        <f t="shared" si="39"/>
        <v>1.0040440663784688E-2</v>
      </c>
      <c r="M108" s="44"/>
      <c r="N108" s="44">
        <f t="shared" si="39"/>
        <v>0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topLeftCell="A28" zoomScale="60" workbookViewId="0">
      <selection activeCell="K5" activeCellId="8" sqref="K5:L5 D6:E6 D6:E6 D5 C3:G3 G6:H6 G5:H5 K6:L6 K5:L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8" t="s">
        <v>23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</row>
    <row r="2" spans="2:32" ht="20.100000000000001" customHeight="1" x14ac:dyDescent="0.25">
      <c r="B2" s="59" t="s">
        <v>95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</row>
    <row r="3" spans="2:32" ht="20.100000000000001" customHeight="1" x14ac:dyDescent="0.25">
      <c r="B3" s="22" t="s">
        <v>96</v>
      </c>
      <c r="C3" s="63" t="str">
        <f>'22.07 Nateete-Ndeeba'!C3:G3</f>
        <v>MCC - C1 - STN07 - MASAKA ROAD</v>
      </c>
      <c r="D3" s="63"/>
      <c r="E3" s="63"/>
      <c r="F3" s="63"/>
      <c r="G3" s="63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51" t="s">
        <v>167</v>
      </c>
      <c r="E5" s="3"/>
      <c r="F5" s="41" t="s">
        <v>1</v>
      </c>
      <c r="G5" s="64" t="str">
        <f>'27.07 Ndeeba-Nateete-24h'!G5:H5</f>
        <v>Rhino Funeral Services</v>
      </c>
      <c r="H5" s="65"/>
      <c r="I5" s="14"/>
      <c r="J5" s="2" t="s">
        <v>5</v>
      </c>
      <c r="K5" s="64" t="str">
        <f>'27.07 Ndeeba-Nateete-24h'!K5:L5</f>
        <v>Asibazuyo Jennipher &amp;Kyagulanyi Lawrence</v>
      </c>
      <c r="L5" s="65"/>
      <c r="M5" s="10"/>
      <c r="N5" s="10"/>
      <c r="O5" s="3"/>
      <c r="P5" s="3"/>
    </row>
    <row r="6" spans="2:32" ht="23.25" customHeight="1" x14ac:dyDescent="0.25">
      <c r="C6" s="2" t="s">
        <v>4</v>
      </c>
      <c r="D6" s="64" t="str">
        <f>'22.07 Nateete-Ndeeba'!D6:E6</f>
        <v>Nateete</v>
      </c>
      <c r="E6" s="65"/>
      <c r="F6" s="2" t="s">
        <v>2</v>
      </c>
      <c r="G6" s="64" t="str">
        <f>'22.07 Nateete-Ndeeba'!G6:H6</f>
        <v>Ndeeba</v>
      </c>
      <c r="H6" s="65"/>
      <c r="J6" s="2" t="s">
        <v>21</v>
      </c>
      <c r="K6" s="64" t="str">
        <f>'27.07 Ndeeba-Nateete-24h'!K6:L6</f>
        <v>Felix</v>
      </c>
      <c r="L6" s="65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7" t="s">
        <v>88</v>
      </c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45</v>
      </c>
      <c r="D10" s="50">
        <v>10</v>
      </c>
      <c r="E10" s="50">
        <v>2</v>
      </c>
      <c r="F10" s="50">
        <v>36</v>
      </c>
      <c r="G10" s="50">
        <v>1</v>
      </c>
      <c r="H10" s="50">
        <v>1</v>
      </c>
      <c r="I10" s="50">
        <v>3</v>
      </c>
      <c r="J10" s="50">
        <v>10</v>
      </c>
      <c r="K10" s="50">
        <v>2</v>
      </c>
      <c r="L10" s="50">
        <v>0</v>
      </c>
      <c r="M10" s="50">
        <v>100</v>
      </c>
      <c r="N10" s="50">
        <v>0</v>
      </c>
      <c r="O10" s="15">
        <f t="shared" ref="O10:O57" si="0">SUM(C10:L10,N10)</f>
        <v>110</v>
      </c>
      <c r="P10" s="15">
        <f t="shared" ref="P10:P57" si="1">SUM(C10:N10)</f>
        <v>210</v>
      </c>
      <c r="R10" s="1" t="s">
        <v>6</v>
      </c>
      <c r="S10" s="17">
        <f t="shared" ref="S10:AF10" si="2">SUM(C10:C13)</f>
        <v>156</v>
      </c>
      <c r="T10" s="17">
        <f t="shared" si="2"/>
        <v>37</v>
      </c>
      <c r="U10" s="17">
        <f t="shared" si="2"/>
        <v>11</v>
      </c>
      <c r="V10" s="17">
        <f t="shared" si="2"/>
        <v>118</v>
      </c>
      <c r="W10" s="17">
        <f t="shared" si="2"/>
        <v>7</v>
      </c>
      <c r="X10" s="17">
        <f t="shared" si="2"/>
        <v>3</v>
      </c>
      <c r="Y10" s="17">
        <f t="shared" si="2"/>
        <v>15</v>
      </c>
      <c r="Z10" s="17">
        <f t="shared" si="2"/>
        <v>25</v>
      </c>
      <c r="AA10" s="17">
        <f t="shared" si="2"/>
        <v>6</v>
      </c>
      <c r="AB10" s="17">
        <f t="shared" si="2"/>
        <v>2</v>
      </c>
      <c r="AC10" s="17">
        <f t="shared" si="2"/>
        <v>445</v>
      </c>
      <c r="AD10" s="17">
        <f t="shared" si="2"/>
        <v>0</v>
      </c>
      <c r="AE10" s="31">
        <f t="shared" si="2"/>
        <v>380</v>
      </c>
      <c r="AF10" s="31">
        <f t="shared" si="2"/>
        <v>825</v>
      </c>
    </row>
    <row r="11" spans="2:32" s="6" customFormat="1" ht="23.1" customHeight="1" x14ac:dyDescent="0.25">
      <c r="B11" s="23" t="s">
        <v>38</v>
      </c>
      <c r="C11" s="50">
        <v>25</v>
      </c>
      <c r="D11" s="50">
        <v>6</v>
      </c>
      <c r="E11" s="50">
        <v>1</v>
      </c>
      <c r="F11" s="50">
        <v>24</v>
      </c>
      <c r="G11" s="50">
        <v>2</v>
      </c>
      <c r="H11" s="50">
        <v>0</v>
      </c>
      <c r="I11" s="50">
        <v>1</v>
      </c>
      <c r="J11" s="50">
        <v>8</v>
      </c>
      <c r="K11" s="50">
        <v>1</v>
      </c>
      <c r="L11" s="50">
        <v>0</v>
      </c>
      <c r="M11" s="50">
        <v>90</v>
      </c>
      <c r="N11" s="50">
        <v>0</v>
      </c>
      <c r="O11" s="15">
        <f t="shared" si="0"/>
        <v>68</v>
      </c>
      <c r="P11" s="15">
        <f t="shared" si="1"/>
        <v>158</v>
      </c>
      <c r="R11" s="1" t="s">
        <v>7</v>
      </c>
      <c r="S11" s="17">
        <f t="shared" ref="S11:AF11" si="3">SUM(C14:C17)</f>
        <v>143</v>
      </c>
      <c r="T11" s="17">
        <f t="shared" si="3"/>
        <v>10</v>
      </c>
      <c r="U11" s="17">
        <f t="shared" si="3"/>
        <v>12</v>
      </c>
      <c r="V11" s="17">
        <f t="shared" si="3"/>
        <v>138</v>
      </c>
      <c r="W11" s="17">
        <f t="shared" si="3"/>
        <v>3</v>
      </c>
      <c r="X11" s="17">
        <f t="shared" si="3"/>
        <v>0</v>
      </c>
      <c r="Y11" s="17">
        <f t="shared" si="3"/>
        <v>18</v>
      </c>
      <c r="Z11" s="17">
        <f t="shared" si="3"/>
        <v>56</v>
      </c>
      <c r="AA11" s="17">
        <f t="shared" si="3"/>
        <v>2</v>
      </c>
      <c r="AB11" s="17">
        <f t="shared" si="3"/>
        <v>1</v>
      </c>
      <c r="AC11" s="17">
        <f t="shared" si="3"/>
        <v>600</v>
      </c>
      <c r="AD11" s="17">
        <f t="shared" si="3"/>
        <v>0</v>
      </c>
      <c r="AE11" s="31">
        <f t="shared" si="3"/>
        <v>383</v>
      </c>
      <c r="AF11" s="31">
        <f t="shared" si="3"/>
        <v>983</v>
      </c>
    </row>
    <row r="12" spans="2:32" ht="23.1" customHeight="1" x14ac:dyDescent="0.25">
      <c r="B12" s="23" t="s">
        <v>39</v>
      </c>
      <c r="C12" s="50">
        <v>50</v>
      </c>
      <c r="D12" s="50">
        <v>8</v>
      </c>
      <c r="E12" s="50">
        <v>3</v>
      </c>
      <c r="F12" s="50">
        <v>38</v>
      </c>
      <c r="G12" s="50">
        <v>3</v>
      </c>
      <c r="H12" s="50">
        <v>0</v>
      </c>
      <c r="I12" s="50">
        <v>5</v>
      </c>
      <c r="J12" s="50">
        <v>5</v>
      </c>
      <c r="K12" s="50">
        <v>0</v>
      </c>
      <c r="L12" s="50">
        <v>2</v>
      </c>
      <c r="M12" s="50">
        <v>130</v>
      </c>
      <c r="N12" s="50">
        <v>0</v>
      </c>
      <c r="O12" s="15">
        <f t="shared" si="0"/>
        <v>114</v>
      </c>
      <c r="P12" s="15">
        <f t="shared" si="1"/>
        <v>244</v>
      </c>
      <c r="R12" s="1" t="s">
        <v>8</v>
      </c>
      <c r="S12" s="17">
        <f t="shared" ref="S12:AF12" si="4">SUM(C18:C21)</f>
        <v>197</v>
      </c>
      <c r="T12" s="17">
        <f t="shared" si="4"/>
        <v>20</v>
      </c>
      <c r="U12" s="17">
        <f t="shared" si="4"/>
        <v>16</v>
      </c>
      <c r="V12" s="17">
        <f t="shared" si="4"/>
        <v>140</v>
      </c>
      <c r="W12" s="17">
        <f t="shared" si="4"/>
        <v>3</v>
      </c>
      <c r="X12" s="17">
        <f t="shared" si="4"/>
        <v>0</v>
      </c>
      <c r="Y12" s="17">
        <f t="shared" si="4"/>
        <v>12</v>
      </c>
      <c r="Z12" s="17">
        <f t="shared" si="4"/>
        <v>37</v>
      </c>
      <c r="AA12" s="17">
        <f t="shared" si="4"/>
        <v>2</v>
      </c>
      <c r="AB12" s="17">
        <f t="shared" si="4"/>
        <v>2</v>
      </c>
      <c r="AC12" s="17">
        <f t="shared" si="4"/>
        <v>680</v>
      </c>
      <c r="AD12" s="17">
        <f t="shared" si="4"/>
        <v>0</v>
      </c>
      <c r="AE12" s="31">
        <f t="shared" si="4"/>
        <v>429</v>
      </c>
      <c r="AF12" s="31">
        <f t="shared" si="4"/>
        <v>1109</v>
      </c>
    </row>
    <row r="13" spans="2:32" ht="23.1" customHeight="1" x14ac:dyDescent="0.25">
      <c r="B13" s="23" t="s">
        <v>40</v>
      </c>
      <c r="C13" s="50">
        <v>36</v>
      </c>
      <c r="D13" s="50">
        <v>13</v>
      </c>
      <c r="E13" s="50">
        <v>5</v>
      </c>
      <c r="F13" s="50">
        <v>20</v>
      </c>
      <c r="G13" s="50">
        <v>1</v>
      </c>
      <c r="H13" s="50">
        <v>2</v>
      </c>
      <c r="I13" s="50">
        <v>6</v>
      </c>
      <c r="J13" s="50">
        <v>2</v>
      </c>
      <c r="K13" s="50">
        <v>3</v>
      </c>
      <c r="L13" s="50">
        <v>0</v>
      </c>
      <c r="M13" s="50">
        <v>125</v>
      </c>
      <c r="N13" s="50">
        <v>0</v>
      </c>
      <c r="O13" s="15">
        <f t="shared" si="0"/>
        <v>88</v>
      </c>
      <c r="P13" s="15">
        <f t="shared" si="1"/>
        <v>213</v>
      </c>
      <c r="R13" s="1" t="s">
        <v>9</v>
      </c>
      <c r="S13" s="17">
        <f t="shared" ref="S13:AF13" si="5">SUM(C22:C25)</f>
        <v>214</v>
      </c>
      <c r="T13" s="17">
        <f t="shared" si="5"/>
        <v>32</v>
      </c>
      <c r="U13" s="17">
        <f t="shared" si="5"/>
        <v>9</v>
      </c>
      <c r="V13" s="17">
        <f t="shared" si="5"/>
        <v>116</v>
      </c>
      <c r="W13" s="17">
        <f t="shared" si="5"/>
        <v>1</v>
      </c>
      <c r="X13" s="17">
        <f t="shared" si="5"/>
        <v>0</v>
      </c>
      <c r="Y13" s="17">
        <f t="shared" si="5"/>
        <v>23</v>
      </c>
      <c r="Z13" s="17">
        <f t="shared" si="5"/>
        <v>32</v>
      </c>
      <c r="AA13" s="17">
        <f t="shared" si="5"/>
        <v>2</v>
      </c>
      <c r="AB13" s="17">
        <f t="shared" si="5"/>
        <v>5</v>
      </c>
      <c r="AC13" s="17">
        <f t="shared" si="5"/>
        <v>735</v>
      </c>
      <c r="AD13" s="17">
        <f t="shared" si="5"/>
        <v>0</v>
      </c>
      <c r="AE13" s="31">
        <f t="shared" si="5"/>
        <v>434</v>
      </c>
      <c r="AF13" s="31">
        <f t="shared" si="5"/>
        <v>1169</v>
      </c>
    </row>
    <row r="14" spans="2:32" ht="23.1" customHeight="1" x14ac:dyDescent="0.25">
      <c r="B14" s="23" t="s">
        <v>41</v>
      </c>
      <c r="C14" s="50">
        <v>30</v>
      </c>
      <c r="D14" s="50">
        <v>1</v>
      </c>
      <c r="E14" s="50">
        <v>2</v>
      </c>
      <c r="F14" s="50">
        <v>32</v>
      </c>
      <c r="G14" s="50">
        <v>0</v>
      </c>
      <c r="H14" s="50">
        <v>0</v>
      </c>
      <c r="I14" s="50">
        <v>2</v>
      </c>
      <c r="J14" s="50">
        <v>12</v>
      </c>
      <c r="K14" s="50">
        <v>1</v>
      </c>
      <c r="L14" s="50">
        <v>0</v>
      </c>
      <c r="M14" s="50">
        <v>120</v>
      </c>
      <c r="N14" s="50">
        <v>0</v>
      </c>
      <c r="O14" s="15">
        <f t="shared" si="0"/>
        <v>80</v>
      </c>
      <c r="P14" s="15">
        <f t="shared" si="1"/>
        <v>200</v>
      </c>
      <c r="R14" s="1" t="s">
        <v>10</v>
      </c>
      <c r="S14" s="17">
        <f t="shared" ref="S14:AF14" si="6">SUM(C26:C29)</f>
        <v>209</v>
      </c>
      <c r="T14" s="17">
        <f t="shared" si="6"/>
        <v>21</v>
      </c>
      <c r="U14" s="17">
        <f t="shared" si="6"/>
        <v>10</v>
      </c>
      <c r="V14" s="17">
        <f t="shared" si="6"/>
        <v>127</v>
      </c>
      <c r="W14" s="17">
        <f t="shared" si="6"/>
        <v>1</v>
      </c>
      <c r="X14" s="17">
        <f t="shared" si="6"/>
        <v>2</v>
      </c>
      <c r="Y14" s="17">
        <f t="shared" si="6"/>
        <v>27</v>
      </c>
      <c r="Z14" s="17">
        <f t="shared" si="6"/>
        <v>32</v>
      </c>
      <c r="AA14" s="17">
        <f t="shared" si="6"/>
        <v>3</v>
      </c>
      <c r="AB14" s="17">
        <f t="shared" si="6"/>
        <v>3</v>
      </c>
      <c r="AC14" s="17">
        <f t="shared" si="6"/>
        <v>725</v>
      </c>
      <c r="AD14" s="17">
        <f t="shared" si="6"/>
        <v>0</v>
      </c>
      <c r="AE14" s="31">
        <f t="shared" si="6"/>
        <v>435</v>
      </c>
      <c r="AF14" s="31">
        <f t="shared" si="6"/>
        <v>1160</v>
      </c>
    </row>
    <row r="15" spans="2:32" ht="23.1" customHeight="1" x14ac:dyDescent="0.25">
      <c r="B15" s="23" t="s">
        <v>42</v>
      </c>
      <c r="C15" s="50">
        <v>27</v>
      </c>
      <c r="D15" s="50">
        <v>3</v>
      </c>
      <c r="E15" s="50">
        <v>1</v>
      </c>
      <c r="F15" s="50">
        <v>33</v>
      </c>
      <c r="G15" s="50">
        <v>0</v>
      </c>
      <c r="H15" s="50">
        <v>0</v>
      </c>
      <c r="I15" s="50">
        <v>6</v>
      </c>
      <c r="J15" s="50">
        <v>17</v>
      </c>
      <c r="K15" s="50">
        <v>0</v>
      </c>
      <c r="L15" s="50">
        <v>0</v>
      </c>
      <c r="M15" s="50">
        <v>150</v>
      </c>
      <c r="N15" s="50">
        <v>0</v>
      </c>
      <c r="O15" s="15">
        <f t="shared" si="0"/>
        <v>87</v>
      </c>
      <c r="P15" s="15">
        <f t="shared" si="1"/>
        <v>237</v>
      </c>
      <c r="R15" s="1" t="s">
        <v>11</v>
      </c>
      <c r="S15" s="17">
        <f t="shared" ref="S15:AF15" si="7">SUM(C30:C33)</f>
        <v>193</v>
      </c>
      <c r="T15" s="17">
        <f t="shared" si="7"/>
        <v>14</v>
      </c>
      <c r="U15" s="17">
        <f t="shared" si="7"/>
        <v>12</v>
      </c>
      <c r="V15" s="17">
        <f t="shared" si="7"/>
        <v>131</v>
      </c>
      <c r="W15" s="17">
        <f t="shared" si="7"/>
        <v>1</v>
      </c>
      <c r="X15" s="17">
        <f t="shared" si="7"/>
        <v>1</v>
      </c>
      <c r="Y15" s="17">
        <f t="shared" si="7"/>
        <v>7</v>
      </c>
      <c r="Z15" s="17">
        <f t="shared" si="7"/>
        <v>40</v>
      </c>
      <c r="AA15" s="17">
        <f t="shared" si="7"/>
        <v>2</v>
      </c>
      <c r="AB15" s="17">
        <f t="shared" si="7"/>
        <v>2</v>
      </c>
      <c r="AC15" s="17">
        <f t="shared" si="7"/>
        <v>700</v>
      </c>
      <c r="AD15" s="17">
        <f t="shared" si="7"/>
        <v>0</v>
      </c>
      <c r="AE15" s="31">
        <f t="shared" si="7"/>
        <v>403</v>
      </c>
      <c r="AF15" s="31">
        <f t="shared" si="7"/>
        <v>1103</v>
      </c>
    </row>
    <row r="16" spans="2:32" ht="23.1" customHeight="1" x14ac:dyDescent="0.25">
      <c r="B16" s="23" t="s">
        <v>43</v>
      </c>
      <c r="C16" s="50">
        <v>40</v>
      </c>
      <c r="D16" s="50">
        <v>2</v>
      </c>
      <c r="E16" s="50">
        <v>4</v>
      </c>
      <c r="F16" s="50">
        <v>34</v>
      </c>
      <c r="G16" s="50">
        <v>2</v>
      </c>
      <c r="H16" s="50">
        <v>0</v>
      </c>
      <c r="I16" s="50">
        <v>8</v>
      </c>
      <c r="J16" s="50">
        <v>13</v>
      </c>
      <c r="K16" s="50">
        <v>0</v>
      </c>
      <c r="L16" s="50">
        <v>1</v>
      </c>
      <c r="M16" s="50">
        <v>160</v>
      </c>
      <c r="N16" s="50">
        <v>0</v>
      </c>
      <c r="O16" s="15">
        <f t="shared" si="0"/>
        <v>104</v>
      </c>
      <c r="P16" s="15">
        <f t="shared" si="1"/>
        <v>264</v>
      </c>
      <c r="R16" s="1" t="s">
        <v>12</v>
      </c>
      <c r="S16" s="17">
        <f t="shared" ref="S16:AF16" si="8">SUM(C34:C37)</f>
        <v>162</v>
      </c>
      <c r="T16" s="17">
        <f t="shared" si="8"/>
        <v>19</v>
      </c>
      <c r="U16" s="17">
        <f t="shared" si="8"/>
        <v>14</v>
      </c>
      <c r="V16" s="17">
        <f t="shared" si="8"/>
        <v>95</v>
      </c>
      <c r="W16" s="17">
        <f t="shared" si="8"/>
        <v>2</v>
      </c>
      <c r="X16" s="17">
        <f t="shared" si="8"/>
        <v>0</v>
      </c>
      <c r="Y16" s="17">
        <f t="shared" si="8"/>
        <v>12</v>
      </c>
      <c r="Z16" s="17">
        <f t="shared" si="8"/>
        <v>36</v>
      </c>
      <c r="AA16" s="17">
        <f t="shared" si="8"/>
        <v>1</v>
      </c>
      <c r="AB16" s="17">
        <f t="shared" si="8"/>
        <v>3</v>
      </c>
      <c r="AC16" s="17">
        <f t="shared" si="8"/>
        <v>765</v>
      </c>
      <c r="AD16" s="17">
        <f t="shared" si="8"/>
        <v>0</v>
      </c>
      <c r="AE16" s="31">
        <f t="shared" si="8"/>
        <v>344</v>
      </c>
      <c r="AF16" s="31">
        <f t="shared" si="8"/>
        <v>1109</v>
      </c>
    </row>
    <row r="17" spans="2:32" ht="23.1" customHeight="1" x14ac:dyDescent="0.25">
      <c r="B17" s="23" t="s">
        <v>44</v>
      </c>
      <c r="C17" s="50">
        <v>46</v>
      </c>
      <c r="D17" s="50">
        <v>4</v>
      </c>
      <c r="E17" s="50">
        <v>5</v>
      </c>
      <c r="F17" s="50">
        <v>39</v>
      </c>
      <c r="G17" s="50">
        <v>1</v>
      </c>
      <c r="H17" s="50">
        <v>0</v>
      </c>
      <c r="I17" s="50">
        <v>2</v>
      </c>
      <c r="J17" s="50">
        <v>14</v>
      </c>
      <c r="K17" s="50">
        <v>1</v>
      </c>
      <c r="L17" s="50">
        <v>0</v>
      </c>
      <c r="M17" s="50">
        <v>170</v>
      </c>
      <c r="N17" s="50">
        <v>0</v>
      </c>
      <c r="O17" s="15">
        <f t="shared" si="0"/>
        <v>112</v>
      </c>
      <c r="P17" s="15">
        <f t="shared" si="1"/>
        <v>282</v>
      </c>
      <c r="R17" s="1" t="s">
        <v>13</v>
      </c>
      <c r="S17" s="17">
        <f t="shared" ref="S17:AF17" si="9">SUM(C38:C41)</f>
        <v>143</v>
      </c>
      <c r="T17" s="17">
        <f t="shared" si="9"/>
        <v>22</v>
      </c>
      <c r="U17" s="17">
        <f t="shared" si="9"/>
        <v>11</v>
      </c>
      <c r="V17" s="17">
        <f t="shared" si="9"/>
        <v>124</v>
      </c>
      <c r="W17" s="17">
        <f t="shared" si="9"/>
        <v>3</v>
      </c>
      <c r="X17" s="17">
        <f t="shared" si="9"/>
        <v>1</v>
      </c>
      <c r="Y17" s="17">
        <f t="shared" si="9"/>
        <v>12</v>
      </c>
      <c r="Z17" s="17">
        <f t="shared" si="9"/>
        <v>34</v>
      </c>
      <c r="AA17" s="17">
        <f t="shared" si="9"/>
        <v>5</v>
      </c>
      <c r="AB17" s="17">
        <f t="shared" si="9"/>
        <v>4</v>
      </c>
      <c r="AC17" s="17">
        <f t="shared" si="9"/>
        <v>655</v>
      </c>
      <c r="AD17" s="17">
        <f t="shared" si="9"/>
        <v>0</v>
      </c>
      <c r="AE17" s="31">
        <f t="shared" si="9"/>
        <v>359</v>
      </c>
      <c r="AF17" s="31">
        <f t="shared" si="9"/>
        <v>1014</v>
      </c>
    </row>
    <row r="18" spans="2:32" ht="23.1" customHeight="1" x14ac:dyDescent="0.25">
      <c r="B18" s="23" t="s">
        <v>45</v>
      </c>
      <c r="C18" s="50">
        <v>38</v>
      </c>
      <c r="D18" s="50">
        <v>2</v>
      </c>
      <c r="E18" s="50">
        <v>4</v>
      </c>
      <c r="F18" s="50">
        <v>34</v>
      </c>
      <c r="G18" s="50">
        <v>0</v>
      </c>
      <c r="H18" s="50">
        <v>0</v>
      </c>
      <c r="I18" s="50">
        <v>3</v>
      </c>
      <c r="J18" s="50">
        <v>3</v>
      </c>
      <c r="K18" s="50">
        <v>1</v>
      </c>
      <c r="L18" s="50">
        <v>1</v>
      </c>
      <c r="M18" s="50">
        <v>160</v>
      </c>
      <c r="N18" s="50">
        <v>0</v>
      </c>
      <c r="O18" s="15">
        <f t="shared" si="0"/>
        <v>86</v>
      </c>
      <c r="P18" s="15">
        <f t="shared" si="1"/>
        <v>246</v>
      </c>
      <c r="R18" s="1" t="s">
        <v>14</v>
      </c>
      <c r="S18" s="17">
        <f t="shared" ref="S18:AF18" si="10">SUM(C42:C45)</f>
        <v>234</v>
      </c>
      <c r="T18" s="17">
        <f t="shared" si="10"/>
        <v>27</v>
      </c>
      <c r="U18" s="17">
        <f t="shared" si="10"/>
        <v>18</v>
      </c>
      <c r="V18" s="17">
        <f t="shared" si="10"/>
        <v>130</v>
      </c>
      <c r="W18" s="17">
        <f t="shared" si="10"/>
        <v>3</v>
      </c>
      <c r="X18" s="17">
        <f t="shared" si="10"/>
        <v>1</v>
      </c>
      <c r="Y18" s="17">
        <f t="shared" si="10"/>
        <v>14</v>
      </c>
      <c r="Z18" s="17">
        <f t="shared" si="10"/>
        <v>39</v>
      </c>
      <c r="AA18" s="17">
        <f t="shared" si="10"/>
        <v>0</v>
      </c>
      <c r="AB18" s="17">
        <f t="shared" si="10"/>
        <v>2</v>
      </c>
      <c r="AC18" s="17">
        <f t="shared" si="10"/>
        <v>710</v>
      </c>
      <c r="AD18" s="17">
        <f t="shared" si="10"/>
        <v>0</v>
      </c>
      <c r="AE18" s="31">
        <f t="shared" si="10"/>
        <v>468</v>
      </c>
      <c r="AF18" s="31">
        <f t="shared" si="10"/>
        <v>1178</v>
      </c>
    </row>
    <row r="19" spans="2:32" ht="23.1" customHeight="1" x14ac:dyDescent="0.25">
      <c r="B19" s="23" t="s">
        <v>46</v>
      </c>
      <c r="C19" s="50">
        <v>48</v>
      </c>
      <c r="D19" s="50">
        <v>8</v>
      </c>
      <c r="E19" s="50">
        <v>2</v>
      </c>
      <c r="F19" s="50">
        <v>40</v>
      </c>
      <c r="G19" s="50">
        <v>3</v>
      </c>
      <c r="H19" s="50">
        <v>0</v>
      </c>
      <c r="I19" s="50">
        <v>3</v>
      </c>
      <c r="J19" s="50">
        <v>10</v>
      </c>
      <c r="K19" s="50">
        <v>1</v>
      </c>
      <c r="L19" s="50">
        <v>0</v>
      </c>
      <c r="M19" s="50">
        <v>180</v>
      </c>
      <c r="N19" s="50">
        <v>0</v>
      </c>
      <c r="O19" s="15">
        <f t="shared" si="0"/>
        <v>115</v>
      </c>
      <c r="P19" s="15">
        <f t="shared" si="1"/>
        <v>295</v>
      </c>
      <c r="R19" s="1" t="s">
        <v>15</v>
      </c>
      <c r="S19" s="17">
        <f t="shared" ref="S19:AF19" si="11">SUM(C46:C49)</f>
        <v>199</v>
      </c>
      <c r="T19" s="17">
        <f t="shared" si="11"/>
        <v>27</v>
      </c>
      <c r="U19" s="17">
        <f t="shared" si="11"/>
        <v>15</v>
      </c>
      <c r="V19" s="17">
        <f t="shared" si="11"/>
        <v>129</v>
      </c>
      <c r="W19" s="17">
        <f t="shared" si="11"/>
        <v>8</v>
      </c>
      <c r="X19" s="17">
        <f t="shared" si="11"/>
        <v>1</v>
      </c>
      <c r="Y19" s="17">
        <f t="shared" si="11"/>
        <v>11</v>
      </c>
      <c r="Z19" s="17">
        <f t="shared" si="11"/>
        <v>30</v>
      </c>
      <c r="AA19" s="17">
        <f t="shared" si="11"/>
        <v>8</v>
      </c>
      <c r="AB19" s="17">
        <f t="shared" si="11"/>
        <v>0</v>
      </c>
      <c r="AC19" s="17">
        <f t="shared" si="11"/>
        <v>510</v>
      </c>
      <c r="AD19" s="17">
        <f t="shared" si="11"/>
        <v>0</v>
      </c>
      <c r="AE19" s="31">
        <f t="shared" si="11"/>
        <v>428</v>
      </c>
      <c r="AF19" s="31">
        <f t="shared" si="11"/>
        <v>938</v>
      </c>
    </row>
    <row r="20" spans="2:32" ht="23.1" customHeight="1" x14ac:dyDescent="0.25">
      <c r="B20" s="23" t="s">
        <v>47</v>
      </c>
      <c r="C20" s="50">
        <v>50</v>
      </c>
      <c r="D20" s="50">
        <v>5</v>
      </c>
      <c r="E20" s="50">
        <v>2</v>
      </c>
      <c r="F20" s="50">
        <v>31</v>
      </c>
      <c r="G20" s="50">
        <v>0</v>
      </c>
      <c r="H20" s="50">
        <v>0</v>
      </c>
      <c r="I20" s="50">
        <v>2</v>
      </c>
      <c r="J20" s="50">
        <v>7</v>
      </c>
      <c r="K20" s="50">
        <v>0</v>
      </c>
      <c r="L20" s="50">
        <v>0</v>
      </c>
      <c r="M20" s="50">
        <v>175</v>
      </c>
      <c r="N20" s="50">
        <v>0</v>
      </c>
      <c r="O20" s="15">
        <f t="shared" si="0"/>
        <v>97</v>
      </c>
      <c r="P20" s="15">
        <f t="shared" si="1"/>
        <v>272</v>
      </c>
      <c r="R20" s="1" t="s">
        <v>16</v>
      </c>
      <c r="S20" s="17">
        <f t="shared" ref="S20:AF20" si="12">SUM(C50:C53)</f>
        <v>256</v>
      </c>
      <c r="T20" s="17">
        <f t="shared" si="12"/>
        <v>25</v>
      </c>
      <c r="U20" s="17">
        <f t="shared" si="12"/>
        <v>16</v>
      </c>
      <c r="V20" s="17">
        <f t="shared" si="12"/>
        <v>149</v>
      </c>
      <c r="W20" s="17">
        <f t="shared" si="12"/>
        <v>2</v>
      </c>
      <c r="X20" s="17">
        <f t="shared" si="12"/>
        <v>3</v>
      </c>
      <c r="Y20" s="17">
        <f t="shared" si="12"/>
        <v>14</v>
      </c>
      <c r="Z20" s="17">
        <f t="shared" si="12"/>
        <v>26</v>
      </c>
      <c r="AA20" s="17">
        <f t="shared" si="12"/>
        <v>2</v>
      </c>
      <c r="AB20" s="17">
        <f t="shared" si="12"/>
        <v>0</v>
      </c>
      <c r="AC20" s="17">
        <f t="shared" si="12"/>
        <v>570</v>
      </c>
      <c r="AD20" s="17">
        <f t="shared" si="12"/>
        <v>0</v>
      </c>
      <c r="AE20" s="31">
        <f t="shared" si="12"/>
        <v>493</v>
      </c>
      <c r="AF20" s="31">
        <f t="shared" si="12"/>
        <v>1063</v>
      </c>
    </row>
    <row r="21" spans="2:32" ht="23.1" customHeight="1" x14ac:dyDescent="0.25">
      <c r="B21" s="23" t="s">
        <v>48</v>
      </c>
      <c r="C21" s="50">
        <v>61</v>
      </c>
      <c r="D21" s="50">
        <v>5</v>
      </c>
      <c r="E21" s="50">
        <v>8</v>
      </c>
      <c r="F21" s="50">
        <v>35</v>
      </c>
      <c r="G21" s="50">
        <v>0</v>
      </c>
      <c r="H21" s="50">
        <v>0</v>
      </c>
      <c r="I21" s="50">
        <v>4</v>
      </c>
      <c r="J21" s="50">
        <v>17</v>
      </c>
      <c r="K21" s="50">
        <v>0</v>
      </c>
      <c r="L21" s="50">
        <v>1</v>
      </c>
      <c r="M21" s="50">
        <v>165</v>
      </c>
      <c r="N21" s="50">
        <v>0</v>
      </c>
      <c r="O21" s="15">
        <f t="shared" si="0"/>
        <v>131</v>
      </c>
      <c r="P21" s="15">
        <f t="shared" si="1"/>
        <v>296</v>
      </c>
      <c r="R21" s="36" t="s">
        <v>20</v>
      </c>
      <c r="S21" s="34">
        <f t="shared" ref="S21:AF21" si="13">SUM(C54:C57)</f>
        <v>162</v>
      </c>
      <c r="T21" s="17">
        <f t="shared" si="13"/>
        <v>15</v>
      </c>
      <c r="U21" s="17">
        <f t="shared" si="13"/>
        <v>12</v>
      </c>
      <c r="V21" s="17">
        <f t="shared" si="13"/>
        <v>132</v>
      </c>
      <c r="W21" s="17">
        <f t="shared" si="13"/>
        <v>3</v>
      </c>
      <c r="X21" s="17">
        <f t="shared" si="13"/>
        <v>5</v>
      </c>
      <c r="Y21" s="17">
        <f t="shared" si="13"/>
        <v>16</v>
      </c>
      <c r="Z21" s="17">
        <f t="shared" si="13"/>
        <v>32</v>
      </c>
      <c r="AA21" s="17">
        <f t="shared" si="13"/>
        <v>3</v>
      </c>
      <c r="AB21" s="17">
        <f t="shared" si="13"/>
        <v>1</v>
      </c>
      <c r="AC21" s="17">
        <f t="shared" si="13"/>
        <v>520</v>
      </c>
      <c r="AD21" s="17">
        <f t="shared" si="13"/>
        <v>0</v>
      </c>
      <c r="AE21" s="31">
        <f t="shared" si="13"/>
        <v>381</v>
      </c>
      <c r="AF21" s="31">
        <f t="shared" si="13"/>
        <v>901</v>
      </c>
    </row>
    <row r="22" spans="2:32" ht="23.1" customHeight="1" x14ac:dyDescent="0.25">
      <c r="B22" s="23" t="s">
        <v>49</v>
      </c>
      <c r="C22" s="50">
        <v>27</v>
      </c>
      <c r="D22" s="50">
        <v>1</v>
      </c>
      <c r="E22" s="50">
        <v>1</v>
      </c>
      <c r="F22" s="50">
        <v>18</v>
      </c>
      <c r="G22" s="50">
        <v>0</v>
      </c>
      <c r="H22" s="50">
        <v>0</v>
      </c>
      <c r="I22" s="50">
        <v>4</v>
      </c>
      <c r="J22" s="50">
        <v>3</v>
      </c>
      <c r="K22" s="50">
        <v>1</v>
      </c>
      <c r="L22" s="50">
        <v>1</v>
      </c>
      <c r="M22" s="50">
        <v>170</v>
      </c>
      <c r="N22" s="50">
        <v>0</v>
      </c>
      <c r="O22" s="15">
        <f t="shared" si="0"/>
        <v>56</v>
      </c>
      <c r="P22" s="15">
        <f t="shared" si="1"/>
        <v>226</v>
      </c>
      <c r="R22" s="38" t="s">
        <v>90</v>
      </c>
      <c r="S22" s="39">
        <f>MAX(S10:S12)</f>
        <v>197</v>
      </c>
      <c r="T22" s="39">
        <f t="shared" ref="T22:AF22" si="14">MAX(T10:T12)</f>
        <v>37</v>
      </c>
      <c r="U22" s="39">
        <f t="shared" si="14"/>
        <v>16</v>
      </c>
      <c r="V22" s="39">
        <f t="shared" si="14"/>
        <v>140</v>
      </c>
      <c r="W22" s="39">
        <f t="shared" si="14"/>
        <v>7</v>
      </c>
      <c r="X22" s="39">
        <f t="shared" si="14"/>
        <v>3</v>
      </c>
      <c r="Y22" s="39">
        <f t="shared" si="14"/>
        <v>18</v>
      </c>
      <c r="Z22" s="39">
        <f t="shared" si="14"/>
        <v>56</v>
      </c>
      <c r="AA22" s="39">
        <f t="shared" si="14"/>
        <v>6</v>
      </c>
      <c r="AB22" s="39">
        <f t="shared" si="14"/>
        <v>2</v>
      </c>
      <c r="AC22" s="39">
        <f t="shared" si="14"/>
        <v>680</v>
      </c>
      <c r="AD22" s="39">
        <f t="shared" si="14"/>
        <v>0</v>
      </c>
      <c r="AE22" s="40">
        <f t="shared" si="14"/>
        <v>429</v>
      </c>
      <c r="AF22" s="40">
        <f t="shared" si="14"/>
        <v>1109</v>
      </c>
    </row>
    <row r="23" spans="2:32" ht="23.1" customHeight="1" x14ac:dyDescent="0.25">
      <c r="B23" s="23" t="s">
        <v>50</v>
      </c>
      <c r="C23" s="50">
        <v>60</v>
      </c>
      <c r="D23" s="50">
        <v>7</v>
      </c>
      <c r="E23" s="50">
        <v>0</v>
      </c>
      <c r="F23" s="50">
        <v>29</v>
      </c>
      <c r="G23" s="50">
        <v>0</v>
      </c>
      <c r="H23" s="50">
        <v>0</v>
      </c>
      <c r="I23" s="50">
        <v>2</v>
      </c>
      <c r="J23" s="50">
        <v>6</v>
      </c>
      <c r="K23" s="50">
        <v>0</v>
      </c>
      <c r="L23" s="50">
        <v>0</v>
      </c>
      <c r="M23" s="50">
        <v>200</v>
      </c>
      <c r="N23" s="50">
        <v>0</v>
      </c>
      <c r="O23" s="15">
        <f t="shared" si="0"/>
        <v>104</v>
      </c>
      <c r="P23" s="15">
        <f t="shared" si="1"/>
        <v>304</v>
      </c>
      <c r="R23" s="38" t="s">
        <v>91</v>
      </c>
      <c r="S23" s="39">
        <f>MAX(S13:S18)</f>
        <v>234</v>
      </c>
      <c r="T23" s="39">
        <f t="shared" ref="T23:AF23" si="15">MAX(T13:T18)</f>
        <v>32</v>
      </c>
      <c r="U23" s="39">
        <f t="shared" si="15"/>
        <v>18</v>
      </c>
      <c r="V23" s="39">
        <f t="shared" si="15"/>
        <v>131</v>
      </c>
      <c r="W23" s="39">
        <f t="shared" si="15"/>
        <v>3</v>
      </c>
      <c r="X23" s="39">
        <f t="shared" si="15"/>
        <v>2</v>
      </c>
      <c r="Y23" s="39">
        <f t="shared" si="15"/>
        <v>27</v>
      </c>
      <c r="Z23" s="39">
        <f t="shared" si="15"/>
        <v>40</v>
      </c>
      <c r="AA23" s="39">
        <f t="shared" si="15"/>
        <v>5</v>
      </c>
      <c r="AB23" s="39">
        <f t="shared" si="15"/>
        <v>5</v>
      </c>
      <c r="AC23" s="39">
        <f t="shared" si="15"/>
        <v>765</v>
      </c>
      <c r="AD23" s="39">
        <f t="shared" si="15"/>
        <v>0</v>
      </c>
      <c r="AE23" s="40">
        <f t="shared" si="15"/>
        <v>468</v>
      </c>
      <c r="AF23" s="40">
        <f t="shared" si="15"/>
        <v>1178</v>
      </c>
    </row>
    <row r="24" spans="2:32" ht="23.1" customHeight="1" x14ac:dyDescent="0.25">
      <c r="B24" s="23" t="s">
        <v>51</v>
      </c>
      <c r="C24" s="50">
        <v>65</v>
      </c>
      <c r="D24" s="50">
        <v>9</v>
      </c>
      <c r="E24" s="50">
        <v>2</v>
      </c>
      <c r="F24" s="50">
        <v>31</v>
      </c>
      <c r="G24" s="50">
        <v>1</v>
      </c>
      <c r="H24" s="50">
        <v>0</v>
      </c>
      <c r="I24" s="50">
        <v>7</v>
      </c>
      <c r="J24" s="50">
        <v>12</v>
      </c>
      <c r="K24" s="50">
        <v>0</v>
      </c>
      <c r="L24" s="50">
        <v>3</v>
      </c>
      <c r="M24" s="50">
        <v>185</v>
      </c>
      <c r="N24" s="50">
        <v>0</v>
      </c>
      <c r="O24" s="15">
        <f t="shared" si="0"/>
        <v>130</v>
      </c>
      <c r="P24" s="15">
        <f t="shared" si="1"/>
        <v>315</v>
      </c>
      <c r="R24" s="38" t="s">
        <v>92</v>
      </c>
      <c r="S24" s="39">
        <f>MAX(S19:S21)</f>
        <v>256</v>
      </c>
      <c r="T24" s="39">
        <f t="shared" ref="T24:AF24" si="16">MAX(T19:T21)</f>
        <v>27</v>
      </c>
      <c r="U24" s="39">
        <f t="shared" si="16"/>
        <v>16</v>
      </c>
      <c r="V24" s="39">
        <f t="shared" si="16"/>
        <v>149</v>
      </c>
      <c r="W24" s="39">
        <f t="shared" si="16"/>
        <v>8</v>
      </c>
      <c r="X24" s="39">
        <f t="shared" si="16"/>
        <v>5</v>
      </c>
      <c r="Y24" s="39">
        <f t="shared" si="16"/>
        <v>16</v>
      </c>
      <c r="Z24" s="39">
        <f t="shared" si="16"/>
        <v>32</v>
      </c>
      <c r="AA24" s="39">
        <f t="shared" si="16"/>
        <v>8</v>
      </c>
      <c r="AB24" s="39">
        <f t="shared" si="16"/>
        <v>1</v>
      </c>
      <c r="AC24" s="39">
        <f t="shared" si="16"/>
        <v>570</v>
      </c>
      <c r="AD24" s="39">
        <f t="shared" si="16"/>
        <v>0</v>
      </c>
      <c r="AE24" s="40">
        <f t="shared" si="16"/>
        <v>493</v>
      </c>
      <c r="AF24" s="40">
        <f t="shared" si="16"/>
        <v>1063</v>
      </c>
    </row>
    <row r="25" spans="2:32" ht="23.1" customHeight="1" x14ac:dyDescent="0.25">
      <c r="B25" s="23" t="s">
        <v>52</v>
      </c>
      <c r="C25" s="50">
        <v>62</v>
      </c>
      <c r="D25" s="50">
        <v>15</v>
      </c>
      <c r="E25" s="50">
        <v>6</v>
      </c>
      <c r="F25" s="50">
        <v>38</v>
      </c>
      <c r="G25" s="50">
        <v>0</v>
      </c>
      <c r="H25" s="50">
        <v>0</v>
      </c>
      <c r="I25" s="50">
        <v>10</v>
      </c>
      <c r="J25" s="50">
        <v>11</v>
      </c>
      <c r="K25" s="50">
        <v>1</v>
      </c>
      <c r="L25" s="50">
        <v>1</v>
      </c>
      <c r="M25" s="50">
        <v>180</v>
      </c>
      <c r="N25" s="50">
        <v>0</v>
      </c>
      <c r="O25" s="15">
        <f t="shared" si="0"/>
        <v>144</v>
      </c>
      <c r="P25" s="15">
        <f t="shared" si="1"/>
        <v>324</v>
      </c>
      <c r="R25" s="37" t="s">
        <v>85</v>
      </c>
      <c r="S25" s="35">
        <f t="shared" ref="S25:AF25" si="17">SUM(S10:S12)</f>
        <v>496</v>
      </c>
      <c r="T25" s="16">
        <f t="shared" si="17"/>
        <v>67</v>
      </c>
      <c r="U25" s="16">
        <f t="shared" si="17"/>
        <v>39</v>
      </c>
      <c r="V25" s="16">
        <f t="shared" si="17"/>
        <v>396</v>
      </c>
      <c r="W25" s="16">
        <f t="shared" si="17"/>
        <v>13</v>
      </c>
      <c r="X25" s="16">
        <f t="shared" si="17"/>
        <v>3</v>
      </c>
      <c r="Y25" s="16">
        <f t="shared" si="17"/>
        <v>45</v>
      </c>
      <c r="Z25" s="16">
        <f t="shared" si="17"/>
        <v>118</v>
      </c>
      <c r="AA25" s="16">
        <f t="shared" si="17"/>
        <v>10</v>
      </c>
      <c r="AB25" s="16">
        <f t="shared" si="17"/>
        <v>5</v>
      </c>
      <c r="AC25" s="16">
        <f t="shared" si="17"/>
        <v>1725</v>
      </c>
      <c r="AD25" s="16">
        <f t="shared" si="17"/>
        <v>0</v>
      </c>
      <c r="AE25" s="32">
        <f t="shared" si="17"/>
        <v>1192</v>
      </c>
      <c r="AF25" s="32">
        <f t="shared" si="17"/>
        <v>2917</v>
      </c>
    </row>
    <row r="26" spans="2:32" ht="23.1" customHeight="1" x14ac:dyDescent="0.25">
      <c r="B26" s="23" t="s">
        <v>53</v>
      </c>
      <c r="C26" s="50">
        <v>33</v>
      </c>
      <c r="D26" s="50">
        <v>3</v>
      </c>
      <c r="E26" s="50">
        <v>4</v>
      </c>
      <c r="F26" s="50">
        <v>30</v>
      </c>
      <c r="G26" s="50">
        <v>0</v>
      </c>
      <c r="H26" s="50">
        <v>1</v>
      </c>
      <c r="I26" s="50">
        <v>6</v>
      </c>
      <c r="J26" s="50">
        <v>7</v>
      </c>
      <c r="K26" s="50">
        <v>0</v>
      </c>
      <c r="L26" s="50">
        <v>1</v>
      </c>
      <c r="M26" s="50">
        <v>180</v>
      </c>
      <c r="N26" s="50">
        <v>0</v>
      </c>
      <c r="O26" s="15">
        <f t="shared" si="0"/>
        <v>85</v>
      </c>
      <c r="P26" s="15">
        <f t="shared" si="1"/>
        <v>265</v>
      </c>
      <c r="R26" s="28" t="s">
        <v>86</v>
      </c>
      <c r="S26" s="16">
        <f t="shared" ref="S26:AF26" si="18">SUM(S13:S18)</f>
        <v>1155</v>
      </c>
      <c r="T26" s="16">
        <f t="shared" si="18"/>
        <v>135</v>
      </c>
      <c r="U26" s="16">
        <f t="shared" si="18"/>
        <v>74</v>
      </c>
      <c r="V26" s="16">
        <f t="shared" si="18"/>
        <v>723</v>
      </c>
      <c r="W26" s="16">
        <f t="shared" si="18"/>
        <v>11</v>
      </c>
      <c r="X26" s="16">
        <f t="shared" si="18"/>
        <v>5</v>
      </c>
      <c r="Y26" s="16">
        <f t="shared" si="18"/>
        <v>95</v>
      </c>
      <c r="Z26" s="16">
        <f t="shared" si="18"/>
        <v>213</v>
      </c>
      <c r="AA26" s="16">
        <f t="shared" si="18"/>
        <v>13</v>
      </c>
      <c r="AB26" s="16">
        <f t="shared" si="18"/>
        <v>19</v>
      </c>
      <c r="AC26" s="16">
        <f t="shared" si="18"/>
        <v>4290</v>
      </c>
      <c r="AD26" s="16">
        <f t="shared" si="18"/>
        <v>0</v>
      </c>
      <c r="AE26" s="32">
        <f t="shared" si="18"/>
        <v>2443</v>
      </c>
      <c r="AF26" s="32">
        <f t="shared" si="18"/>
        <v>6733</v>
      </c>
    </row>
    <row r="27" spans="2:32" ht="23.1" customHeight="1" x14ac:dyDescent="0.25">
      <c r="B27" s="23" t="s">
        <v>54</v>
      </c>
      <c r="C27" s="50">
        <v>75</v>
      </c>
      <c r="D27" s="50">
        <v>5</v>
      </c>
      <c r="E27" s="50">
        <v>5</v>
      </c>
      <c r="F27" s="50">
        <v>34</v>
      </c>
      <c r="G27" s="50">
        <v>1</v>
      </c>
      <c r="H27" s="50">
        <v>0</v>
      </c>
      <c r="I27" s="50">
        <v>7</v>
      </c>
      <c r="J27" s="50">
        <v>8</v>
      </c>
      <c r="K27" s="50">
        <v>0</v>
      </c>
      <c r="L27" s="50">
        <v>0</v>
      </c>
      <c r="M27" s="50">
        <v>200</v>
      </c>
      <c r="N27" s="50">
        <v>0</v>
      </c>
      <c r="O27" s="15">
        <f t="shared" si="0"/>
        <v>135</v>
      </c>
      <c r="P27" s="15">
        <f t="shared" si="1"/>
        <v>335</v>
      </c>
      <c r="R27" s="29" t="s">
        <v>87</v>
      </c>
      <c r="S27" s="16">
        <f t="shared" ref="S27:AF27" si="19">SUM(S19:S21)</f>
        <v>617</v>
      </c>
      <c r="T27" s="16">
        <f t="shared" si="19"/>
        <v>67</v>
      </c>
      <c r="U27" s="16">
        <f t="shared" si="19"/>
        <v>43</v>
      </c>
      <c r="V27" s="16">
        <f t="shared" si="19"/>
        <v>410</v>
      </c>
      <c r="W27" s="16">
        <f t="shared" si="19"/>
        <v>13</v>
      </c>
      <c r="X27" s="16">
        <f t="shared" si="19"/>
        <v>9</v>
      </c>
      <c r="Y27" s="16">
        <f t="shared" si="19"/>
        <v>41</v>
      </c>
      <c r="Z27" s="16">
        <f t="shared" si="19"/>
        <v>88</v>
      </c>
      <c r="AA27" s="16">
        <f t="shared" si="19"/>
        <v>13</v>
      </c>
      <c r="AB27" s="16">
        <f t="shared" si="19"/>
        <v>1</v>
      </c>
      <c r="AC27" s="16">
        <f t="shared" si="19"/>
        <v>1600</v>
      </c>
      <c r="AD27" s="16">
        <f t="shared" si="19"/>
        <v>0</v>
      </c>
      <c r="AE27" s="32">
        <f t="shared" si="19"/>
        <v>1302</v>
      </c>
      <c r="AF27" s="32">
        <f t="shared" si="19"/>
        <v>2902</v>
      </c>
    </row>
    <row r="28" spans="2:32" ht="23.1" customHeight="1" x14ac:dyDescent="0.25">
      <c r="B28" s="23" t="s">
        <v>55</v>
      </c>
      <c r="C28" s="50">
        <v>48</v>
      </c>
      <c r="D28" s="50">
        <v>8</v>
      </c>
      <c r="E28" s="50">
        <v>0</v>
      </c>
      <c r="F28" s="50">
        <v>30</v>
      </c>
      <c r="G28" s="50">
        <v>0</v>
      </c>
      <c r="H28" s="50">
        <v>1</v>
      </c>
      <c r="I28" s="50">
        <v>11</v>
      </c>
      <c r="J28" s="50">
        <v>9</v>
      </c>
      <c r="K28" s="50">
        <v>1</v>
      </c>
      <c r="L28" s="50">
        <v>2</v>
      </c>
      <c r="M28" s="50">
        <v>175</v>
      </c>
      <c r="N28" s="50">
        <v>0</v>
      </c>
      <c r="O28" s="15">
        <f t="shared" si="0"/>
        <v>110</v>
      </c>
      <c r="P28" s="15">
        <f t="shared" si="1"/>
        <v>285</v>
      </c>
      <c r="R28" s="5" t="s">
        <v>17</v>
      </c>
      <c r="S28" s="16">
        <f t="shared" ref="S28:AF28" si="20">SUM(S10:S21)</f>
        <v>2268</v>
      </c>
      <c r="T28" s="16">
        <f t="shared" si="20"/>
        <v>269</v>
      </c>
      <c r="U28" s="16">
        <f t="shared" si="20"/>
        <v>156</v>
      </c>
      <c r="V28" s="16">
        <f t="shared" si="20"/>
        <v>1529</v>
      </c>
      <c r="W28" s="16">
        <f t="shared" si="20"/>
        <v>37</v>
      </c>
      <c r="X28" s="16">
        <f t="shared" si="20"/>
        <v>17</v>
      </c>
      <c r="Y28" s="16">
        <f t="shared" si="20"/>
        <v>181</v>
      </c>
      <c r="Z28" s="16">
        <f t="shared" si="20"/>
        <v>419</v>
      </c>
      <c r="AA28" s="16">
        <f t="shared" si="20"/>
        <v>36</v>
      </c>
      <c r="AB28" s="16">
        <f t="shared" si="20"/>
        <v>25</v>
      </c>
      <c r="AC28" s="16">
        <f t="shared" si="20"/>
        <v>7615</v>
      </c>
      <c r="AD28" s="16">
        <f t="shared" si="20"/>
        <v>0</v>
      </c>
      <c r="AE28" s="32">
        <f t="shared" si="20"/>
        <v>4937</v>
      </c>
      <c r="AF28" s="32">
        <f t="shared" si="20"/>
        <v>12552</v>
      </c>
    </row>
    <row r="29" spans="2:32" ht="23.1" customHeight="1" x14ac:dyDescent="0.25">
      <c r="B29" s="23" t="s">
        <v>56</v>
      </c>
      <c r="C29" s="50">
        <v>53</v>
      </c>
      <c r="D29" s="50">
        <v>5</v>
      </c>
      <c r="E29" s="50">
        <v>1</v>
      </c>
      <c r="F29" s="50">
        <v>33</v>
      </c>
      <c r="G29" s="50">
        <v>0</v>
      </c>
      <c r="H29" s="50">
        <v>0</v>
      </c>
      <c r="I29" s="50">
        <v>3</v>
      </c>
      <c r="J29" s="50">
        <v>8</v>
      </c>
      <c r="K29" s="50">
        <v>2</v>
      </c>
      <c r="L29" s="50">
        <v>0</v>
      </c>
      <c r="M29" s="50">
        <v>170</v>
      </c>
      <c r="N29" s="50">
        <v>0</v>
      </c>
      <c r="O29" s="15">
        <f t="shared" si="0"/>
        <v>105</v>
      </c>
      <c r="P29" s="15">
        <f t="shared" si="1"/>
        <v>275</v>
      </c>
      <c r="R29"/>
      <c r="S29" s="20"/>
      <c r="T29" s="19"/>
    </row>
    <row r="30" spans="2:32" ht="23.1" customHeight="1" x14ac:dyDescent="0.25">
      <c r="B30" s="23" t="s">
        <v>57</v>
      </c>
      <c r="C30" s="50">
        <v>54</v>
      </c>
      <c r="D30" s="50">
        <v>3</v>
      </c>
      <c r="E30" s="50">
        <v>3</v>
      </c>
      <c r="F30" s="50">
        <v>46</v>
      </c>
      <c r="G30" s="50">
        <v>1</v>
      </c>
      <c r="H30" s="50">
        <v>1</v>
      </c>
      <c r="I30" s="50">
        <v>1</v>
      </c>
      <c r="J30" s="50">
        <v>8</v>
      </c>
      <c r="K30" s="50">
        <v>1</v>
      </c>
      <c r="L30" s="50">
        <v>1</v>
      </c>
      <c r="M30" s="50">
        <v>140</v>
      </c>
      <c r="N30" s="50">
        <v>0</v>
      </c>
      <c r="O30" s="15">
        <f t="shared" si="0"/>
        <v>119</v>
      </c>
      <c r="P30" s="15">
        <f t="shared" si="1"/>
        <v>259</v>
      </c>
    </row>
    <row r="31" spans="2:32" ht="23.1" customHeight="1" x14ac:dyDescent="0.25">
      <c r="B31" s="24" t="s">
        <v>58</v>
      </c>
      <c r="C31" s="50">
        <v>40</v>
      </c>
      <c r="D31" s="50">
        <v>4</v>
      </c>
      <c r="E31" s="50">
        <v>2</v>
      </c>
      <c r="F31" s="50">
        <v>30</v>
      </c>
      <c r="G31" s="50">
        <v>0</v>
      </c>
      <c r="H31" s="50">
        <v>0</v>
      </c>
      <c r="I31" s="50">
        <v>1</v>
      </c>
      <c r="J31" s="50">
        <v>5</v>
      </c>
      <c r="K31" s="50">
        <v>0</v>
      </c>
      <c r="L31" s="50">
        <v>0</v>
      </c>
      <c r="M31" s="50">
        <v>200</v>
      </c>
      <c r="N31" s="50">
        <v>0</v>
      </c>
      <c r="O31" s="15">
        <f t="shared" si="0"/>
        <v>82</v>
      </c>
      <c r="P31" s="15">
        <f t="shared" si="1"/>
        <v>282</v>
      </c>
    </row>
    <row r="32" spans="2:32" ht="23.1" customHeight="1" x14ac:dyDescent="0.25">
      <c r="B32" s="24" t="s">
        <v>59</v>
      </c>
      <c r="C32" s="50">
        <v>56</v>
      </c>
      <c r="D32" s="50">
        <v>2</v>
      </c>
      <c r="E32" s="50">
        <v>3</v>
      </c>
      <c r="F32" s="50">
        <v>23</v>
      </c>
      <c r="G32" s="50">
        <v>0</v>
      </c>
      <c r="H32" s="50">
        <v>0</v>
      </c>
      <c r="I32" s="50">
        <v>2</v>
      </c>
      <c r="J32" s="50">
        <v>18</v>
      </c>
      <c r="K32" s="50">
        <v>0</v>
      </c>
      <c r="L32" s="50">
        <v>0</v>
      </c>
      <c r="M32" s="50">
        <v>175</v>
      </c>
      <c r="N32" s="50">
        <v>0</v>
      </c>
      <c r="O32" s="15">
        <f t="shared" si="0"/>
        <v>104</v>
      </c>
      <c r="P32" s="15">
        <f t="shared" si="1"/>
        <v>279</v>
      </c>
    </row>
    <row r="33" spans="2:20" ht="23.1" customHeight="1" x14ac:dyDescent="0.25">
      <c r="B33" s="23" t="s">
        <v>60</v>
      </c>
      <c r="C33" s="50">
        <v>43</v>
      </c>
      <c r="D33" s="50">
        <v>5</v>
      </c>
      <c r="E33" s="50">
        <v>4</v>
      </c>
      <c r="F33" s="50">
        <v>32</v>
      </c>
      <c r="G33" s="50">
        <v>0</v>
      </c>
      <c r="H33" s="50">
        <v>0</v>
      </c>
      <c r="I33" s="50">
        <v>3</v>
      </c>
      <c r="J33" s="50">
        <v>9</v>
      </c>
      <c r="K33" s="50">
        <v>1</v>
      </c>
      <c r="L33" s="50">
        <v>1</v>
      </c>
      <c r="M33" s="50">
        <v>185</v>
      </c>
      <c r="N33" s="50">
        <v>0</v>
      </c>
      <c r="O33" s="15">
        <f t="shared" si="0"/>
        <v>98</v>
      </c>
      <c r="P33" s="15">
        <f t="shared" si="1"/>
        <v>283</v>
      </c>
    </row>
    <row r="34" spans="2:20" ht="23.1" customHeight="1" x14ac:dyDescent="0.25">
      <c r="B34" s="24" t="s">
        <v>61</v>
      </c>
      <c r="C34" s="50">
        <v>59</v>
      </c>
      <c r="D34" s="50">
        <v>4</v>
      </c>
      <c r="E34" s="50">
        <v>7</v>
      </c>
      <c r="F34" s="50">
        <v>33</v>
      </c>
      <c r="G34" s="50">
        <v>1</v>
      </c>
      <c r="H34" s="50">
        <v>0</v>
      </c>
      <c r="I34" s="50">
        <v>1</v>
      </c>
      <c r="J34" s="50">
        <v>11</v>
      </c>
      <c r="K34" s="50">
        <v>0</v>
      </c>
      <c r="L34" s="50">
        <v>1</v>
      </c>
      <c r="M34" s="50">
        <v>175</v>
      </c>
      <c r="N34" s="50">
        <v>0</v>
      </c>
      <c r="O34" s="15">
        <f t="shared" si="0"/>
        <v>117</v>
      </c>
      <c r="P34" s="15">
        <f t="shared" si="1"/>
        <v>292</v>
      </c>
    </row>
    <row r="35" spans="2:20" ht="23.1" customHeight="1" x14ac:dyDescent="0.25">
      <c r="B35" s="24" t="s">
        <v>62</v>
      </c>
      <c r="C35" s="50">
        <v>49</v>
      </c>
      <c r="D35" s="50">
        <v>4</v>
      </c>
      <c r="E35" s="50">
        <v>3</v>
      </c>
      <c r="F35" s="50">
        <v>21</v>
      </c>
      <c r="G35" s="50">
        <v>0</v>
      </c>
      <c r="H35" s="50">
        <v>0</v>
      </c>
      <c r="I35" s="50">
        <v>3</v>
      </c>
      <c r="J35" s="50">
        <v>5</v>
      </c>
      <c r="K35" s="50">
        <v>1</v>
      </c>
      <c r="L35" s="50">
        <v>0</v>
      </c>
      <c r="M35" s="50">
        <v>200</v>
      </c>
      <c r="N35" s="50">
        <v>0</v>
      </c>
      <c r="O35" s="15">
        <f t="shared" si="0"/>
        <v>86</v>
      </c>
      <c r="P35" s="15">
        <f t="shared" si="1"/>
        <v>286</v>
      </c>
    </row>
    <row r="36" spans="2:20" ht="23.1" customHeight="1" x14ac:dyDescent="0.25">
      <c r="B36" s="24" t="s">
        <v>63</v>
      </c>
      <c r="C36" s="50">
        <v>22</v>
      </c>
      <c r="D36" s="50">
        <v>7</v>
      </c>
      <c r="E36" s="50">
        <v>2</v>
      </c>
      <c r="F36" s="50">
        <v>19</v>
      </c>
      <c r="G36" s="50">
        <v>1</v>
      </c>
      <c r="H36" s="50">
        <v>0</v>
      </c>
      <c r="I36" s="50">
        <v>4</v>
      </c>
      <c r="J36" s="50">
        <v>7</v>
      </c>
      <c r="K36" s="50">
        <v>0</v>
      </c>
      <c r="L36" s="50">
        <v>0</v>
      </c>
      <c r="M36" s="50">
        <v>180</v>
      </c>
      <c r="N36" s="50">
        <v>0</v>
      </c>
      <c r="O36" s="15">
        <f t="shared" si="0"/>
        <v>62</v>
      </c>
      <c r="P36" s="15">
        <f t="shared" si="1"/>
        <v>242</v>
      </c>
    </row>
    <row r="37" spans="2:20" ht="23.1" customHeight="1" x14ac:dyDescent="0.25">
      <c r="B37" s="23" t="s">
        <v>64</v>
      </c>
      <c r="C37" s="50">
        <v>32</v>
      </c>
      <c r="D37" s="50">
        <v>4</v>
      </c>
      <c r="E37" s="50">
        <v>2</v>
      </c>
      <c r="F37" s="50">
        <v>22</v>
      </c>
      <c r="G37" s="50">
        <v>0</v>
      </c>
      <c r="H37" s="50">
        <v>0</v>
      </c>
      <c r="I37" s="50">
        <v>4</v>
      </c>
      <c r="J37" s="50">
        <v>13</v>
      </c>
      <c r="K37" s="50">
        <v>0</v>
      </c>
      <c r="L37" s="50">
        <v>2</v>
      </c>
      <c r="M37" s="50">
        <v>210</v>
      </c>
      <c r="N37" s="50">
        <v>0</v>
      </c>
      <c r="O37" s="15">
        <f t="shared" si="0"/>
        <v>79</v>
      </c>
      <c r="P37" s="15">
        <f t="shared" si="1"/>
        <v>289</v>
      </c>
    </row>
    <row r="38" spans="2:20" ht="23.1" customHeight="1" x14ac:dyDescent="0.25">
      <c r="B38" s="24" t="s">
        <v>65</v>
      </c>
      <c r="C38" s="50">
        <v>40</v>
      </c>
      <c r="D38" s="50">
        <v>4</v>
      </c>
      <c r="E38" s="50">
        <v>2</v>
      </c>
      <c r="F38" s="50">
        <v>25</v>
      </c>
      <c r="G38" s="50">
        <v>1</v>
      </c>
      <c r="H38" s="50">
        <v>1</v>
      </c>
      <c r="I38" s="50">
        <v>4</v>
      </c>
      <c r="J38" s="50">
        <v>9</v>
      </c>
      <c r="K38" s="50">
        <v>0</v>
      </c>
      <c r="L38" s="50">
        <v>2</v>
      </c>
      <c r="M38" s="50">
        <v>180</v>
      </c>
      <c r="N38" s="50">
        <v>0</v>
      </c>
      <c r="O38" s="15">
        <f t="shared" si="0"/>
        <v>88</v>
      </c>
      <c r="P38" s="15">
        <f t="shared" si="1"/>
        <v>268</v>
      </c>
    </row>
    <row r="39" spans="2:20" ht="23.1" customHeight="1" x14ac:dyDescent="0.25">
      <c r="B39" s="24" t="s">
        <v>66</v>
      </c>
      <c r="C39" s="50">
        <v>30</v>
      </c>
      <c r="D39" s="50">
        <v>2</v>
      </c>
      <c r="E39" s="50">
        <v>2</v>
      </c>
      <c r="F39" s="50">
        <v>26</v>
      </c>
      <c r="G39" s="50">
        <v>1</v>
      </c>
      <c r="H39" s="50">
        <v>0</v>
      </c>
      <c r="I39" s="50">
        <v>4</v>
      </c>
      <c r="J39" s="50">
        <v>4</v>
      </c>
      <c r="K39" s="50">
        <v>1</v>
      </c>
      <c r="L39" s="50">
        <v>0</v>
      </c>
      <c r="M39" s="50">
        <v>165</v>
      </c>
      <c r="N39" s="50">
        <v>0</v>
      </c>
      <c r="O39" s="15">
        <f t="shared" si="0"/>
        <v>70</v>
      </c>
      <c r="P39" s="15">
        <f t="shared" si="1"/>
        <v>235</v>
      </c>
    </row>
    <row r="40" spans="2:20" ht="23.1" customHeight="1" x14ac:dyDescent="0.25">
      <c r="B40" s="24" t="s">
        <v>67</v>
      </c>
      <c r="C40" s="50">
        <v>31</v>
      </c>
      <c r="D40" s="50">
        <v>6</v>
      </c>
      <c r="E40" s="50">
        <v>2</v>
      </c>
      <c r="F40" s="50">
        <v>28</v>
      </c>
      <c r="G40" s="50">
        <v>1</v>
      </c>
      <c r="H40" s="50">
        <v>0</v>
      </c>
      <c r="I40" s="50">
        <v>2</v>
      </c>
      <c r="J40" s="50">
        <v>8</v>
      </c>
      <c r="K40" s="50">
        <v>0</v>
      </c>
      <c r="L40" s="50">
        <v>0</v>
      </c>
      <c r="M40" s="50">
        <v>150</v>
      </c>
      <c r="N40" s="50">
        <v>0</v>
      </c>
      <c r="O40" s="15">
        <f t="shared" si="0"/>
        <v>78</v>
      </c>
      <c r="P40" s="15">
        <f t="shared" si="1"/>
        <v>228</v>
      </c>
    </row>
    <row r="41" spans="2:20" ht="23.1" customHeight="1" x14ac:dyDescent="0.25">
      <c r="B41" s="23" t="s">
        <v>68</v>
      </c>
      <c r="C41" s="50">
        <v>42</v>
      </c>
      <c r="D41" s="50">
        <v>10</v>
      </c>
      <c r="E41" s="50">
        <v>5</v>
      </c>
      <c r="F41" s="50">
        <v>45</v>
      </c>
      <c r="G41" s="50">
        <v>0</v>
      </c>
      <c r="H41" s="50">
        <v>0</v>
      </c>
      <c r="I41" s="50">
        <v>2</v>
      </c>
      <c r="J41" s="50">
        <v>13</v>
      </c>
      <c r="K41" s="50">
        <v>4</v>
      </c>
      <c r="L41" s="50">
        <v>2</v>
      </c>
      <c r="M41" s="50">
        <v>160</v>
      </c>
      <c r="N41" s="50">
        <v>0</v>
      </c>
      <c r="O41" s="15">
        <f t="shared" si="0"/>
        <v>123</v>
      </c>
      <c r="P41" s="15">
        <f t="shared" si="1"/>
        <v>283</v>
      </c>
    </row>
    <row r="42" spans="2:20" ht="23.1" customHeight="1" x14ac:dyDescent="0.25">
      <c r="B42" s="24" t="s">
        <v>69</v>
      </c>
      <c r="C42" s="50">
        <v>45</v>
      </c>
      <c r="D42" s="50">
        <v>8</v>
      </c>
      <c r="E42" s="50">
        <v>0</v>
      </c>
      <c r="F42" s="50">
        <v>31</v>
      </c>
      <c r="G42" s="50">
        <v>0</v>
      </c>
      <c r="H42" s="50">
        <v>0</v>
      </c>
      <c r="I42" s="50">
        <v>4</v>
      </c>
      <c r="J42" s="50">
        <v>8</v>
      </c>
      <c r="K42" s="50">
        <v>0</v>
      </c>
      <c r="L42" s="50">
        <v>0</v>
      </c>
      <c r="M42" s="50">
        <v>185</v>
      </c>
      <c r="N42" s="50">
        <v>0</v>
      </c>
      <c r="O42" s="15">
        <f t="shared" si="0"/>
        <v>96</v>
      </c>
      <c r="P42" s="15">
        <f t="shared" si="1"/>
        <v>281</v>
      </c>
    </row>
    <row r="43" spans="2:20" ht="23.1" customHeight="1" x14ac:dyDescent="0.25">
      <c r="B43" s="23" t="s">
        <v>70</v>
      </c>
      <c r="C43" s="50">
        <v>67</v>
      </c>
      <c r="D43" s="50">
        <v>6</v>
      </c>
      <c r="E43" s="50">
        <v>7</v>
      </c>
      <c r="F43" s="50">
        <v>34</v>
      </c>
      <c r="G43" s="50">
        <v>2</v>
      </c>
      <c r="H43" s="50">
        <v>0</v>
      </c>
      <c r="I43" s="50">
        <v>6</v>
      </c>
      <c r="J43" s="50">
        <v>14</v>
      </c>
      <c r="K43" s="50">
        <v>0</v>
      </c>
      <c r="L43" s="50">
        <v>1</v>
      </c>
      <c r="M43" s="50">
        <v>200</v>
      </c>
      <c r="N43" s="50">
        <v>0</v>
      </c>
      <c r="O43" s="15">
        <f t="shared" si="0"/>
        <v>137</v>
      </c>
      <c r="P43" s="15">
        <f t="shared" si="1"/>
        <v>337</v>
      </c>
    </row>
    <row r="44" spans="2:20" ht="23.1" customHeight="1" x14ac:dyDescent="0.25">
      <c r="B44" s="25" t="s">
        <v>71</v>
      </c>
      <c r="C44" s="50">
        <v>62</v>
      </c>
      <c r="D44" s="50">
        <v>7</v>
      </c>
      <c r="E44" s="50">
        <v>6</v>
      </c>
      <c r="F44" s="50">
        <v>35</v>
      </c>
      <c r="G44" s="50">
        <v>0</v>
      </c>
      <c r="H44" s="50">
        <v>1</v>
      </c>
      <c r="I44" s="50">
        <v>4</v>
      </c>
      <c r="J44" s="50">
        <v>5</v>
      </c>
      <c r="K44" s="50">
        <v>0</v>
      </c>
      <c r="L44" s="50">
        <v>1</v>
      </c>
      <c r="M44" s="50">
        <v>160</v>
      </c>
      <c r="N44" s="50">
        <v>0</v>
      </c>
      <c r="O44" s="15">
        <f t="shared" si="0"/>
        <v>121</v>
      </c>
      <c r="P44" s="15">
        <f t="shared" si="1"/>
        <v>281</v>
      </c>
    </row>
    <row r="45" spans="2:20" ht="23.1" customHeight="1" x14ac:dyDescent="0.25">
      <c r="B45" s="23" t="s">
        <v>72</v>
      </c>
      <c r="C45" s="50">
        <v>60</v>
      </c>
      <c r="D45" s="50">
        <v>6</v>
      </c>
      <c r="E45" s="50">
        <v>5</v>
      </c>
      <c r="F45" s="50">
        <v>30</v>
      </c>
      <c r="G45" s="50">
        <v>1</v>
      </c>
      <c r="H45" s="50">
        <v>0</v>
      </c>
      <c r="I45" s="50">
        <v>0</v>
      </c>
      <c r="J45" s="50">
        <v>12</v>
      </c>
      <c r="K45" s="50">
        <v>0</v>
      </c>
      <c r="L45" s="50">
        <v>0</v>
      </c>
      <c r="M45" s="50">
        <v>165</v>
      </c>
      <c r="N45" s="50">
        <v>0</v>
      </c>
      <c r="O45" s="15">
        <f t="shared" si="0"/>
        <v>114</v>
      </c>
      <c r="P45" s="15">
        <f t="shared" si="1"/>
        <v>279</v>
      </c>
    </row>
    <row r="46" spans="2:20" ht="23.1" customHeight="1" x14ac:dyDescent="0.25">
      <c r="B46" s="24" t="s">
        <v>73</v>
      </c>
      <c r="C46" s="50">
        <v>48</v>
      </c>
      <c r="D46" s="50">
        <v>5</v>
      </c>
      <c r="E46" s="50">
        <v>3</v>
      </c>
      <c r="F46" s="50">
        <v>26</v>
      </c>
      <c r="G46" s="50">
        <v>4</v>
      </c>
      <c r="H46" s="50">
        <v>0</v>
      </c>
      <c r="I46" s="50">
        <v>3</v>
      </c>
      <c r="J46" s="50">
        <v>9</v>
      </c>
      <c r="K46" s="50">
        <v>2</v>
      </c>
      <c r="L46" s="50">
        <v>0</v>
      </c>
      <c r="M46" s="50">
        <v>125</v>
      </c>
      <c r="N46" s="50">
        <v>0</v>
      </c>
      <c r="O46" s="15">
        <f t="shared" si="0"/>
        <v>100</v>
      </c>
      <c r="P46" s="15">
        <f t="shared" si="1"/>
        <v>225</v>
      </c>
      <c r="R46" s="8"/>
      <c r="T46"/>
    </row>
    <row r="47" spans="2:20" ht="23.1" customHeight="1" x14ac:dyDescent="0.25">
      <c r="B47" s="24" t="s">
        <v>74</v>
      </c>
      <c r="C47" s="50">
        <v>40</v>
      </c>
      <c r="D47" s="50">
        <v>9</v>
      </c>
      <c r="E47" s="50">
        <v>5</v>
      </c>
      <c r="F47" s="50">
        <v>36</v>
      </c>
      <c r="G47" s="50">
        <v>4</v>
      </c>
      <c r="H47" s="50">
        <v>0</v>
      </c>
      <c r="I47" s="50">
        <v>3</v>
      </c>
      <c r="J47" s="50">
        <v>9</v>
      </c>
      <c r="K47" s="50">
        <v>2</v>
      </c>
      <c r="L47" s="50">
        <v>0</v>
      </c>
      <c r="M47" s="50">
        <v>100</v>
      </c>
      <c r="N47" s="50">
        <v>0</v>
      </c>
      <c r="O47" s="15">
        <f t="shared" si="0"/>
        <v>108</v>
      </c>
      <c r="P47" s="15">
        <f t="shared" si="1"/>
        <v>208</v>
      </c>
      <c r="R47" s="8"/>
      <c r="T47"/>
    </row>
    <row r="48" spans="2:20" ht="23.1" customHeight="1" x14ac:dyDescent="0.25">
      <c r="B48" s="24" t="s">
        <v>75</v>
      </c>
      <c r="C48" s="50">
        <v>59</v>
      </c>
      <c r="D48" s="50">
        <v>7</v>
      </c>
      <c r="E48" s="50">
        <v>5</v>
      </c>
      <c r="F48" s="50">
        <v>30</v>
      </c>
      <c r="G48" s="50">
        <v>0</v>
      </c>
      <c r="H48" s="50">
        <v>0</v>
      </c>
      <c r="I48" s="50">
        <v>3</v>
      </c>
      <c r="J48" s="50">
        <v>4</v>
      </c>
      <c r="K48" s="50">
        <v>3</v>
      </c>
      <c r="L48" s="50">
        <v>0</v>
      </c>
      <c r="M48" s="50">
        <v>135</v>
      </c>
      <c r="N48" s="50">
        <v>0</v>
      </c>
      <c r="O48" s="15">
        <f t="shared" si="0"/>
        <v>111</v>
      </c>
      <c r="P48" s="15">
        <f t="shared" si="1"/>
        <v>246</v>
      </c>
      <c r="R48" s="8"/>
      <c r="T48"/>
    </row>
    <row r="49" spans="2:20" ht="23.1" customHeight="1" x14ac:dyDescent="0.25">
      <c r="B49" s="23" t="s">
        <v>76</v>
      </c>
      <c r="C49" s="50">
        <v>52</v>
      </c>
      <c r="D49" s="50">
        <v>6</v>
      </c>
      <c r="E49" s="50">
        <v>2</v>
      </c>
      <c r="F49" s="50">
        <v>37</v>
      </c>
      <c r="G49" s="50">
        <v>0</v>
      </c>
      <c r="H49" s="50">
        <v>1</v>
      </c>
      <c r="I49" s="50">
        <v>2</v>
      </c>
      <c r="J49" s="50">
        <v>8</v>
      </c>
      <c r="K49" s="50">
        <v>1</v>
      </c>
      <c r="L49" s="50">
        <v>0</v>
      </c>
      <c r="M49" s="50">
        <v>150</v>
      </c>
      <c r="N49" s="50">
        <v>0</v>
      </c>
      <c r="O49" s="15">
        <f t="shared" si="0"/>
        <v>109</v>
      </c>
      <c r="P49" s="15">
        <f t="shared" si="1"/>
        <v>259</v>
      </c>
      <c r="R49" s="8"/>
      <c r="T49"/>
    </row>
    <row r="50" spans="2:20" ht="23.1" customHeight="1" x14ac:dyDescent="0.25">
      <c r="B50" s="24" t="s">
        <v>77</v>
      </c>
      <c r="C50" s="50">
        <v>60</v>
      </c>
      <c r="D50" s="50">
        <v>9</v>
      </c>
      <c r="E50" s="50">
        <v>5</v>
      </c>
      <c r="F50" s="50">
        <v>28</v>
      </c>
      <c r="G50" s="50">
        <v>0</v>
      </c>
      <c r="H50" s="50">
        <v>1</v>
      </c>
      <c r="I50" s="50">
        <v>5</v>
      </c>
      <c r="J50" s="50">
        <v>5</v>
      </c>
      <c r="K50" s="50">
        <v>0</v>
      </c>
      <c r="L50" s="50">
        <v>0</v>
      </c>
      <c r="M50" s="50">
        <v>145</v>
      </c>
      <c r="N50" s="50">
        <v>0</v>
      </c>
      <c r="O50" s="15">
        <f t="shared" si="0"/>
        <v>113</v>
      </c>
      <c r="P50" s="15">
        <f t="shared" si="1"/>
        <v>258</v>
      </c>
      <c r="R50" s="8"/>
      <c r="T50"/>
    </row>
    <row r="51" spans="2:20" ht="23.1" customHeight="1" x14ac:dyDescent="0.25">
      <c r="B51" s="24" t="s">
        <v>78</v>
      </c>
      <c r="C51" s="50">
        <v>57</v>
      </c>
      <c r="D51" s="50">
        <v>5</v>
      </c>
      <c r="E51" s="50">
        <v>3</v>
      </c>
      <c r="F51" s="50">
        <v>35</v>
      </c>
      <c r="G51" s="50">
        <v>0</v>
      </c>
      <c r="H51" s="50">
        <v>1</v>
      </c>
      <c r="I51" s="50">
        <v>2</v>
      </c>
      <c r="J51" s="50">
        <v>9</v>
      </c>
      <c r="K51" s="50">
        <v>1</v>
      </c>
      <c r="L51" s="50">
        <v>0</v>
      </c>
      <c r="M51" s="50">
        <v>135</v>
      </c>
      <c r="N51" s="50">
        <v>0</v>
      </c>
      <c r="O51" s="15">
        <f t="shared" si="0"/>
        <v>113</v>
      </c>
      <c r="P51" s="15">
        <f t="shared" si="1"/>
        <v>248</v>
      </c>
      <c r="R51" s="8"/>
      <c r="T51"/>
    </row>
    <row r="52" spans="2:20" ht="23.1" customHeight="1" x14ac:dyDescent="0.25">
      <c r="B52" s="24" t="s">
        <v>79</v>
      </c>
      <c r="C52" s="50">
        <v>74</v>
      </c>
      <c r="D52" s="50">
        <v>7</v>
      </c>
      <c r="E52" s="50">
        <v>3</v>
      </c>
      <c r="F52" s="50">
        <v>39</v>
      </c>
      <c r="G52" s="50">
        <v>2</v>
      </c>
      <c r="H52" s="50">
        <v>0</v>
      </c>
      <c r="I52" s="50">
        <v>2</v>
      </c>
      <c r="J52" s="50">
        <v>4</v>
      </c>
      <c r="K52" s="50">
        <v>0</v>
      </c>
      <c r="L52" s="50">
        <v>0</v>
      </c>
      <c r="M52" s="50">
        <v>150</v>
      </c>
      <c r="N52" s="50">
        <v>0</v>
      </c>
      <c r="O52" s="15">
        <f t="shared" si="0"/>
        <v>131</v>
      </c>
      <c r="P52" s="15">
        <f t="shared" si="1"/>
        <v>281</v>
      </c>
      <c r="R52" s="8"/>
      <c r="T52"/>
    </row>
    <row r="53" spans="2:20" ht="23.1" customHeight="1" x14ac:dyDescent="0.25">
      <c r="B53" s="23" t="s">
        <v>80</v>
      </c>
      <c r="C53" s="50">
        <v>65</v>
      </c>
      <c r="D53" s="50">
        <v>4</v>
      </c>
      <c r="E53" s="50">
        <v>5</v>
      </c>
      <c r="F53" s="50">
        <v>47</v>
      </c>
      <c r="G53" s="50">
        <v>0</v>
      </c>
      <c r="H53" s="50">
        <v>1</v>
      </c>
      <c r="I53" s="50">
        <v>5</v>
      </c>
      <c r="J53" s="50">
        <v>8</v>
      </c>
      <c r="K53" s="50">
        <v>1</v>
      </c>
      <c r="L53" s="50">
        <v>0</v>
      </c>
      <c r="M53" s="50">
        <v>140</v>
      </c>
      <c r="N53" s="50">
        <v>0</v>
      </c>
      <c r="O53" s="15">
        <f t="shared" si="0"/>
        <v>136</v>
      </c>
      <c r="P53" s="15">
        <f t="shared" si="1"/>
        <v>276</v>
      </c>
      <c r="R53" s="8"/>
      <c r="T53"/>
    </row>
    <row r="54" spans="2:20" ht="23.1" customHeight="1" x14ac:dyDescent="0.25">
      <c r="B54" s="23" t="s">
        <v>81</v>
      </c>
      <c r="C54" s="50">
        <v>45</v>
      </c>
      <c r="D54" s="50">
        <v>5</v>
      </c>
      <c r="E54" s="50">
        <v>4</v>
      </c>
      <c r="F54" s="50">
        <v>31</v>
      </c>
      <c r="G54" s="50">
        <v>1</v>
      </c>
      <c r="H54" s="50">
        <v>0</v>
      </c>
      <c r="I54" s="50">
        <v>2</v>
      </c>
      <c r="J54" s="50">
        <v>10</v>
      </c>
      <c r="K54" s="50">
        <v>1</v>
      </c>
      <c r="L54" s="50">
        <v>1</v>
      </c>
      <c r="M54" s="50">
        <v>125</v>
      </c>
      <c r="N54" s="50">
        <v>0</v>
      </c>
      <c r="O54" s="15">
        <f t="shared" si="0"/>
        <v>100</v>
      </c>
      <c r="P54" s="15">
        <f t="shared" si="1"/>
        <v>225</v>
      </c>
      <c r="R54" s="8"/>
      <c r="T54"/>
    </row>
    <row r="55" spans="2:20" ht="23.1" customHeight="1" x14ac:dyDescent="0.25">
      <c r="B55" s="23" t="s">
        <v>82</v>
      </c>
      <c r="C55" s="50">
        <v>29</v>
      </c>
      <c r="D55" s="50">
        <v>5</v>
      </c>
      <c r="E55" s="50">
        <v>0</v>
      </c>
      <c r="F55" s="50">
        <v>27</v>
      </c>
      <c r="G55" s="50">
        <v>1</v>
      </c>
      <c r="H55" s="50">
        <v>3</v>
      </c>
      <c r="I55" s="50">
        <v>2</v>
      </c>
      <c r="J55" s="50">
        <v>3</v>
      </c>
      <c r="K55" s="50">
        <v>1</v>
      </c>
      <c r="L55" s="50">
        <v>0</v>
      </c>
      <c r="M55" s="50">
        <v>115</v>
      </c>
      <c r="N55" s="50">
        <v>0</v>
      </c>
      <c r="O55" s="15">
        <f t="shared" si="0"/>
        <v>71</v>
      </c>
      <c r="P55" s="15">
        <f t="shared" si="1"/>
        <v>186</v>
      </c>
      <c r="R55" s="8"/>
      <c r="T55"/>
    </row>
    <row r="56" spans="2:20" ht="23.1" customHeight="1" x14ac:dyDescent="0.25">
      <c r="B56" s="23" t="s">
        <v>83</v>
      </c>
      <c r="C56" s="50">
        <v>38</v>
      </c>
      <c r="D56" s="50">
        <v>4</v>
      </c>
      <c r="E56" s="50">
        <v>6</v>
      </c>
      <c r="F56" s="50">
        <v>31</v>
      </c>
      <c r="G56" s="50">
        <v>1</v>
      </c>
      <c r="H56" s="50">
        <v>0</v>
      </c>
      <c r="I56" s="50">
        <v>7</v>
      </c>
      <c r="J56" s="50">
        <v>11</v>
      </c>
      <c r="K56" s="50">
        <v>1</v>
      </c>
      <c r="L56" s="50">
        <v>0</v>
      </c>
      <c r="M56" s="50">
        <v>130</v>
      </c>
      <c r="N56" s="50">
        <v>0</v>
      </c>
      <c r="O56" s="15">
        <f t="shared" si="0"/>
        <v>99</v>
      </c>
      <c r="P56" s="15">
        <f t="shared" si="1"/>
        <v>229</v>
      </c>
      <c r="R56" s="8"/>
      <c r="T56"/>
    </row>
    <row r="57" spans="2:20" ht="23.1" customHeight="1" x14ac:dyDescent="0.25">
      <c r="B57" s="23" t="s">
        <v>84</v>
      </c>
      <c r="C57" s="50">
        <v>50</v>
      </c>
      <c r="D57" s="50">
        <v>1</v>
      </c>
      <c r="E57" s="50">
        <v>2</v>
      </c>
      <c r="F57" s="50">
        <v>43</v>
      </c>
      <c r="G57" s="50">
        <v>0</v>
      </c>
      <c r="H57" s="50">
        <v>2</v>
      </c>
      <c r="I57" s="50">
        <v>5</v>
      </c>
      <c r="J57" s="50">
        <v>8</v>
      </c>
      <c r="K57" s="50">
        <v>0</v>
      </c>
      <c r="L57" s="50">
        <v>0</v>
      </c>
      <c r="M57" s="50">
        <v>150</v>
      </c>
      <c r="N57" s="50">
        <v>0</v>
      </c>
      <c r="O57" s="15">
        <f t="shared" si="0"/>
        <v>111</v>
      </c>
      <c r="P57" s="15">
        <f t="shared" si="1"/>
        <v>261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2268</v>
      </c>
      <c r="D58" s="16">
        <f t="shared" si="21"/>
        <v>269</v>
      </c>
      <c r="E58" s="16">
        <f t="shared" si="21"/>
        <v>156</v>
      </c>
      <c r="F58" s="16">
        <f t="shared" si="21"/>
        <v>1529</v>
      </c>
      <c r="G58" s="16">
        <f t="shared" si="21"/>
        <v>37</v>
      </c>
      <c r="H58" s="16">
        <f t="shared" si="21"/>
        <v>17</v>
      </c>
      <c r="I58" s="16">
        <f t="shared" si="21"/>
        <v>181</v>
      </c>
      <c r="J58" s="16">
        <f t="shared" si="21"/>
        <v>419</v>
      </c>
      <c r="K58" s="16">
        <f t="shared" si="21"/>
        <v>36</v>
      </c>
      <c r="L58" s="16">
        <f t="shared" si="21"/>
        <v>25</v>
      </c>
      <c r="M58" s="16">
        <f t="shared" si="21"/>
        <v>7615</v>
      </c>
      <c r="N58" s="16">
        <f t="shared" si="21"/>
        <v>0</v>
      </c>
      <c r="O58" s="16">
        <f t="shared" si="21"/>
        <v>4937</v>
      </c>
      <c r="P58" s="16">
        <f t="shared" si="21"/>
        <v>12552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0.18068833652007649</v>
      </c>
      <c r="D59" s="43">
        <f t="shared" si="22"/>
        <v>2.1430847673677502E-2</v>
      </c>
      <c r="E59" s="43">
        <f t="shared" si="22"/>
        <v>1.24282982791587E-2</v>
      </c>
      <c r="F59" s="43">
        <f t="shared" si="22"/>
        <v>0.12181325685149777</v>
      </c>
      <c r="G59" s="43">
        <f t="shared" si="22"/>
        <v>2.9477374123645633E-3</v>
      </c>
      <c r="H59" s="43">
        <f t="shared" si="22"/>
        <v>1.354365838113448E-3</v>
      </c>
      <c r="I59" s="43">
        <f t="shared" si="22"/>
        <v>1.4420012746972594E-2</v>
      </c>
      <c r="J59" s="43">
        <f t="shared" si="22"/>
        <v>3.3381134480560869E-2</v>
      </c>
      <c r="K59" s="43">
        <f t="shared" si="22"/>
        <v>2.8680688336520078E-3</v>
      </c>
      <c r="L59" s="43">
        <f t="shared" si="22"/>
        <v>1.9917144678138943E-3</v>
      </c>
      <c r="M59" s="43">
        <f t="shared" si="22"/>
        <v>0.60667622689611223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0.45938829248531499</v>
      </c>
      <c r="D60" s="44">
        <f t="shared" ref="D60:N60" si="23">D58/$O$58</f>
        <v>5.4486530281547499E-2</v>
      </c>
      <c r="E60" s="44">
        <f t="shared" si="23"/>
        <v>3.159813652015394E-2</v>
      </c>
      <c r="F60" s="44">
        <f t="shared" si="23"/>
        <v>0.30970224832894472</v>
      </c>
      <c r="G60" s="44">
        <f t="shared" si="23"/>
        <v>7.4944298156775372E-3</v>
      </c>
      <c r="H60" s="44">
        <f t="shared" si="23"/>
        <v>3.4433866720680576E-3</v>
      </c>
      <c r="I60" s="44">
        <f t="shared" si="23"/>
        <v>3.6661940449665788E-2</v>
      </c>
      <c r="J60" s="44">
        <f t="shared" si="23"/>
        <v>8.4869353858618587E-2</v>
      </c>
      <c r="K60" s="44">
        <f t="shared" si="23"/>
        <v>7.2918776584970629E-3</v>
      </c>
      <c r="L60" s="44">
        <f t="shared" si="23"/>
        <v>5.063803929511849E-3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K5" activeCellId="8" sqref="K5:L5 D6:E6 D6:E6 D5 C3:G3 G6:H6 G5:H5 K6:L6 K5:L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8" t="s">
        <v>23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</row>
    <row r="2" spans="2:32" ht="20.100000000000001" customHeight="1" x14ac:dyDescent="0.25">
      <c r="B2" s="59" t="s">
        <v>95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</row>
    <row r="3" spans="2:32" ht="20.100000000000001" customHeight="1" x14ac:dyDescent="0.25">
      <c r="B3" s="22" t="s">
        <v>96</v>
      </c>
      <c r="C3" s="63" t="str">
        <f>'22.07 Ndeeba-Nateete'!C3:G3</f>
        <v>MCC - C1 - STN07 - MASAKA ROAD</v>
      </c>
      <c r="D3" s="63"/>
      <c r="E3" s="63"/>
      <c r="F3" s="63"/>
      <c r="G3" s="63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51" t="str">
        <f>'28.07 Nateete-Ndeeba'!D5</f>
        <v>28.07.19</v>
      </c>
      <c r="E5" s="3"/>
      <c r="F5" s="41" t="s">
        <v>1</v>
      </c>
      <c r="G5" s="64" t="str">
        <f>'28.07 Nateete-Ndeeba'!G5:H5</f>
        <v>Rhino Funeral Services</v>
      </c>
      <c r="H5" s="65"/>
      <c r="I5" s="14"/>
      <c r="J5" s="2" t="s">
        <v>5</v>
      </c>
      <c r="K5" s="64" t="str">
        <f>'28.07 Nateete-Ndeeba'!K5:L5</f>
        <v>Asibazuyo Jennipher &amp;Kyagulanyi Lawrence</v>
      </c>
      <c r="L5" s="65"/>
      <c r="M5" s="10"/>
      <c r="N5" s="10"/>
      <c r="O5" s="3"/>
      <c r="P5" s="3"/>
    </row>
    <row r="6" spans="2:32" ht="23.25" customHeight="1" x14ac:dyDescent="0.25">
      <c r="C6" s="2" t="s">
        <v>4</v>
      </c>
      <c r="D6" s="64" t="str">
        <f>'22.07 Ndeeba-Nateete'!D6:E6</f>
        <v>Ndeeba</v>
      </c>
      <c r="E6" s="65"/>
      <c r="F6" s="2" t="s">
        <v>2</v>
      </c>
      <c r="G6" s="64" t="str">
        <f>'22.07 Ndeeba-Nateete'!G6:H6</f>
        <v>Nateete</v>
      </c>
      <c r="H6" s="65"/>
      <c r="J6" s="2" t="s">
        <v>21</v>
      </c>
      <c r="K6" s="64" t="str">
        <f>'28.07 Nateete-Ndeeba'!K6:L6</f>
        <v>Felix</v>
      </c>
      <c r="L6" s="65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7" t="s">
        <v>88</v>
      </c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14</v>
      </c>
      <c r="D10" s="50">
        <v>2</v>
      </c>
      <c r="E10" s="50">
        <v>1</v>
      </c>
      <c r="F10" s="50">
        <v>15</v>
      </c>
      <c r="G10" s="50">
        <v>0</v>
      </c>
      <c r="H10" s="50">
        <v>0</v>
      </c>
      <c r="I10" s="50">
        <v>3</v>
      </c>
      <c r="J10" s="50">
        <v>3</v>
      </c>
      <c r="K10" s="50">
        <v>0</v>
      </c>
      <c r="L10" s="50">
        <v>1</v>
      </c>
      <c r="M10" s="50">
        <v>50</v>
      </c>
      <c r="N10" s="50">
        <v>0</v>
      </c>
      <c r="O10" s="15">
        <f t="shared" ref="O10:O57" si="0">SUM(C10:L10,N10)</f>
        <v>39</v>
      </c>
      <c r="P10" s="15">
        <f t="shared" ref="P10:P57" si="1">SUM(C10:N10)</f>
        <v>89</v>
      </c>
      <c r="R10" s="1" t="s">
        <v>6</v>
      </c>
      <c r="S10" s="17">
        <f t="shared" ref="S10:AF10" si="2">SUM(C10:C13)</f>
        <v>49</v>
      </c>
      <c r="T10" s="17">
        <f t="shared" si="2"/>
        <v>14</v>
      </c>
      <c r="U10" s="17">
        <f t="shared" si="2"/>
        <v>3</v>
      </c>
      <c r="V10" s="17">
        <f t="shared" si="2"/>
        <v>47</v>
      </c>
      <c r="W10" s="17">
        <f t="shared" si="2"/>
        <v>2</v>
      </c>
      <c r="X10" s="17">
        <f t="shared" si="2"/>
        <v>0</v>
      </c>
      <c r="Y10" s="17">
        <f t="shared" si="2"/>
        <v>25</v>
      </c>
      <c r="Z10" s="17">
        <f t="shared" si="2"/>
        <v>4</v>
      </c>
      <c r="AA10" s="17">
        <f t="shared" si="2"/>
        <v>1</v>
      </c>
      <c r="AB10" s="17">
        <f t="shared" si="2"/>
        <v>4</v>
      </c>
      <c r="AC10" s="17">
        <f t="shared" si="2"/>
        <v>315</v>
      </c>
      <c r="AD10" s="17">
        <f t="shared" si="2"/>
        <v>0</v>
      </c>
      <c r="AE10" s="31">
        <f t="shared" si="2"/>
        <v>149</v>
      </c>
      <c r="AF10" s="31">
        <f t="shared" si="2"/>
        <v>464</v>
      </c>
    </row>
    <row r="11" spans="2:32" s="6" customFormat="1" ht="23.1" customHeight="1" x14ac:dyDescent="0.25">
      <c r="B11" s="23" t="s">
        <v>38</v>
      </c>
      <c r="C11" s="50">
        <v>10</v>
      </c>
      <c r="D11" s="50">
        <v>1</v>
      </c>
      <c r="E11" s="50">
        <v>0</v>
      </c>
      <c r="F11" s="50">
        <v>8</v>
      </c>
      <c r="G11" s="50">
        <v>0</v>
      </c>
      <c r="H11" s="50">
        <v>0</v>
      </c>
      <c r="I11" s="50">
        <v>3</v>
      </c>
      <c r="J11" s="50">
        <v>0</v>
      </c>
      <c r="K11" s="50">
        <v>0</v>
      </c>
      <c r="L11" s="50">
        <v>3</v>
      </c>
      <c r="M11" s="50">
        <v>63</v>
      </c>
      <c r="N11" s="50">
        <v>0</v>
      </c>
      <c r="O11" s="15">
        <f t="shared" si="0"/>
        <v>25</v>
      </c>
      <c r="P11" s="15">
        <f t="shared" si="1"/>
        <v>88</v>
      </c>
      <c r="R11" s="1" t="s">
        <v>7</v>
      </c>
      <c r="S11" s="17">
        <f t="shared" ref="S11:AF11" si="3">SUM(C14:C17)</f>
        <v>44</v>
      </c>
      <c r="T11" s="17">
        <f t="shared" si="3"/>
        <v>28</v>
      </c>
      <c r="U11" s="17">
        <f t="shared" si="3"/>
        <v>8</v>
      </c>
      <c r="V11" s="17">
        <f t="shared" si="3"/>
        <v>73</v>
      </c>
      <c r="W11" s="17">
        <f t="shared" si="3"/>
        <v>2</v>
      </c>
      <c r="X11" s="17">
        <f t="shared" si="3"/>
        <v>0</v>
      </c>
      <c r="Y11" s="17">
        <f t="shared" si="3"/>
        <v>53</v>
      </c>
      <c r="Z11" s="17">
        <f t="shared" si="3"/>
        <v>4</v>
      </c>
      <c r="AA11" s="17">
        <f t="shared" si="3"/>
        <v>1</v>
      </c>
      <c r="AB11" s="17">
        <f t="shared" si="3"/>
        <v>1</v>
      </c>
      <c r="AC11" s="17">
        <f t="shared" si="3"/>
        <v>437</v>
      </c>
      <c r="AD11" s="17">
        <f t="shared" si="3"/>
        <v>0</v>
      </c>
      <c r="AE11" s="31">
        <f t="shared" si="3"/>
        <v>214</v>
      </c>
      <c r="AF11" s="31">
        <f t="shared" si="3"/>
        <v>651</v>
      </c>
    </row>
    <row r="12" spans="2:32" ht="23.1" customHeight="1" x14ac:dyDescent="0.25">
      <c r="B12" s="23" t="s">
        <v>39</v>
      </c>
      <c r="C12" s="50">
        <v>14</v>
      </c>
      <c r="D12" s="50">
        <v>11</v>
      </c>
      <c r="E12" s="50">
        <v>2</v>
      </c>
      <c r="F12" s="50">
        <v>16</v>
      </c>
      <c r="G12" s="50">
        <v>2</v>
      </c>
      <c r="H12" s="50">
        <v>0</v>
      </c>
      <c r="I12" s="50">
        <v>8</v>
      </c>
      <c r="J12" s="50">
        <v>1</v>
      </c>
      <c r="K12" s="50">
        <v>1</v>
      </c>
      <c r="L12" s="50">
        <v>0</v>
      </c>
      <c r="M12" s="50">
        <v>105</v>
      </c>
      <c r="N12" s="50">
        <v>0</v>
      </c>
      <c r="O12" s="15">
        <f t="shared" si="0"/>
        <v>55</v>
      </c>
      <c r="P12" s="15">
        <f t="shared" si="1"/>
        <v>160</v>
      </c>
      <c r="R12" s="1" t="s">
        <v>8</v>
      </c>
      <c r="S12" s="17">
        <f t="shared" ref="S12:AF12" si="4">SUM(C18:C21)</f>
        <v>58</v>
      </c>
      <c r="T12" s="17">
        <f t="shared" si="4"/>
        <v>25</v>
      </c>
      <c r="U12" s="17">
        <f t="shared" si="4"/>
        <v>6</v>
      </c>
      <c r="V12" s="17">
        <f t="shared" si="4"/>
        <v>93</v>
      </c>
      <c r="W12" s="17">
        <f t="shared" si="4"/>
        <v>2</v>
      </c>
      <c r="X12" s="17">
        <f t="shared" si="4"/>
        <v>2</v>
      </c>
      <c r="Y12" s="17">
        <f t="shared" si="4"/>
        <v>37</v>
      </c>
      <c r="Z12" s="17">
        <f t="shared" si="4"/>
        <v>1</v>
      </c>
      <c r="AA12" s="17">
        <f t="shared" si="4"/>
        <v>0</v>
      </c>
      <c r="AB12" s="17">
        <f t="shared" si="4"/>
        <v>3</v>
      </c>
      <c r="AC12" s="17">
        <f t="shared" si="4"/>
        <v>587</v>
      </c>
      <c r="AD12" s="17">
        <f t="shared" si="4"/>
        <v>0</v>
      </c>
      <c r="AE12" s="31">
        <f t="shared" si="4"/>
        <v>227</v>
      </c>
      <c r="AF12" s="31">
        <f t="shared" si="4"/>
        <v>814</v>
      </c>
    </row>
    <row r="13" spans="2:32" ht="23.1" customHeight="1" x14ac:dyDescent="0.25">
      <c r="B13" s="23" t="s">
        <v>40</v>
      </c>
      <c r="C13" s="50">
        <v>11</v>
      </c>
      <c r="D13" s="50">
        <v>0</v>
      </c>
      <c r="E13" s="50">
        <v>0</v>
      </c>
      <c r="F13" s="50">
        <v>8</v>
      </c>
      <c r="G13" s="50">
        <v>0</v>
      </c>
      <c r="H13" s="50">
        <v>0</v>
      </c>
      <c r="I13" s="50">
        <v>11</v>
      </c>
      <c r="J13" s="50">
        <v>0</v>
      </c>
      <c r="K13" s="50">
        <v>0</v>
      </c>
      <c r="L13" s="50">
        <v>0</v>
      </c>
      <c r="M13" s="50">
        <v>97</v>
      </c>
      <c r="N13" s="50">
        <v>0</v>
      </c>
      <c r="O13" s="15">
        <f t="shared" si="0"/>
        <v>30</v>
      </c>
      <c r="P13" s="15">
        <f t="shared" si="1"/>
        <v>127</v>
      </c>
      <c r="R13" s="1" t="s">
        <v>9</v>
      </c>
      <c r="S13" s="17">
        <f t="shared" ref="S13:AF13" si="5">SUM(C22:C25)</f>
        <v>76</v>
      </c>
      <c r="T13" s="17">
        <f t="shared" si="5"/>
        <v>58</v>
      </c>
      <c r="U13" s="17">
        <f t="shared" si="5"/>
        <v>10</v>
      </c>
      <c r="V13" s="17">
        <f t="shared" si="5"/>
        <v>96</v>
      </c>
      <c r="W13" s="17">
        <f t="shared" si="5"/>
        <v>3</v>
      </c>
      <c r="X13" s="17">
        <f t="shared" si="5"/>
        <v>1</v>
      </c>
      <c r="Y13" s="17">
        <f t="shared" si="5"/>
        <v>36</v>
      </c>
      <c r="Z13" s="17">
        <f t="shared" si="5"/>
        <v>9</v>
      </c>
      <c r="AA13" s="17">
        <f t="shared" si="5"/>
        <v>2</v>
      </c>
      <c r="AB13" s="17">
        <f t="shared" si="5"/>
        <v>4</v>
      </c>
      <c r="AC13" s="17">
        <f t="shared" si="5"/>
        <v>709</v>
      </c>
      <c r="AD13" s="17">
        <f t="shared" si="5"/>
        <v>0</v>
      </c>
      <c r="AE13" s="31">
        <f t="shared" si="5"/>
        <v>295</v>
      </c>
      <c r="AF13" s="31">
        <f t="shared" si="5"/>
        <v>1004</v>
      </c>
    </row>
    <row r="14" spans="2:32" ht="23.1" customHeight="1" x14ac:dyDescent="0.25">
      <c r="B14" s="23" t="s">
        <v>41</v>
      </c>
      <c r="C14" s="50">
        <v>10</v>
      </c>
      <c r="D14" s="50">
        <v>5</v>
      </c>
      <c r="E14" s="50">
        <v>1</v>
      </c>
      <c r="F14" s="50">
        <v>14</v>
      </c>
      <c r="G14" s="50">
        <v>0</v>
      </c>
      <c r="H14" s="50">
        <v>0</v>
      </c>
      <c r="I14" s="50">
        <v>17</v>
      </c>
      <c r="J14" s="50">
        <v>1</v>
      </c>
      <c r="K14" s="50">
        <v>0</v>
      </c>
      <c r="L14" s="50">
        <v>0</v>
      </c>
      <c r="M14" s="50">
        <v>105</v>
      </c>
      <c r="N14" s="50">
        <v>0</v>
      </c>
      <c r="O14" s="15">
        <f t="shared" si="0"/>
        <v>48</v>
      </c>
      <c r="P14" s="15">
        <f t="shared" si="1"/>
        <v>153</v>
      </c>
      <c r="R14" s="1" t="s">
        <v>10</v>
      </c>
      <c r="S14" s="17">
        <f t="shared" ref="S14:AF14" si="6">SUM(C26:C29)</f>
        <v>67</v>
      </c>
      <c r="T14" s="17">
        <f t="shared" si="6"/>
        <v>48</v>
      </c>
      <c r="U14" s="17">
        <f t="shared" si="6"/>
        <v>14</v>
      </c>
      <c r="V14" s="17">
        <f t="shared" si="6"/>
        <v>76</v>
      </c>
      <c r="W14" s="17">
        <f t="shared" si="6"/>
        <v>4</v>
      </c>
      <c r="X14" s="17">
        <f t="shared" si="6"/>
        <v>0</v>
      </c>
      <c r="Y14" s="17">
        <f t="shared" si="6"/>
        <v>37</v>
      </c>
      <c r="Z14" s="17">
        <f t="shared" si="6"/>
        <v>6</v>
      </c>
      <c r="AA14" s="17">
        <f t="shared" si="6"/>
        <v>1</v>
      </c>
      <c r="AB14" s="17">
        <f t="shared" si="6"/>
        <v>0</v>
      </c>
      <c r="AC14" s="17">
        <f t="shared" si="6"/>
        <v>533</v>
      </c>
      <c r="AD14" s="17">
        <f t="shared" si="6"/>
        <v>0</v>
      </c>
      <c r="AE14" s="31">
        <f t="shared" si="6"/>
        <v>253</v>
      </c>
      <c r="AF14" s="31">
        <f t="shared" si="6"/>
        <v>786</v>
      </c>
    </row>
    <row r="15" spans="2:32" ht="23.1" customHeight="1" x14ac:dyDescent="0.25">
      <c r="B15" s="23" t="s">
        <v>42</v>
      </c>
      <c r="C15" s="50">
        <v>13</v>
      </c>
      <c r="D15" s="50">
        <v>7</v>
      </c>
      <c r="E15" s="50">
        <v>3</v>
      </c>
      <c r="F15" s="50">
        <v>17</v>
      </c>
      <c r="G15" s="50">
        <v>0</v>
      </c>
      <c r="H15" s="50">
        <v>0</v>
      </c>
      <c r="I15" s="50">
        <v>13</v>
      </c>
      <c r="J15" s="50">
        <v>0</v>
      </c>
      <c r="K15" s="50">
        <v>1</v>
      </c>
      <c r="L15" s="50">
        <v>0</v>
      </c>
      <c r="M15" s="50">
        <v>54</v>
      </c>
      <c r="N15" s="50">
        <v>0</v>
      </c>
      <c r="O15" s="15">
        <f t="shared" si="0"/>
        <v>54</v>
      </c>
      <c r="P15" s="15">
        <f t="shared" si="1"/>
        <v>108</v>
      </c>
      <c r="R15" s="1" t="s">
        <v>11</v>
      </c>
      <c r="S15" s="17">
        <f t="shared" ref="S15:AF15" si="7">SUM(C30:C33)</f>
        <v>60</v>
      </c>
      <c r="T15" s="17">
        <f t="shared" si="7"/>
        <v>45</v>
      </c>
      <c r="U15" s="17">
        <f t="shared" si="7"/>
        <v>7</v>
      </c>
      <c r="V15" s="17">
        <f t="shared" si="7"/>
        <v>76</v>
      </c>
      <c r="W15" s="17">
        <f t="shared" si="7"/>
        <v>1</v>
      </c>
      <c r="X15" s="17">
        <f t="shared" si="7"/>
        <v>0</v>
      </c>
      <c r="Y15" s="17">
        <f t="shared" si="7"/>
        <v>34</v>
      </c>
      <c r="Z15" s="17">
        <f t="shared" si="7"/>
        <v>9</v>
      </c>
      <c r="AA15" s="17">
        <f t="shared" si="7"/>
        <v>7</v>
      </c>
      <c r="AB15" s="17">
        <f t="shared" si="7"/>
        <v>10</v>
      </c>
      <c r="AC15" s="17">
        <f t="shared" si="7"/>
        <v>531</v>
      </c>
      <c r="AD15" s="17">
        <f t="shared" si="7"/>
        <v>0</v>
      </c>
      <c r="AE15" s="31">
        <f t="shared" si="7"/>
        <v>249</v>
      </c>
      <c r="AF15" s="31">
        <f t="shared" si="7"/>
        <v>780</v>
      </c>
    </row>
    <row r="16" spans="2:32" ht="23.1" customHeight="1" x14ac:dyDescent="0.25">
      <c r="B16" s="23" t="s">
        <v>43</v>
      </c>
      <c r="C16" s="50">
        <v>13</v>
      </c>
      <c r="D16" s="50">
        <v>13</v>
      </c>
      <c r="E16" s="50">
        <v>3</v>
      </c>
      <c r="F16" s="50">
        <v>25</v>
      </c>
      <c r="G16" s="50">
        <v>2</v>
      </c>
      <c r="H16" s="50">
        <v>0</v>
      </c>
      <c r="I16" s="50">
        <v>15</v>
      </c>
      <c r="J16" s="50">
        <v>0</v>
      </c>
      <c r="K16" s="50">
        <v>0</v>
      </c>
      <c r="L16" s="50">
        <v>1</v>
      </c>
      <c r="M16" s="50">
        <v>118</v>
      </c>
      <c r="N16" s="50">
        <v>0</v>
      </c>
      <c r="O16" s="15">
        <f t="shared" si="0"/>
        <v>72</v>
      </c>
      <c r="P16" s="15">
        <f t="shared" si="1"/>
        <v>190</v>
      </c>
      <c r="R16" s="1" t="s">
        <v>12</v>
      </c>
      <c r="S16" s="17">
        <f t="shared" ref="S16:AF16" si="8">SUM(C34:C37)</f>
        <v>48</v>
      </c>
      <c r="T16" s="17">
        <f t="shared" si="8"/>
        <v>28</v>
      </c>
      <c r="U16" s="17">
        <f t="shared" si="8"/>
        <v>25</v>
      </c>
      <c r="V16" s="17">
        <f t="shared" si="8"/>
        <v>58</v>
      </c>
      <c r="W16" s="17">
        <f t="shared" si="8"/>
        <v>3</v>
      </c>
      <c r="X16" s="17">
        <f t="shared" si="8"/>
        <v>4</v>
      </c>
      <c r="Y16" s="17">
        <f t="shared" si="8"/>
        <v>17</v>
      </c>
      <c r="Z16" s="17">
        <f t="shared" si="8"/>
        <v>4</v>
      </c>
      <c r="AA16" s="17">
        <f t="shared" si="8"/>
        <v>4</v>
      </c>
      <c r="AB16" s="17">
        <f t="shared" si="8"/>
        <v>2</v>
      </c>
      <c r="AC16" s="17">
        <f t="shared" si="8"/>
        <v>486</v>
      </c>
      <c r="AD16" s="17">
        <f t="shared" si="8"/>
        <v>0</v>
      </c>
      <c r="AE16" s="31">
        <f t="shared" si="8"/>
        <v>193</v>
      </c>
      <c r="AF16" s="31">
        <f t="shared" si="8"/>
        <v>679</v>
      </c>
    </row>
    <row r="17" spans="2:32" ht="23.1" customHeight="1" x14ac:dyDescent="0.25">
      <c r="B17" s="23" t="s">
        <v>44</v>
      </c>
      <c r="C17" s="50">
        <v>8</v>
      </c>
      <c r="D17" s="50">
        <v>3</v>
      </c>
      <c r="E17" s="50">
        <v>1</v>
      </c>
      <c r="F17" s="50">
        <v>17</v>
      </c>
      <c r="G17" s="50">
        <v>0</v>
      </c>
      <c r="H17" s="50">
        <v>0</v>
      </c>
      <c r="I17" s="50">
        <v>8</v>
      </c>
      <c r="J17" s="50">
        <v>3</v>
      </c>
      <c r="K17" s="50">
        <v>0</v>
      </c>
      <c r="L17" s="50">
        <v>0</v>
      </c>
      <c r="M17" s="50">
        <v>160</v>
      </c>
      <c r="N17" s="50">
        <v>0</v>
      </c>
      <c r="O17" s="15">
        <f t="shared" si="0"/>
        <v>40</v>
      </c>
      <c r="P17" s="15">
        <f t="shared" si="1"/>
        <v>200</v>
      </c>
      <c r="R17" s="1" t="s">
        <v>13</v>
      </c>
      <c r="S17" s="17">
        <f t="shared" ref="S17:AF17" si="9">SUM(C38:C41)</f>
        <v>100</v>
      </c>
      <c r="T17" s="17">
        <f t="shared" si="9"/>
        <v>49</v>
      </c>
      <c r="U17" s="17">
        <f t="shared" si="9"/>
        <v>15</v>
      </c>
      <c r="V17" s="17">
        <f t="shared" si="9"/>
        <v>77</v>
      </c>
      <c r="W17" s="17">
        <f t="shared" si="9"/>
        <v>5</v>
      </c>
      <c r="X17" s="17">
        <f t="shared" si="9"/>
        <v>0</v>
      </c>
      <c r="Y17" s="17">
        <f t="shared" si="9"/>
        <v>52</v>
      </c>
      <c r="Z17" s="17">
        <f t="shared" si="9"/>
        <v>22</v>
      </c>
      <c r="AA17" s="17">
        <f t="shared" si="9"/>
        <v>1</v>
      </c>
      <c r="AB17" s="17">
        <f t="shared" si="9"/>
        <v>1</v>
      </c>
      <c r="AC17" s="17">
        <f t="shared" si="9"/>
        <v>521</v>
      </c>
      <c r="AD17" s="17">
        <f t="shared" si="9"/>
        <v>0</v>
      </c>
      <c r="AE17" s="31">
        <f t="shared" si="9"/>
        <v>322</v>
      </c>
      <c r="AF17" s="31">
        <f t="shared" si="9"/>
        <v>843</v>
      </c>
    </row>
    <row r="18" spans="2:32" ht="23.1" customHeight="1" x14ac:dyDescent="0.25">
      <c r="B18" s="23" t="s">
        <v>45</v>
      </c>
      <c r="C18" s="50">
        <v>16</v>
      </c>
      <c r="D18" s="50">
        <v>3</v>
      </c>
      <c r="E18" s="50">
        <v>0</v>
      </c>
      <c r="F18" s="50">
        <v>16</v>
      </c>
      <c r="G18" s="50">
        <v>1</v>
      </c>
      <c r="H18" s="50">
        <v>0</v>
      </c>
      <c r="I18" s="50">
        <v>12</v>
      </c>
      <c r="J18" s="50">
        <v>0</v>
      </c>
      <c r="K18" s="50">
        <v>0</v>
      </c>
      <c r="L18" s="50">
        <v>0</v>
      </c>
      <c r="M18" s="50">
        <v>102</v>
      </c>
      <c r="N18" s="50">
        <v>0</v>
      </c>
      <c r="O18" s="15">
        <f t="shared" si="0"/>
        <v>48</v>
      </c>
      <c r="P18" s="15">
        <f t="shared" si="1"/>
        <v>150</v>
      </c>
      <c r="R18" s="1" t="s">
        <v>14</v>
      </c>
      <c r="S18" s="17">
        <f t="shared" ref="S18:AF18" si="10">SUM(C42:C45)</f>
        <v>48</v>
      </c>
      <c r="T18" s="17">
        <f t="shared" si="10"/>
        <v>25</v>
      </c>
      <c r="U18" s="17">
        <f t="shared" si="10"/>
        <v>12</v>
      </c>
      <c r="V18" s="17">
        <f t="shared" si="10"/>
        <v>41</v>
      </c>
      <c r="W18" s="17">
        <f t="shared" si="10"/>
        <v>4</v>
      </c>
      <c r="X18" s="17">
        <f t="shared" si="10"/>
        <v>0</v>
      </c>
      <c r="Y18" s="17">
        <f t="shared" si="10"/>
        <v>33</v>
      </c>
      <c r="Z18" s="17">
        <f t="shared" si="10"/>
        <v>3</v>
      </c>
      <c r="AA18" s="17">
        <f t="shared" si="10"/>
        <v>0</v>
      </c>
      <c r="AB18" s="17">
        <f t="shared" si="10"/>
        <v>0</v>
      </c>
      <c r="AC18" s="17">
        <f t="shared" si="10"/>
        <v>360</v>
      </c>
      <c r="AD18" s="17">
        <f t="shared" si="10"/>
        <v>0</v>
      </c>
      <c r="AE18" s="31">
        <f t="shared" si="10"/>
        <v>166</v>
      </c>
      <c r="AF18" s="31">
        <f t="shared" si="10"/>
        <v>526</v>
      </c>
    </row>
    <row r="19" spans="2:32" ht="23.1" customHeight="1" x14ac:dyDescent="0.25">
      <c r="B19" s="23" t="s">
        <v>46</v>
      </c>
      <c r="C19" s="50">
        <v>11</v>
      </c>
      <c r="D19" s="50">
        <v>4</v>
      </c>
      <c r="E19" s="50">
        <v>2</v>
      </c>
      <c r="F19" s="50">
        <v>23</v>
      </c>
      <c r="G19" s="50">
        <v>0</v>
      </c>
      <c r="H19" s="50">
        <v>2</v>
      </c>
      <c r="I19" s="50">
        <v>8</v>
      </c>
      <c r="J19" s="50">
        <v>0</v>
      </c>
      <c r="K19" s="50">
        <v>0</v>
      </c>
      <c r="L19" s="50">
        <v>2</v>
      </c>
      <c r="M19" s="50">
        <v>166</v>
      </c>
      <c r="N19" s="50">
        <v>0</v>
      </c>
      <c r="O19" s="15">
        <f t="shared" si="0"/>
        <v>52</v>
      </c>
      <c r="P19" s="15">
        <f t="shared" si="1"/>
        <v>218</v>
      </c>
      <c r="R19" s="1" t="s">
        <v>15</v>
      </c>
      <c r="S19" s="17">
        <f t="shared" ref="S19:AF19" si="11">SUM(C46:C49)</f>
        <v>60</v>
      </c>
      <c r="T19" s="17">
        <f t="shared" si="11"/>
        <v>44</v>
      </c>
      <c r="U19" s="17">
        <f t="shared" si="11"/>
        <v>5</v>
      </c>
      <c r="V19" s="17">
        <f t="shared" si="11"/>
        <v>83</v>
      </c>
      <c r="W19" s="17">
        <f t="shared" si="11"/>
        <v>3</v>
      </c>
      <c r="X19" s="17">
        <f t="shared" si="11"/>
        <v>0</v>
      </c>
      <c r="Y19" s="17">
        <f t="shared" si="11"/>
        <v>37</v>
      </c>
      <c r="Z19" s="17">
        <f t="shared" si="11"/>
        <v>9</v>
      </c>
      <c r="AA19" s="17">
        <f t="shared" si="11"/>
        <v>0</v>
      </c>
      <c r="AB19" s="17">
        <f t="shared" si="11"/>
        <v>0</v>
      </c>
      <c r="AC19" s="17">
        <f t="shared" si="11"/>
        <v>339</v>
      </c>
      <c r="AD19" s="17">
        <f t="shared" si="11"/>
        <v>0</v>
      </c>
      <c r="AE19" s="31">
        <f t="shared" si="11"/>
        <v>241</v>
      </c>
      <c r="AF19" s="31">
        <f t="shared" si="11"/>
        <v>580</v>
      </c>
    </row>
    <row r="20" spans="2:32" ht="23.1" customHeight="1" x14ac:dyDescent="0.25">
      <c r="B20" s="23" t="s">
        <v>47</v>
      </c>
      <c r="C20" s="50">
        <v>18</v>
      </c>
      <c r="D20" s="50">
        <v>11</v>
      </c>
      <c r="E20" s="50">
        <v>1</v>
      </c>
      <c r="F20" s="50">
        <v>38</v>
      </c>
      <c r="G20" s="50">
        <v>1</v>
      </c>
      <c r="H20" s="50">
        <v>0</v>
      </c>
      <c r="I20" s="50">
        <v>8</v>
      </c>
      <c r="J20" s="50">
        <v>0</v>
      </c>
      <c r="K20" s="50">
        <v>0</v>
      </c>
      <c r="L20" s="50">
        <v>1</v>
      </c>
      <c r="M20" s="50">
        <v>175</v>
      </c>
      <c r="N20" s="50">
        <v>0</v>
      </c>
      <c r="O20" s="15">
        <f t="shared" si="0"/>
        <v>78</v>
      </c>
      <c r="P20" s="15">
        <f t="shared" si="1"/>
        <v>253</v>
      </c>
      <c r="R20" s="1" t="s">
        <v>16</v>
      </c>
      <c r="S20" s="17">
        <f t="shared" ref="S20:AF20" si="12">SUM(C50:C53)</f>
        <v>50</v>
      </c>
      <c r="T20" s="17">
        <f t="shared" si="12"/>
        <v>24</v>
      </c>
      <c r="U20" s="17">
        <f t="shared" si="12"/>
        <v>13</v>
      </c>
      <c r="V20" s="17">
        <f t="shared" si="12"/>
        <v>73</v>
      </c>
      <c r="W20" s="17">
        <f t="shared" si="12"/>
        <v>1</v>
      </c>
      <c r="X20" s="17">
        <f t="shared" si="12"/>
        <v>2</v>
      </c>
      <c r="Y20" s="17">
        <f t="shared" si="12"/>
        <v>30</v>
      </c>
      <c r="Z20" s="17">
        <f t="shared" si="12"/>
        <v>9</v>
      </c>
      <c r="AA20" s="17">
        <f t="shared" si="12"/>
        <v>0</v>
      </c>
      <c r="AB20" s="17">
        <f t="shared" si="12"/>
        <v>3</v>
      </c>
      <c r="AC20" s="17">
        <f t="shared" si="12"/>
        <v>394</v>
      </c>
      <c r="AD20" s="17">
        <f t="shared" si="12"/>
        <v>0</v>
      </c>
      <c r="AE20" s="31">
        <f t="shared" si="12"/>
        <v>205</v>
      </c>
      <c r="AF20" s="31">
        <f t="shared" si="12"/>
        <v>599</v>
      </c>
    </row>
    <row r="21" spans="2:32" ht="23.1" customHeight="1" x14ac:dyDescent="0.25">
      <c r="B21" s="23" t="s">
        <v>48</v>
      </c>
      <c r="C21" s="50">
        <v>13</v>
      </c>
      <c r="D21" s="50">
        <v>7</v>
      </c>
      <c r="E21" s="50">
        <v>3</v>
      </c>
      <c r="F21" s="50">
        <v>16</v>
      </c>
      <c r="G21" s="50">
        <v>0</v>
      </c>
      <c r="H21" s="50">
        <v>0</v>
      </c>
      <c r="I21" s="50">
        <v>9</v>
      </c>
      <c r="J21" s="50">
        <v>1</v>
      </c>
      <c r="K21" s="50">
        <v>0</v>
      </c>
      <c r="L21" s="50">
        <v>0</v>
      </c>
      <c r="M21" s="50">
        <v>144</v>
      </c>
      <c r="N21" s="50">
        <v>0</v>
      </c>
      <c r="O21" s="15">
        <f t="shared" si="0"/>
        <v>49</v>
      </c>
      <c r="P21" s="15">
        <f t="shared" si="1"/>
        <v>193</v>
      </c>
      <c r="R21" s="36" t="s">
        <v>20</v>
      </c>
      <c r="S21" s="34">
        <f t="shared" ref="S21:AF21" si="13">SUM(C54:C57)</f>
        <v>61</v>
      </c>
      <c r="T21" s="17">
        <f t="shared" si="13"/>
        <v>28</v>
      </c>
      <c r="U21" s="17">
        <f t="shared" si="13"/>
        <v>15</v>
      </c>
      <c r="V21" s="17">
        <f t="shared" si="13"/>
        <v>72</v>
      </c>
      <c r="W21" s="17">
        <f t="shared" si="13"/>
        <v>0</v>
      </c>
      <c r="X21" s="17">
        <f t="shared" si="13"/>
        <v>0</v>
      </c>
      <c r="Y21" s="17">
        <f t="shared" si="13"/>
        <v>52</v>
      </c>
      <c r="Z21" s="17">
        <f t="shared" si="13"/>
        <v>6</v>
      </c>
      <c r="AA21" s="17">
        <f t="shared" si="13"/>
        <v>2</v>
      </c>
      <c r="AB21" s="17">
        <f t="shared" si="13"/>
        <v>0</v>
      </c>
      <c r="AC21" s="17">
        <f t="shared" si="13"/>
        <v>163</v>
      </c>
      <c r="AD21" s="17">
        <f t="shared" si="13"/>
        <v>0</v>
      </c>
      <c r="AE21" s="31">
        <f t="shared" si="13"/>
        <v>236</v>
      </c>
      <c r="AF21" s="31">
        <f t="shared" si="13"/>
        <v>399</v>
      </c>
    </row>
    <row r="22" spans="2:32" ht="23.1" customHeight="1" x14ac:dyDescent="0.25">
      <c r="B22" s="23" t="s">
        <v>49</v>
      </c>
      <c r="C22" s="50">
        <v>18</v>
      </c>
      <c r="D22" s="50">
        <v>23</v>
      </c>
      <c r="E22" s="50">
        <v>3</v>
      </c>
      <c r="F22" s="50">
        <v>24</v>
      </c>
      <c r="G22" s="50">
        <v>0</v>
      </c>
      <c r="H22" s="50">
        <v>0</v>
      </c>
      <c r="I22" s="50">
        <v>8</v>
      </c>
      <c r="J22" s="50">
        <v>2</v>
      </c>
      <c r="K22" s="50">
        <v>0</v>
      </c>
      <c r="L22" s="50">
        <v>2</v>
      </c>
      <c r="M22" s="50">
        <v>183</v>
      </c>
      <c r="N22" s="50">
        <v>0</v>
      </c>
      <c r="O22" s="15">
        <f t="shared" si="0"/>
        <v>80</v>
      </c>
      <c r="P22" s="15">
        <f t="shared" si="1"/>
        <v>263</v>
      </c>
      <c r="R22" s="38" t="s">
        <v>90</v>
      </c>
      <c r="S22" s="39">
        <f>MAX(S10:S12)</f>
        <v>58</v>
      </c>
      <c r="T22" s="39">
        <f t="shared" ref="T22:AF22" si="14">MAX(T10:T12)</f>
        <v>28</v>
      </c>
      <c r="U22" s="39">
        <f t="shared" si="14"/>
        <v>8</v>
      </c>
      <c r="V22" s="39">
        <f t="shared" si="14"/>
        <v>93</v>
      </c>
      <c r="W22" s="39">
        <f t="shared" si="14"/>
        <v>2</v>
      </c>
      <c r="X22" s="39">
        <f t="shared" si="14"/>
        <v>2</v>
      </c>
      <c r="Y22" s="39">
        <f t="shared" si="14"/>
        <v>53</v>
      </c>
      <c r="Z22" s="39">
        <f t="shared" si="14"/>
        <v>4</v>
      </c>
      <c r="AA22" s="39">
        <f t="shared" si="14"/>
        <v>1</v>
      </c>
      <c r="AB22" s="39">
        <f t="shared" si="14"/>
        <v>4</v>
      </c>
      <c r="AC22" s="39">
        <f t="shared" si="14"/>
        <v>587</v>
      </c>
      <c r="AD22" s="39">
        <f t="shared" si="14"/>
        <v>0</v>
      </c>
      <c r="AE22" s="40">
        <f t="shared" si="14"/>
        <v>227</v>
      </c>
      <c r="AF22" s="40">
        <f t="shared" si="14"/>
        <v>814</v>
      </c>
    </row>
    <row r="23" spans="2:32" ht="23.1" customHeight="1" x14ac:dyDescent="0.25">
      <c r="B23" s="23" t="s">
        <v>50</v>
      </c>
      <c r="C23" s="50">
        <v>20</v>
      </c>
      <c r="D23" s="50">
        <v>8</v>
      </c>
      <c r="E23" s="50">
        <v>2</v>
      </c>
      <c r="F23" s="50">
        <v>20</v>
      </c>
      <c r="G23" s="50">
        <v>0</v>
      </c>
      <c r="H23" s="50">
        <v>0</v>
      </c>
      <c r="I23" s="50">
        <v>13</v>
      </c>
      <c r="J23" s="50">
        <v>1</v>
      </c>
      <c r="K23" s="50">
        <v>2</v>
      </c>
      <c r="L23" s="50">
        <v>0</v>
      </c>
      <c r="M23" s="50">
        <v>166</v>
      </c>
      <c r="N23" s="50">
        <v>0</v>
      </c>
      <c r="O23" s="15">
        <f t="shared" si="0"/>
        <v>66</v>
      </c>
      <c r="P23" s="15">
        <f t="shared" si="1"/>
        <v>232</v>
      </c>
      <c r="R23" s="38" t="s">
        <v>91</v>
      </c>
      <c r="S23" s="39">
        <f>MAX(S13:S18)</f>
        <v>100</v>
      </c>
      <c r="T23" s="39">
        <f t="shared" ref="T23:AF23" si="15">MAX(T13:T18)</f>
        <v>58</v>
      </c>
      <c r="U23" s="39">
        <f t="shared" si="15"/>
        <v>25</v>
      </c>
      <c r="V23" s="39">
        <f t="shared" si="15"/>
        <v>96</v>
      </c>
      <c r="W23" s="39">
        <f t="shared" si="15"/>
        <v>5</v>
      </c>
      <c r="X23" s="39">
        <f t="shared" si="15"/>
        <v>4</v>
      </c>
      <c r="Y23" s="39">
        <f t="shared" si="15"/>
        <v>52</v>
      </c>
      <c r="Z23" s="39">
        <f t="shared" si="15"/>
        <v>22</v>
      </c>
      <c r="AA23" s="39">
        <f t="shared" si="15"/>
        <v>7</v>
      </c>
      <c r="AB23" s="39">
        <f t="shared" si="15"/>
        <v>10</v>
      </c>
      <c r="AC23" s="39">
        <f t="shared" si="15"/>
        <v>709</v>
      </c>
      <c r="AD23" s="39">
        <f t="shared" si="15"/>
        <v>0</v>
      </c>
      <c r="AE23" s="40">
        <f t="shared" si="15"/>
        <v>322</v>
      </c>
      <c r="AF23" s="40">
        <f t="shared" si="15"/>
        <v>1004</v>
      </c>
    </row>
    <row r="24" spans="2:32" ht="23.1" customHeight="1" x14ac:dyDescent="0.25">
      <c r="B24" s="23" t="s">
        <v>51</v>
      </c>
      <c r="C24" s="50">
        <v>15</v>
      </c>
      <c r="D24" s="50">
        <v>11</v>
      </c>
      <c r="E24" s="50">
        <v>1</v>
      </c>
      <c r="F24" s="50">
        <v>1</v>
      </c>
      <c r="G24" s="50">
        <v>3</v>
      </c>
      <c r="H24" s="50">
        <v>1</v>
      </c>
      <c r="I24" s="50">
        <v>6</v>
      </c>
      <c r="J24" s="50">
        <v>5</v>
      </c>
      <c r="K24" s="50">
        <v>0</v>
      </c>
      <c r="L24" s="50">
        <v>2</v>
      </c>
      <c r="M24" s="50">
        <v>182</v>
      </c>
      <c r="N24" s="50">
        <v>0</v>
      </c>
      <c r="O24" s="15">
        <f t="shared" si="0"/>
        <v>45</v>
      </c>
      <c r="P24" s="15">
        <f t="shared" si="1"/>
        <v>227</v>
      </c>
      <c r="R24" s="38" t="s">
        <v>92</v>
      </c>
      <c r="S24" s="39">
        <f>MAX(S19:S21)</f>
        <v>61</v>
      </c>
      <c r="T24" s="39">
        <f t="shared" ref="T24:AF24" si="16">MAX(T19:T21)</f>
        <v>44</v>
      </c>
      <c r="U24" s="39">
        <f t="shared" si="16"/>
        <v>15</v>
      </c>
      <c r="V24" s="39">
        <f t="shared" si="16"/>
        <v>83</v>
      </c>
      <c r="W24" s="39">
        <f t="shared" si="16"/>
        <v>3</v>
      </c>
      <c r="X24" s="39">
        <f t="shared" si="16"/>
        <v>2</v>
      </c>
      <c r="Y24" s="39">
        <f t="shared" si="16"/>
        <v>52</v>
      </c>
      <c r="Z24" s="39">
        <f t="shared" si="16"/>
        <v>9</v>
      </c>
      <c r="AA24" s="39">
        <f t="shared" si="16"/>
        <v>2</v>
      </c>
      <c r="AB24" s="39">
        <f t="shared" si="16"/>
        <v>3</v>
      </c>
      <c r="AC24" s="39">
        <f t="shared" si="16"/>
        <v>394</v>
      </c>
      <c r="AD24" s="39">
        <f t="shared" si="16"/>
        <v>0</v>
      </c>
      <c r="AE24" s="40">
        <f t="shared" si="16"/>
        <v>241</v>
      </c>
      <c r="AF24" s="40">
        <f t="shared" si="16"/>
        <v>599</v>
      </c>
    </row>
    <row r="25" spans="2:32" ht="23.1" customHeight="1" x14ac:dyDescent="0.25">
      <c r="B25" s="23" t="s">
        <v>52</v>
      </c>
      <c r="C25" s="50">
        <v>23</v>
      </c>
      <c r="D25" s="50">
        <v>16</v>
      </c>
      <c r="E25" s="50">
        <v>4</v>
      </c>
      <c r="F25" s="50">
        <v>51</v>
      </c>
      <c r="G25" s="50">
        <v>0</v>
      </c>
      <c r="H25" s="50">
        <v>0</v>
      </c>
      <c r="I25" s="50">
        <v>9</v>
      </c>
      <c r="J25" s="50">
        <v>1</v>
      </c>
      <c r="K25" s="50">
        <v>0</v>
      </c>
      <c r="L25" s="50">
        <v>0</v>
      </c>
      <c r="M25" s="50">
        <v>178</v>
      </c>
      <c r="N25" s="50">
        <v>0</v>
      </c>
      <c r="O25" s="15">
        <f t="shared" si="0"/>
        <v>104</v>
      </c>
      <c r="P25" s="15">
        <f t="shared" si="1"/>
        <v>282</v>
      </c>
      <c r="R25" s="37" t="s">
        <v>85</v>
      </c>
      <c r="S25" s="35">
        <f t="shared" ref="S25:AF25" si="17">SUM(S10:S12)</f>
        <v>151</v>
      </c>
      <c r="T25" s="16">
        <f t="shared" si="17"/>
        <v>67</v>
      </c>
      <c r="U25" s="16">
        <f t="shared" si="17"/>
        <v>17</v>
      </c>
      <c r="V25" s="16">
        <f t="shared" si="17"/>
        <v>213</v>
      </c>
      <c r="W25" s="16">
        <f t="shared" si="17"/>
        <v>6</v>
      </c>
      <c r="X25" s="16">
        <f t="shared" si="17"/>
        <v>2</v>
      </c>
      <c r="Y25" s="16">
        <f t="shared" si="17"/>
        <v>115</v>
      </c>
      <c r="Z25" s="16">
        <f t="shared" si="17"/>
        <v>9</v>
      </c>
      <c r="AA25" s="16">
        <f t="shared" si="17"/>
        <v>2</v>
      </c>
      <c r="AB25" s="16">
        <f t="shared" si="17"/>
        <v>8</v>
      </c>
      <c r="AC25" s="16">
        <f t="shared" si="17"/>
        <v>1339</v>
      </c>
      <c r="AD25" s="16">
        <f t="shared" si="17"/>
        <v>0</v>
      </c>
      <c r="AE25" s="32">
        <f t="shared" si="17"/>
        <v>590</v>
      </c>
      <c r="AF25" s="32">
        <f t="shared" si="17"/>
        <v>1929</v>
      </c>
    </row>
    <row r="26" spans="2:32" ht="23.1" customHeight="1" x14ac:dyDescent="0.25">
      <c r="B26" s="23" t="s">
        <v>53</v>
      </c>
      <c r="C26" s="50">
        <v>12</v>
      </c>
      <c r="D26" s="50">
        <v>8</v>
      </c>
      <c r="E26" s="50">
        <v>5</v>
      </c>
      <c r="F26" s="50">
        <v>17</v>
      </c>
      <c r="G26" s="50">
        <v>0</v>
      </c>
      <c r="H26" s="50">
        <v>0</v>
      </c>
      <c r="I26" s="50">
        <v>5</v>
      </c>
      <c r="J26" s="50">
        <v>0</v>
      </c>
      <c r="K26" s="50">
        <v>0</v>
      </c>
      <c r="L26" s="50">
        <v>0</v>
      </c>
      <c r="M26" s="50">
        <v>74</v>
      </c>
      <c r="N26" s="50">
        <v>0</v>
      </c>
      <c r="O26" s="15">
        <f t="shared" si="0"/>
        <v>47</v>
      </c>
      <c r="P26" s="15">
        <f t="shared" si="1"/>
        <v>121</v>
      </c>
      <c r="R26" s="28" t="s">
        <v>86</v>
      </c>
      <c r="S26" s="16">
        <f t="shared" ref="S26:AF26" si="18">SUM(S13:S18)</f>
        <v>399</v>
      </c>
      <c r="T26" s="16">
        <f t="shared" si="18"/>
        <v>253</v>
      </c>
      <c r="U26" s="16">
        <f t="shared" si="18"/>
        <v>83</v>
      </c>
      <c r="V26" s="16">
        <f t="shared" si="18"/>
        <v>424</v>
      </c>
      <c r="W26" s="16">
        <f t="shared" si="18"/>
        <v>20</v>
      </c>
      <c r="X26" s="16">
        <f t="shared" si="18"/>
        <v>5</v>
      </c>
      <c r="Y26" s="16">
        <f t="shared" si="18"/>
        <v>209</v>
      </c>
      <c r="Z26" s="16">
        <f t="shared" si="18"/>
        <v>53</v>
      </c>
      <c r="AA26" s="16">
        <f t="shared" si="18"/>
        <v>15</v>
      </c>
      <c r="AB26" s="16">
        <f t="shared" si="18"/>
        <v>17</v>
      </c>
      <c r="AC26" s="16">
        <f t="shared" si="18"/>
        <v>3140</v>
      </c>
      <c r="AD26" s="16">
        <f t="shared" si="18"/>
        <v>0</v>
      </c>
      <c r="AE26" s="32">
        <f t="shared" si="18"/>
        <v>1478</v>
      </c>
      <c r="AF26" s="32">
        <f t="shared" si="18"/>
        <v>4618</v>
      </c>
    </row>
    <row r="27" spans="2:32" ht="23.1" customHeight="1" x14ac:dyDescent="0.25">
      <c r="B27" s="23" t="s">
        <v>54</v>
      </c>
      <c r="C27" s="50">
        <v>11</v>
      </c>
      <c r="D27" s="50">
        <v>8</v>
      </c>
      <c r="E27" s="50">
        <v>3</v>
      </c>
      <c r="F27" s="50">
        <v>20</v>
      </c>
      <c r="G27" s="50">
        <v>0</v>
      </c>
      <c r="H27" s="50">
        <v>0</v>
      </c>
      <c r="I27" s="50">
        <v>8</v>
      </c>
      <c r="J27" s="50">
        <v>2</v>
      </c>
      <c r="K27" s="50">
        <v>0</v>
      </c>
      <c r="L27" s="50">
        <v>0</v>
      </c>
      <c r="M27" s="50">
        <v>163</v>
      </c>
      <c r="N27" s="50">
        <v>0</v>
      </c>
      <c r="O27" s="15">
        <f t="shared" si="0"/>
        <v>52</v>
      </c>
      <c r="P27" s="15">
        <f t="shared" si="1"/>
        <v>215</v>
      </c>
      <c r="R27" s="29" t="s">
        <v>87</v>
      </c>
      <c r="S27" s="16">
        <f t="shared" ref="S27:AF27" si="19">SUM(S19:S21)</f>
        <v>171</v>
      </c>
      <c r="T27" s="16">
        <f t="shared" si="19"/>
        <v>96</v>
      </c>
      <c r="U27" s="16">
        <f t="shared" si="19"/>
        <v>33</v>
      </c>
      <c r="V27" s="16">
        <f t="shared" si="19"/>
        <v>228</v>
      </c>
      <c r="W27" s="16">
        <f t="shared" si="19"/>
        <v>4</v>
      </c>
      <c r="X27" s="16">
        <f t="shared" si="19"/>
        <v>2</v>
      </c>
      <c r="Y27" s="16">
        <f t="shared" si="19"/>
        <v>119</v>
      </c>
      <c r="Z27" s="16">
        <f t="shared" si="19"/>
        <v>24</v>
      </c>
      <c r="AA27" s="16">
        <f t="shared" si="19"/>
        <v>2</v>
      </c>
      <c r="AB27" s="16">
        <f t="shared" si="19"/>
        <v>3</v>
      </c>
      <c r="AC27" s="16">
        <f t="shared" si="19"/>
        <v>896</v>
      </c>
      <c r="AD27" s="16">
        <f t="shared" si="19"/>
        <v>0</v>
      </c>
      <c r="AE27" s="32">
        <f t="shared" si="19"/>
        <v>682</v>
      </c>
      <c r="AF27" s="32">
        <f t="shared" si="19"/>
        <v>1578</v>
      </c>
    </row>
    <row r="28" spans="2:32" ht="23.1" customHeight="1" x14ac:dyDescent="0.25">
      <c r="B28" s="23" t="s">
        <v>55</v>
      </c>
      <c r="C28" s="50">
        <v>7</v>
      </c>
      <c r="D28" s="50">
        <v>9</v>
      </c>
      <c r="E28" s="50">
        <v>1</v>
      </c>
      <c r="F28" s="50">
        <v>12</v>
      </c>
      <c r="G28" s="50">
        <v>1</v>
      </c>
      <c r="H28" s="50">
        <v>0</v>
      </c>
      <c r="I28" s="50">
        <v>12</v>
      </c>
      <c r="J28" s="50">
        <v>3</v>
      </c>
      <c r="K28" s="50">
        <v>0</v>
      </c>
      <c r="L28" s="50">
        <v>0</v>
      </c>
      <c r="M28" s="50">
        <v>116</v>
      </c>
      <c r="N28" s="50">
        <v>0</v>
      </c>
      <c r="O28" s="15">
        <f t="shared" si="0"/>
        <v>45</v>
      </c>
      <c r="P28" s="15">
        <f t="shared" si="1"/>
        <v>161</v>
      </c>
      <c r="R28" s="5" t="s">
        <v>17</v>
      </c>
      <c r="S28" s="16">
        <f t="shared" ref="S28:AF28" si="20">SUM(S10:S21)</f>
        <v>721</v>
      </c>
      <c r="T28" s="16">
        <f t="shared" si="20"/>
        <v>416</v>
      </c>
      <c r="U28" s="16">
        <f t="shared" si="20"/>
        <v>133</v>
      </c>
      <c r="V28" s="16">
        <f t="shared" si="20"/>
        <v>865</v>
      </c>
      <c r="W28" s="16">
        <f t="shared" si="20"/>
        <v>30</v>
      </c>
      <c r="X28" s="16">
        <f t="shared" si="20"/>
        <v>9</v>
      </c>
      <c r="Y28" s="16">
        <f t="shared" si="20"/>
        <v>443</v>
      </c>
      <c r="Z28" s="16">
        <f t="shared" si="20"/>
        <v>86</v>
      </c>
      <c r="AA28" s="16">
        <f t="shared" si="20"/>
        <v>19</v>
      </c>
      <c r="AB28" s="16">
        <f t="shared" si="20"/>
        <v>28</v>
      </c>
      <c r="AC28" s="16">
        <f t="shared" si="20"/>
        <v>5375</v>
      </c>
      <c r="AD28" s="16">
        <f t="shared" si="20"/>
        <v>0</v>
      </c>
      <c r="AE28" s="32">
        <f t="shared" si="20"/>
        <v>2750</v>
      </c>
      <c r="AF28" s="32">
        <f t="shared" si="20"/>
        <v>8125</v>
      </c>
    </row>
    <row r="29" spans="2:32" ht="23.1" customHeight="1" x14ac:dyDescent="0.25">
      <c r="B29" s="23" t="s">
        <v>56</v>
      </c>
      <c r="C29" s="50">
        <v>37</v>
      </c>
      <c r="D29" s="50">
        <v>23</v>
      </c>
      <c r="E29" s="50">
        <v>5</v>
      </c>
      <c r="F29" s="50">
        <v>27</v>
      </c>
      <c r="G29" s="50">
        <v>3</v>
      </c>
      <c r="H29" s="50">
        <v>0</v>
      </c>
      <c r="I29" s="50">
        <v>12</v>
      </c>
      <c r="J29" s="50">
        <v>1</v>
      </c>
      <c r="K29" s="50">
        <v>1</v>
      </c>
      <c r="L29" s="50">
        <v>0</v>
      </c>
      <c r="M29" s="50">
        <v>180</v>
      </c>
      <c r="N29" s="50">
        <v>0</v>
      </c>
      <c r="O29" s="15">
        <f t="shared" si="0"/>
        <v>109</v>
      </c>
      <c r="P29" s="15">
        <f t="shared" si="1"/>
        <v>289</v>
      </c>
      <c r="R29"/>
      <c r="S29" s="20"/>
      <c r="T29" s="19"/>
    </row>
    <row r="30" spans="2:32" ht="23.1" customHeight="1" x14ac:dyDescent="0.25">
      <c r="B30" s="23" t="s">
        <v>57</v>
      </c>
      <c r="C30" s="50">
        <v>5</v>
      </c>
      <c r="D30" s="50">
        <v>7</v>
      </c>
      <c r="E30" s="50">
        <v>1</v>
      </c>
      <c r="F30" s="50">
        <v>17</v>
      </c>
      <c r="G30" s="50">
        <v>0</v>
      </c>
      <c r="H30" s="50">
        <v>0</v>
      </c>
      <c r="I30" s="50">
        <v>3</v>
      </c>
      <c r="J30" s="50">
        <v>1</v>
      </c>
      <c r="K30" s="50">
        <v>2</v>
      </c>
      <c r="L30" s="50">
        <v>0</v>
      </c>
      <c r="M30" s="50">
        <v>75</v>
      </c>
      <c r="N30" s="50">
        <v>0</v>
      </c>
      <c r="O30" s="15">
        <f t="shared" si="0"/>
        <v>36</v>
      </c>
      <c r="P30" s="15">
        <f t="shared" si="1"/>
        <v>111</v>
      </c>
    </row>
    <row r="31" spans="2:32" ht="23.1" customHeight="1" x14ac:dyDescent="0.25">
      <c r="B31" s="24" t="s">
        <v>58</v>
      </c>
      <c r="C31" s="50">
        <v>17</v>
      </c>
      <c r="D31" s="50">
        <v>4</v>
      </c>
      <c r="E31" s="50">
        <v>0</v>
      </c>
      <c r="F31" s="50">
        <v>23</v>
      </c>
      <c r="G31" s="50">
        <v>1</v>
      </c>
      <c r="H31" s="50">
        <v>0</v>
      </c>
      <c r="I31" s="50">
        <v>6</v>
      </c>
      <c r="J31" s="50">
        <v>1</v>
      </c>
      <c r="K31" s="50">
        <v>1</v>
      </c>
      <c r="L31" s="50">
        <v>5</v>
      </c>
      <c r="M31" s="50">
        <v>125</v>
      </c>
      <c r="N31" s="50">
        <v>0</v>
      </c>
      <c r="O31" s="15">
        <f t="shared" si="0"/>
        <v>58</v>
      </c>
      <c r="P31" s="15">
        <f t="shared" si="1"/>
        <v>183</v>
      </c>
    </row>
    <row r="32" spans="2:32" ht="23.1" customHeight="1" x14ac:dyDescent="0.25">
      <c r="B32" s="24" t="s">
        <v>59</v>
      </c>
      <c r="C32" s="50">
        <v>15</v>
      </c>
      <c r="D32" s="50">
        <v>25</v>
      </c>
      <c r="E32" s="50">
        <v>5</v>
      </c>
      <c r="F32" s="50">
        <v>15</v>
      </c>
      <c r="G32" s="50">
        <v>0</v>
      </c>
      <c r="H32" s="50">
        <v>0</v>
      </c>
      <c r="I32" s="50">
        <v>21</v>
      </c>
      <c r="J32" s="50">
        <v>2</v>
      </c>
      <c r="K32" s="50">
        <v>4</v>
      </c>
      <c r="L32" s="50">
        <v>5</v>
      </c>
      <c r="M32" s="50">
        <v>164</v>
      </c>
      <c r="N32" s="50">
        <v>0</v>
      </c>
      <c r="O32" s="15">
        <f t="shared" si="0"/>
        <v>92</v>
      </c>
      <c r="P32" s="15">
        <f t="shared" si="1"/>
        <v>256</v>
      </c>
    </row>
    <row r="33" spans="2:20" ht="23.1" customHeight="1" x14ac:dyDescent="0.25">
      <c r="B33" s="23" t="s">
        <v>60</v>
      </c>
      <c r="C33" s="50">
        <v>23</v>
      </c>
      <c r="D33" s="50">
        <v>9</v>
      </c>
      <c r="E33" s="50">
        <v>1</v>
      </c>
      <c r="F33" s="50">
        <v>21</v>
      </c>
      <c r="G33" s="50">
        <v>0</v>
      </c>
      <c r="H33" s="50">
        <v>0</v>
      </c>
      <c r="I33" s="50">
        <v>4</v>
      </c>
      <c r="J33" s="50">
        <v>5</v>
      </c>
      <c r="K33" s="50">
        <v>0</v>
      </c>
      <c r="L33" s="50">
        <v>0</v>
      </c>
      <c r="M33" s="50">
        <v>167</v>
      </c>
      <c r="N33" s="50">
        <v>0</v>
      </c>
      <c r="O33" s="15">
        <f t="shared" si="0"/>
        <v>63</v>
      </c>
      <c r="P33" s="15">
        <f t="shared" si="1"/>
        <v>230</v>
      </c>
    </row>
    <row r="34" spans="2:20" ht="23.1" customHeight="1" x14ac:dyDescent="0.25">
      <c r="B34" s="24" t="s">
        <v>61</v>
      </c>
      <c r="C34" s="50">
        <v>17</v>
      </c>
      <c r="D34" s="50">
        <v>4</v>
      </c>
      <c r="E34" s="50">
        <v>3</v>
      </c>
      <c r="F34" s="50">
        <v>21</v>
      </c>
      <c r="G34" s="50">
        <v>0</v>
      </c>
      <c r="H34" s="50">
        <v>0</v>
      </c>
      <c r="I34" s="50">
        <v>0</v>
      </c>
      <c r="J34" s="50">
        <v>1</v>
      </c>
      <c r="K34" s="50">
        <v>0</v>
      </c>
      <c r="L34" s="50">
        <v>0</v>
      </c>
      <c r="M34" s="50">
        <v>79</v>
      </c>
      <c r="N34" s="50">
        <v>0</v>
      </c>
      <c r="O34" s="15">
        <f t="shared" si="0"/>
        <v>46</v>
      </c>
      <c r="P34" s="15">
        <f t="shared" si="1"/>
        <v>125</v>
      </c>
    </row>
    <row r="35" spans="2:20" ht="23.1" customHeight="1" x14ac:dyDescent="0.25">
      <c r="B35" s="24" t="s">
        <v>62</v>
      </c>
      <c r="C35" s="50">
        <v>8</v>
      </c>
      <c r="D35" s="50">
        <v>6</v>
      </c>
      <c r="E35" s="50">
        <v>0</v>
      </c>
      <c r="F35" s="50">
        <v>13</v>
      </c>
      <c r="G35" s="50">
        <v>3</v>
      </c>
      <c r="H35" s="50">
        <v>0</v>
      </c>
      <c r="I35" s="50">
        <v>3</v>
      </c>
      <c r="J35" s="50">
        <v>0</v>
      </c>
      <c r="K35" s="50">
        <v>4</v>
      </c>
      <c r="L35" s="50">
        <v>2</v>
      </c>
      <c r="M35" s="50">
        <v>153</v>
      </c>
      <c r="N35" s="50">
        <v>0</v>
      </c>
      <c r="O35" s="15">
        <f t="shared" si="0"/>
        <v>39</v>
      </c>
      <c r="P35" s="15">
        <f t="shared" si="1"/>
        <v>192</v>
      </c>
    </row>
    <row r="36" spans="2:20" ht="23.1" customHeight="1" x14ac:dyDescent="0.25">
      <c r="B36" s="24" t="s">
        <v>63</v>
      </c>
      <c r="C36" s="50">
        <v>12</v>
      </c>
      <c r="D36" s="50">
        <v>10</v>
      </c>
      <c r="E36" s="50">
        <v>5</v>
      </c>
      <c r="F36" s="50">
        <v>24</v>
      </c>
      <c r="G36" s="50">
        <v>0</v>
      </c>
      <c r="H36" s="50">
        <v>1</v>
      </c>
      <c r="I36" s="50">
        <v>14</v>
      </c>
      <c r="J36" s="50">
        <v>3</v>
      </c>
      <c r="K36" s="50">
        <v>0</v>
      </c>
      <c r="L36" s="50">
        <v>0</v>
      </c>
      <c r="M36" s="50">
        <v>107</v>
      </c>
      <c r="N36" s="50">
        <v>0</v>
      </c>
      <c r="O36" s="15">
        <f t="shared" si="0"/>
        <v>69</v>
      </c>
      <c r="P36" s="15">
        <f t="shared" si="1"/>
        <v>176</v>
      </c>
    </row>
    <row r="37" spans="2:20" ht="23.1" customHeight="1" x14ac:dyDescent="0.25">
      <c r="B37" s="23" t="s">
        <v>64</v>
      </c>
      <c r="C37" s="50">
        <v>11</v>
      </c>
      <c r="D37" s="50">
        <v>8</v>
      </c>
      <c r="E37" s="50">
        <v>17</v>
      </c>
      <c r="F37" s="50">
        <v>0</v>
      </c>
      <c r="G37" s="50">
        <v>0</v>
      </c>
      <c r="H37" s="50">
        <v>3</v>
      </c>
      <c r="I37" s="50">
        <v>0</v>
      </c>
      <c r="J37" s="50">
        <v>0</v>
      </c>
      <c r="K37" s="50">
        <v>0</v>
      </c>
      <c r="L37" s="50">
        <v>0</v>
      </c>
      <c r="M37" s="50">
        <v>147</v>
      </c>
      <c r="N37" s="50">
        <v>0</v>
      </c>
      <c r="O37" s="15">
        <f t="shared" si="0"/>
        <v>39</v>
      </c>
      <c r="P37" s="15">
        <f t="shared" si="1"/>
        <v>186</v>
      </c>
    </row>
    <row r="38" spans="2:20" ht="23.1" customHeight="1" x14ac:dyDescent="0.25">
      <c r="B38" s="24" t="s">
        <v>65</v>
      </c>
      <c r="C38" s="50">
        <v>43</v>
      </c>
      <c r="D38" s="50">
        <v>9</v>
      </c>
      <c r="E38" s="50">
        <v>5</v>
      </c>
      <c r="F38" s="50">
        <v>19</v>
      </c>
      <c r="G38" s="50">
        <v>0</v>
      </c>
      <c r="H38" s="50">
        <v>0</v>
      </c>
      <c r="I38" s="50">
        <v>11</v>
      </c>
      <c r="J38" s="50">
        <v>9</v>
      </c>
      <c r="K38" s="50">
        <v>0</v>
      </c>
      <c r="L38" s="50">
        <v>1</v>
      </c>
      <c r="M38" s="50">
        <v>160</v>
      </c>
      <c r="N38" s="50">
        <v>0</v>
      </c>
      <c r="O38" s="15">
        <f t="shared" si="0"/>
        <v>97</v>
      </c>
      <c r="P38" s="15">
        <f t="shared" si="1"/>
        <v>257</v>
      </c>
    </row>
    <row r="39" spans="2:20" ht="23.1" customHeight="1" x14ac:dyDescent="0.25">
      <c r="B39" s="24" t="s">
        <v>66</v>
      </c>
      <c r="C39" s="50">
        <v>13</v>
      </c>
      <c r="D39" s="50">
        <v>6</v>
      </c>
      <c r="E39" s="50">
        <v>0</v>
      </c>
      <c r="F39" s="50">
        <v>18</v>
      </c>
      <c r="G39" s="50">
        <v>1</v>
      </c>
      <c r="H39" s="50">
        <v>0</v>
      </c>
      <c r="I39" s="50">
        <v>11</v>
      </c>
      <c r="J39" s="50">
        <v>1</v>
      </c>
      <c r="K39" s="50">
        <v>0</v>
      </c>
      <c r="L39" s="50">
        <v>0</v>
      </c>
      <c r="M39" s="50">
        <v>125</v>
      </c>
      <c r="N39" s="50">
        <v>0</v>
      </c>
      <c r="O39" s="15">
        <f t="shared" si="0"/>
        <v>50</v>
      </c>
      <c r="P39" s="15">
        <f t="shared" si="1"/>
        <v>175</v>
      </c>
    </row>
    <row r="40" spans="2:20" ht="23.1" customHeight="1" x14ac:dyDescent="0.25">
      <c r="B40" s="24" t="s">
        <v>67</v>
      </c>
      <c r="C40" s="50">
        <v>30</v>
      </c>
      <c r="D40" s="50">
        <v>21</v>
      </c>
      <c r="E40" s="50">
        <v>6</v>
      </c>
      <c r="F40" s="50">
        <v>22</v>
      </c>
      <c r="G40" s="50">
        <v>4</v>
      </c>
      <c r="H40" s="50">
        <v>0</v>
      </c>
      <c r="I40" s="50">
        <v>21</v>
      </c>
      <c r="J40" s="50">
        <v>10</v>
      </c>
      <c r="K40" s="50">
        <v>0</v>
      </c>
      <c r="L40" s="50">
        <v>0</v>
      </c>
      <c r="M40" s="50">
        <v>109</v>
      </c>
      <c r="N40" s="50">
        <v>0</v>
      </c>
      <c r="O40" s="15">
        <f t="shared" si="0"/>
        <v>114</v>
      </c>
      <c r="P40" s="15">
        <f t="shared" si="1"/>
        <v>223</v>
      </c>
    </row>
    <row r="41" spans="2:20" ht="23.1" customHeight="1" x14ac:dyDescent="0.25">
      <c r="B41" s="23" t="s">
        <v>68</v>
      </c>
      <c r="C41" s="50">
        <v>14</v>
      </c>
      <c r="D41" s="50">
        <v>13</v>
      </c>
      <c r="E41" s="50">
        <v>4</v>
      </c>
      <c r="F41" s="50">
        <v>18</v>
      </c>
      <c r="G41" s="50">
        <v>0</v>
      </c>
      <c r="H41" s="50">
        <v>0</v>
      </c>
      <c r="I41" s="50">
        <v>9</v>
      </c>
      <c r="J41" s="50">
        <v>2</v>
      </c>
      <c r="K41" s="50">
        <v>1</v>
      </c>
      <c r="L41" s="50">
        <v>0</v>
      </c>
      <c r="M41" s="50">
        <v>127</v>
      </c>
      <c r="N41" s="50">
        <v>0</v>
      </c>
      <c r="O41" s="15">
        <f t="shared" si="0"/>
        <v>61</v>
      </c>
      <c r="P41" s="15">
        <f t="shared" si="1"/>
        <v>188</v>
      </c>
    </row>
    <row r="42" spans="2:20" ht="23.1" customHeight="1" x14ac:dyDescent="0.25">
      <c r="B42" s="24" t="s">
        <v>69</v>
      </c>
      <c r="C42" s="50">
        <v>6</v>
      </c>
      <c r="D42" s="50">
        <v>5</v>
      </c>
      <c r="E42" s="50">
        <v>3</v>
      </c>
      <c r="F42" s="50">
        <v>3</v>
      </c>
      <c r="G42" s="50">
        <v>1</v>
      </c>
      <c r="H42" s="50">
        <v>0</v>
      </c>
      <c r="I42" s="50">
        <v>12</v>
      </c>
      <c r="J42" s="50">
        <v>0</v>
      </c>
      <c r="K42" s="50">
        <v>0</v>
      </c>
      <c r="L42" s="50">
        <v>0</v>
      </c>
      <c r="M42" s="50">
        <v>57</v>
      </c>
      <c r="N42" s="50">
        <v>0</v>
      </c>
      <c r="O42" s="15">
        <f t="shared" si="0"/>
        <v>30</v>
      </c>
      <c r="P42" s="15">
        <f t="shared" si="1"/>
        <v>87</v>
      </c>
    </row>
    <row r="43" spans="2:20" ht="23.1" customHeight="1" x14ac:dyDescent="0.25">
      <c r="B43" s="23" t="s">
        <v>70</v>
      </c>
      <c r="C43" s="50">
        <v>12</v>
      </c>
      <c r="D43" s="50">
        <v>4</v>
      </c>
      <c r="E43" s="50">
        <v>6</v>
      </c>
      <c r="F43" s="50">
        <v>12</v>
      </c>
      <c r="G43" s="50">
        <v>2</v>
      </c>
      <c r="H43" s="50">
        <v>0</v>
      </c>
      <c r="I43" s="50">
        <v>8</v>
      </c>
      <c r="J43" s="50">
        <v>2</v>
      </c>
      <c r="K43" s="50">
        <v>0</v>
      </c>
      <c r="L43" s="50">
        <v>0</v>
      </c>
      <c r="M43" s="50">
        <v>145</v>
      </c>
      <c r="N43" s="50">
        <v>0</v>
      </c>
      <c r="O43" s="15">
        <f t="shared" si="0"/>
        <v>46</v>
      </c>
      <c r="P43" s="15">
        <f t="shared" si="1"/>
        <v>191</v>
      </c>
    </row>
    <row r="44" spans="2:20" ht="23.1" customHeight="1" x14ac:dyDescent="0.25">
      <c r="B44" s="25" t="s">
        <v>71</v>
      </c>
      <c r="C44" s="50">
        <v>16</v>
      </c>
      <c r="D44" s="50">
        <v>6</v>
      </c>
      <c r="E44" s="50">
        <v>2</v>
      </c>
      <c r="F44" s="50">
        <v>8</v>
      </c>
      <c r="G44" s="50">
        <v>1</v>
      </c>
      <c r="H44" s="50">
        <v>0</v>
      </c>
      <c r="I44" s="50">
        <v>6</v>
      </c>
      <c r="J44" s="50">
        <v>1</v>
      </c>
      <c r="K44" s="50">
        <v>0</v>
      </c>
      <c r="L44" s="50">
        <v>0</v>
      </c>
      <c r="M44" s="50">
        <v>74</v>
      </c>
      <c r="N44" s="50">
        <v>0</v>
      </c>
      <c r="O44" s="15">
        <f t="shared" si="0"/>
        <v>40</v>
      </c>
      <c r="P44" s="15">
        <f t="shared" si="1"/>
        <v>114</v>
      </c>
    </row>
    <row r="45" spans="2:20" ht="23.1" customHeight="1" x14ac:dyDescent="0.25">
      <c r="B45" s="23" t="s">
        <v>72</v>
      </c>
      <c r="C45" s="50">
        <v>14</v>
      </c>
      <c r="D45" s="50">
        <v>10</v>
      </c>
      <c r="E45" s="50">
        <v>1</v>
      </c>
      <c r="F45" s="50">
        <v>18</v>
      </c>
      <c r="G45" s="50">
        <v>0</v>
      </c>
      <c r="H45" s="50">
        <v>0</v>
      </c>
      <c r="I45" s="50">
        <v>7</v>
      </c>
      <c r="J45" s="50">
        <v>0</v>
      </c>
      <c r="K45" s="50">
        <v>0</v>
      </c>
      <c r="L45" s="50">
        <v>0</v>
      </c>
      <c r="M45" s="50">
        <v>84</v>
      </c>
      <c r="N45" s="50">
        <v>0</v>
      </c>
      <c r="O45" s="15">
        <f t="shared" si="0"/>
        <v>50</v>
      </c>
      <c r="P45" s="15">
        <f t="shared" si="1"/>
        <v>134</v>
      </c>
    </row>
    <row r="46" spans="2:20" ht="23.1" customHeight="1" x14ac:dyDescent="0.25">
      <c r="B46" s="24" t="s">
        <v>73</v>
      </c>
      <c r="C46" s="50">
        <v>12</v>
      </c>
      <c r="D46" s="50">
        <v>8</v>
      </c>
      <c r="E46" s="50">
        <v>0</v>
      </c>
      <c r="F46" s="50">
        <v>8</v>
      </c>
      <c r="G46" s="50">
        <v>0</v>
      </c>
      <c r="H46" s="50">
        <v>0</v>
      </c>
      <c r="I46" s="50">
        <v>5</v>
      </c>
      <c r="J46" s="50">
        <v>3</v>
      </c>
      <c r="K46" s="50">
        <v>0</v>
      </c>
      <c r="L46" s="50">
        <v>0</v>
      </c>
      <c r="M46" s="50">
        <v>62</v>
      </c>
      <c r="N46" s="50">
        <v>0</v>
      </c>
      <c r="O46" s="15">
        <f t="shared" si="0"/>
        <v>36</v>
      </c>
      <c r="P46" s="15">
        <f t="shared" si="1"/>
        <v>98</v>
      </c>
      <c r="R46" s="8"/>
      <c r="T46"/>
    </row>
    <row r="47" spans="2:20" ht="23.1" customHeight="1" x14ac:dyDescent="0.25">
      <c r="B47" s="24" t="s">
        <v>74</v>
      </c>
      <c r="C47" s="50">
        <v>14</v>
      </c>
      <c r="D47" s="50">
        <v>14</v>
      </c>
      <c r="E47" s="50">
        <v>0</v>
      </c>
      <c r="F47" s="50">
        <v>22</v>
      </c>
      <c r="G47" s="50">
        <v>1</v>
      </c>
      <c r="H47" s="50">
        <v>0</v>
      </c>
      <c r="I47" s="50">
        <v>9</v>
      </c>
      <c r="J47" s="50">
        <v>1</v>
      </c>
      <c r="K47" s="50">
        <v>0</v>
      </c>
      <c r="L47" s="50">
        <v>0</v>
      </c>
      <c r="M47" s="50">
        <v>92</v>
      </c>
      <c r="N47" s="50">
        <v>0</v>
      </c>
      <c r="O47" s="15">
        <f t="shared" si="0"/>
        <v>61</v>
      </c>
      <c r="P47" s="15">
        <f t="shared" si="1"/>
        <v>153</v>
      </c>
      <c r="R47" s="8"/>
      <c r="T47"/>
    </row>
    <row r="48" spans="2:20" ht="23.1" customHeight="1" x14ac:dyDescent="0.25">
      <c r="B48" s="24" t="s">
        <v>75</v>
      </c>
      <c r="C48" s="50">
        <v>16</v>
      </c>
      <c r="D48" s="50">
        <v>14</v>
      </c>
      <c r="E48" s="50">
        <v>3</v>
      </c>
      <c r="F48" s="50">
        <v>25</v>
      </c>
      <c r="G48" s="50">
        <v>0</v>
      </c>
      <c r="H48" s="50">
        <v>0</v>
      </c>
      <c r="I48" s="50">
        <v>15</v>
      </c>
      <c r="J48" s="50">
        <v>3</v>
      </c>
      <c r="K48" s="50">
        <v>0</v>
      </c>
      <c r="L48" s="50">
        <v>0</v>
      </c>
      <c r="M48" s="50">
        <v>80</v>
      </c>
      <c r="N48" s="50">
        <v>0</v>
      </c>
      <c r="O48" s="15">
        <f t="shared" si="0"/>
        <v>76</v>
      </c>
      <c r="P48" s="15">
        <f t="shared" si="1"/>
        <v>156</v>
      </c>
      <c r="R48" s="8"/>
      <c r="T48"/>
    </row>
    <row r="49" spans="2:20" ht="23.1" customHeight="1" x14ac:dyDescent="0.25">
      <c r="B49" s="23" t="s">
        <v>76</v>
      </c>
      <c r="C49" s="50">
        <v>18</v>
      </c>
      <c r="D49" s="50">
        <v>8</v>
      </c>
      <c r="E49" s="50">
        <v>2</v>
      </c>
      <c r="F49" s="50">
        <v>28</v>
      </c>
      <c r="G49" s="50">
        <v>2</v>
      </c>
      <c r="H49" s="50">
        <v>0</v>
      </c>
      <c r="I49" s="50">
        <v>8</v>
      </c>
      <c r="J49" s="50">
        <v>2</v>
      </c>
      <c r="K49" s="50">
        <v>0</v>
      </c>
      <c r="L49" s="50">
        <v>0</v>
      </c>
      <c r="M49" s="50">
        <v>105</v>
      </c>
      <c r="N49" s="50">
        <v>0</v>
      </c>
      <c r="O49" s="15">
        <f t="shared" si="0"/>
        <v>68</v>
      </c>
      <c r="P49" s="15">
        <f t="shared" si="1"/>
        <v>173</v>
      </c>
      <c r="R49" s="8"/>
      <c r="T49"/>
    </row>
    <row r="50" spans="2:20" ht="23.1" customHeight="1" x14ac:dyDescent="0.25">
      <c r="B50" s="24" t="s">
        <v>77</v>
      </c>
      <c r="C50" s="50">
        <v>18</v>
      </c>
      <c r="D50" s="50">
        <v>6</v>
      </c>
      <c r="E50" s="50">
        <v>4</v>
      </c>
      <c r="F50" s="50">
        <v>14</v>
      </c>
      <c r="G50" s="50">
        <v>0</v>
      </c>
      <c r="H50" s="50">
        <v>2</v>
      </c>
      <c r="I50" s="50">
        <v>5</v>
      </c>
      <c r="J50" s="50">
        <v>4</v>
      </c>
      <c r="K50" s="50">
        <v>0</v>
      </c>
      <c r="L50" s="50">
        <v>1</v>
      </c>
      <c r="M50" s="50">
        <v>140</v>
      </c>
      <c r="N50" s="50">
        <v>0</v>
      </c>
      <c r="O50" s="15">
        <f t="shared" si="0"/>
        <v>54</v>
      </c>
      <c r="P50" s="15">
        <f t="shared" si="1"/>
        <v>194</v>
      </c>
      <c r="R50" s="8"/>
      <c r="T50"/>
    </row>
    <row r="51" spans="2:20" ht="23.1" customHeight="1" x14ac:dyDescent="0.25">
      <c r="B51" s="24" t="s">
        <v>78</v>
      </c>
      <c r="C51" s="50">
        <v>11</v>
      </c>
      <c r="D51" s="50">
        <v>5</v>
      </c>
      <c r="E51" s="50">
        <v>0</v>
      </c>
      <c r="F51" s="50">
        <v>20</v>
      </c>
      <c r="G51" s="50">
        <v>1</v>
      </c>
      <c r="H51" s="50">
        <v>0</v>
      </c>
      <c r="I51" s="50">
        <v>9</v>
      </c>
      <c r="J51" s="50">
        <v>2</v>
      </c>
      <c r="K51" s="50">
        <v>0</v>
      </c>
      <c r="L51" s="50">
        <v>1</v>
      </c>
      <c r="M51" s="50">
        <v>72</v>
      </c>
      <c r="N51" s="50">
        <v>0</v>
      </c>
      <c r="O51" s="15">
        <f t="shared" si="0"/>
        <v>49</v>
      </c>
      <c r="P51" s="15">
        <f t="shared" si="1"/>
        <v>121</v>
      </c>
      <c r="R51" s="8"/>
      <c r="T51"/>
    </row>
    <row r="52" spans="2:20" ht="23.1" customHeight="1" x14ac:dyDescent="0.25">
      <c r="B52" s="24" t="s">
        <v>79</v>
      </c>
      <c r="C52" s="50">
        <v>10</v>
      </c>
      <c r="D52" s="50">
        <v>13</v>
      </c>
      <c r="E52" s="50">
        <v>5</v>
      </c>
      <c r="F52" s="50">
        <v>19</v>
      </c>
      <c r="G52" s="50">
        <v>0</v>
      </c>
      <c r="H52" s="50">
        <v>0</v>
      </c>
      <c r="I52" s="50">
        <v>4</v>
      </c>
      <c r="J52" s="50">
        <v>1</v>
      </c>
      <c r="K52" s="50">
        <v>0</v>
      </c>
      <c r="L52" s="50">
        <v>0</v>
      </c>
      <c r="M52" s="50">
        <v>94</v>
      </c>
      <c r="N52" s="50">
        <v>0</v>
      </c>
      <c r="O52" s="15">
        <f t="shared" si="0"/>
        <v>52</v>
      </c>
      <c r="P52" s="15">
        <f t="shared" si="1"/>
        <v>146</v>
      </c>
      <c r="R52" s="8"/>
      <c r="T52"/>
    </row>
    <row r="53" spans="2:20" ht="23.1" customHeight="1" x14ac:dyDescent="0.25">
      <c r="B53" s="23" t="s">
        <v>80</v>
      </c>
      <c r="C53" s="50">
        <v>11</v>
      </c>
      <c r="D53" s="50">
        <v>0</v>
      </c>
      <c r="E53" s="50">
        <v>4</v>
      </c>
      <c r="F53" s="50">
        <v>20</v>
      </c>
      <c r="G53" s="50">
        <v>0</v>
      </c>
      <c r="H53" s="50">
        <v>0</v>
      </c>
      <c r="I53" s="50">
        <v>12</v>
      </c>
      <c r="J53" s="50">
        <v>2</v>
      </c>
      <c r="K53" s="50">
        <v>0</v>
      </c>
      <c r="L53" s="50">
        <v>1</v>
      </c>
      <c r="M53" s="50">
        <v>88</v>
      </c>
      <c r="N53" s="50">
        <v>0</v>
      </c>
      <c r="O53" s="15">
        <f t="shared" si="0"/>
        <v>50</v>
      </c>
      <c r="P53" s="15">
        <f t="shared" si="1"/>
        <v>138</v>
      </c>
      <c r="R53" s="8"/>
      <c r="T53"/>
    </row>
    <row r="54" spans="2:20" ht="23.1" customHeight="1" x14ac:dyDescent="0.25">
      <c r="B54" s="23" t="s">
        <v>81</v>
      </c>
      <c r="C54" s="50">
        <v>17</v>
      </c>
      <c r="D54" s="50">
        <v>11</v>
      </c>
      <c r="E54" s="50">
        <v>3</v>
      </c>
      <c r="F54" s="50">
        <v>20</v>
      </c>
      <c r="G54" s="50">
        <v>0</v>
      </c>
      <c r="H54" s="50">
        <v>0</v>
      </c>
      <c r="I54" s="50">
        <v>8</v>
      </c>
      <c r="J54" s="50">
        <v>1</v>
      </c>
      <c r="K54" s="50">
        <v>0</v>
      </c>
      <c r="L54" s="50">
        <v>0</v>
      </c>
      <c r="M54" s="50">
        <v>52</v>
      </c>
      <c r="N54" s="50">
        <v>0</v>
      </c>
      <c r="O54" s="15">
        <f t="shared" si="0"/>
        <v>60</v>
      </c>
      <c r="P54" s="15">
        <f t="shared" si="1"/>
        <v>112</v>
      </c>
      <c r="R54" s="8"/>
      <c r="T54"/>
    </row>
    <row r="55" spans="2:20" ht="23.1" customHeight="1" x14ac:dyDescent="0.25">
      <c r="B55" s="23" t="s">
        <v>82</v>
      </c>
      <c r="C55" s="50">
        <v>8</v>
      </c>
      <c r="D55" s="50">
        <v>6</v>
      </c>
      <c r="E55" s="50">
        <v>2</v>
      </c>
      <c r="F55" s="50">
        <v>11</v>
      </c>
      <c r="G55" s="50">
        <v>0</v>
      </c>
      <c r="H55" s="50">
        <v>0</v>
      </c>
      <c r="I55" s="50">
        <v>4</v>
      </c>
      <c r="J55" s="50">
        <v>1</v>
      </c>
      <c r="K55" s="50">
        <v>0</v>
      </c>
      <c r="L55" s="50">
        <v>0</v>
      </c>
      <c r="M55" s="50">
        <v>28</v>
      </c>
      <c r="N55" s="50">
        <v>0</v>
      </c>
      <c r="O55" s="15">
        <f t="shared" si="0"/>
        <v>32</v>
      </c>
      <c r="P55" s="15">
        <f t="shared" si="1"/>
        <v>60</v>
      </c>
      <c r="R55" s="8"/>
      <c r="T55"/>
    </row>
    <row r="56" spans="2:20" ht="23.1" customHeight="1" x14ac:dyDescent="0.25">
      <c r="B56" s="23" t="s">
        <v>83</v>
      </c>
      <c r="C56" s="50">
        <v>22</v>
      </c>
      <c r="D56" s="50">
        <v>4</v>
      </c>
      <c r="E56" s="50">
        <v>7</v>
      </c>
      <c r="F56" s="50">
        <v>19</v>
      </c>
      <c r="G56" s="50">
        <v>0</v>
      </c>
      <c r="H56" s="50">
        <v>0</v>
      </c>
      <c r="I56" s="50">
        <v>17</v>
      </c>
      <c r="J56" s="50">
        <v>0</v>
      </c>
      <c r="K56" s="50">
        <v>0</v>
      </c>
      <c r="L56" s="50">
        <v>0</v>
      </c>
      <c r="M56" s="50">
        <v>43</v>
      </c>
      <c r="N56" s="50">
        <v>0</v>
      </c>
      <c r="O56" s="15">
        <f t="shared" si="0"/>
        <v>69</v>
      </c>
      <c r="P56" s="15">
        <f t="shared" si="1"/>
        <v>112</v>
      </c>
      <c r="R56" s="8"/>
      <c r="T56"/>
    </row>
    <row r="57" spans="2:20" ht="23.1" customHeight="1" x14ac:dyDescent="0.25">
      <c r="B57" s="23" t="s">
        <v>84</v>
      </c>
      <c r="C57" s="50">
        <v>14</v>
      </c>
      <c r="D57" s="50">
        <v>7</v>
      </c>
      <c r="E57" s="50">
        <v>3</v>
      </c>
      <c r="F57" s="50">
        <v>22</v>
      </c>
      <c r="G57" s="50">
        <v>0</v>
      </c>
      <c r="H57" s="50">
        <v>0</v>
      </c>
      <c r="I57" s="50">
        <v>23</v>
      </c>
      <c r="J57" s="50">
        <v>4</v>
      </c>
      <c r="K57" s="50">
        <v>2</v>
      </c>
      <c r="L57" s="50">
        <v>0</v>
      </c>
      <c r="M57" s="50">
        <v>40</v>
      </c>
      <c r="N57" s="50">
        <v>0</v>
      </c>
      <c r="O57" s="15">
        <f t="shared" si="0"/>
        <v>75</v>
      </c>
      <c r="P57" s="15">
        <f t="shared" si="1"/>
        <v>115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721</v>
      </c>
      <c r="D58" s="16">
        <f t="shared" si="21"/>
        <v>416</v>
      </c>
      <c r="E58" s="16">
        <f t="shared" si="21"/>
        <v>133</v>
      </c>
      <c r="F58" s="16">
        <f t="shared" si="21"/>
        <v>865</v>
      </c>
      <c r="G58" s="16">
        <f t="shared" si="21"/>
        <v>30</v>
      </c>
      <c r="H58" s="16">
        <f t="shared" si="21"/>
        <v>9</v>
      </c>
      <c r="I58" s="16">
        <f t="shared" si="21"/>
        <v>443</v>
      </c>
      <c r="J58" s="16">
        <f t="shared" si="21"/>
        <v>86</v>
      </c>
      <c r="K58" s="16">
        <f t="shared" si="21"/>
        <v>19</v>
      </c>
      <c r="L58" s="16">
        <f t="shared" si="21"/>
        <v>28</v>
      </c>
      <c r="M58" s="16">
        <f t="shared" si="21"/>
        <v>5375</v>
      </c>
      <c r="N58" s="16">
        <f t="shared" si="21"/>
        <v>0</v>
      </c>
      <c r="O58" s="16">
        <f t="shared" si="21"/>
        <v>2750</v>
      </c>
      <c r="P58" s="16">
        <f t="shared" si="21"/>
        <v>8125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8.8738461538461544E-2</v>
      </c>
      <c r="D59" s="43">
        <f t="shared" si="22"/>
        <v>5.1200000000000002E-2</v>
      </c>
      <c r="E59" s="43">
        <f t="shared" si="22"/>
        <v>1.6369230769230768E-2</v>
      </c>
      <c r="F59" s="43">
        <f t="shared" si="22"/>
        <v>0.10646153846153845</v>
      </c>
      <c r="G59" s="43">
        <f t="shared" si="22"/>
        <v>3.6923076923076922E-3</v>
      </c>
      <c r="H59" s="43">
        <f t="shared" si="22"/>
        <v>1.1076923076923078E-3</v>
      </c>
      <c r="I59" s="43">
        <f t="shared" si="22"/>
        <v>5.4523076923076924E-2</v>
      </c>
      <c r="J59" s="43">
        <f t="shared" si="22"/>
        <v>1.0584615384615385E-2</v>
      </c>
      <c r="K59" s="43">
        <f t="shared" si="22"/>
        <v>2.3384615384615384E-3</v>
      </c>
      <c r="L59" s="43">
        <f t="shared" si="22"/>
        <v>3.4461538461538462E-3</v>
      </c>
      <c r="M59" s="43">
        <f t="shared" si="22"/>
        <v>0.66153846153846152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0.26218181818181818</v>
      </c>
      <c r="D60" s="44">
        <f t="shared" ref="D60:N60" si="23">D58/$O$58</f>
        <v>0.15127272727272728</v>
      </c>
      <c r="E60" s="44">
        <f t="shared" si="23"/>
        <v>4.8363636363636366E-2</v>
      </c>
      <c r="F60" s="44">
        <f t="shared" si="23"/>
        <v>0.31454545454545457</v>
      </c>
      <c r="G60" s="44">
        <f t="shared" si="23"/>
        <v>1.090909090909091E-2</v>
      </c>
      <c r="H60" s="44">
        <f t="shared" si="23"/>
        <v>3.2727272727272726E-3</v>
      </c>
      <c r="I60" s="44">
        <f t="shared" si="23"/>
        <v>0.16109090909090909</v>
      </c>
      <c r="J60" s="44">
        <f t="shared" si="23"/>
        <v>3.1272727272727271E-2</v>
      </c>
      <c r="K60" s="44">
        <f t="shared" si="23"/>
        <v>6.909090909090909E-3</v>
      </c>
      <c r="L60" s="44">
        <f t="shared" si="23"/>
        <v>1.0181818181818183E-2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6:L6"/>
    <mergeCell ref="K5:L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74"/>
  <sheetViews>
    <sheetView view="pageBreakPreview" topLeftCell="L52" zoomScale="60" workbookViewId="0">
      <selection activeCell="AE77" sqref="AE7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8" t="s">
        <v>23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</row>
    <row r="2" spans="2:32" ht="20.100000000000001" customHeight="1" x14ac:dyDescent="0.25">
      <c r="B2" s="59" t="s">
        <v>95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</row>
    <row r="3" spans="2:32" ht="20.100000000000001" customHeight="1" x14ac:dyDescent="0.25">
      <c r="B3" s="22" t="s">
        <v>96</v>
      </c>
      <c r="C3" s="73" t="str">
        <f>'28.07 Ndeeba-Nateete'!C3:G3</f>
        <v>MCC - C1 - STN07 - MASAKA ROAD</v>
      </c>
      <c r="D3" s="73"/>
      <c r="E3" s="73"/>
      <c r="F3" s="73"/>
      <c r="G3" s="73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71" t="s">
        <v>168</v>
      </c>
      <c r="E5" s="72"/>
      <c r="F5" s="41" t="s">
        <v>1</v>
      </c>
      <c r="G5" s="69" t="str">
        <f>'28.07 Nateete-Ndeeba'!G5:H5</f>
        <v>Rhino Funeral Services</v>
      </c>
      <c r="H5" s="70"/>
      <c r="I5" s="14"/>
      <c r="J5" s="2" t="s">
        <v>5</v>
      </c>
      <c r="K5" s="69" t="str">
        <f>'28.07 Nateete-Ndeeba'!K5:L5</f>
        <v>Asibazuyo Jennipher &amp;Kyagulanyi Lawrence</v>
      </c>
      <c r="L5" s="70"/>
      <c r="M5" s="10"/>
      <c r="N5" s="10"/>
      <c r="O5" s="3"/>
      <c r="P5" s="3"/>
    </row>
    <row r="6" spans="2:32" ht="23.25" customHeight="1" x14ac:dyDescent="0.25">
      <c r="C6" s="2" t="s">
        <v>4</v>
      </c>
      <c r="D6" s="69" t="str">
        <f>'28.07 Nateete-Ndeeba'!D6:E6</f>
        <v>Nateete</v>
      </c>
      <c r="E6" s="70"/>
      <c r="F6" s="2" t="s">
        <v>2</v>
      </c>
      <c r="G6" s="69" t="str">
        <f>'28.07 Nateete-Ndeeba'!G6:H6</f>
        <v>Ndeeba</v>
      </c>
      <c r="H6" s="70"/>
      <c r="J6" s="2" t="s">
        <v>21</v>
      </c>
      <c r="K6" s="69" t="str">
        <f>'28.07 Nateete-Ndeeba'!K6:L6</f>
        <v>Felix</v>
      </c>
      <c r="L6" s="70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7" t="s">
        <v>88</v>
      </c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AVERAGE('22.07 Nateete-Ndeeba'!C10,'23.07 Nateete-Ndeeba'!C10,'24.07 Nateete-Ndeeba'!C10,'25.07 Nateete-Ndeeba'!C10,'26.07 Nateete-Ndeeba-24h'!C10,'27.07 Nateete-Ndeeba-24h'!C10,'28.07 Nateete-Ndeeba'!C10)</f>
        <v>29.714285714285715</v>
      </c>
      <c r="D10" s="49">
        <f>AVERAGE('22.07 Nateete-Ndeeba'!D10,'23.07 Nateete-Ndeeba'!D10,'24.07 Nateete-Ndeeba'!D10,'25.07 Nateete-Ndeeba'!D10,'26.07 Nateete-Ndeeba-24h'!D10,'27.07 Nateete-Ndeeba-24h'!D10,'28.07 Nateete-Ndeeba'!D10)</f>
        <v>4.1428571428571432</v>
      </c>
      <c r="E10" s="49">
        <f>AVERAGE('22.07 Nateete-Ndeeba'!E10,'23.07 Nateete-Ndeeba'!E10,'24.07 Nateete-Ndeeba'!E10,'25.07 Nateete-Ndeeba'!E10,'26.07 Nateete-Ndeeba-24h'!E10,'27.07 Nateete-Ndeeba-24h'!E10,'28.07 Nateete-Ndeeba'!E10)</f>
        <v>2.5714285714285716</v>
      </c>
      <c r="F10" s="49">
        <f>AVERAGE('22.07 Nateete-Ndeeba'!F10,'23.07 Nateete-Ndeeba'!F10,'24.07 Nateete-Ndeeba'!F10,'25.07 Nateete-Ndeeba'!F10,'26.07 Nateete-Ndeeba-24h'!F10,'27.07 Nateete-Ndeeba-24h'!F10,'28.07 Nateete-Ndeeba'!F10)</f>
        <v>19</v>
      </c>
      <c r="G10" s="49">
        <f>AVERAGE('22.07 Nateete-Ndeeba'!G10,'23.07 Nateete-Ndeeba'!G10,'24.07 Nateete-Ndeeba'!G10,'25.07 Nateete-Ndeeba'!G10,'26.07 Nateete-Ndeeba-24h'!G10,'27.07 Nateete-Ndeeba-24h'!G10,'28.07 Nateete-Ndeeba'!G10)</f>
        <v>0.5714285714285714</v>
      </c>
      <c r="H10" s="49">
        <f>AVERAGE('22.07 Nateete-Ndeeba'!H10,'23.07 Nateete-Ndeeba'!H10,'24.07 Nateete-Ndeeba'!H10,'25.07 Nateete-Ndeeba'!H10,'26.07 Nateete-Ndeeba-24h'!H10,'27.07 Nateete-Ndeeba-24h'!H10,'28.07 Nateete-Ndeeba'!H10)</f>
        <v>0.8571428571428571</v>
      </c>
      <c r="I10" s="49">
        <f>AVERAGE('22.07 Nateete-Ndeeba'!I10,'23.07 Nateete-Ndeeba'!I10,'24.07 Nateete-Ndeeba'!I10,'25.07 Nateete-Ndeeba'!I10,'26.07 Nateete-Ndeeba-24h'!I10,'27.07 Nateete-Ndeeba-24h'!I10,'28.07 Nateete-Ndeeba'!I10)</f>
        <v>6.4285714285714288</v>
      </c>
      <c r="J10" s="49">
        <f>AVERAGE('22.07 Nateete-Ndeeba'!J10,'23.07 Nateete-Ndeeba'!J10,'24.07 Nateete-Ndeeba'!J10,'25.07 Nateete-Ndeeba'!J10,'26.07 Nateete-Ndeeba-24h'!J10,'27.07 Nateete-Ndeeba-24h'!J10,'28.07 Nateete-Ndeeba'!J10)</f>
        <v>6.4285714285714288</v>
      </c>
      <c r="K10" s="49">
        <f>AVERAGE('22.07 Nateete-Ndeeba'!K10,'23.07 Nateete-Ndeeba'!K10,'24.07 Nateete-Ndeeba'!K10,'25.07 Nateete-Ndeeba'!K10,'26.07 Nateete-Ndeeba-24h'!K10,'27.07 Nateete-Ndeeba-24h'!K10,'28.07 Nateete-Ndeeba'!K10)</f>
        <v>1.5714285714285714</v>
      </c>
      <c r="L10" s="49">
        <f>AVERAGE('22.07 Nateete-Ndeeba'!L10,'23.07 Nateete-Ndeeba'!L10,'24.07 Nateete-Ndeeba'!L10,'25.07 Nateete-Ndeeba'!L10,'26.07 Nateete-Ndeeba-24h'!L10,'27.07 Nateete-Ndeeba-24h'!L10,'28.07 Nateete-Ndeeba'!L10)</f>
        <v>0.42857142857142855</v>
      </c>
      <c r="M10" s="49">
        <f>AVERAGE('22.07 Nateete-Ndeeba'!M10,'23.07 Nateete-Ndeeba'!M10,'24.07 Nateete-Ndeeba'!M10,'25.07 Nateete-Ndeeba'!M10,'26.07 Nateete-Ndeeba-24h'!M10,'27.07 Nateete-Ndeeba-24h'!M10,'28.07 Nateete-Ndeeba'!M10)</f>
        <v>80</v>
      </c>
      <c r="N10" s="49">
        <f>AVERAGE('22.07 Nateete-Ndeeba'!N10,'23.07 Nateete-Ndeeba'!N10,'24.07 Nateete-Ndeeba'!N10,'25.07 Nateete-Ndeeba'!N10,'26.07 Nateete-Ndeeba-24h'!N10,'27.07 Nateete-Ndeeba-24h'!N10,'28.07 Nateete-Ndeeba'!N10)</f>
        <v>0</v>
      </c>
      <c r="O10" s="15">
        <f t="shared" ref="O10:O57" si="0">SUM(C10:L10,N10)</f>
        <v>71.714285714285708</v>
      </c>
      <c r="P10" s="15">
        <f t="shared" ref="P10:P57" si="1">SUM(C10:N10)</f>
        <v>151.71428571428572</v>
      </c>
      <c r="R10" s="1" t="s">
        <v>6</v>
      </c>
      <c r="S10" s="17">
        <f t="shared" ref="S10:AF10" si="2">SUM(C10:C13)</f>
        <v>148</v>
      </c>
      <c r="T10" s="17">
        <f t="shared" si="2"/>
        <v>17.571428571428569</v>
      </c>
      <c r="U10" s="17">
        <f t="shared" si="2"/>
        <v>12.142857142857144</v>
      </c>
      <c r="V10" s="17">
        <f t="shared" si="2"/>
        <v>94.714285714285708</v>
      </c>
      <c r="W10" s="17">
        <f t="shared" si="2"/>
        <v>2.4285714285714284</v>
      </c>
      <c r="X10" s="17">
        <f t="shared" si="2"/>
        <v>2.5714285714285712</v>
      </c>
      <c r="Y10" s="17">
        <f t="shared" si="2"/>
        <v>29.285714285714285</v>
      </c>
      <c r="Z10" s="17">
        <f t="shared" si="2"/>
        <v>28.857142857142858</v>
      </c>
      <c r="AA10" s="17">
        <f t="shared" si="2"/>
        <v>4.8571428571428568</v>
      </c>
      <c r="AB10" s="17">
        <f t="shared" si="2"/>
        <v>1.857142857142857</v>
      </c>
      <c r="AC10" s="17">
        <f t="shared" si="2"/>
        <v>529.57142857142856</v>
      </c>
      <c r="AD10" s="17">
        <f t="shared" si="2"/>
        <v>0</v>
      </c>
      <c r="AE10" s="31">
        <f t="shared" si="2"/>
        <v>342.28571428571428</v>
      </c>
      <c r="AF10" s="31">
        <f t="shared" si="2"/>
        <v>871.85714285714289</v>
      </c>
    </row>
    <row r="11" spans="2:32" s="6" customFormat="1" ht="23.1" customHeight="1" x14ac:dyDescent="0.25">
      <c r="B11" s="23" t="s">
        <v>38</v>
      </c>
      <c r="C11" s="49">
        <f>AVERAGE('22.07 Nateete-Ndeeba'!C11,'23.07 Nateete-Ndeeba'!C11,'24.07 Nateete-Ndeeba'!C11,'25.07 Nateete-Ndeeba'!C11,'26.07 Nateete-Ndeeba-24h'!C11,'27.07 Nateete-Ndeeba-24h'!C11,'28.07 Nateete-Ndeeba'!C11)</f>
        <v>37.142857142857146</v>
      </c>
      <c r="D11" s="49">
        <f>AVERAGE('22.07 Nateete-Ndeeba'!D11,'23.07 Nateete-Ndeeba'!D11,'24.07 Nateete-Ndeeba'!D11,'25.07 Nateete-Ndeeba'!D11,'26.07 Nateete-Ndeeba-24h'!D11,'27.07 Nateete-Ndeeba-24h'!D11,'28.07 Nateete-Ndeeba'!D11)</f>
        <v>4</v>
      </c>
      <c r="E11" s="49">
        <f>AVERAGE('22.07 Nateete-Ndeeba'!E11,'23.07 Nateete-Ndeeba'!E11,'24.07 Nateete-Ndeeba'!E11,'25.07 Nateete-Ndeeba'!E11,'26.07 Nateete-Ndeeba-24h'!E11,'27.07 Nateete-Ndeeba-24h'!E11,'28.07 Nateete-Ndeeba'!E11)</f>
        <v>2.5714285714285716</v>
      </c>
      <c r="F11" s="49">
        <f>AVERAGE('22.07 Nateete-Ndeeba'!F11,'23.07 Nateete-Ndeeba'!F11,'24.07 Nateete-Ndeeba'!F11,'25.07 Nateete-Ndeeba'!F11,'26.07 Nateete-Ndeeba-24h'!F11,'27.07 Nateete-Ndeeba-24h'!F11,'28.07 Nateete-Ndeeba'!F11)</f>
        <v>22.714285714285715</v>
      </c>
      <c r="G11" s="49">
        <f>AVERAGE('22.07 Nateete-Ndeeba'!G11,'23.07 Nateete-Ndeeba'!G11,'24.07 Nateete-Ndeeba'!G11,'25.07 Nateete-Ndeeba'!G11,'26.07 Nateete-Ndeeba-24h'!G11,'27.07 Nateete-Ndeeba-24h'!G11,'28.07 Nateete-Ndeeba'!G11)</f>
        <v>0.7142857142857143</v>
      </c>
      <c r="H11" s="49">
        <f>AVERAGE('22.07 Nateete-Ndeeba'!H11,'23.07 Nateete-Ndeeba'!H11,'24.07 Nateete-Ndeeba'!H11,'25.07 Nateete-Ndeeba'!H11,'26.07 Nateete-Ndeeba-24h'!H11,'27.07 Nateete-Ndeeba-24h'!H11,'28.07 Nateete-Ndeeba'!H11)</f>
        <v>0.7142857142857143</v>
      </c>
      <c r="I11" s="49">
        <f>AVERAGE('22.07 Nateete-Ndeeba'!I11,'23.07 Nateete-Ndeeba'!I11,'24.07 Nateete-Ndeeba'!I11,'25.07 Nateete-Ndeeba'!I11,'26.07 Nateete-Ndeeba-24h'!I11,'27.07 Nateete-Ndeeba-24h'!I11,'28.07 Nateete-Ndeeba'!I11)</f>
        <v>5.5714285714285712</v>
      </c>
      <c r="J11" s="49">
        <f>AVERAGE('22.07 Nateete-Ndeeba'!J11,'23.07 Nateete-Ndeeba'!J11,'24.07 Nateete-Ndeeba'!J11,'25.07 Nateete-Ndeeba'!J11,'26.07 Nateete-Ndeeba-24h'!J11,'27.07 Nateete-Ndeeba-24h'!J11,'28.07 Nateete-Ndeeba'!J11)</f>
        <v>6</v>
      </c>
      <c r="K11" s="49">
        <f>AVERAGE('22.07 Nateete-Ndeeba'!K11,'23.07 Nateete-Ndeeba'!K11,'24.07 Nateete-Ndeeba'!K11,'25.07 Nateete-Ndeeba'!K11,'26.07 Nateete-Ndeeba-24h'!K11,'27.07 Nateete-Ndeeba-24h'!K11,'28.07 Nateete-Ndeeba'!K11)</f>
        <v>1.7142857142857142</v>
      </c>
      <c r="L11" s="49">
        <f>AVERAGE('22.07 Nateete-Ndeeba'!L11,'23.07 Nateete-Ndeeba'!L11,'24.07 Nateete-Ndeeba'!L11,'25.07 Nateete-Ndeeba'!L11,'26.07 Nateete-Ndeeba-24h'!L11,'27.07 Nateete-Ndeeba-24h'!L11,'28.07 Nateete-Ndeeba'!L11)</f>
        <v>0.42857142857142855</v>
      </c>
      <c r="M11" s="49">
        <f>AVERAGE('22.07 Nateete-Ndeeba'!M11,'23.07 Nateete-Ndeeba'!M11,'24.07 Nateete-Ndeeba'!M11,'25.07 Nateete-Ndeeba'!M11,'26.07 Nateete-Ndeeba-24h'!M11,'27.07 Nateete-Ndeeba-24h'!M11,'28.07 Nateete-Ndeeba'!M11)</f>
        <v>107.42857142857143</v>
      </c>
      <c r="N11" s="49">
        <f>AVERAGE('22.07 Nateete-Ndeeba'!N11,'23.07 Nateete-Ndeeba'!N11,'24.07 Nateete-Ndeeba'!N11,'25.07 Nateete-Ndeeba'!N11,'26.07 Nateete-Ndeeba-24h'!N11,'27.07 Nateete-Ndeeba-24h'!N11,'28.07 Nateete-Ndeeba'!N11)</f>
        <v>0</v>
      </c>
      <c r="O11" s="15">
        <f t="shared" si="0"/>
        <v>81.571428571428555</v>
      </c>
      <c r="P11" s="15">
        <f t="shared" si="1"/>
        <v>189</v>
      </c>
      <c r="R11" s="1" t="s">
        <v>7</v>
      </c>
      <c r="S11" s="17">
        <f t="shared" ref="S11:AF11" si="3">SUM(C14:C17)</f>
        <v>159.71428571428572</v>
      </c>
      <c r="T11" s="17">
        <f t="shared" si="3"/>
        <v>25.571428571428569</v>
      </c>
      <c r="U11" s="17">
        <f t="shared" si="3"/>
        <v>11.857142857142858</v>
      </c>
      <c r="V11" s="17">
        <f t="shared" si="3"/>
        <v>135</v>
      </c>
      <c r="W11" s="17">
        <f t="shared" si="3"/>
        <v>2.8571428571428568</v>
      </c>
      <c r="X11" s="17">
        <f t="shared" si="3"/>
        <v>1.2857142857142856</v>
      </c>
      <c r="Y11" s="17">
        <f t="shared" si="3"/>
        <v>30.714285714285715</v>
      </c>
      <c r="Z11" s="17">
        <f t="shared" si="3"/>
        <v>46.285714285714278</v>
      </c>
      <c r="AA11" s="17">
        <f t="shared" si="3"/>
        <v>6.4285714285714288</v>
      </c>
      <c r="AB11" s="17">
        <f t="shared" si="3"/>
        <v>5.2857142857142856</v>
      </c>
      <c r="AC11" s="17">
        <f t="shared" si="3"/>
        <v>819.28571428571433</v>
      </c>
      <c r="AD11" s="17">
        <f t="shared" si="3"/>
        <v>0.14285714285714285</v>
      </c>
      <c r="AE11" s="31">
        <f t="shared" si="3"/>
        <v>425.14285714285711</v>
      </c>
      <c r="AF11" s="31">
        <f t="shared" si="3"/>
        <v>1244.4285714285716</v>
      </c>
    </row>
    <row r="12" spans="2:32" ht="23.1" customHeight="1" x14ac:dyDescent="0.25">
      <c r="B12" s="23" t="s">
        <v>39</v>
      </c>
      <c r="C12" s="49">
        <f>AVERAGE('22.07 Nateete-Ndeeba'!C12,'23.07 Nateete-Ndeeba'!C12,'24.07 Nateete-Ndeeba'!C12,'25.07 Nateete-Ndeeba'!C12,'26.07 Nateete-Ndeeba-24h'!C12,'27.07 Nateete-Ndeeba-24h'!C12,'28.07 Nateete-Ndeeba'!C12)</f>
        <v>40.571428571428569</v>
      </c>
      <c r="D12" s="49">
        <f>AVERAGE('22.07 Nateete-Ndeeba'!D12,'23.07 Nateete-Ndeeba'!D12,'24.07 Nateete-Ndeeba'!D12,'25.07 Nateete-Ndeeba'!D12,'26.07 Nateete-Ndeeba-24h'!D12,'27.07 Nateete-Ndeeba-24h'!D12,'28.07 Nateete-Ndeeba'!D12)</f>
        <v>4.2857142857142856</v>
      </c>
      <c r="E12" s="49">
        <f>AVERAGE('22.07 Nateete-Ndeeba'!E12,'23.07 Nateete-Ndeeba'!E12,'24.07 Nateete-Ndeeba'!E12,'25.07 Nateete-Ndeeba'!E12,'26.07 Nateete-Ndeeba-24h'!E12,'27.07 Nateete-Ndeeba-24h'!E12,'28.07 Nateete-Ndeeba'!E12)</f>
        <v>3.1428571428571428</v>
      </c>
      <c r="F12" s="49">
        <f>AVERAGE('22.07 Nateete-Ndeeba'!F12,'23.07 Nateete-Ndeeba'!F12,'24.07 Nateete-Ndeeba'!F12,'25.07 Nateete-Ndeeba'!F12,'26.07 Nateete-Ndeeba-24h'!F12,'27.07 Nateete-Ndeeba-24h'!F12,'28.07 Nateete-Ndeeba'!F12)</f>
        <v>24.428571428571427</v>
      </c>
      <c r="G12" s="49">
        <f>AVERAGE('22.07 Nateete-Ndeeba'!G12,'23.07 Nateete-Ndeeba'!G12,'24.07 Nateete-Ndeeba'!G12,'25.07 Nateete-Ndeeba'!G12,'26.07 Nateete-Ndeeba-24h'!G12,'27.07 Nateete-Ndeeba-24h'!G12,'28.07 Nateete-Ndeeba'!G12)</f>
        <v>0.5714285714285714</v>
      </c>
      <c r="H12" s="49">
        <f>AVERAGE('22.07 Nateete-Ndeeba'!H12,'23.07 Nateete-Ndeeba'!H12,'24.07 Nateete-Ndeeba'!H12,'25.07 Nateete-Ndeeba'!H12,'26.07 Nateete-Ndeeba-24h'!H12,'27.07 Nateete-Ndeeba-24h'!H12,'28.07 Nateete-Ndeeba'!H12)</f>
        <v>0.7142857142857143</v>
      </c>
      <c r="I12" s="49">
        <f>AVERAGE('22.07 Nateete-Ndeeba'!I12,'23.07 Nateete-Ndeeba'!I12,'24.07 Nateete-Ndeeba'!I12,'25.07 Nateete-Ndeeba'!I12,'26.07 Nateete-Ndeeba-24h'!I12,'27.07 Nateete-Ndeeba-24h'!I12,'28.07 Nateete-Ndeeba'!I12)</f>
        <v>8.8571428571428577</v>
      </c>
      <c r="J12" s="49">
        <f>AVERAGE('22.07 Nateete-Ndeeba'!J12,'23.07 Nateete-Ndeeba'!J12,'24.07 Nateete-Ndeeba'!J12,'25.07 Nateete-Ndeeba'!J12,'26.07 Nateete-Ndeeba-24h'!J12,'27.07 Nateete-Ndeeba-24h'!J12,'28.07 Nateete-Ndeeba'!J12)</f>
        <v>6.4285714285714288</v>
      </c>
      <c r="K12" s="49">
        <f>AVERAGE('22.07 Nateete-Ndeeba'!K12,'23.07 Nateete-Ndeeba'!K12,'24.07 Nateete-Ndeeba'!K12,'25.07 Nateete-Ndeeba'!K12,'26.07 Nateete-Ndeeba-24h'!K12,'27.07 Nateete-Ndeeba-24h'!K12,'28.07 Nateete-Ndeeba'!K12)</f>
        <v>0.5714285714285714</v>
      </c>
      <c r="L12" s="49">
        <f>AVERAGE('22.07 Nateete-Ndeeba'!L12,'23.07 Nateete-Ndeeba'!L12,'24.07 Nateete-Ndeeba'!L12,'25.07 Nateete-Ndeeba'!L12,'26.07 Nateete-Ndeeba-24h'!L12,'27.07 Nateete-Ndeeba-24h'!L12,'28.07 Nateete-Ndeeba'!L12)</f>
        <v>0.5714285714285714</v>
      </c>
      <c r="M12" s="49">
        <f>AVERAGE('22.07 Nateete-Ndeeba'!M12,'23.07 Nateete-Ndeeba'!M12,'24.07 Nateete-Ndeeba'!M12,'25.07 Nateete-Ndeeba'!M12,'26.07 Nateete-Ndeeba-24h'!M12,'27.07 Nateete-Ndeeba-24h'!M12,'28.07 Nateete-Ndeeba'!M12)</f>
        <v>148.57142857142858</v>
      </c>
      <c r="N12" s="49">
        <f>AVERAGE('22.07 Nateete-Ndeeba'!N12,'23.07 Nateete-Ndeeba'!N12,'24.07 Nateete-Ndeeba'!N12,'25.07 Nateete-Ndeeba'!N12,'26.07 Nateete-Ndeeba-24h'!N12,'27.07 Nateete-Ndeeba-24h'!N12,'28.07 Nateete-Ndeeba'!N12)</f>
        <v>0</v>
      </c>
      <c r="O12" s="15">
        <f t="shared" si="0"/>
        <v>90.142857142857139</v>
      </c>
      <c r="P12" s="15">
        <f t="shared" si="1"/>
        <v>238.71428571428572</v>
      </c>
      <c r="R12" s="1" t="s">
        <v>8</v>
      </c>
      <c r="S12" s="17">
        <f t="shared" ref="S12:AF12" si="4">SUM(C18:C21)</f>
        <v>165.71428571428572</v>
      </c>
      <c r="T12" s="17">
        <f t="shared" si="4"/>
        <v>25.428571428571431</v>
      </c>
      <c r="U12" s="17">
        <f t="shared" si="4"/>
        <v>17.714285714285715</v>
      </c>
      <c r="V12" s="17">
        <f t="shared" si="4"/>
        <v>139.42857142857142</v>
      </c>
      <c r="W12" s="17">
        <f t="shared" si="4"/>
        <v>2.5714285714285716</v>
      </c>
      <c r="X12" s="17">
        <f t="shared" si="4"/>
        <v>1</v>
      </c>
      <c r="Y12" s="17">
        <f t="shared" si="4"/>
        <v>31</v>
      </c>
      <c r="Z12" s="17">
        <f t="shared" si="4"/>
        <v>48.285714285714285</v>
      </c>
      <c r="AA12" s="17">
        <f t="shared" si="4"/>
        <v>7.1428571428571423</v>
      </c>
      <c r="AB12" s="17">
        <f t="shared" si="4"/>
        <v>1.4285714285714284</v>
      </c>
      <c r="AC12" s="17">
        <f t="shared" si="4"/>
        <v>801</v>
      </c>
      <c r="AD12" s="17">
        <f t="shared" si="4"/>
        <v>0</v>
      </c>
      <c r="AE12" s="31">
        <f t="shared" si="4"/>
        <v>439.71428571428572</v>
      </c>
      <c r="AF12" s="31">
        <f t="shared" si="4"/>
        <v>1240.7142857142856</v>
      </c>
    </row>
    <row r="13" spans="2:32" ht="23.1" customHeight="1" x14ac:dyDescent="0.25">
      <c r="B13" s="23" t="s">
        <v>40</v>
      </c>
      <c r="C13" s="49">
        <f>AVERAGE('22.07 Nateete-Ndeeba'!C13,'23.07 Nateete-Ndeeba'!C13,'24.07 Nateete-Ndeeba'!C13,'25.07 Nateete-Ndeeba'!C13,'26.07 Nateete-Ndeeba-24h'!C13,'27.07 Nateete-Ndeeba-24h'!C13,'28.07 Nateete-Ndeeba'!C13)</f>
        <v>40.571428571428569</v>
      </c>
      <c r="D13" s="49">
        <f>AVERAGE('22.07 Nateete-Ndeeba'!D13,'23.07 Nateete-Ndeeba'!D13,'24.07 Nateete-Ndeeba'!D13,'25.07 Nateete-Ndeeba'!D13,'26.07 Nateete-Ndeeba-24h'!D13,'27.07 Nateete-Ndeeba-24h'!D13,'28.07 Nateete-Ndeeba'!D13)</f>
        <v>5.1428571428571432</v>
      </c>
      <c r="E13" s="49">
        <f>AVERAGE('22.07 Nateete-Ndeeba'!E13,'23.07 Nateete-Ndeeba'!E13,'24.07 Nateete-Ndeeba'!E13,'25.07 Nateete-Ndeeba'!E13,'26.07 Nateete-Ndeeba-24h'!E13,'27.07 Nateete-Ndeeba-24h'!E13,'28.07 Nateete-Ndeeba'!E13)</f>
        <v>3.8571428571428572</v>
      </c>
      <c r="F13" s="49">
        <f>AVERAGE('22.07 Nateete-Ndeeba'!F13,'23.07 Nateete-Ndeeba'!F13,'24.07 Nateete-Ndeeba'!F13,'25.07 Nateete-Ndeeba'!F13,'26.07 Nateete-Ndeeba-24h'!F13,'27.07 Nateete-Ndeeba-24h'!F13,'28.07 Nateete-Ndeeba'!F13)</f>
        <v>28.571428571428573</v>
      </c>
      <c r="G13" s="49">
        <f>AVERAGE('22.07 Nateete-Ndeeba'!G13,'23.07 Nateete-Ndeeba'!G13,'24.07 Nateete-Ndeeba'!G13,'25.07 Nateete-Ndeeba'!G13,'26.07 Nateete-Ndeeba-24h'!G13,'27.07 Nateete-Ndeeba-24h'!G13,'28.07 Nateete-Ndeeba'!G13)</f>
        <v>0.5714285714285714</v>
      </c>
      <c r="H13" s="49">
        <f>AVERAGE('22.07 Nateete-Ndeeba'!H13,'23.07 Nateete-Ndeeba'!H13,'24.07 Nateete-Ndeeba'!H13,'25.07 Nateete-Ndeeba'!H13,'26.07 Nateete-Ndeeba-24h'!H13,'27.07 Nateete-Ndeeba-24h'!H13,'28.07 Nateete-Ndeeba'!H13)</f>
        <v>0.2857142857142857</v>
      </c>
      <c r="I13" s="49">
        <f>AVERAGE('22.07 Nateete-Ndeeba'!I13,'23.07 Nateete-Ndeeba'!I13,'24.07 Nateete-Ndeeba'!I13,'25.07 Nateete-Ndeeba'!I13,'26.07 Nateete-Ndeeba-24h'!I13,'27.07 Nateete-Ndeeba-24h'!I13,'28.07 Nateete-Ndeeba'!I13)</f>
        <v>8.4285714285714288</v>
      </c>
      <c r="J13" s="49">
        <f>AVERAGE('22.07 Nateete-Ndeeba'!J13,'23.07 Nateete-Ndeeba'!J13,'24.07 Nateete-Ndeeba'!J13,'25.07 Nateete-Ndeeba'!J13,'26.07 Nateete-Ndeeba-24h'!J13,'27.07 Nateete-Ndeeba-24h'!J13,'28.07 Nateete-Ndeeba'!J13)</f>
        <v>10</v>
      </c>
      <c r="K13" s="49">
        <f>AVERAGE('22.07 Nateete-Ndeeba'!K13,'23.07 Nateete-Ndeeba'!K13,'24.07 Nateete-Ndeeba'!K13,'25.07 Nateete-Ndeeba'!K13,'26.07 Nateete-Ndeeba-24h'!K13,'27.07 Nateete-Ndeeba-24h'!K13,'28.07 Nateete-Ndeeba'!K13)</f>
        <v>1</v>
      </c>
      <c r="L13" s="49">
        <f>AVERAGE('22.07 Nateete-Ndeeba'!L13,'23.07 Nateete-Ndeeba'!L13,'24.07 Nateete-Ndeeba'!L13,'25.07 Nateete-Ndeeba'!L13,'26.07 Nateete-Ndeeba-24h'!L13,'27.07 Nateete-Ndeeba-24h'!L13,'28.07 Nateete-Ndeeba'!L13)</f>
        <v>0.42857142857142855</v>
      </c>
      <c r="M13" s="49">
        <f>AVERAGE('22.07 Nateete-Ndeeba'!M13,'23.07 Nateete-Ndeeba'!M13,'24.07 Nateete-Ndeeba'!M13,'25.07 Nateete-Ndeeba'!M13,'26.07 Nateete-Ndeeba-24h'!M13,'27.07 Nateete-Ndeeba-24h'!M13,'28.07 Nateete-Ndeeba'!M13)</f>
        <v>193.57142857142858</v>
      </c>
      <c r="N13" s="49">
        <f>AVERAGE('22.07 Nateete-Ndeeba'!N13,'23.07 Nateete-Ndeeba'!N13,'24.07 Nateete-Ndeeba'!N13,'25.07 Nateete-Ndeeba'!N13,'26.07 Nateete-Ndeeba-24h'!N13,'27.07 Nateete-Ndeeba-24h'!N13,'28.07 Nateete-Ndeeba'!N13)</f>
        <v>0</v>
      </c>
      <c r="O13" s="15">
        <f t="shared" si="0"/>
        <v>98.857142857142861</v>
      </c>
      <c r="P13" s="15">
        <f t="shared" si="1"/>
        <v>292.42857142857144</v>
      </c>
      <c r="R13" s="1" t="s">
        <v>9</v>
      </c>
      <c r="S13" s="17">
        <f t="shared" ref="S13:AF13" si="5">SUM(C22:C25)</f>
        <v>160.28571428571428</v>
      </c>
      <c r="T13" s="17">
        <f t="shared" si="5"/>
        <v>23.285714285714285</v>
      </c>
      <c r="U13" s="17">
        <f t="shared" si="5"/>
        <v>15</v>
      </c>
      <c r="V13" s="17">
        <f t="shared" si="5"/>
        <v>119</v>
      </c>
      <c r="W13" s="17">
        <f t="shared" si="5"/>
        <v>1.7142857142857142</v>
      </c>
      <c r="X13" s="17">
        <f t="shared" si="5"/>
        <v>0.2857142857142857</v>
      </c>
      <c r="Y13" s="17">
        <f t="shared" si="5"/>
        <v>22.285714285714285</v>
      </c>
      <c r="Z13" s="17">
        <f t="shared" si="5"/>
        <v>46.285714285714285</v>
      </c>
      <c r="AA13" s="17">
        <f t="shared" si="5"/>
        <v>7</v>
      </c>
      <c r="AB13" s="17">
        <f t="shared" si="5"/>
        <v>3.4285714285714284</v>
      </c>
      <c r="AC13" s="17">
        <f t="shared" si="5"/>
        <v>798.85714285714289</v>
      </c>
      <c r="AD13" s="17">
        <f t="shared" si="5"/>
        <v>0.42857142857142855</v>
      </c>
      <c r="AE13" s="31">
        <f t="shared" si="5"/>
        <v>399</v>
      </c>
      <c r="AF13" s="31">
        <f t="shared" si="5"/>
        <v>1197.8571428571429</v>
      </c>
    </row>
    <row r="14" spans="2:32" ht="23.1" customHeight="1" x14ac:dyDescent="0.25">
      <c r="B14" s="23" t="s">
        <v>41</v>
      </c>
      <c r="C14" s="49">
        <f>AVERAGE('22.07 Nateete-Ndeeba'!C14,'23.07 Nateete-Ndeeba'!C14,'24.07 Nateete-Ndeeba'!C14,'25.07 Nateete-Ndeeba'!C14,'26.07 Nateete-Ndeeba-24h'!C14,'27.07 Nateete-Ndeeba-24h'!C14,'28.07 Nateete-Ndeeba'!C14)</f>
        <v>39</v>
      </c>
      <c r="D14" s="49">
        <f>AVERAGE('22.07 Nateete-Ndeeba'!D14,'23.07 Nateete-Ndeeba'!D14,'24.07 Nateete-Ndeeba'!D14,'25.07 Nateete-Ndeeba'!D14,'26.07 Nateete-Ndeeba-24h'!D14,'27.07 Nateete-Ndeeba-24h'!D14,'28.07 Nateete-Ndeeba'!D14)</f>
        <v>5.2857142857142856</v>
      </c>
      <c r="E14" s="49">
        <f>AVERAGE('22.07 Nateete-Ndeeba'!E14,'23.07 Nateete-Ndeeba'!E14,'24.07 Nateete-Ndeeba'!E14,'25.07 Nateete-Ndeeba'!E14,'26.07 Nateete-Ndeeba-24h'!E14,'27.07 Nateete-Ndeeba-24h'!E14,'28.07 Nateete-Ndeeba'!E14)</f>
        <v>2.5714285714285716</v>
      </c>
      <c r="F14" s="49">
        <f>AVERAGE('22.07 Nateete-Ndeeba'!F14,'23.07 Nateete-Ndeeba'!F14,'24.07 Nateete-Ndeeba'!F14,'25.07 Nateete-Ndeeba'!F14,'26.07 Nateete-Ndeeba-24h'!F14,'27.07 Nateete-Ndeeba-24h'!F14,'28.07 Nateete-Ndeeba'!F14)</f>
        <v>27.714285714285715</v>
      </c>
      <c r="G14" s="49">
        <f>AVERAGE('22.07 Nateete-Ndeeba'!G14,'23.07 Nateete-Ndeeba'!G14,'24.07 Nateete-Ndeeba'!G14,'25.07 Nateete-Ndeeba'!G14,'26.07 Nateete-Ndeeba-24h'!G14,'27.07 Nateete-Ndeeba-24h'!G14,'28.07 Nateete-Ndeeba'!G14)</f>
        <v>0.5714285714285714</v>
      </c>
      <c r="H14" s="49">
        <f>AVERAGE('22.07 Nateete-Ndeeba'!H14,'23.07 Nateete-Ndeeba'!H14,'24.07 Nateete-Ndeeba'!H14,'25.07 Nateete-Ndeeba'!H14,'26.07 Nateete-Ndeeba-24h'!H14,'27.07 Nateete-Ndeeba-24h'!H14,'28.07 Nateete-Ndeeba'!H14)</f>
        <v>0.14285714285714285</v>
      </c>
      <c r="I14" s="49">
        <f>AVERAGE('22.07 Nateete-Ndeeba'!I14,'23.07 Nateete-Ndeeba'!I14,'24.07 Nateete-Ndeeba'!I14,'25.07 Nateete-Ndeeba'!I14,'26.07 Nateete-Ndeeba-24h'!I14,'27.07 Nateete-Ndeeba-24h'!I14,'28.07 Nateete-Ndeeba'!I14)</f>
        <v>5.4285714285714288</v>
      </c>
      <c r="J14" s="49">
        <f>AVERAGE('22.07 Nateete-Ndeeba'!J14,'23.07 Nateete-Ndeeba'!J14,'24.07 Nateete-Ndeeba'!J14,'25.07 Nateete-Ndeeba'!J14,'26.07 Nateete-Ndeeba-24h'!J14,'27.07 Nateete-Ndeeba-24h'!J14,'28.07 Nateete-Ndeeba'!J14)</f>
        <v>10</v>
      </c>
      <c r="K14" s="49">
        <f>AVERAGE('22.07 Nateete-Ndeeba'!K14,'23.07 Nateete-Ndeeba'!K14,'24.07 Nateete-Ndeeba'!K14,'25.07 Nateete-Ndeeba'!K14,'26.07 Nateete-Ndeeba-24h'!K14,'27.07 Nateete-Ndeeba-24h'!K14,'28.07 Nateete-Ndeeba'!K14)</f>
        <v>1.2857142857142858</v>
      </c>
      <c r="L14" s="49">
        <f>AVERAGE('22.07 Nateete-Ndeeba'!L14,'23.07 Nateete-Ndeeba'!L14,'24.07 Nateete-Ndeeba'!L14,'25.07 Nateete-Ndeeba'!L14,'26.07 Nateete-Ndeeba-24h'!L14,'27.07 Nateete-Ndeeba-24h'!L14,'28.07 Nateete-Ndeeba'!L14)</f>
        <v>0.8571428571428571</v>
      </c>
      <c r="M14" s="49">
        <f>AVERAGE('22.07 Nateete-Ndeeba'!M14,'23.07 Nateete-Ndeeba'!M14,'24.07 Nateete-Ndeeba'!M14,'25.07 Nateete-Ndeeba'!M14,'26.07 Nateete-Ndeeba-24h'!M14,'27.07 Nateete-Ndeeba-24h'!M14,'28.07 Nateete-Ndeeba'!M14)</f>
        <v>177.14285714285714</v>
      </c>
      <c r="N14" s="49">
        <f>AVERAGE('22.07 Nateete-Ndeeba'!N14,'23.07 Nateete-Ndeeba'!N14,'24.07 Nateete-Ndeeba'!N14,'25.07 Nateete-Ndeeba'!N14,'26.07 Nateete-Ndeeba-24h'!N14,'27.07 Nateete-Ndeeba-24h'!N14,'28.07 Nateete-Ndeeba'!N14)</f>
        <v>0</v>
      </c>
      <c r="O14" s="15">
        <f t="shared" si="0"/>
        <v>92.857142857142861</v>
      </c>
      <c r="P14" s="15">
        <f t="shared" si="1"/>
        <v>270</v>
      </c>
      <c r="R14" s="1" t="s">
        <v>10</v>
      </c>
      <c r="S14" s="17">
        <f t="shared" ref="S14:AF14" si="6">SUM(C26:C29)</f>
        <v>175.85714285714286</v>
      </c>
      <c r="T14" s="17">
        <f t="shared" si="6"/>
        <v>30.714285714285715</v>
      </c>
      <c r="U14" s="17">
        <f t="shared" si="6"/>
        <v>13.714285714285715</v>
      </c>
      <c r="V14" s="17">
        <f t="shared" si="6"/>
        <v>127.28571428571429</v>
      </c>
      <c r="W14" s="17">
        <f t="shared" si="6"/>
        <v>2</v>
      </c>
      <c r="X14" s="17">
        <f t="shared" si="6"/>
        <v>0.8571428571428571</v>
      </c>
      <c r="Y14" s="17">
        <f t="shared" si="6"/>
        <v>30.142857142857142</v>
      </c>
      <c r="Z14" s="17">
        <f t="shared" si="6"/>
        <v>47.285714285714285</v>
      </c>
      <c r="AA14" s="17">
        <f t="shared" si="6"/>
        <v>11.285714285714285</v>
      </c>
      <c r="AB14" s="17">
        <f t="shared" si="6"/>
        <v>4.2857142857142856</v>
      </c>
      <c r="AC14" s="17">
        <f t="shared" si="6"/>
        <v>837.14285714285711</v>
      </c>
      <c r="AD14" s="17">
        <f t="shared" si="6"/>
        <v>0</v>
      </c>
      <c r="AE14" s="31">
        <f t="shared" si="6"/>
        <v>443.42857142857144</v>
      </c>
      <c r="AF14" s="31">
        <f t="shared" si="6"/>
        <v>1280.5714285714287</v>
      </c>
    </row>
    <row r="15" spans="2:32" ht="23.1" customHeight="1" x14ac:dyDescent="0.25">
      <c r="B15" s="23" t="s">
        <v>42</v>
      </c>
      <c r="C15" s="49">
        <f>AVERAGE('22.07 Nateete-Ndeeba'!C15,'23.07 Nateete-Ndeeba'!C15,'24.07 Nateete-Ndeeba'!C15,'25.07 Nateete-Ndeeba'!C15,'26.07 Nateete-Ndeeba-24h'!C15,'27.07 Nateete-Ndeeba-24h'!C15,'28.07 Nateete-Ndeeba'!C15)</f>
        <v>38.285714285714285</v>
      </c>
      <c r="D15" s="49">
        <f>AVERAGE('22.07 Nateete-Ndeeba'!D15,'23.07 Nateete-Ndeeba'!D15,'24.07 Nateete-Ndeeba'!D15,'25.07 Nateete-Ndeeba'!D15,'26.07 Nateete-Ndeeba-24h'!D15,'27.07 Nateete-Ndeeba-24h'!D15,'28.07 Nateete-Ndeeba'!D15)</f>
        <v>6.1428571428571432</v>
      </c>
      <c r="E15" s="49">
        <f>AVERAGE('22.07 Nateete-Ndeeba'!E15,'23.07 Nateete-Ndeeba'!E15,'24.07 Nateete-Ndeeba'!E15,'25.07 Nateete-Ndeeba'!E15,'26.07 Nateete-Ndeeba-24h'!E15,'27.07 Nateete-Ndeeba-24h'!E15,'28.07 Nateete-Ndeeba'!E15)</f>
        <v>2.2857142857142856</v>
      </c>
      <c r="F15" s="49">
        <f>AVERAGE('22.07 Nateete-Ndeeba'!F15,'23.07 Nateete-Ndeeba'!F15,'24.07 Nateete-Ndeeba'!F15,'25.07 Nateete-Ndeeba'!F15,'26.07 Nateete-Ndeeba-24h'!F15,'27.07 Nateete-Ndeeba-24h'!F15,'28.07 Nateete-Ndeeba'!F15)</f>
        <v>30.428571428571427</v>
      </c>
      <c r="G15" s="49">
        <f>AVERAGE('22.07 Nateete-Ndeeba'!G15,'23.07 Nateete-Ndeeba'!G15,'24.07 Nateete-Ndeeba'!G15,'25.07 Nateete-Ndeeba'!G15,'26.07 Nateete-Ndeeba-24h'!G15,'27.07 Nateete-Ndeeba-24h'!G15,'28.07 Nateete-Ndeeba'!G15)</f>
        <v>0.7142857142857143</v>
      </c>
      <c r="H15" s="49">
        <f>AVERAGE('22.07 Nateete-Ndeeba'!H15,'23.07 Nateete-Ndeeba'!H15,'24.07 Nateete-Ndeeba'!H15,'25.07 Nateete-Ndeeba'!H15,'26.07 Nateete-Ndeeba-24h'!H15,'27.07 Nateete-Ndeeba-24h'!H15,'28.07 Nateete-Ndeeba'!H15)</f>
        <v>0.5714285714285714</v>
      </c>
      <c r="I15" s="49">
        <f>AVERAGE('22.07 Nateete-Ndeeba'!I15,'23.07 Nateete-Ndeeba'!I15,'24.07 Nateete-Ndeeba'!I15,'25.07 Nateete-Ndeeba'!I15,'26.07 Nateete-Ndeeba-24h'!I15,'27.07 Nateete-Ndeeba-24h'!I15,'28.07 Nateete-Ndeeba'!I15)</f>
        <v>7.7142857142857144</v>
      </c>
      <c r="J15" s="49">
        <f>AVERAGE('22.07 Nateete-Ndeeba'!J15,'23.07 Nateete-Ndeeba'!J15,'24.07 Nateete-Ndeeba'!J15,'25.07 Nateete-Ndeeba'!J15,'26.07 Nateete-Ndeeba-24h'!J15,'27.07 Nateete-Ndeeba-24h'!J15,'28.07 Nateete-Ndeeba'!J15)</f>
        <v>11.571428571428571</v>
      </c>
      <c r="K15" s="49">
        <f>AVERAGE('22.07 Nateete-Ndeeba'!K15,'23.07 Nateete-Ndeeba'!K15,'24.07 Nateete-Ndeeba'!K15,'25.07 Nateete-Ndeeba'!K15,'26.07 Nateete-Ndeeba-24h'!K15,'27.07 Nateete-Ndeeba-24h'!K15,'28.07 Nateete-Ndeeba'!K15)</f>
        <v>2.5714285714285716</v>
      </c>
      <c r="L15" s="49">
        <f>AVERAGE('22.07 Nateete-Ndeeba'!L15,'23.07 Nateete-Ndeeba'!L15,'24.07 Nateete-Ndeeba'!L15,'25.07 Nateete-Ndeeba'!L15,'26.07 Nateete-Ndeeba-24h'!L15,'27.07 Nateete-Ndeeba-24h'!L15,'28.07 Nateete-Ndeeba'!L15)</f>
        <v>0.42857142857142855</v>
      </c>
      <c r="M15" s="49">
        <f>AVERAGE('22.07 Nateete-Ndeeba'!M15,'23.07 Nateete-Ndeeba'!M15,'24.07 Nateete-Ndeeba'!M15,'25.07 Nateete-Ndeeba'!M15,'26.07 Nateete-Ndeeba-24h'!M15,'27.07 Nateete-Ndeeba-24h'!M15,'28.07 Nateete-Ndeeba'!M15)</f>
        <v>206.85714285714286</v>
      </c>
      <c r="N15" s="49">
        <f>AVERAGE('22.07 Nateete-Ndeeba'!N15,'23.07 Nateete-Ndeeba'!N15,'24.07 Nateete-Ndeeba'!N15,'25.07 Nateete-Ndeeba'!N15,'26.07 Nateete-Ndeeba-24h'!N15,'27.07 Nateete-Ndeeba-24h'!N15,'28.07 Nateete-Ndeeba'!N15)</f>
        <v>0</v>
      </c>
      <c r="O15" s="15">
        <f t="shared" si="0"/>
        <v>100.71428571428569</v>
      </c>
      <c r="P15" s="15">
        <f t="shared" si="1"/>
        <v>307.57142857142856</v>
      </c>
      <c r="R15" s="1" t="s">
        <v>11</v>
      </c>
      <c r="S15" s="17">
        <f t="shared" ref="S15:AF15" si="7">SUM(C30:C33)</f>
        <v>180.14285714285714</v>
      </c>
      <c r="T15" s="17">
        <f t="shared" si="7"/>
        <v>22.714285714285715</v>
      </c>
      <c r="U15" s="17">
        <f t="shared" si="7"/>
        <v>16.142857142857142</v>
      </c>
      <c r="V15" s="17">
        <f t="shared" si="7"/>
        <v>121.71428571428572</v>
      </c>
      <c r="W15" s="17">
        <f t="shared" si="7"/>
        <v>2.2857142857142856</v>
      </c>
      <c r="X15" s="17">
        <f t="shared" si="7"/>
        <v>0.71428571428571419</v>
      </c>
      <c r="Y15" s="17">
        <f t="shared" si="7"/>
        <v>26.142857142857142</v>
      </c>
      <c r="Z15" s="17">
        <f t="shared" si="7"/>
        <v>49.571428571428569</v>
      </c>
      <c r="AA15" s="17">
        <f t="shared" si="7"/>
        <v>9.5714285714285712</v>
      </c>
      <c r="AB15" s="17">
        <f t="shared" si="7"/>
        <v>3.5714285714285712</v>
      </c>
      <c r="AC15" s="17">
        <f t="shared" si="7"/>
        <v>747.42857142857133</v>
      </c>
      <c r="AD15" s="17">
        <f t="shared" si="7"/>
        <v>0</v>
      </c>
      <c r="AE15" s="31">
        <f t="shared" si="7"/>
        <v>432.57142857142856</v>
      </c>
      <c r="AF15" s="31">
        <f t="shared" si="7"/>
        <v>1180</v>
      </c>
    </row>
    <row r="16" spans="2:32" ht="23.1" customHeight="1" x14ac:dyDescent="0.25">
      <c r="B16" s="23" t="s">
        <v>43</v>
      </c>
      <c r="C16" s="49">
        <f>AVERAGE('22.07 Nateete-Ndeeba'!C16,'23.07 Nateete-Ndeeba'!C16,'24.07 Nateete-Ndeeba'!C16,'25.07 Nateete-Ndeeba'!C16,'26.07 Nateete-Ndeeba-24h'!C16,'27.07 Nateete-Ndeeba-24h'!C16,'28.07 Nateete-Ndeeba'!C16)</f>
        <v>39</v>
      </c>
      <c r="D16" s="49">
        <f>AVERAGE('22.07 Nateete-Ndeeba'!D16,'23.07 Nateete-Ndeeba'!D16,'24.07 Nateete-Ndeeba'!D16,'25.07 Nateete-Ndeeba'!D16,'26.07 Nateete-Ndeeba-24h'!D16,'27.07 Nateete-Ndeeba-24h'!D16,'28.07 Nateete-Ndeeba'!D16)</f>
        <v>5.4285714285714288</v>
      </c>
      <c r="E16" s="49">
        <f>AVERAGE('22.07 Nateete-Ndeeba'!E16,'23.07 Nateete-Ndeeba'!E16,'24.07 Nateete-Ndeeba'!E16,'25.07 Nateete-Ndeeba'!E16,'26.07 Nateete-Ndeeba-24h'!E16,'27.07 Nateete-Ndeeba-24h'!E16,'28.07 Nateete-Ndeeba'!E16)</f>
        <v>3</v>
      </c>
      <c r="F16" s="49">
        <f>AVERAGE('22.07 Nateete-Ndeeba'!F16,'23.07 Nateete-Ndeeba'!F16,'24.07 Nateete-Ndeeba'!F16,'25.07 Nateete-Ndeeba'!F16,'26.07 Nateete-Ndeeba-24h'!F16,'27.07 Nateete-Ndeeba-24h'!F16,'28.07 Nateete-Ndeeba'!F16)</f>
        <v>41.428571428571431</v>
      </c>
      <c r="G16" s="49">
        <f>AVERAGE('22.07 Nateete-Ndeeba'!G16,'23.07 Nateete-Ndeeba'!G16,'24.07 Nateete-Ndeeba'!G16,'25.07 Nateete-Ndeeba'!G16,'26.07 Nateete-Ndeeba-24h'!G16,'27.07 Nateete-Ndeeba-24h'!G16,'28.07 Nateete-Ndeeba'!G16)</f>
        <v>0.5714285714285714</v>
      </c>
      <c r="H16" s="49">
        <f>AVERAGE('22.07 Nateete-Ndeeba'!H16,'23.07 Nateete-Ndeeba'!H16,'24.07 Nateete-Ndeeba'!H16,'25.07 Nateete-Ndeeba'!H16,'26.07 Nateete-Ndeeba-24h'!H16,'27.07 Nateete-Ndeeba-24h'!H16,'28.07 Nateete-Ndeeba'!H16)</f>
        <v>0.42857142857142855</v>
      </c>
      <c r="I16" s="49">
        <f>AVERAGE('22.07 Nateete-Ndeeba'!I16,'23.07 Nateete-Ndeeba'!I16,'24.07 Nateete-Ndeeba'!I16,'25.07 Nateete-Ndeeba'!I16,'26.07 Nateete-Ndeeba-24h'!I16,'27.07 Nateete-Ndeeba-24h'!I16,'28.07 Nateete-Ndeeba'!I16)</f>
        <v>9</v>
      </c>
      <c r="J16" s="49">
        <f>AVERAGE('22.07 Nateete-Ndeeba'!J16,'23.07 Nateete-Ndeeba'!J16,'24.07 Nateete-Ndeeba'!J16,'25.07 Nateete-Ndeeba'!J16,'26.07 Nateete-Ndeeba-24h'!J16,'27.07 Nateete-Ndeeba-24h'!J16,'28.07 Nateete-Ndeeba'!J16)</f>
        <v>13.571428571428571</v>
      </c>
      <c r="K16" s="49">
        <f>AVERAGE('22.07 Nateete-Ndeeba'!K16,'23.07 Nateete-Ndeeba'!K16,'24.07 Nateete-Ndeeba'!K16,'25.07 Nateete-Ndeeba'!K16,'26.07 Nateete-Ndeeba-24h'!K16,'27.07 Nateete-Ndeeba-24h'!K16,'28.07 Nateete-Ndeeba'!K16)</f>
        <v>1.2857142857142858</v>
      </c>
      <c r="L16" s="49">
        <f>AVERAGE('22.07 Nateete-Ndeeba'!L16,'23.07 Nateete-Ndeeba'!L16,'24.07 Nateete-Ndeeba'!L16,'25.07 Nateete-Ndeeba'!L16,'26.07 Nateete-Ndeeba-24h'!L16,'27.07 Nateete-Ndeeba-24h'!L16,'28.07 Nateete-Ndeeba'!L16)</f>
        <v>0.5714285714285714</v>
      </c>
      <c r="M16" s="49">
        <f>AVERAGE('22.07 Nateete-Ndeeba'!M16,'23.07 Nateete-Ndeeba'!M16,'24.07 Nateete-Ndeeba'!M16,'25.07 Nateete-Ndeeba'!M16,'26.07 Nateete-Ndeeba-24h'!M16,'27.07 Nateete-Ndeeba-24h'!M16,'28.07 Nateete-Ndeeba'!M16)</f>
        <v>212.85714285714286</v>
      </c>
      <c r="N16" s="49">
        <f>AVERAGE('22.07 Nateete-Ndeeba'!N16,'23.07 Nateete-Ndeeba'!N16,'24.07 Nateete-Ndeeba'!N16,'25.07 Nateete-Ndeeba'!N16,'26.07 Nateete-Ndeeba-24h'!N16,'27.07 Nateete-Ndeeba-24h'!N16,'28.07 Nateete-Ndeeba'!N16)</f>
        <v>0</v>
      </c>
      <c r="O16" s="15">
        <f t="shared" si="0"/>
        <v>114.28571428571429</v>
      </c>
      <c r="P16" s="15">
        <f t="shared" si="1"/>
        <v>327.14285714285717</v>
      </c>
      <c r="R16" s="1" t="s">
        <v>12</v>
      </c>
      <c r="S16" s="17">
        <f t="shared" ref="S16:AF16" si="8">SUM(C34:C37)</f>
        <v>164</v>
      </c>
      <c r="T16" s="17">
        <f t="shared" si="8"/>
        <v>22.571428571428573</v>
      </c>
      <c r="U16" s="17">
        <f t="shared" si="8"/>
        <v>16.285714285714285</v>
      </c>
      <c r="V16" s="17">
        <f t="shared" si="8"/>
        <v>112</v>
      </c>
      <c r="W16" s="17">
        <f t="shared" si="8"/>
        <v>4.8571428571428577</v>
      </c>
      <c r="X16" s="17">
        <f t="shared" si="8"/>
        <v>0.14285714285714285</v>
      </c>
      <c r="Y16" s="17">
        <f t="shared" si="8"/>
        <v>31.857142857142854</v>
      </c>
      <c r="Z16" s="17">
        <f t="shared" si="8"/>
        <v>41.285714285714285</v>
      </c>
      <c r="AA16" s="17">
        <f t="shared" si="8"/>
        <v>8.4285714285714288</v>
      </c>
      <c r="AB16" s="17">
        <f t="shared" si="8"/>
        <v>3</v>
      </c>
      <c r="AC16" s="17">
        <f t="shared" si="8"/>
        <v>728.57142857142856</v>
      </c>
      <c r="AD16" s="17">
        <f t="shared" si="8"/>
        <v>0</v>
      </c>
      <c r="AE16" s="31">
        <f t="shared" si="8"/>
        <v>404.42857142857144</v>
      </c>
      <c r="AF16" s="31">
        <f t="shared" si="8"/>
        <v>1133</v>
      </c>
    </row>
    <row r="17" spans="2:32" ht="23.1" customHeight="1" x14ac:dyDescent="0.25">
      <c r="B17" s="23" t="s">
        <v>44</v>
      </c>
      <c r="C17" s="49">
        <f>AVERAGE('22.07 Nateete-Ndeeba'!C17,'23.07 Nateete-Ndeeba'!C17,'24.07 Nateete-Ndeeba'!C17,'25.07 Nateete-Ndeeba'!C17,'26.07 Nateete-Ndeeba-24h'!C17,'27.07 Nateete-Ndeeba-24h'!C17,'28.07 Nateete-Ndeeba'!C17)</f>
        <v>43.428571428571431</v>
      </c>
      <c r="D17" s="49">
        <f>AVERAGE('22.07 Nateete-Ndeeba'!D17,'23.07 Nateete-Ndeeba'!D17,'24.07 Nateete-Ndeeba'!D17,'25.07 Nateete-Ndeeba'!D17,'26.07 Nateete-Ndeeba-24h'!D17,'27.07 Nateete-Ndeeba-24h'!D17,'28.07 Nateete-Ndeeba'!D17)</f>
        <v>8.7142857142857135</v>
      </c>
      <c r="E17" s="49">
        <f>AVERAGE('22.07 Nateete-Ndeeba'!E17,'23.07 Nateete-Ndeeba'!E17,'24.07 Nateete-Ndeeba'!E17,'25.07 Nateete-Ndeeba'!E17,'26.07 Nateete-Ndeeba-24h'!E17,'27.07 Nateete-Ndeeba-24h'!E17,'28.07 Nateete-Ndeeba'!E17)</f>
        <v>4</v>
      </c>
      <c r="F17" s="49">
        <f>AVERAGE('22.07 Nateete-Ndeeba'!F17,'23.07 Nateete-Ndeeba'!F17,'24.07 Nateete-Ndeeba'!F17,'25.07 Nateete-Ndeeba'!F17,'26.07 Nateete-Ndeeba-24h'!F17,'27.07 Nateete-Ndeeba-24h'!F17,'28.07 Nateete-Ndeeba'!F17)</f>
        <v>35.428571428571431</v>
      </c>
      <c r="G17" s="49">
        <f>AVERAGE('22.07 Nateete-Ndeeba'!G17,'23.07 Nateete-Ndeeba'!G17,'24.07 Nateete-Ndeeba'!G17,'25.07 Nateete-Ndeeba'!G17,'26.07 Nateete-Ndeeba-24h'!G17,'27.07 Nateete-Ndeeba-24h'!G17,'28.07 Nateete-Ndeeba'!G17)</f>
        <v>1</v>
      </c>
      <c r="H17" s="49">
        <f>AVERAGE('22.07 Nateete-Ndeeba'!H17,'23.07 Nateete-Ndeeba'!H17,'24.07 Nateete-Ndeeba'!H17,'25.07 Nateete-Ndeeba'!H17,'26.07 Nateete-Ndeeba-24h'!H17,'27.07 Nateete-Ndeeba-24h'!H17,'28.07 Nateete-Ndeeba'!H17)</f>
        <v>0.14285714285714285</v>
      </c>
      <c r="I17" s="49">
        <f>AVERAGE('22.07 Nateete-Ndeeba'!I17,'23.07 Nateete-Ndeeba'!I17,'24.07 Nateete-Ndeeba'!I17,'25.07 Nateete-Ndeeba'!I17,'26.07 Nateete-Ndeeba-24h'!I17,'27.07 Nateete-Ndeeba-24h'!I17,'28.07 Nateete-Ndeeba'!I17)</f>
        <v>8.5714285714285712</v>
      </c>
      <c r="J17" s="49">
        <f>AVERAGE('22.07 Nateete-Ndeeba'!J17,'23.07 Nateete-Ndeeba'!J17,'24.07 Nateete-Ndeeba'!J17,'25.07 Nateete-Ndeeba'!J17,'26.07 Nateete-Ndeeba-24h'!J17,'27.07 Nateete-Ndeeba-24h'!J17,'28.07 Nateete-Ndeeba'!J17)</f>
        <v>11.142857142857142</v>
      </c>
      <c r="K17" s="49">
        <f>AVERAGE('22.07 Nateete-Ndeeba'!K17,'23.07 Nateete-Ndeeba'!K17,'24.07 Nateete-Ndeeba'!K17,'25.07 Nateete-Ndeeba'!K17,'26.07 Nateete-Ndeeba-24h'!K17,'27.07 Nateete-Ndeeba-24h'!K17,'28.07 Nateete-Ndeeba'!K17)</f>
        <v>1.2857142857142858</v>
      </c>
      <c r="L17" s="49">
        <f>AVERAGE('22.07 Nateete-Ndeeba'!L17,'23.07 Nateete-Ndeeba'!L17,'24.07 Nateete-Ndeeba'!L17,'25.07 Nateete-Ndeeba'!L17,'26.07 Nateete-Ndeeba-24h'!L17,'27.07 Nateete-Ndeeba-24h'!L17,'28.07 Nateete-Ndeeba'!L17)</f>
        <v>3.4285714285714284</v>
      </c>
      <c r="M17" s="49">
        <f>AVERAGE('22.07 Nateete-Ndeeba'!M17,'23.07 Nateete-Ndeeba'!M17,'24.07 Nateete-Ndeeba'!M17,'25.07 Nateete-Ndeeba'!M17,'26.07 Nateete-Ndeeba-24h'!M17,'27.07 Nateete-Ndeeba-24h'!M17,'28.07 Nateete-Ndeeba'!M17)</f>
        <v>222.42857142857142</v>
      </c>
      <c r="N17" s="49">
        <f>AVERAGE('22.07 Nateete-Ndeeba'!N17,'23.07 Nateete-Ndeeba'!N17,'24.07 Nateete-Ndeeba'!N17,'25.07 Nateete-Ndeeba'!N17,'26.07 Nateete-Ndeeba-24h'!N17,'27.07 Nateete-Ndeeba-24h'!N17,'28.07 Nateete-Ndeeba'!N17)</f>
        <v>0.14285714285714285</v>
      </c>
      <c r="O17" s="15">
        <f t="shared" si="0"/>
        <v>117.28571428571429</v>
      </c>
      <c r="P17" s="15">
        <f t="shared" si="1"/>
        <v>339.71428571428572</v>
      </c>
      <c r="R17" s="1" t="s">
        <v>13</v>
      </c>
      <c r="S17" s="17">
        <f t="shared" ref="S17:AF17" si="9">SUM(C38:C41)</f>
        <v>154.28571428571428</v>
      </c>
      <c r="T17" s="17">
        <f t="shared" si="9"/>
        <v>21.142857142857142</v>
      </c>
      <c r="U17" s="17">
        <f t="shared" si="9"/>
        <v>16.857142857142858</v>
      </c>
      <c r="V17" s="17">
        <f t="shared" si="9"/>
        <v>109.28571428571428</v>
      </c>
      <c r="W17" s="17">
        <f t="shared" si="9"/>
        <v>2.4285714285714284</v>
      </c>
      <c r="X17" s="17">
        <f t="shared" si="9"/>
        <v>1.4285714285714284</v>
      </c>
      <c r="Y17" s="17">
        <f t="shared" si="9"/>
        <v>24.428571428571431</v>
      </c>
      <c r="Z17" s="17">
        <f t="shared" si="9"/>
        <v>45.571428571428577</v>
      </c>
      <c r="AA17" s="17">
        <f t="shared" si="9"/>
        <v>9.4285714285714288</v>
      </c>
      <c r="AB17" s="17">
        <f t="shared" si="9"/>
        <v>2.5714285714285712</v>
      </c>
      <c r="AC17" s="17">
        <f t="shared" si="9"/>
        <v>700.99999999999989</v>
      </c>
      <c r="AD17" s="17">
        <f t="shared" si="9"/>
        <v>0</v>
      </c>
      <c r="AE17" s="31">
        <f t="shared" si="9"/>
        <v>387.42857142857144</v>
      </c>
      <c r="AF17" s="31">
        <f t="shared" si="9"/>
        <v>1088.4285714285716</v>
      </c>
    </row>
    <row r="18" spans="2:32" ht="23.1" customHeight="1" x14ac:dyDescent="0.25">
      <c r="B18" s="23" t="s">
        <v>45</v>
      </c>
      <c r="C18" s="49">
        <f>AVERAGE('22.07 Nateete-Ndeeba'!C18,'23.07 Nateete-Ndeeba'!C18,'24.07 Nateete-Ndeeba'!C18,'25.07 Nateete-Ndeeba'!C18,'26.07 Nateete-Ndeeba-24h'!C18,'27.07 Nateete-Ndeeba-24h'!C18,'28.07 Nateete-Ndeeba'!C18)</f>
        <v>38</v>
      </c>
      <c r="D18" s="49">
        <f>AVERAGE('22.07 Nateete-Ndeeba'!D18,'23.07 Nateete-Ndeeba'!D18,'24.07 Nateete-Ndeeba'!D18,'25.07 Nateete-Ndeeba'!D18,'26.07 Nateete-Ndeeba-24h'!D18,'27.07 Nateete-Ndeeba-24h'!D18,'28.07 Nateete-Ndeeba'!D18)</f>
        <v>6.8571428571428568</v>
      </c>
      <c r="E18" s="49">
        <f>AVERAGE('22.07 Nateete-Ndeeba'!E18,'23.07 Nateete-Ndeeba'!E18,'24.07 Nateete-Ndeeba'!E18,'25.07 Nateete-Ndeeba'!E18,'26.07 Nateete-Ndeeba-24h'!E18,'27.07 Nateete-Ndeeba-24h'!E18,'28.07 Nateete-Ndeeba'!E18)</f>
        <v>4.1428571428571432</v>
      </c>
      <c r="F18" s="49">
        <f>AVERAGE('22.07 Nateete-Ndeeba'!F18,'23.07 Nateete-Ndeeba'!F18,'24.07 Nateete-Ndeeba'!F18,'25.07 Nateete-Ndeeba'!F18,'26.07 Nateete-Ndeeba-24h'!F18,'27.07 Nateete-Ndeeba-24h'!F18,'28.07 Nateete-Ndeeba'!F18)</f>
        <v>30.142857142857142</v>
      </c>
      <c r="G18" s="49">
        <f>AVERAGE('22.07 Nateete-Ndeeba'!G18,'23.07 Nateete-Ndeeba'!G18,'24.07 Nateete-Ndeeba'!G18,'25.07 Nateete-Ndeeba'!G18,'26.07 Nateete-Ndeeba-24h'!G18,'27.07 Nateete-Ndeeba-24h'!G18,'28.07 Nateete-Ndeeba'!G18)</f>
        <v>0.42857142857142855</v>
      </c>
      <c r="H18" s="49">
        <f>AVERAGE('22.07 Nateete-Ndeeba'!H18,'23.07 Nateete-Ndeeba'!H18,'24.07 Nateete-Ndeeba'!H18,'25.07 Nateete-Ndeeba'!H18,'26.07 Nateete-Ndeeba-24h'!H18,'27.07 Nateete-Ndeeba-24h'!H18,'28.07 Nateete-Ndeeba'!H18)</f>
        <v>0.14285714285714285</v>
      </c>
      <c r="I18" s="49">
        <f>AVERAGE('22.07 Nateete-Ndeeba'!I18,'23.07 Nateete-Ndeeba'!I18,'24.07 Nateete-Ndeeba'!I18,'25.07 Nateete-Ndeeba'!I18,'26.07 Nateete-Ndeeba-24h'!I18,'27.07 Nateete-Ndeeba-24h'!I18,'28.07 Nateete-Ndeeba'!I18)</f>
        <v>7.4285714285714288</v>
      </c>
      <c r="J18" s="49">
        <f>AVERAGE('22.07 Nateete-Ndeeba'!J18,'23.07 Nateete-Ndeeba'!J18,'24.07 Nateete-Ndeeba'!J18,'25.07 Nateete-Ndeeba'!J18,'26.07 Nateete-Ndeeba-24h'!J18,'27.07 Nateete-Ndeeba-24h'!J18,'28.07 Nateete-Ndeeba'!J18)</f>
        <v>12.285714285714286</v>
      </c>
      <c r="K18" s="49">
        <f>AVERAGE('22.07 Nateete-Ndeeba'!K18,'23.07 Nateete-Ndeeba'!K18,'24.07 Nateete-Ndeeba'!K18,'25.07 Nateete-Ndeeba'!K18,'26.07 Nateete-Ndeeba-24h'!K18,'27.07 Nateete-Ndeeba-24h'!K18,'28.07 Nateete-Ndeeba'!K18)</f>
        <v>1.4285714285714286</v>
      </c>
      <c r="L18" s="49">
        <f>AVERAGE('22.07 Nateete-Ndeeba'!L18,'23.07 Nateete-Ndeeba'!L18,'24.07 Nateete-Ndeeba'!L18,'25.07 Nateete-Ndeeba'!L18,'26.07 Nateete-Ndeeba-24h'!L18,'27.07 Nateete-Ndeeba-24h'!L18,'28.07 Nateete-Ndeeba'!L18)</f>
        <v>0.7142857142857143</v>
      </c>
      <c r="M18" s="49">
        <f>AVERAGE('22.07 Nateete-Ndeeba'!M18,'23.07 Nateete-Ndeeba'!M18,'24.07 Nateete-Ndeeba'!M18,'25.07 Nateete-Ndeeba'!M18,'26.07 Nateete-Ndeeba-24h'!M18,'27.07 Nateete-Ndeeba-24h'!M18,'28.07 Nateete-Ndeeba'!M18)</f>
        <v>180.71428571428572</v>
      </c>
      <c r="N18" s="49">
        <f>AVERAGE('22.07 Nateete-Ndeeba'!N18,'23.07 Nateete-Ndeeba'!N18,'24.07 Nateete-Ndeeba'!N18,'25.07 Nateete-Ndeeba'!N18,'26.07 Nateete-Ndeeba-24h'!N18,'27.07 Nateete-Ndeeba-24h'!N18,'28.07 Nateete-Ndeeba'!N18)</f>
        <v>0</v>
      </c>
      <c r="O18" s="15">
        <f t="shared" si="0"/>
        <v>101.57142857142857</v>
      </c>
      <c r="P18" s="15">
        <f t="shared" si="1"/>
        <v>282.28571428571428</v>
      </c>
      <c r="R18" s="1" t="s">
        <v>14</v>
      </c>
      <c r="S18" s="17">
        <f t="shared" ref="S18:AF18" si="10">SUM(C42:C45)</f>
        <v>164.85714285714286</v>
      </c>
      <c r="T18" s="17">
        <f t="shared" si="10"/>
        <v>24.571428571428569</v>
      </c>
      <c r="U18" s="17">
        <f t="shared" si="10"/>
        <v>18.714285714285715</v>
      </c>
      <c r="V18" s="17">
        <f t="shared" si="10"/>
        <v>112.85714285714286</v>
      </c>
      <c r="W18" s="17">
        <f t="shared" si="10"/>
        <v>2.1428571428571428</v>
      </c>
      <c r="X18" s="17">
        <f t="shared" si="10"/>
        <v>1</v>
      </c>
      <c r="Y18" s="17">
        <f t="shared" si="10"/>
        <v>28.857142857142861</v>
      </c>
      <c r="Z18" s="17">
        <f t="shared" si="10"/>
        <v>43.428571428571431</v>
      </c>
      <c r="AA18" s="17">
        <f t="shared" si="10"/>
        <v>6.2857142857142865</v>
      </c>
      <c r="AB18" s="17">
        <f t="shared" si="10"/>
        <v>3.7142857142857144</v>
      </c>
      <c r="AC18" s="17">
        <f t="shared" si="10"/>
        <v>658.14285714285722</v>
      </c>
      <c r="AD18" s="17">
        <f t="shared" si="10"/>
        <v>0.14285714285714285</v>
      </c>
      <c r="AE18" s="31">
        <f t="shared" si="10"/>
        <v>406.57142857142856</v>
      </c>
      <c r="AF18" s="31">
        <f t="shared" si="10"/>
        <v>1064.7142857142858</v>
      </c>
    </row>
    <row r="19" spans="2:32" ht="23.1" customHeight="1" x14ac:dyDescent="0.25">
      <c r="B19" s="23" t="s">
        <v>46</v>
      </c>
      <c r="C19" s="49">
        <f>AVERAGE('22.07 Nateete-Ndeeba'!C19,'23.07 Nateete-Ndeeba'!C19,'24.07 Nateete-Ndeeba'!C19,'25.07 Nateete-Ndeeba'!C19,'26.07 Nateete-Ndeeba-24h'!C19,'27.07 Nateete-Ndeeba-24h'!C19,'28.07 Nateete-Ndeeba'!C19)</f>
        <v>35.714285714285715</v>
      </c>
      <c r="D19" s="49">
        <f>AVERAGE('22.07 Nateete-Ndeeba'!D19,'23.07 Nateete-Ndeeba'!D19,'24.07 Nateete-Ndeeba'!D19,'25.07 Nateete-Ndeeba'!D19,'26.07 Nateete-Ndeeba-24h'!D19,'27.07 Nateete-Ndeeba-24h'!D19,'28.07 Nateete-Ndeeba'!D19)</f>
        <v>6.8571428571428568</v>
      </c>
      <c r="E19" s="49">
        <f>AVERAGE('22.07 Nateete-Ndeeba'!E19,'23.07 Nateete-Ndeeba'!E19,'24.07 Nateete-Ndeeba'!E19,'25.07 Nateete-Ndeeba'!E19,'26.07 Nateete-Ndeeba-24h'!E19,'27.07 Nateete-Ndeeba-24h'!E19,'28.07 Nateete-Ndeeba'!E19)</f>
        <v>3.8571428571428572</v>
      </c>
      <c r="F19" s="49">
        <f>AVERAGE('22.07 Nateete-Ndeeba'!F19,'23.07 Nateete-Ndeeba'!F19,'24.07 Nateete-Ndeeba'!F19,'25.07 Nateete-Ndeeba'!F19,'26.07 Nateete-Ndeeba-24h'!F19,'27.07 Nateete-Ndeeba-24h'!F19,'28.07 Nateete-Ndeeba'!F19)</f>
        <v>38.571428571428569</v>
      </c>
      <c r="G19" s="49">
        <f>AVERAGE('22.07 Nateete-Ndeeba'!G19,'23.07 Nateete-Ndeeba'!G19,'24.07 Nateete-Ndeeba'!G19,'25.07 Nateete-Ndeeba'!G19,'26.07 Nateete-Ndeeba-24h'!G19,'27.07 Nateete-Ndeeba-24h'!G19,'28.07 Nateete-Ndeeba'!G19)</f>
        <v>1</v>
      </c>
      <c r="H19" s="49">
        <f>AVERAGE('22.07 Nateete-Ndeeba'!H19,'23.07 Nateete-Ndeeba'!H19,'24.07 Nateete-Ndeeba'!H19,'25.07 Nateete-Ndeeba'!H19,'26.07 Nateete-Ndeeba-24h'!H19,'27.07 Nateete-Ndeeba-24h'!H19,'28.07 Nateete-Ndeeba'!H19)</f>
        <v>0.2857142857142857</v>
      </c>
      <c r="I19" s="49">
        <f>AVERAGE('22.07 Nateete-Ndeeba'!I19,'23.07 Nateete-Ndeeba'!I19,'24.07 Nateete-Ndeeba'!I19,'25.07 Nateete-Ndeeba'!I19,'26.07 Nateete-Ndeeba-24h'!I19,'27.07 Nateete-Ndeeba-24h'!I19,'28.07 Nateete-Ndeeba'!I19)</f>
        <v>5.8571428571428568</v>
      </c>
      <c r="J19" s="49">
        <f>AVERAGE('22.07 Nateete-Ndeeba'!J19,'23.07 Nateete-Ndeeba'!J19,'24.07 Nateete-Ndeeba'!J19,'25.07 Nateete-Ndeeba'!J19,'26.07 Nateete-Ndeeba-24h'!J19,'27.07 Nateete-Ndeeba-24h'!J19,'28.07 Nateete-Ndeeba'!J19)</f>
        <v>8.1428571428571423</v>
      </c>
      <c r="K19" s="49">
        <f>AVERAGE('22.07 Nateete-Ndeeba'!K19,'23.07 Nateete-Ndeeba'!K19,'24.07 Nateete-Ndeeba'!K19,'25.07 Nateete-Ndeeba'!K19,'26.07 Nateete-Ndeeba-24h'!K19,'27.07 Nateete-Ndeeba-24h'!K19,'28.07 Nateete-Ndeeba'!K19)</f>
        <v>2.1428571428571428</v>
      </c>
      <c r="L19" s="49">
        <f>AVERAGE('22.07 Nateete-Ndeeba'!L19,'23.07 Nateete-Ndeeba'!L19,'24.07 Nateete-Ndeeba'!L19,'25.07 Nateete-Ndeeba'!L19,'26.07 Nateete-Ndeeba-24h'!L19,'27.07 Nateete-Ndeeba-24h'!L19,'28.07 Nateete-Ndeeba'!L19)</f>
        <v>0.2857142857142857</v>
      </c>
      <c r="M19" s="49">
        <f>AVERAGE('22.07 Nateete-Ndeeba'!M19,'23.07 Nateete-Ndeeba'!M19,'24.07 Nateete-Ndeeba'!M19,'25.07 Nateete-Ndeeba'!M19,'26.07 Nateete-Ndeeba-24h'!M19,'27.07 Nateete-Ndeeba-24h'!M19,'28.07 Nateete-Ndeeba'!M19)</f>
        <v>188.42857142857142</v>
      </c>
      <c r="N19" s="49">
        <f>AVERAGE('22.07 Nateete-Ndeeba'!N19,'23.07 Nateete-Ndeeba'!N19,'24.07 Nateete-Ndeeba'!N19,'25.07 Nateete-Ndeeba'!N19,'26.07 Nateete-Ndeeba-24h'!N19,'27.07 Nateete-Ndeeba-24h'!N19,'28.07 Nateete-Ndeeba'!N19)</f>
        <v>0</v>
      </c>
      <c r="O19" s="15">
        <f t="shared" si="0"/>
        <v>102.71428571428572</v>
      </c>
      <c r="P19" s="15">
        <f t="shared" si="1"/>
        <v>291.14285714285711</v>
      </c>
      <c r="R19" s="1" t="s">
        <v>15</v>
      </c>
      <c r="S19" s="17">
        <f t="shared" ref="S19:AF19" si="11">SUM(C46:C49)</f>
        <v>172.28571428571431</v>
      </c>
      <c r="T19" s="17">
        <f t="shared" si="11"/>
        <v>22.142857142857142</v>
      </c>
      <c r="U19" s="17">
        <f t="shared" si="11"/>
        <v>17.857142857142858</v>
      </c>
      <c r="V19" s="17">
        <f t="shared" si="11"/>
        <v>114.71428571428571</v>
      </c>
      <c r="W19" s="17">
        <f t="shared" si="11"/>
        <v>2.7142857142857144</v>
      </c>
      <c r="X19" s="17">
        <f t="shared" si="11"/>
        <v>0.42857142857142855</v>
      </c>
      <c r="Y19" s="17">
        <f t="shared" si="11"/>
        <v>21.714285714285715</v>
      </c>
      <c r="Z19" s="17">
        <f t="shared" si="11"/>
        <v>46.428571428571431</v>
      </c>
      <c r="AA19" s="17">
        <f t="shared" si="11"/>
        <v>5.5714285714285712</v>
      </c>
      <c r="AB19" s="17">
        <f t="shared" si="11"/>
        <v>1</v>
      </c>
      <c r="AC19" s="17">
        <f t="shared" si="11"/>
        <v>689.71428571428578</v>
      </c>
      <c r="AD19" s="17">
        <f t="shared" si="11"/>
        <v>0</v>
      </c>
      <c r="AE19" s="31">
        <f t="shared" si="11"/>
        <v>404.85714285714283</v>
      </c>
      <c r="AF19" s="31">
        <f t="shared" si="11"/>
        <v>1094.5714285714284</v>
      </c>
    </row>
    <row r="20" spans="2:32" ht="23.1" customHeight="1" x14ac:dyDescent="0.25">
      <c r="B20" s="23" t="s">
        <v>47</v>
      </c>
      <c r="C20" s="49">
        <f>AVERAGE('22.07 Nateete-Ndeeba'!C20,'23.07 Nateete-Ndeeba'!C20,'24.07 Nateete-Ndeeba'!C20,'25.07 Nateete-Ndeeba'!C20,'26.07 Nateete-Ndeeba-24h'!C20,'27.07 Nateete-Ndeeba-24h'!C20,'28.07 Nateete-Ndeeba'!C20)</f>
        <v>44.142857142857146</v>
      </c>
      <c r="D20" s="49">
        <f>AVERAGE('22.07 Nateete-Ndeeba'!D20,'23.07 Nateete-Ndeeba'!D20,'24.07 Nateete-Ndeeba'!D20,'25.07 Nateete-Ndeeba'!D20,'26.07 Nateete-Ndeeba-24h'!D20,'27.07 Nateete-Ndeeba-24h'!D20,'28.07 Nateete-Ndeeba'!D20)</f>
        <v>6.2857142857142856</v>
      </c>
      <c r="E20" s="49">
        <f>AVERAGE('22.07 Nateete-Ndeeba'!E20,'23.07 Nateete-Ndeeba'!E20,'24.07 Nateete-Ndeeba'!E20,'25.07 Nateete-Ndeeba'!E20,'26.07 Nateete-Ndeeba-24h'!E20,'27.07 Nateete-Ndeeba-24h'!E20,'28.07 Nateete-Ndeeba'!E20)</f>
        <v>4.8571428571428568</v>
      </c>
      <c r="F20" s="49">
        <f>AVERAGE('22.07 Nateete-Ndeeba'!F20,'23.07 Nateete-Ndeeba'!F20,'24.07 Nateete-Ndeeba'!F20,'25.07 Nateete-Ndeeba'!F20,'26.07 Nateete-Ndeeba-24h'!F20,'27.07 Nateete-Ndeeba-24h'!F20,'28.07 Nateete-Ndeeba'!F20)</f>
        <v>37.428571428571431</v>
      </c>
      <c r="G20" s="49">
        <f>AVERAGE('22.07 Nateete-Ndeeba'!G20,'23.07 Nateete-Ndeeba'!G20,'24.07 Nateete-Ndeeba'!G20,'25.07 Nateete-Ndeeba'!G20,'26.07 Nateete-Ndeeba-24h'!G20,'27.07 Nateete-Ndeeba-24h'!G20,'28.07 Nateete-Ndeeba'!G20)</f>
        <v>0.42857142857142855</v>
      </c>
      <c r="H20" s="49">
        <f>AVERAGE('22.07 Nateete-Ndeeba'!H20,'23.07 Nateete-Ndeeba'!H20,'24.07 Nateete-Ndeeba'!H20,'25.07 Nateete-Ndeeba'!H20,'26.07 Nateete-Ndeeba-24h'!H20,'27.07 Nateete-Ndeeba-24h'!H20,'28.07 Nateete-Ndeeba'!H20)</f>
        <v>0.14285714285714285</v>
      </c>
      <c r="I20" s="49">
        <f>AVERAGE('22.07 Nateete-Ndeeba'!I20,'23.07 Nateete-Ndeeba'!I20,'24.07 Nateete-Ndeeba'!I20,'25.07 Nateete-Ndeeba'!I20,'26.07 Nateete-Ndeeba-24h'!I20,'27.07 Nateete-Ndeeba-24h'!I20,'28.07 Nateete-Ndeeba'!I20)</f>
        <v>10.857142857142858</v>
      </c>
      <c r="J20" s="49">
        <f>AVERAGE('22.07 Nateete-Ndeeba'!J20,'23.07 Nateete-Ndeeba'!J20,'24.07 Nateete-Ndeeba'!J20,'25.07 Nateete-Ndeeba'!J20,'26.07 Nateete-Ndeeba-24h'!J20,'27.07 Nateete-Ndeeba-24h'!J20,'28.07 Nateete-Ndeeba'!J20)</f>
        <v>11.571428571428571</v>
      </c>
      <c r="K20" s="49">
        <f>AVERAGE('22.07 Nateete-Ndeeba'!K20,'23.07 Nateete-Ndeeba'!K20,'24.07 Nateete-Ndeeba'!K20,'25.07 Nateete-Ndeeba'!K20,'26.07 Nateete-Ndeeba-24h'!K20,'27.07 Nateete-Ndeeba-24h'!K20,'28.07 Nateete-Ndeeba'!K20)</f>
        <v>1.5714285714285714</v>
      </c>
      <c r="L20" s="49">
        <f>AVERAGE('22.07 Nateete-Ndeeba'!L20,'23.07 Nateete-Ndeeba'!L20,'24.07 Nateete-Ndeeba'!L20,'25.07 Nateete-Ndeeba'!L20,'26.07 Nateete-Ndeeba-24h'!L20,'27.07 Nateete-Ndeeba-24h'!L20,'28.07 Nateete-Ndeeba'!L20)</f>
        <v>0.14285714285714285</v>
      </c>
      <c r="M20" s="49">
        <f>AVERAGE('22.07 Nateete-Ndeeba'!M20,'23.07 Nateete-Ndeeba'!M20,'24.07 Nateete-Ndeeba'!M20,'25.07 Nateete-Ndeeba'!M20,'26.07 Nateete-Ndeeba-24h'!M20,'27.07 Nateete-Ndeeba-24h'!M20,'28.07 Nateete-Ndeeba'!M20)</f>
        <v>210</v>
      </c>
      <c r="N20" s="49">
        <f>AVERAGE('22.07 Nateete-Ndeeba'!N20,'23.07 Nateete-Ndeeba'!N20,'24.07 Nateete-Ndeeba'!N20,'25.07 Nateete-Ndeeba'!N20,'26.07 Nateete-Ndeeba-24h'!N20,'27.07 Nateete-Ndeeba-24h'!N20,'28.07 Nateete-Ndeeba'!N20)</f>
        <v>0</v>
      </c>
      <c r="O20" s="15">
        <f t="shared" si="0"/>
        <v>117.42857142857143</v>
      </c>
      <c r="P20" s="15">
        <f t="shared" si="1"/>
        <v>327.42857142857144</v>
      </c>
      <c r="R20" s="1" t="s">
        <v>16</v>
      </c>
      <c r="S20" s="17">
        <f t="shared" ref="S20:AF20" si="12">SUM(C50:C53)</f>
        <v>168.42857142857144</v>
      </c>
      <c r="T20" s="17">
        <f t="shared" si="12"/>
        <v>19</v>
      </c>
      <c r="U20" s="17">
        <f t="shared" si="12"/>
        <v>16.857142857142858</v>
      </c>
      <c r="V20" s="17">
        <f t="shared" si="12"/>
        <v>134.14285714285717</v>
      </c>
      <c r="W20" s="17">
        <f t="shared" si="12"/>
        <v>1.1428571428571428</v>
      </c>
      <c r="X20" s="17">
        <f t="shared" si="12"/>
        <v>1.5714285714285712</v>
      </c>
      <c r="Y20" s="17">
        <f t="shared" si="12"/>
        <v>23.857142857142858</v>
      </c>
      <c r="Z20" s="17">
        <f t="shared" si="12"/>
        <v>42.142857142857146</v>
      </c>
      <c r="AA20" s="17">
        <f t="shared" si="12"/>
        <v>9.7142857142857135</v>
      </c>
      <c r="AB20" s="17">
        <f t="shared" si="12"/>
        <v>1.4285714285714284</v>
      </c>
      <c r="AC20" s="17">
        <f t="shared" si="12"/>
        <v>745.14285714285711</v>
      </c>
      <c r="AD20" s="17">
        <f t="shared" si="12"/>
        <v>0</v>
      </c>
      <c r="AE20" s="31">
        <f t="shared" si="12"/>
        <v>418.28571428571428</v>
      </c>
      <c r="AF20" s="31">
        <f t="shared" si="12"/>
        <v>1163.4285714285716</v>
      </c>
    </row>
    <row r="21" spans="2:32" ht="23.1" customHeight="1" x14ac:dyDescent="0.25">
      <c r="B21" s="23" t="s">
        <v>48</v>
      </c>
      <c r="C21" s="49">
        <f>AVERAGE('22.07 Nateete-Ndeeba'!C21,'23.07 Nateete-Ndeeba'!C21,'24.07 Nateete-Ndeeba'!C21,'25.07 Nateete-Ndeeba'!C21,'26.07 Nateete-Ndeeba-24h'!C21,'27.07 Nateete-Ndeeba-24h'!C21,'28.07 Nateete-Ndeeba'!C21)</f>
        <v>47.857142857142854</v>
      </c>
      <c r="D21" s="49">
        <f>AVERAGE('22.07 Nateete-Ndeeba'!D21,'23.07 Nateete-Ndeeba'!D21,'24.07 Nateete-Ndeeba'!D21,'25.07 Nateete-Ndeeba'!D21,'26.07 Nateete-Ndeeba-24h'!D21,'27.07 Nateete-Ndeeba-24h'!D21,'28.07 Nateete-Ndeeba'!D21)</f>
        <v>5.4285714285714288</v>
      </c>
      <c r="E21" s="49">
        <f>AVERAGE('22.07 Nateete-Ndeeba'!E21,'23.07 Nateete-Ndeeba'!E21,'24.07 Nateete-Ndeeba'!E21,'25.07 Nateete-Ndeeba'!E21,'26.07 Nateete-Ndeeba-24h'!E21,'27.07 Nateete-Ndeeba-24h'!E21,'28.07 Nateete-Ndeeba'!E21)</f>
        <v>4.8571428571428568</v>
      </c>
      <c r="F21" s="49">
        <f>AVERAGE('22.07 Nateete-Ndeeba'!F21,'23.07 Nateete-Ndeeba'!F21,'24.07 Nateete-Ndeeba'!F21,'25.07 Nateete-Ndeeba'!F21,'26.07 Nateete-Ndeeba-24h'!F21,'27.07 Nateete-Ndeeba-24h'!F21,'28.07 Nateete-Ndeeba'!F21)</f>
        <v>33.285714285714285</v>
      </c>
      <c r="G21" s="49">
        <f>AVERAGE('22.07 Nateete-Ndeeba'!G21,'23.07 Nateete-Ndeeba'!G21,'24.07 Nateete-Ndeeba'!G21,'25.07 Nateete-Ndeeba'!G21,'26.07 Nateete-Ndeeba-24h'!G21,'27.07 Nateete-Ndeeba-24h'!G21,'28.07 Nateete-Ndeeba'!G21)</f>
        <v>0.7142857142857143</v>
      </c>
      <c r="H21" s="49">
        <f>AVERAGE('22.07 Nateete-Ndeeba'!H21,'23.07 Nateete-Ndeeba'!H21,'24.07 Nateete-Ndeeba'!H21,'25.07 Nateete-Ndeeba'!H21,'26.07 Nateete-Ndeeba-24h'!H21,'27.07 Nateete-Ndeeba-24h'!H21,'28.07 Nateete-Ndeeba'!H21)</f>
        <v>0.42857142857142855</v>
      </c>
      <c r="I21" s="49">
        <f>AVERAGE('22.07 Nateete-Ndeeba'!I21,'23.07 Nateete-Ndeeba'!I21,'24.07 Nateete-Ndeeba'!I21,'25.07 Nateete-Ndeeba'!I21,'26.07 Nateete-Ndeeba-24h'!I21,'27.07 Nateete-Ndeeba-24h'!I21,'28.07 Nateete-Ndeeba'!I21)</f>
        <v>6.8571428571428568</v>
      </c>
      <c r="J21" s="49">
        <f>AVERAGE('22.07 Nateete-Ndeeba'!J21,'23.07 Nateete-Ndeeba'!J21,'24.07 Nateete-Ndeeba'!J21,'25.07 Nateete-Ndeeba'!J21,'26.07 Nateete-Ndeeba-24h'!J21,'27.07 Nateete-Ndeeba-24h'!J21,'28.07 Nateete-Ndeeba'!J21)</f>
        <v>16.285714285714285</v>
      </c>
      <c r="K21" s="49">
        <f>AVERAGE('22.07 Nateete-Ndeeba'!K21,'23.07 Nateete-Ndeeba'!K21,'24.07 Nateete-Ndeeba'!K21,'25.07 Nateete-Ndeeba'!K21,'26.07 Nateete-Ndeeba-24h'!K21,'27.07 Nateete-Ndeeba-24h'!K21,'28.07 Nateete-Ndeeba'!K21)</f>
        <v>2</v>
      </c>
      <c r="L21" s="49">
        <f>AVERAGE('22.07 Nateete-Ndeeba'!L21,'23.07 Nateete-Ndeeba'!L21,'24.07 Nateete-Ndeeba'!L21,'25.07 Nateete-Ndeeba'!L21,'26.07 Nateete-Ndeeba-24h'!L21,'27.07 Nateete-Ndeeba-24h'!L21,'28.07 Nateete-Ndeeba'!L21)</f>
        <v>0.2857142857142857</v>
      </c>
      <c r="M21" s="49">
        <f>AVERAGE('22.07 Nateete-Ndeeba'!M21,'23.07 Nateete-Ndeeba'!M21,'24.07 Nateete-Ndeeba'!M21,'25.07 Nateete-Ndeeba'!M21,'26.07 Nateete-Ndeeba-24h'!M21,'27.07 Nateete-Ndeeba-24h'!M21,'28.07 Nateete-Ndeeba'!M21)</f>
        <v>221.85714285714286</v>
      </c>
      <c r="N21" s="49">
        <f>AVERAGE('22.07 Nateete-Ndeeba'!N21,'23.07 Nateete-Ndeeba'!N21,'24.07 Nateete-Ndeeba'!N21,'25.07 Nateete-Ndeeba'!N21,'26.07 Nateete-Ndeeba-24h'!N21,'27.07 Nateete-Ndeeba-24h'!N21,'28.07 Nateete-Ndeeba'!N21)</f>
        <v>0</v>
      </c>
      <c r="O21" s="15">
        <f t="shared" si="0"/>
        <v>117.99999999999999</v>
      </c>
      <c r="P21" s="15">
        <f t="shared" si="1"/>
        <v>339.85714285714283</v>
      </c>
      <c r="R21" s="36" t="s">
        <v>20</v>
      </c>
      <c r="S21" s="34">
        <f t="shared" ref="S21:AE33" si="13">SUM(C54:C57)</f>
        <v>138</v>
      </c>
      <c r="T21" s="17">
        <f t="shared" si="13"/>
        <v>23.714285714285715</v>
      </c>
      <c r="U21" s="17">
        <f t="shared" si="13"/>
        <v>14.285714285714288</v>
      </c>
      <c r="V21" s="17">
        <f t="shared" si="13"/>
        <v>132.42857142857144</v>
      </c>
      <c r="W21" s="17">
        <f t="shared" si="13"/>
        <v>3.1428571428571428</v>
      </c>
      <c r="X21" s="17">
        <f t="shared" si="13"/>
        <v>3</v>
      </c>
      <c r="Y21" s="17">
        <f t="shared" si="13"/>
        <v>22.428571428571427</v>
      </c>
      <c r="Z21" s="17">
        <f t="shared" si="13"/>
        <v>36.428571428571431</v>
      </c>
      <c r="AA21" s="17">
        <f t="shared" si="13"/>
        <v>8.8571428571428577</v>
      </c>
      <c r="AB21" s="17">
        <f t="shared" si="13"/>
        <v>3</v>
      </c>
      <c r="AC21" s="17">
        <f t="shared" si="13"/>
        <v>686.57142857142856</v>
      </c>
      <c r="AD21" s="17">
        <f t="shared" si="13"/>
        <v>0</v>
      </c>
      <c r="AE21" s="31">
        <f t="shared" si="13"/>
        <v>385.28571428571428</v>
      </c>
      <c r="AF21" s="31">
        <f>SUM(P54:P57)</f>
        <v>1071.8571428571427</v>
      </c>
    </row>
    <row r="22" spans="2:32" ht="23.1" customHeight="1" x14ac:dyDescent="0.25">
      <c r="B22" s="23" t="s">
        <v>49</v>
      </c>
      <c r="C22" s="49">
        <f>AVERAGE('22.07 Nateete-Ndeeba'!C22,'23.07 Nateete-Ndeeba'!C22,'24.07 Nateete-Ndeeba'!C22,'25.07 Nateete-Ndeeba'!C22,'26.07 Nateete-Ndeeba-24h'!C22,'27.07 Nateete-Ndeeba-24h'!C22,'28.07 Nateete-Ndeeba'!C22)</f>
        <v>37.714285714285715</v>
      </c>
      <c r="D22" s="49">
        <f>AVERAGE('22.07 Nateete-Ndeeba'!D22,'23.07 Nateete-Ndeeba'!D22,'24.07 Nateete-Ndeeba'!D22,'25.07 Nateete-Ndeeba'!D22,'26.07 Nateete-Ndeeba-24h'!D22,'27.07 Nateete-Ndeeba-24h'!D22,'28.07 Nateete-Ndeeba'!D22)</f>
        <v>4.4285714285714288</v>
      </c>
      <c r="E22" s="49">
        <f>AVERAGE('22.07 Nateete-Ndeeba'!E22,'23.07 Nateete-Ndeeba'!E22,'24.07 Nateete-Ndeeba'!E22,'25.07 Nateete-Ndeeba'!E22,'26.07 Nateete-Ndeeba-24h'!E22,'27.07 Nateete-Ndeeba-24h'!E22,'28.07 Nateete-Ndeeba'!E22)</f>
        <v>4.4285714285714288</v>
      </c>
      <c r="F22" s="49">
        <f>AVERAGE('22.07 Nateete-Ndeeba'!F22,'23.07 Nateete-Ndeeba'!F22,'24.07 Nateete-Ndeeba'!F22,'25.07 Nateete-Ndeeba'!F22,'26.07 Nateete-Ndeeba-24h'!F22,'27.07 Nateete-Ndeeba-24h'!F22,'28.07 Nateete-Ndeeba'!F22)</f>
        <v>31.571428571428573</v>
      </c>
      <c r="G22" s="49">
        <f>AVERAGE('22.07 Nateete-Ndeeba'!G22,'23.07 Nateete-Ndeeba'!G22,'24.07 Nateete-Ndeeba'!G22,'25.07 Nateete-Ndeeba'!G22,'26.07 Nateete-Ndeeba-24h'!G22,'27.07 Nateete-Ndeeba-24h'!G22,'28.07 Nateete-Ndeeba'!G22)</f>
        <v>0.14285714285714285</v>
      </c>
      <c r="H22" s="49">
        <f>AVERAGE('22.07 Nateete-Ndeeba'!H22,'23.07 Nateete-Ndeeba'!H22,'24.07 Nateete-Ndeeba'!H22,'25.07 Nateete-Ndeeba'!H22,'26.07 Nateete-Ndeeba-24h'!H22,'27.07 Nateete-Ndeeba-24h'!H22,'28.07 Nateete-Ndeeba'!H22)</f>
        <v>0</v>
      </c>
      <c r="I22" s="49">
        <f>AVERAGE('22.07 Nateete-Ndeeba'!I22,'23.07 Nateete-Ndeeba'!I22,'24.07 Nateete-Ndeeba'!I22,'25.07 Nateete-Ndeeba'!I22,'26.07 Nateete-Ndeeba-24h'!I22,'27.07 Nateete-Ndeeba-24h'!I22,'28.07 Nateete-Ndeeba'!I22)</f>
        <v>5</v>
      </c>
      <c r="J22" s="49">
        <f>AVERAGE('22.07 Nateete-Ndeeba'!J22,'23.07 Nateete-Ndeeba'!J22,'24.07 Nateete-Ndeeba'!J22,'25.07 Nateete-Ndeeba'!J22,'26.07 Nateete-Ndeeba-24h'!J22,'27.07 Nateete-Ndeeba-24h'!J22,'28.07 Nateete-Ndeeba'!J22)</f>
        <v>12.714285714285714</v>
      </c>
      <c r="K22" s="49">
        <f>AVERAGE('22.07 Nateete-Ndeeba'!K22,'23.07 Nateete-Ndeeba'!K22,'24.07 Nateete-Ndeeba'!K22,'25.07 Nateete-Ndeeba'!K22,'26.07 Nateete-Ndeeba-24h'!K22,'27.07 Nateete-Ndeeba-24h'!K22,'28.07 Nateete-Ndeeba'!K22)</f>
        <v>1.5714285714285714</v>
      </c>
      <c r="L22" s="49">
        <f>AVERAGE('22.07 Nateete-Ndeeba'!L22,'23.07 Nateete-Ndeeba'!L22,'24.07 Nateete-Ndeeba'!L22,'25.07 Nateete-Ndeeba'!L22,'26.07 Nateete-Ndeeba-24h'!L22,'27.07 Nateete-Ndeeba-24h'!L22,'28.07 Nateete-Ndeeba'!L22)</f>
        <v>0.14285714285714285</v>
      </c>
      <c r="M22" s="49">
        <f>AVERAGE('22.07 Nateete-Ndeeba'!M22,'23.07 Nateete-Ndeeba'!M22,'24.07 Nateete-Ndeeba'!M22,'25.07 Nateete-Ndeeba'!M22,'26.07 Nateete-Ndeeba-24h'!M22,'27.07 Nateete-Ndeeba-24h'!M22,'28.07 Nateete-Ndeeba'!M22)</f>
        <v>175</v>
      </c>
      <c r="N22" s="49">
        <f>AVERAGE('22.07 Nateete-Ndeeba'!N22,'23.07 Nateete-Ndeeba'!N22,'24.07 Nateete-Ndeeba'!N22,'25.07 Nateete-Ndeeba'!N22,'26.07 Nateete-Ndeeba-24h'!N22,'27.07 Nateete-Ndeeba-24h'!N22,'28.07 Nateete-Ndeeba'!N22)</f>
        <v>0.2857142857142857</v>
      </c>
      <c r="O22" s="15">
        <f t="shared" si="0"/>
        <v>98</v>
      </c>
      <c r="P22" s="15">
        <f t="shared" si="1"/>
        <v>273</v>
      </c>
      <c r="R22" s="1" t="s">
        <v>146</v>
      </c>
      <c r="S22" s="34">
        <f>SUM(C58:C61)</f>
        <v>157</v>
      </c>
      <c r="T22" s="34">
        <f t="shared" ref="T22:AD22" si="14">SUM(D58:D61)</f>
        <v>25</v>
      </c>
      <c r="U22" s="34">
        <f t="shared" si="14"/>
        <v>16</v>
      </c>
      <c r="V22" s="34">
        <f t="shared" si="14"/>
        <v>108.5</v>
      </c>
      <c r="W22" s="34">
        <f t="shared" si="14"/>
        <v>1.5</v>
      </c>
      <c r="X22" s="34">
        <f t="shared" si="14"/>
        <v>1.5</v>
      </c>
      <c r="Y22" s="34">
        <f t="shared" si="14"/>
        <v>15.5</v>
      </c>
      <c r="Z22" s="34">
        <f t="shared" si="14"/>
        <v>17</v>
      </c>
      <c r="AA22" s="34">
        <f t="shared" si="14"/>
        <v>6.5</v>
      </c>
      <c r="AB22" s="34">
        <f t="shared" si="14"/>
        <v>5.5</v>
      </c>
      <c r="AC22" s="34">
        <f t="shared" si="14"/>
        <v>705.5</v>
      </c>
      <c r="AD22" s="34">
        <f t="shared" si="14"/>
        <v>0.5</v>
      </c>
      <c r="AE22" s="31">
        <f t="shared" si="13"/>
        <v>374.07142857142856</v>
      </c>
      <c r="AF22" s="31">
        <f t="shared" ref="AF22:AF33" si="15">SUM(P55:P58)</f>
        <v>1044.2142857142858</v>
      </c>
    </row>
    <row r="23" spans="2:32" ht="23.1" customHeight="1" x14ac:dyDescent="0.25">
      <c r="B23" s="23" t="s">
        <v>50</v>
      </c>
      <c r="C23" s="49">
        <f>AVERAGE('22.07 Nateete-Ndeeba'!C23,'23.07 Nateete-Ndeeba'!C23,'24.07 Nateete-Ndeeba'!C23,'25.07 Nateete-Ndeeba'!C23,'26.07 Nateete-Ndeeba-24h'!C23,'27.07 Nateete-Ndeeba-24h'!C23,'28.07 Nateete-Ndeeba'!C23)</f>
        <v>38.571428571428569</v>
      </c>
      <c r="D23" s="49">
        <f>AVERAGE('22.07 Nateete-Ndeeba'!D23,'23.07 Nateete-Ndeeba'!D23,'24.07 Nateete-Ndeeba'!D23,'25.07 Nateete-Ndeeba'!D23,'26.07 Nateete-Ndeeba-24h'!D23,'27.07 Nateete-Ndeeba-24h'!D23,'28.07 Nateete-Ndeeba'!D23)</f>
        <v>5.7142857142857144</v>
      </c>
      <c r="E23" s="49">
        <f>AVERAGE('22.07 Nateete-Ndeeba'!E23,'23.07 Nateete-Ndeeba'!E23,'24.07 Nateete-Ndeeba'!E23,'25.07 Nateete-Ndeeba'!E23,'26.07 Nateete-Ndeeba-24h'!E23,'27.07 Nateete-Ndeeba-24h'!E23,'28.07 Nateete-Ndeeba'!E23)</f>
        <v>3.2857142857142856</v>
      </c>
      <c r="F23" s="49">
        <f>AVERAGE('22.07 Nateete-Ndeeba'!F23,'23.07 Nateete-Ndeeba'!F23,'24.07 Nateete-Ndeeba'!F23,'25.07 Nateete-Ndeeba'!F23,'26.07 Nateete-Ndeeba-24h'!F23,'27.07 Nateete-Ndeeba-24h'!F23,'28.07 Nateete-Ndeeba'!F23)</f>
        <v>26.571428571428573</v>
      </c>
      <c r="G23" s="49">
        <f>AVERAGE('22.07 Nateete-Ndeeba'!G23,'23.07 Nateete-Ndeeba'!G23,'24.07 Nateete-Ndeeba'!G23,'25.07 Nateete-Ndeeba'!G23,'26.07 Nateete-Ndeeba-24h'!G23,'27.07 Nateete-Ndeeba-24h'!G23,'28.07 Nateete-Ndeeba'!G23)</f>
        <v>0.42857142857142855</v>
      </c>
      <c r="H23" s="49">
        <f>AVERAGE('22.07 Nateete-Ndeeba'!H23,'23.07 Nateete-Ndeeba'!H23,'24.07 Nateete-Ndeeba'!H23,'25.07 Nateete-Ndeeba'!H23,'26.07 Nateete-Ndeeba-24h'!H23,'27.07 Nateete-Ndeeba-24h'!H23,'28.07 Nateete-Ndeeba'!H23)</f>
        <v>0.14285714285714285</v>
      </c>
      <c r="I23" s="49">
        <f>AVERAGE('22.07 Nateete-Ndeeba'!I23,'23.07 Nateete-Ndeeba'!I23,'24.07 Nateete-Ndeeba'!I23,'25.07 Nateete-Ndeeba'!I23,'26.07 Nateete-Ndeeba-24h'!I23,'27.07 Nateete-Ndeeba-24h'!I23,'28.07 Nateete-Ndeeba'!I23)</f>
        <v>5.1428571428571432</v>
      </c>
      <c r="J23" s="49">
        <f>AVERAGE('22.07 Nateete-Ndeeba'!J23,'23.07 Nateete-Ndeeba'!J23,'24.07 Nateete-Ndeeba'!J23,'25.07 Nateete-Ndeeba'!J23,'26.07 Nateete-Ndeeba-24h'!J23,'27.07 Nateete-Ndeeba-24h'!J23,'28.07 Nateete-Ndeeba'!J23)</f>
        <v>9.8571428571428577</v>
      </c>
      <c r="K23" s="49">
        <f>AVERAGE('22.07 Nateete-Ndeeba'!K23,'23.07 Nateete-Ndeeba'!K23,'24.07 Nateete-Ndeeba'!K23,'25.07 Nateete-Ndeeba'!K23,'26.07 Nateete-Ndeeba-24h'!K23,'27.07 Nateete-Ndeeba-24h'!K23,'28.07 Nateete-Ndeeba'!K23)</f>
        <v>1.2857142857142858</v>
      </c>
      <c r="L23" s="49">
        <f>AVERAGE('22.07 Nateete-Ndeeba'!L23,'23.07 Nateete-Ndeeba'!L23,'24.07 Nateete-Ndeeba'!L23,'25.07 Nateete-Ndeeba'!L23,'26.07 Nateete-Ndeeba-24h'!L23,'27.07 Nateete-Ndeeba-24h'!L23,'28.07 Nateete-Ndeeba'!L23)</f>
        <v>0.8571428571428571</v>
      </c>
      <c r="M23" s="49">
        <f>AVERAGE('22.07 Nateete-Ndeeba'!M23,'23.07 Nateete-Ndeeba'!M23,'24.07 Nateete-Ndeeba'!M23,'25.07 Nateete-Ndeeba'!M23,'26.07 Nateete-Ndeeba-24h'!M23,'27.07 Nateete-Ndeeba-24h'!M23,'28.07 Nateete-Ndeeba'!M23)</f>
        <v>197.57142857142858</v>
      </c>
      <c r="N23" s="49">
        <f>AVERAGE('22.07 Nateete-Ndeeba'!N23,'23.07 Nateete-Ndeeba'!N23,'24.07 Nateete-Ndeeba'!N23,'25.07 Nateete-Ndeeba'!N23,'26.07 Nateete-Ndeeba-24h'!N23,'27.07 Nateete-Ndeeba-24h'!N23,'28.07 Nateete-Ndeeba'!N23)</f>
        <v>0</v>
      </c>
      <c r="O23" s="15">
        <f t="shared" si="0"/>
        <v>91.857142857142861</v>
      </c>
      <c r="P23" s="15">
        <f t="shared" si="1"/>
        <v>289.42857142857144</v>
      </c>
      <c r="R23" s="1" t="s">
        <v>147</v>
      </c>
      <c r="S23" s="34">
        <f>SUM(C62:C65)</f>
        <v>135</v>
      </c>
      <c r="T23" s="34">
        <f t="shared" ref="T23:AD23" si="16">SUM(D62:D65)</f>
        <v>27</v>
      </c>
      <c r="U23" s="34">
        <f t="shared" si="16"/>
        <v>10.5</v>
      </c>
      <c r="V23" s="34">
        <f t="shared" si="16"/>
        <v>137.5</v>
      </c>
      <c r="W23" s="34">
        <f t="shared" si="16"/>
        <v>4.5</v>
      </c>
      <c r="X23" s="34">
        <f t="shared" si="16"/>
        <v>0.5</v>
      </c>
      <c r="Y23" s="34">
        <f t="shared" si="16"/>
        <v>19</v>
      </c>
      <c r="Z23" s="34">
        <f t="shared" si="16"/>
        <v>10</v>
      </c>
      <c r="AA23" s="34">
        <f t="shared" si="16"/>
        <v>7.5</v>
      </c>
      <c r="AB23" s="34">
        <f t="shared" si="16"/>
        <v>5</v>
      </c>
      <c r="AC23" s="34">
        <f t="shared" si="16"/>
        <v>737</v>
      </c>
      <c r="AD23" s="34">
        <f t="shared" si="16"/>
        <v>0</v>
      </c>
      <c r="AE23" s="31">
        <f t="shared" si="13"/>
        <v>370.5</v>
      </c>
      <c r="AF23" s="31">
        <f t="shared" si="15"/>
        <v>1081.5</v>
      </c>
    </row>
    <row r="24" spans="2:32" ht="23.1" customHeight="1" x14ac:dyDescent="0.25">
      <c r="B24" s="23" t="s">
        <v>51</v>
      </c>
      <c r="C24" s="49">
        <f>AVERAGE('22.07 Nateete-Ndeeba'!C24,'23.07 Nateete-Ndeeba'!C24,'24.07 Nateete-Ndeeba'!C24,'25.07 Nateete-Ndeeba'!C24,'26.07 Nateete-Ndeeba-24h'!C24,'27.07 Nateete-Ndeeba-24h'!C24,'28.07 Nateete-Ndeeba'!C24)</f>
        <v>42.714285714285715</v>
      </c>
      <c r="D24" s="49">
        <f>AVERAGE('22.07 Nateete-Ndeeba'!D24,'23.07 Nateete-Ndeeba'!D24,'24.07 Nateete-Ndeeba'!D24,'25.07 Nateete-Ndeeba'!D24,'26.07 Nateete-Ndeeba-24h'!D24,'27.07 Nateete-Ndeeba-24h'!D24,'28.07 Nateete-Ndeeba'!D24)</f>
        <v>6.4285714285714288</v>
      </c>
      <c r="E24" s="49">
        <f>AVERAGE('22.07 Nateete-Ndeeba'!E24,'23.07 Nateete-Ndeeba'!E24,'24.07 Nateete-Ndeeba'!E24,'25.07 Nateete-Ndeeba'!E24,'26.07 Nateete-Ndeeba-24h'!E24,'27.07 Nateete-Ndeeba-24h'!E24,'28.07 Nateete-Ndeeba'!E24)</f>
        <v>3.4285714285714284</v>
      </c>
      <c r="F24" s="49">
        <f>AVERAGE('22.07 Nateete-Ndeeba'!F24,'23.07 Nateete-Ndeeba'!F24,'24.07 Nateete-Ndeeba'!F24,'25.07 Nateete-Ndeeba'!F24,'26.07 Nateete-Ndeeba-24h'!F24,'27.07 Nateete-Ndeeba-24h'!F24,'28.07 Nateete-Ndeeba'!F24)</f>
        <v>28.714285714285715</v>
      </c>
      <c r="G24" s="49">
        <f>AVERAGE('22.07 Nateete-Ndeeba'!G24,'23.07 Nateete-Ndeeba'!G24,'24.07 Nateete-Ndeeba'!G24,'25.07 Nateete-Ndeeba'!G24,'26.07 Nateete-Ndeeba-24h'!G24,'27.07 Nateete-Ndeeba-24h'!G24,'28.07 Nateete-Ndeeba'!G24)</f>
        <v>1</v>
      </c>
      <c r="H24" s="49">
        <f>AVERAGE('22.07 Nateete-Ndeeba'!H24,'23.07 Nateete-Ndeeba'!H24,'24.07 Nateete-Ndeeba'!H24,'25.07 Nateete-Ndeeba'!H24,'26.07 Nateete-Ndeeba-24h'!H24,'27.07 Nateete-Ndeeba-24h'!H24,'28.07 Nateete-Ndeeba'!H24)</f>
        <v>0</v>
      </c>
      <c r="I24" s="49">
        <f>AVERAGE('22.07 Nateete-Ndeeba'!I24,'23.07 Nateete-Ndeeba'!I24,'24.07 Nateete-Ndeeba'!I24,'25.07 Nateete-Ndeeba'!I24,'26.07 Nateete-Ndeeba-24h'!I24,'27.07 Nateete-Ndeeba-24h'!I24,'28.07 Nateete-Ndeeba'!I24)</f>
        <v>6</v>
      </c>
      <c r="J24" s="49">
        <f>AVERAGE('22.07 Nateete-Ndeeba'!J24,'23.07 Nateete-Ndeeba'!J24,'24.07 Nateete-Ndeeba'!J24,'25.07 Nateete-Ndeeba'!J24,'26.07 Nateete-Ndeeba-24h'!J24,'27.07 Nateete-Ndeeba-24h'!J24,'28.07 Nateete-Ndeeba'!J24)</f>
        <v>11.285714285714286</v>
      </c>
      <c r="K24" s="49">
        <f>AVERAGE('22.07 Nateete-Ndeeba'!K24,'23.07 Nateete-Ndeeba'!K24,'24.07 Nateete-Ndeeba'!K24,'25.07 Nateete-Ndeeba'!K24,'26.07 Nateete-Ndeeba-24h'!K24,'27.07 Nateete-Ndeeba-24h'!K24,'28.07 Nateete-Ndeeba'!K24)</f>
        <v>2</v>
      </c>
      <c r="L24" s="49">
        <f>AVERAGE('22.07 Nateete-Ndeeba'!L24,'23.07 Nateete-Ndeeba'!L24,'24.07 Nateete-Ndeeba'!L24,'25.07 Nateete-Ndeeba'!L24,'26.07 Nateete-Ndeeba-24h'!L24,'27.07 Nateete-Ndeeba-24h'!L24,'28.07 Nateete-Ndeeba'!L24)</f>
        <v>1.5714285714285714</v>
      </c>
      <c r="M24" s="49">
        <f>AVERAGE('22.07 Nateete-Ndeeba'!M24,'23.07 Nateete-Ndeeba'!M24,'24.07 Nateete-Ndeeba'!M24,'25.07 Nateete-Ndeeba'!M24,'26.07 Nateete-Ndeeba-24h'!M24,'27.07 Nateete-Ndeeba-24h'!M24,'28.07 Nateete-Ndeeba'!M24)</f>
        <v>200.57142857142858</v>
      </c>
      <c r="N24" s="49">
        <f>AVERAGE('22.07 Nateete-Ndeeba'!N24,'23.07 Nateete-Ndeeba'!N24,'24.07 Nateete-Ndeeba'!N24,'25.07 Nateete-Ndeeba'!N24,'26.07 Nateete-Ndeeba-24h'!N24,'27.07 Nateete-Ndeeba-24h'!N24,'28.07 Nateete-Ndeeba'!N24)</f>
        <v>0.14285714285714285</v>
      </c>
      <c r="O24" s="15">
        <f t="shared" si="0"/>
        <v>103.28571428571429</v>
      </c>
      <c r="P24" s="15">
        <f t="shared" si="1"/>
        <v>303.85714285714289</v>
      </c>
      <c r="R24" s="1" t="s">
        <v>148</v>
      </c>
      <c r="S24" s="34">
        <f>SUM(C66:C69)</f>
        <v>123.5</v>
      </c>
      <c r="T24" s="34">
        <f t="shared" ref="T24:AD24" si="17">SUM(D66:D69)</f>
        <v>24.5</v>
      </c>
      <c r="U24" s="34">
        <f t="shared" si="17"/>
        <v>20.5</v>
      </c>
      <c r="V24" s="34">
        <f t="shared" si="17"/>
        <v>127</v>
      </c>
      <c r="W24" s="34">
        <f t="shared" si="17"/>
        <v>2.5</v>
      </c>
      <c r="X24" s="34">
        <f t="shared" si="17"/>
        <v>1</v>
      </c>
      <c r="Y24" s="34">
        <f t="shared" si="17"/>
        <v>14</v>
      </c>
      <c r="Z24" s="34">
        <f t="shared" si="17"/>
        <v>16</v>
      </c>
      <c r="AA24" s="34">
        <f t="shared" si="17"/>
        <v>5</v>
      </c>
      <c r="AB24" s="34">
        <f t="shared" si="17"/>
        <v>7</v>
      </c>
      <c r="AC24" s="34">
        <f t="shared" si="17"/>
        <v>443</v>
      </c>
      <c r="AD24" s="34">
        <f t="shared" si="17"/>
        <v>0</v>
      </c>
      <c r="AE24" s="31">
        <f t="shared" si="13"/>
        <v>379.78571428571428</v>
      </c>
      <c r="AF24" s="31">
        <f t="shared" si="15"/>
        <v>1086.0714285714284</v>
      </c>
    </row>
    <row r="25" spans="2:32" ht="23.1" customHeight="1" x14ac:dyDescent="0.25">
      <c r="B25" s="23" t="s">
        <v>52</v>
      </c>
      <c r="C25" s="49">
        <f>AVERAGE('22.07 Nateete-Ndeeba'!C25,'23.07 Nateete-Ndeeba'!C25,'24.07 Nateete-Ndeeba'!C25,'25.07 Nateete-Ndeeba'!C25,'26.07 Nateete-Ndeeba-24h'!C25,'27.07 Nateete-Ndeeba-24h'!C25,'28.07 Nateete-Ndeeba'!C25)</f>
        <v>41.285714285714285</v>
      </c>
      <c r="D25" s="49">
        <f>AVERAGE('22.07 Nateete-Ndeeba'!D25,'23.07 Nateete-Ndeeba'!D25,'24.07 Nateete-Ndeeba'!D25,'25.07 Nateete-Ndeeba'!D25,'26.07 Nateete-Ndeeba-24h'!D25,'27.07 Nateete-Ndeeba-24h'!D25,'28.07 Nateete-Ndeeba'!D25)</f>
        <v>6.7142857142857144</v>
      </c>
      <c r="E25" s="49">
        <f>AVERAGE('22.07 Nateete-Ndeeba'!E25,'23.07 Nateete-Ndeeba'!E25,'24.07 Nateete-Ndeeba'!E25,'25.07 Nateete-Ndeeba'!E25,'26.07 Nateete-Ndeeba-24h'!E25,'27.07 Nateete-Ndeeba-24h'!E25,'28.07 Nateete-Ndeeba'!E25)</f>
        <v>3.8571428571428572</v>
      </c>
      <c r="F25" s="49">
        <f>AVERAGE('22.07 Nateete-Ndeeba'!F25,'23.07 Nateete-Ndeeba'!F25,'24.07 Nateete-Ndeeba'!F25,'25.07 Nateete-Ndeeba'!F25,'26.07 Nateete-Ndeeba-24h'!F25,'27.07 Nateete-Ndeeba-24h'!F25,'28.07 Nateete-Ndeeba'!F25)</f>
        <v>32.142857142857146</v>
      </c>
      <c r="G25" s="49">
        <f>AVERAGE('22.07 Nateete-Ndeeba'!G25,'23.07 Nateete-Ndeeba'!G25,'24.07 Nateete-Ndeeba'!G25,'25.07 Nateete-Ndeeba'!G25,'26.07 Nateete-Ndeeba-24h'!G25,'27.07 Nateete-Ndeeba-24h'!G25,'28.07 Nateete-Ndeeba'!G25)</f>
        <v>0.14285714285714285</v>
      </c>
      <c r="H25" s="49">
        <f>AVERAGE('22.07 Nateete-Ndeeba'!H25,'23.07 Nateete-Ndeeba'!H25,'24.07 Nateete-Ndeeba'!H25,'25.07 Nateete-Ndeeba'!H25,'26.07 Nateete-Ndeeba-24h'!H25,'27.07 Nateete-Ndeeba-24h'!H25,'28.07 Nateete-Ndeeba'!H25)</f>
        <v>0.14285714285714285</v>
      </c>
      <c r="I25" s="49">
        <f>AVERAGE('22.07 Nateete-Ndeeba'!I25,'23.07 Nateete-Ndeeba'!I25,'24.07 Nateete-Ndeeba'!I25,'25.07 Nateete-Ndeeba'!I25,'26.07 Nateete-Ndeeba-24h'!I25,'27.07 Nateete-Ndeeba-24h'!I25,'28.07 Nateete-Ndeeba'!I25)</f>
        <v>6.1428571428571432</v>
      </c>
      <c r="J25" s="49">
        <f>AVERAGE('22.07 Nateete-Ndeeba'!J25,'23.07 Nateete-Ndeeba'!J25,'24.07 Nateete-Ndeeba'!J25,'25.07 Nateete-Ndeeba'!J25,'26.07 Nateete-Ndeeba-24h'!J25,'27.07 Nateete-Ndeeba-24h'!J25,'28.07 Nateete-Ndeeba'!J25)</f>
        <v>12.428571428571429</v>
      </c>
      <c r="K25" s="49">
        <f>AVERAGE('22.07 Nateete-Ndeeba'!K25,'23.07 Nateete-Ndeeba'!K25,'24.07 Nateete-Ndeeba'!K25,'25.07 Nateete-Ndeeba'!K25,'26.07 Nateete-Ndeeba-24h'!K25,'27.07 Nateete-Ndeeba-24h'!K25,'28.07 Nateete-Ndeeba'!K25)</f>
        <v>2.1428571428571428</v>
      </c>
      <c r="L25" s="49">
        <f>AVERAGE('22.07 Nateete-Ndeeba'!L25,'23.07 Nateete-Ndeeba'!L25,'24.07 Nateete-Ndeeba'!L25,'25.07 Nateete-Ndeeba'!L25,'26.07 Nateete-Ndeeba-24h'!L25,'27.07 Nateete-Ndeeba-24h'!L25,'28.07 Nateete-Ndeeba'!L25)</f>
        <v>0.8571428571428571</v>
      </c>
      <c r="M25" s="49">
        <f>AVERAGE('22.07 Nateete-Ndeeba'!M25,'23.07 Nateete-Ndeeba'!M25,'24.07 Nateete-Ndeeba'!M25,'25.07 Nateete-Ndeeba'!M25,'26.07 Nateete-Ndeeba-24h'!M25,'27.07 Nateete-Ndeeba-24h'!M25,'28.07 Nateete-Ndeeba'!M25)</f>
        <v>225.71428571428572</v>
      </c>
      <c r="N25" s="49">
        <f>AVERAGE('22.07 Nateete-Ndeeba'!N25,'23.07 Nateete-Ndeeba'!N25,'24.07 Nateete-Ndeeba'!N25,'25.07 Nateete-Ndeeba'!N25,'26.07 Nateete-Ndeeba-24h'!N25,'27.07 Nateete-Ndeeba-24h'!N25,'28.07 Nateete-Ndeeba'!N25)</f>
        <v>0</v>
      </c>
      <c r="O25" s="15">
        <f t="shared" si="0"/>
        <v>105.85714285714285</v>
      </c>
      <c r="P25" s="15">
        <f t="shared" si="1"/>
        <v>331.57142857142856</v>
      </c>
      <c r="R25" s="1" t="s">
        <v>149</v>
      </c>
      <c r="S25" s="34">
        <f>SUM(C70:C73)</f>
        <v>123.5</v>
      </c>
      <c r="T25" s="34">
        <f t="shared" ref="T25:AD25" si="18">SUM(D70:D73)</f>
        <v>20</v>
      </c>
      <c r="U25" s="34">
        <f t="shared" si="18"/>
        <v>22</v>
      </c>
      <c r="V25" s="34">
        <f t="shared" si="18"/>
        <v>98</v>
      </c>
      <c r="W25" s="34">
        <f t="shared" si="18"/>
        <v>2</v>
      </c>
      <c r="X25" s="34">
        <f t="shared" si="18"/>
        <v>3.5</v>
      </c>
      <c r="Y25" s="34">
        <f t="shared" si="18"/>
        <v>20</v>
      </c>
      <c r="Z25" s="34">
        <f t="shared" si="18"/>
        <v>13.5</v>
      </c>
      <c r="AA25" s="34">
        <f t="shared" si="18"/>
        <v>10</v>
      </c>
      <c r="AB25" s="34">
        <f t="shared" si="18"/>
        <v>4</v>
      </c>
      <c r="AC25" s="34">
        <f t="shared" si="18"/>
        <v>331.5</v>
      </c>
      <c r="AD25" s="34">
        <f t="shared" si="18"/>
        <v>0</v>
      </c>
      <c r="AE25" s="31">
        <f t="shared" si="13"/>
        <v>354.5</v>
      </c>
      <c r="AF25" s="31">
        <f t="shared" si="15"/>
        <v>1060</v>
      </c>
    </row>
    <row r="26" spans="2:32" ht="23.1" customHeight="1" x14ac:dyDescent="0.25">
      <c r="B26" s="23" t="s">
        <v>53</v>
      </c>
      <c r="C26" s="49">
        <f>AVERAGE('22.07 Nateete-Ndeeba'!C26,'23.07 Nateete-Ndeeba'!C26,'24.07 Nateete-Ndeeba'!C26,'25.07 Nateete-Ndeeba'!C26,'26.07 Nateete-Ndeeba-24h'!C26,'27.07 Nateete-Ndeeba-24h'!C26,'28.07 Nateete-Ndeeba'!C26)</f>
        <v>37.428571428571431</v>
      </c>
      <c r="D26" s="49">
        <f>AVERAGE('22.07 Nateete-Ndeeba'!D26,'23.07 Nateete-Ndeeba'!D26,'24.07 Nateete-Ndeeba'!D26,'25.07 Nateete-Ndeeba'!D26,'26.07 Nateete-Ndeeba-24h'!D26,'27.07 Nateete-Ndeeba-24h'!D26,'28.07 Nateete-Ndeeba'!D26)</f>
        <v>9.8571428571428577</v>
      </c>
      <c r="E26" s="49">
        <f>AVERAGE('22.07 Nateete-Ndeeba'!E26,'23.07 Nateete-Ndeeba'!E26,'24.07 Nateete-Ndeeba'!E26,'25.07 Nateete-Ndeeba'!E26,'26.07 Nateete-Ndeeba-24h'!E26,'27.07 Nateete-Ndeeba-24h'!E26,'28.07 Nateete-Ndeeba'!E26)</f>
        <v>2.4285714285714284</v>
      </c>
      <c r="F26" s="49">
        <f>AVERAGE('22.07 Nateete-Ndeeba'!F26,'23.07 Nateete-Ndeeba'!F26,'24.07 Nateete-Ndeeba'!F26,'25.07 Nateete-Ndeeba'!F26,'26.07 Nateete-Ndeeba-24h'!F26,'27.07 Nateete-Ndeeba-24h'!F26,'28.07 Nateete-Ndeeba'!F26)</f>
        <v>34.428571428571431</v>
      </c>
      <c r="G26" s="49">
        <f>AVERAGE('22.07 Nateete-Ndeeba'!G26,'23.07 Nateete-Ndeeba'!G26,'24.07 Nateete-Ndeeba'!G26,'25.07 Nateete-Ndeeba'!G26,'26.07 Nateete-Ndeeba-24h'!G26,'27.07 Nateete-Ndeeba-24h'!G26,'28.07 Nateete-Ndeeba'!G26)</f>
        <v>0.5714285714285714</v>
      </c>
      <c r="H26" s="49">
        <f>AVERAGE('22.07 Nateete-Ndeeba'!H26,'23.07 Nateete-Ndeeba'!H26,'24.07 Nateete-Ndeeba'!H26,'25.07 Nateete-Ndeeba'!H26,'26.07 Nateete-Ndeeba-24h'!H26,'27.07 Nateete-Ndeeba-24h'!H26,'28.07 Nateete-Ndeeba'!H26)</f>
        <v>0.2857142857142857</v>
      </c>
      <c r="I26" s="49">
        <f>AVERAGE('22.07 Nateete-Ndeeba'!I26,'23.07 Nateete-Ndeeba'!I26,'24.07 Nateete-Ndeeba'!I26,'25.07 Nateete-Ndeeba'!I26,'26.07 Nateete-Ndeeba-24h'!I26,'27.07 Nateete-Ndeeba-24h'!I26,'28.07 Nateete-Ndeeba'!I26)</f>
        <v>6.1428571428571432</v>
      </c>
      <c r="J26" s="49">
        <f>AVERAGE('22.07 Nateete-Ndeeba'!J26,'23.07 Nateete-Ndeeba'!J26,'24.07 Nateete-Ndeeba'!J26,'25.07 Nateete-Ndeeba'!J26,'26.07 Nateete-Ndeeba-24h'!J26,'27.07 Nateete-Ndeeba-24h'!J26,'28.07 Nateete-Ndeeba'!J26)</f>
        <v>12.142857142857142</v>
      </c>
      <c r="K26" s="49">
        <f>AVERAGE('22.07 Nateete-Ndeeba'!K26,'23.07 Nateete-Ndeeba'!K26,'24.07 Nateete-Ndeeba'!K26,'25.07 Nateete-Ndeeba'!K26,'26.07 Nateete-Ndeeba-24h'!K26,'27.07 Nateete-Ndeeba-24h'!K26,'28.07 Nateete-Ndeeba'!K26)</f>
        <v>2.2857142857142856</v>
      </c>
      <c r="L26" s="49">
        <f>AVERAGE('22.07 Nateete-Ndeeba'!L26,'23.07 Nateete-Ndeeba'!L26,'24.07 Nateete-Ndeeba'!L26,'25.07 Nateete-Ndeeba'!L26,'26.07 Nateete-Ndeeba-24h'!L26,'27.07 Nateete-Ndeeba-24h'!L26,'28.07 Nateete-Ndeeba'!L26)</f>
        <v>1.2857142857142858</v>
      </c>
      <c r="M26" s="49">
        <f>AVERAGE('22.07 Nateete-Ndeeba'!M26,'23.07 Nateete-Ndeeba'!M26,'24.07 Nateete-Ndeeba'!M26,'25.07 Nateete-Ndeeba'!M26,'26.07 Nateete-Ndeeba-24h'!M26,'27.07 Nateete-Ndeeba-24h'!M26,'28.07 Nateete-Ndeeba'!M26)</f>
        <v>210.71428571428572</v>
      </c>
      <c r="N26" s="49">
        <f>AVERAGE('22.07 Nateete-Ndeeba'!N26,'23.07 Nateete-Ndeeba'!N26,'24.07 Nateete-Ndeeba'!N26,'25.07 Nateete-Ndeeba'!N26,'26.07 Nateete-Ndeeba-24h'!N26,'27.07 Nateete-Ndeeba-24h'!N26,'28.07 Nateete-Ndeeba'!N26)</f>
        <v>0</v>
      </c>
      <c r="O26" s="15">
        <f t="shared" si="0"/>
        <v>106.85714285714288</v>
      </c>
      <c r="P26" s="15">
        <f t="shared" si="1"/>
        <v>317.57142857142861</v>
      </c>
      <c r="R26" s="1" t="s">
        <v>150</v>
      </c>
      <c r="S26" s="34">
        <f>SUM(C74:C77)</f>
        <v>107</v>
      </c>
      <c r="T26" s="34">
        <f t="shared" ref="T26:AD26" si="19">SUM(D74:D77)</f>
        <v>17.5</v>
      </c>
      <c r="U26" s="34">
        <f t="shared" si="19"/>
        <v>18.5</v>
      </c>
      <c r="V26" s="34">
        <f t="shared" si="19"/>
        <v>61.5</v>
      </c>
      <c r="W26" s="34">
        <f t="shared" si="19"/>
        <v>0.5</v>
      </c>
      <c r="X26" s="34">
        <f t="shared" si="19"/>
        <v>40.5</v>
      </c>
      <c r="Y26" s="34">
        <f t="shared" si="19"/>
        <v>13</v>
      </c>
      <c r="Z26" s="34">
        <f t="shared" si="19"/>
        <v>24.5</v>
      </c>
      <c r="AA26" s="34">
        <f t="shared" si="19"/>
        <v>7</v>
      </c>
      <c r="AB26" s="34">
        <f t="shared" si="19"/>
        <v>5</v>
      </c>
      <c r="AC26" s="34">
        <f t="shared" si="19"/>
        <v>290</v>
      </c>
      <c r="AD26" s="34">
        <f t="shared" si="19"/>
        <v>0</v>
      </c>
      <c r="AE26" s="31">
        <f t="shared" si="13"/>
        <v>352.5</v>
      </c>
      <c r="AF26" s="31">
        <f t="shared" si="15"/>
        <v>1168.5</v>
      </c>
    </row>
    <row r="27" spans="2:32" ht="23.1" customHeight="1" x14ac:dyDescent="0.25">
      <c r="B27" s="23" t="s">
        <v>54</v>
      </c>
      <c r="C27" s="49">
        <f>AVERAGE('22.07 Nateete-Ndeeba'!C27,'23.07 Nateete-Ndeeba'!C27,'24.07 Nateete-Ndeeba'!C27,'25.07 Nateete-Ndeeba'!C27,'26.07 Nateete-Ndeeba-24h'!C27,'27.07 Nateete-Ndeeba-24h'!C27,'28.07 Nateete-Ndeeba'!C27)</f>
        <v>43.428571428571431</v>
      </c>
      <c r="D27" s="49">
        <f>AVERAGE('22.07 Nateete-Ndeeba'!D27,'23.07 Nateete-Ndeeba'!D27,'24.07 Nateete-Ndeeba'!D27,'25.07 Nateete-Ndeeba'!D27,'26.07 Nateete-Ndeeba-24h'!D27,'27.07 Nateete-Ndeeba-24h'!D27,'28.07 Nateete-Ndeeba'!D27)</f>
        <v>4.5714285714285712</v>
      </c>
      <c r="E27" s="49">
        <f>AVERAGE('22.07 Nateete-Ndeeba'!E27,'23.07 Nateete-Ndeeba'!E27,'24.07 Nateete-Ndeeba'!E27,'25.07 Nateete-Ndeeba'!E27,'26.07 Nateete-Ndeeba-24h'!E27,'27.07 Nateete-Ndeeba-24h'!E27,'28.07 Nateete-Ndeeba'!E27)</f>
        <v>3.8571428571428572</v>
      </c>
      <c r="F27" s="49">
        <f>AVERAGE('22.07 Nateete-Ndeeba'!F27,'23.07 Nateete-Ndeeba'!F27,'24.07 Nateete-Ndeeba'!F27,'25.07 Nateete-Ndeeba'!F27,'26.07 Nateete-Ndeeba-24h'!F27,'27.07 Nateete-Ndeeba-24h'!F27,'28.07 Nateete-Ndeeba'!F27)</f>
        <v>27</v>
      </c>
      <c r="G27" s="49">
        <f>AVERAGE('22.07 Nateete-Ndeeba'!G27,'23.07 Nateete-Ndeeba'!G27,'24.07 Nateete-Ndeeba'!G27,'25.07 Nateete-Ndeeba'!G27,'26.07 Nateete-Ndeeba-24h'!G27,'27.07 Nateete-Ndeeba-24h'!G27,'28.07 Nateete-Ndeeba'!G27)</f>
        <v>0.42857142857142855</v>
      </c>
      <c r="H27" s="49">
        <f>AVERAGE('22.07 Nateete-Ndeeba'!H27,'23.07 Nateete-Ndeeba'!H27,'24.07 Nateete-Ndeeba'!H27,'25.07 Nateete-Ndeeba'!H27,'26.07 Nateete-Ndeeba-24h'!H27,'27.07 Nateete-Ndeeba-24h'!H27,'28.07 Nateete-Ndeeba'!H27)</f>
        <v>0</v>
      </c>
      <c r="I27" s="49">
        <f>AVERAGE('22.07 Nateete-Ndeeba'!I27,'23.07 Nateete-Ndeeba'!I27,'24.07 Nateete-Ndeeba'!I27,'25.07 Nateete-Ndeeba'!I27,'26.07 Nateete-Ndeeba-24h'!I27,'27.07 Nateete-Ndeeba-24h'!I27,'28.07 Nateete-Ndeeba'!I27)</f>
        <v>10</v>
      </c>
      <c r="J27" s="49">
        <f>AVERAGE('22.07 Nateete-Ndeeba'!J27,'23.07 Nateete-Ndeeba'!J27,'24.07 Nateete-Ndeeba'!J27,'25.07 Nateete-Ndeeba'!J27,'26.07 Nateete-Ndeeba-24h'!J27,'27.07 Nateete-Ndeeba-24h'!J27,'28.07 Nateete-Ndeeba'!J27)</f>
        <v>11.142857142857142</v>
      </c>
      <c r="K27" s="49">
        <f>AVERAGE('22.07 Nateete-Ndeeba'!K27,'23.07 Nateete-Ndeeba'!K27,'24.07 Nateete-Ndeeba'!K27,'25.07 Nateete-Ndeeba'!K27,'26.07 Nateete-Ndeeba-24h'!K27,'27.07 Nateete-Ndeeba-24h'!K27,'28.07 Nateete-Ndeeba'!K27)</f>
        <v>1.8571428571428572</v>
      </c>
      <c r="L27" s="49">
        <f>AVERAGE('22.07 Nateete-Ndeeba'!L27,'23.07 Nateete-Ndeeba'!L27,'24.07 Nateete-Ndeeba'!L27,'25.07 Nateete-Ndeeba'!L27,'26.07 Nateete-Ndeeba-24h'!L27,'27.07 Nateete-Ndeeba-24h'!L27,'28.07 Nateete-Ndeeba'!L27)</f>
        <v>0.5714285714285714</v>
      </c>
      <c r="M27" s="49">
        <f>AVERAGE('22.07 Nateete-Ndeeba'!M27,'23.07 Nateete-Ndeeba'!M27,'24.07 Nateete-Ndeeba'!M27,'25.07 Nateete-Ndeeba'!M27,'26.07 Nateete-Ndeeba-24h'!M27,'27.07 Nateete-Ndeeba-24h'!M27,'28.07 Nateete-Ndeeba'!M27)</f>
        <v>212.85714285714286</v>
      </c>
      <c r="N27" s="49">
        <f>AVERAGE('22.07 Nateete-Ndeeba'!N27,'23.07 Nateete-Ndeeba'!N27,'24.07 Nateete-Ndeeba'!N27,'25.07 Nateete-Ndeeba'!N27,'26.07 Nateete-Ndeeba-24h'!N27,'27.07 Nateete-Ndeeba-24h'!N27,'28.07 Nateete-Ndeeba'!N27)</f>
        <v>0</v>
      </c>
      <c r="O27" s="15">
        <f t="shared" si="0"/>
        <v>102.85714285714286</v>
      </c>
      <c r="P27" s="15">
        <f t="shared" si="1"/>
        <v>315.71428571428572</v>
      </c>
      <c r="R27" s="1" t="s">
        <v>151</v>
      </c>
      <c r="S27" s="34">
        <f>SUM(C78:C81)</f>
        <v>76.5</v>
      </c>
      <c r="T27" s="34">
        <f t="shared" ref="T27:AD27" si="20">SUM(D78:D81)</f>
        <v>8.5</v>
      </c>
      <c r="U27" s="34">
        <f t="shared" si="20"/>
        <v>12</v>
      </c>
      <c r="V27" s="34">
        <f t="shared" si="20"/>
        <v>39.5</v>
      </c>
      <c r="W27" s="34">
        <f t="shared" si="20"/>
        <v>3</v>
      </c>
      <c r="X27" s="34">
        <f t="shared" si="20"/>
        <v>2.5</v>
      </c>
      <c r="Y27" s="34">
        <f t="shared" si="20"/>
        <v>20</v>
      </c>
      <c r="Z27" s="34">
        <f t="shared" si="20"/>
        <v>39.5</v>
      </c>
      <c r="AA27" s="34">
        <f t="shared" si="20"/>
        <v>7</v>
      </c>
      <c r="AB27" s="34">
        <f t="shared" si="20"/>
        <v>2</v>
      </c>
      <c r="AC27" s="34">
        <f t="shared" si="20"/>
        <v>314</v>
      </c>
      <c r="AD27" s="34">
        <f t="shared" si="20"/>
        <v>0</v>
      </c>
      <c r="AE27" s="31">
        <f t="shared" si="13"/>
        <v>343.5</v>
      </c>
      <c r="AF27" s="31">
        <f t="shared" si="15"/>
        <v>1140.5</v>
      </c>
    </row>
    <row r="28" spans="2:32" ht="23.1" customHeight="1" x14ac:dyDescent="0.25">
      <c r="B28" s="23" t="s">
        <v>55</v>
      </c>
      <c r="C28" s="49">
        <f>AVERAGE('22.07 Nateete-Ndeeba'!C28,'23.07 Nateete-Ndeeba'!C28,'24.07 Nateete-Ndeeba'!C28,'25.07 Nateete-Ndeeba'!C28,'26.07 Nateete-Ndeeba-24h'!C28,'27.07 Nateete-Ndeeba-24h'!C28,'28.07 Nateete-Ndeeba'!C28)</f>
        <v>45.142857142857146</v>
      </c>
      <c r="D28" s="49">
        <f>AVERAGE('22.07 Nateete-Ndeeba'!D28,'23.07 Nateete-Ndeeba'!D28,'24.07 Nateete-Ndeeba'!D28,'25.07 Nateete-Ndeeba'!D28,'26.07 Nateete-Ndeeba-24h'!D28,'27.07 Nateete-Ndeeba-24h'!D28,'28.07 Nateete-Ndeeba'!D28)</f>
        <v>8.4285714285714288</v>
      </c>
      <c r="E28" s="49">
        <f>AVERAGE('22.07 Nateete-Ndeeba'!E28,'23.07 Nateete-Ndeeba'!E28,'24.07 Nateete-Ndeeba'!E28,'25.07 Nateete-Ndeeba'!E28,'26.07 Nateete-Ndeeba-24h'!E28,'27.07 Nateete-Ndeeba-24h'!E28,'28.07 Nateete-Ndeeba'!E28)</f>
        <v>3.5714285714285716</v>
      </c>
      <c r="F28" s="49">
        <f>AVERAGE('22.07 Nateete-Ndeeba'!F28,'23.07 Nateete-Ndeeba'!F28,'24.07 Nateete-Ndeeba'!F28,'25.07 Nateete-Ndeeba'!F28,'26.07 Nateete-Ndeeba-24h'!F28,'27.07 Nateete-Ndeeba-24h'!F28,'28.07 Nateete-Ndeeba'!F28)</f>
        <v>30.857142857142858</v>
      </c>
      <c r="G28" s="49">
        <f>AVERAGE('22.07 Nateete-Ndeeba'!G28,'23.07 Nateete-Ndeeba'!G28,'24.07 Nateete-Ndeeba'!G28,'25.07 Nateete-Ndeeba'!G28,'26.07 Nateete-Ndeeba-24h'!G28,'27.07 Nateete-Ndeeba-24h'!G28,'28.07 Nateete-Ndeeba'!G28)</f>
        <v>0.42857142857142855</v>
      </c>
      <c r="H28" s="49">
        <f>AVERAGE('22.07 Nateete-Ndeeba'!H28,'23.07 Nateete-Ndeeba'!H28,'24.07 Nateete-Ndeeba'!H28,'25.07 Nateete-Ndeeba'!H28,'26.07 Nateete-Ndeeba-24h'!H28,'27.07 Nateete-Ndeeba-24h'!H28,'28.07 Nateete-Ndeeba'!H28)</f>
        <v>0.2857142857142857</v>
      </c>
      <c r="I28" s="49">
        <f>AVERAGE('22.07 Nateete-Ndeeba'!I28,'23.07 Nateete-Ndeeba'!I28,'24.07 Nateete-Ndeeba'!I28,'25.07 Nateete-Ndeeba'!I28,'26.07 Nateete-Ndeeba-24h'!I28,'27.07 Nateete-Ndeeba-24h'!I28,'28.07 Nateete-Ndeeba'!I28)</f>
        <v>8.8571428571428577</v>
      </c>
      <c r="J28" s="49">
        <f>AVERAGE('22.07 Nateete-Ndeeba'!J28,'23.07 Nateete-Ndeeba'!J28,'24.07 Nateete-Ndeeba'!J28,'25.07 Nateete-Ndeeba'!J28,'26.07 Nateete-Ndeeba-24h'!J28,'27.07 Nateete-Ndeeba-24h'!J28,'28.07 Nateete-Ndeeba'!J28)</f>
        <v>12.571428571428571</v>
      </c>
      <c r="K28" s="49">
        <f>AVERAGE('22.07 Nateete-Ndeeba'!K28,'23.07 Nateete-Ndeeba'!K28,'24.07 Nateete-Ndeeba'!K28,'25.07 Nateete-Ndeeba'!K28,'26.07 Nateete-Ndeeba-24h'!K28,'27.07 Nateete-Ndeeba-24h'!K28,'28.07 Nateete-Ndeeba'!K28)</f>
        <v>2.7142857142857144</v>
      </c>
      <c r="L28" s="49">
        <f>AVERAGE('22.07 Nateete-Ndeeba'!L28,'23.07 Nateete-Ndeeba'!L28,'24.07 Nateete-Ndeeba'!L28,'25.07 Nateete-Ndeeba'!L28,'26.07 Nateete-Ndeeba-24h'!L28,'27.07 Nateete-Ndeeba-24h'!L28,'28.07 Nateete-Ndeeba'!L28)</f>
        <v>1.1428571428571428</v>
      </c>
      <c r="M28" s="49">
        <f>AVERAGE('22.07 Nateete-Ndeeba'!M28,'23.07 Nateete-Ndeeba'!M28,'24.07 Nateete-Ndeeba'!M28,'25.07 Nateete-Ndeeba'!M28,'26.07 Nateete-Ndeeba-24h'!M28,'27.07 Nateete-Ndeeba-24h'!M28,'28.07 Nateete-Ndeeba'!M28)</f>
        <v>197.85714285714286</v>
      </c>
      <c r="N28" s="49">
        <f>AVERAGE('22.07 Nateete-Ndeeba'!N28,'23.07 Nateete-Ndeeba'!N28,'24.07 Nateete-Ndeeba'!N28,'25.07 Nateete-Ndeeba'!N28,'26.07 Nateete-Ndeeba-24h'!N28,'27.07 Nateete-Ndeeba-24h'!N28,'28.07 Nateete-Ndeeba'!N28)</f>
        <v>0</v>
      </c>
      <c r="O28" s="15">
        <f t="shared" si="0"/>
        <v>114</v>
      </c>
      <c r="P28" s="15">
        <f t="shared" si="1"/>
        <v>311.85714285714289</v>
      </c>
      <c r="R28" s="1" t="s">
        <v>152</v>
      </c>
      <c r="S28" s="34">
        <f>SUM(C82:C85)</f>
        <v>109.5</v>
      </c>
      <c r="T28" s="34">
        <f t="shared" ref="T28:AD28" si="21">SUM(D82:D85)</f>
        <v>9.5</v>
      </c>
      <c r="U28" s="34">
        <f t="shared" si="21"/>
        <v>8.5</v>
      </c>
      <c r="V28" s="34">
        <f t="shared" si="21"/>
        <v>40.5</v>
      </c>
      <c r="W28" s="34">
        <f t="shared" si="21"/>
        <v>1</v>
      </c>
      <c r="X28" s="34">
        <f t="shared" si="21"/>
        <v>3.5</v>
      </c>
      <c r="Y28" s="34">
        <f t="shared" si="21"/>
        <v>18.5</v>
      </c>
      <c r="Z28" s="34">
        <f t="shared" si="21"/>
        <v>32</v>
      </c>
      <c r="AA28" s="34">
        <f t="shared" si="21"/>
        <v>9.5</v>
      </c>
      <c r="AB28" s="34">
        <f t="shared" si="21"/>
        <v>8.5</v>
      </c>
      <c r="AC28" s="34">
        <f t="shared" si="21"/>
        <v>249</v>
      </c>
      <c r="AD28" s="34">
        <f t="shared" si="21"/>
        <v>0</v>
      </c>
      <c r="AE28" s="31">
        <f t="shared" si="13"/>
        <v>334</v>
      </c>
      <c r="AF28" s="31">
        <f t="shared" si="15"/>
        <v>1108</v>
      </c>
    </row>
    <row r="29" spans="2:32" ht="23.1" customHeight="1" x14ac:dyDescent="0.25">
      <c r="B29" s="23" t="s">
        <v>56</v>
      </c>
      <c r="C29" s="49">
        <f>AVERAGE('22.07 Nateete-Ndeeba'!C29,'23.07 Nateete-Ndeeba'!C29,'24.07 Nateete-Ndeeba'!C29,'25.07 Nateete-Ndeeba'!C29,'26.07 Nateete-Ndeeba-24h'!C29,'27.07 Nateete-Ndeeba-24h'!C29,'28.07 Nateete-Ndeeba'!C29)</f>
        <v>49.857142857142854</v>
      </c>
      <c r="D29" s="49">
        <f>AVERAGE('22.07 Nateete-Ndeeba'!D29,'23.07 Nateete-Ndeeba'!D29,'24.07 Nateete-Ndeeba'!D29,'25.07 Nateete-Ndeeba'!D29,'26.07 Nateete-Ndeeba-24h'!D29,'27.07 Nateete-Ndeeba-24h'!D29,'28.07 Nateete-Ndeeba'!D29)</f>
        <v>7.8571428571428568</v>
      </c>
      <c r="E29" s="49">
        <f>AVERAGE('22.07 Nateete-Ndeeba'!E29,'23.07 Nateete-Ndeeba'!E29,'24.07 Nateete-Ndeeba'!E29,'25.07 Nateete-Ndeeba'!E29,'26.07 Nateete-Ndeeba-24h'!E29,'27.07 Nateete-Ndeeba-24h'!E29,'28.07 Nateete-Ndeeba'!E29)</f>
        <v>3.8571428571428572</v>
      </c>
      <c r="F29" s="49">
        <f>AVERAGE('22.07 Nateete-Ndeeba'!F29,'23.07 Nateete-Ndeeba'!F29,'24.07 Nateete-Ndeeba'!F29,'25.07 Nateete-Ndeeba'!F29,'26.07 Nateete-Ndeeba-24h'!F29,'27.07 Nateete-Ndeeba-24h'!F29,'28.07 Nateete-Ndeeba'!F29)</f>
        <v>35</v>
      </c>
      <c r="G29" s="49">
        <f>AVERAGE('22.07 Nateete-Ndeeba'!G29,'23.07 Nateete-Ndeeba'!G29,'24.07 Nateete-Ndeeba'!G29,'25.07 Nateete-Ndeeba'!G29,'26.07 Nateete-Ndeeba-24h'!G29,'27.07 Nateete-Ndeeba-24h'!G29,'28.07 Nateete-Ndeeba'!G29)</f>
        <v>0.5714285714285714</v>
      </c>
      <c r="H29" s="49">
        <f>AVERAGE('22.07 Nateete-Ndeeba'!H29,'23.07 Nateete-Ndeeba'!H29,'24.07 Nateete-Ndeeba'!H29,'25.07 Nateete-Ndeeba'!H29,'26.07 Nateete-Ndeeba-24h'!H29,'27.07 Nateete-Ndeeba-24h'!H29,'28.07 Nateete-Ndeeba'!H29)</f>
        <v>0.2857142857142857</v>
      </c>
      <c r="I29" s="49">
        <f>AVERAGE('22.07 Nateete-Ndeeba'!I29,'23.07 Nateete-Ndeeba'!I29,'24.07 Nateete-Ndeeba'!I29,'25.07 Nateete-Ndeeba'!I29,'26.07 Nateete-Ndeeba-24h'!I29,'27.07 Nateete-Ndeeba-24h'!I29,'28.07 Nateete-Ndeeba'!I29)</f>
        <v>5.1428571428571432</v>
      </c>
      <c r="J29" s="49">
        <f>AVERAGE('22.07 Nateete-Ndeeba'!J29,'23.07 Nateete-Ndeeba'!J29,'24.07 Nateete-Ndeeba'!J29,'25.07 Nateete-Ndeeba'!J29,'26.07 Nateete-Ndeeba-24h'!J29,'27.07 Nateete-Ndeeba-24h'!J29,'28.07 Nateete-Ndeeba'!J29)</f>
        <v>11.428571428571429</v>
      </c>
      <c r="K29" s="49">
        <f>AVERAGE('22.07 Nateete-Ndeeba'!K29,'23.07 Nateete-Ndeeba'!K29,'24.07 Nateete-Ndeeba'!K29,'25.07 Nateete-Ndeeba'!K29,'26.07 Nateete-Ndeeba-24h'!K29,'27.07 Nateete-Ndeeba-24h'!K29,'28.07 Nateete-Ndeeba'!K29)</f>
        <v>4.4285714285714288</v>
      </c>
      <c r="L29" s="49">
        <f>AVERAGE('22.07 Nateete-Ndeeba'!L29,'23.07 Nateete-Ndeeba'!L29,'24.07 Nateete-Ndeeba'!L29,'25.07 Nateete-Ndeeba'!L29,'26.07 Nateete-Ndeeba-24h'!L29,'27.07 Nateete-Ndeeba-24h'!L29,'28.07 Nateete-Ndeeba'!L29)</f>
        <v>1.2857142857142858</v>
      </c>
      <c r="M29" s="49">
        <f>AVERAGE('22.07 Nateete-Ndeeba'!M29,'23.07 Nateete-Ndeeba'!M29,'24.07 Nateete-Ndeeba'!M29,'25.07 Nateete-Ndeeba'!M29,'26.07 Nateete-Ndeeba-24h'!M29,'27.07 Nateete-Ndeeba-24h'!M29,'28.07 Nateete-Ndeeba'!M29)</f>
        <v>215.71428571428572</v>
      </c>
      <c r="N29" s="49">
        <f>AVERAGE('22.07 Nateete-Ndeeba'!N29,'23.07 Nateete-Ndeeba'!N29,'24.07 Nateete-Ndeeba'!N29,'25.07 Nateete-Ndeeba'!N29,'26.07 Nateete-Ndeeba-24h'!N29,'27.07 Nateete-Ndeeba-24h'!N29,'28.07 Nateete-Ndeeba'!N29)</f>
        <v>0</v>
      </c>
      <c r="O29" s="15">
        <f t="shared" si="0"/>
        <v>119.71428571428571</v>
      </c>
      <c r="P29" s="15">
        <f t="shared" si="1"/>
        <v>335.42857142857144</v>
      </c>
      <c r="R29" s="1" t="s">
        <v>153</v>
      </c>
      <c r="S29" s="34">
        <f>SUM(C86:C89)</f>
        <v>59.5</v>
      </c>
      <c r="T29" s="34">
        <f t="shared" ref="T29:AD29" si="22">SUM(D86:D89)</f>
        <v>6.5</v>
      </c>
      <c r="U29" s="34">
        <f t="shared" si="22"/>
        <v>8</v>
      </c>
      <c r="V29" s="34">
        <f t="shared" si="22"/>
        <v>14.5</v>
      </c>
      <c r="W29" s="34">
        <f t="shared" si="22"/>
        <v>0</v>
      </c>
      <c r="X29" s="34">
        <f t="shared" si="22"/>
        <v>1.5</v>
      </c>
      <c r="Y29" s="34">
        <f t="shared" si="22"/>
        <v>14</v>
      </c>
      <c r="Z29" s="34">
        <f t="shared" si="22"/>
        <v>40.5</v>
      </c>
      <c r="AA29" s="34">
        <f t="shared" si="22"/>
        <v>7.5</v>
      </c>
      <c r="AB29" s="34">
        <f t="shared" si="22"/>
        <v>5.5</v>
      </c>
      <c r="AC29" s="34">
        <f t="shared" si="22"/>
        <v>219</v>
      </c>
      <c r="AD29" s="34">
        <f t="shared" si="22"/>
        <v>0</v>
      </c>
      <c r="AE29" s="31">
        <f t="shared" si="13"/>
        <v>356.5</v>
      </c>
      <c r="AF29" s="31">
        <f t="shared" si="15"/>
        <v>1093.5</v>
      </c>
    </row>
    <row r="30" spans="2:32" ht="23.1" customHeight="1" x14ac:dyDescent="0.25">
      <c r="B30" s="23" t="s">
        <v>57</v>
      </c>
      <c r="C30" s="49">
        <f>AVERAGE('22.07 Nateete-Ndeeba'!C30,'23.07 Nateete-Ndeeba'!C30,'24.07 Nateete-Ndeeba'!C30,'25.07 Nateete-Ndeeba'!C30,'26.07 Nateete-Ndeeba-24h'!C30,'27.07 Nateete-Ndeeba-24h'!C30,'28.07 Nateete-Ndeeba'!C30)</f>
        <v>44.714285714285715</v>
      </c>
      <c r="D30" s="49">
        <f>AVERAGE('22.07 Nateete-Ndeeba'!D30,'23.07 Nateete-Ndeeba'!D30,'24.07 Nateete-Ndeeba'!D30,'25.07 Nateete-Ndeeba'!D30,'26.07 Nateete-Ndeeba-24h'!D30,'27.07 Nateete-Ndeeba-24h'!D30,'28.07 Nateete-Ndeeba'!D30)</f>
        <v>4.7142857142857144</v>
      </c>
      <c r="E30" s="49">
        <f>AVERAGE('22.07 Nateete-Ndeeba'!E30,'23.07 Nateete-Ndeeba'!E30,'24.07 Nateete-Ndeeba'!E30,'25.07 Nateete-Ndeeba'!E30,'26.07 Nateete-Ndeeba-24h'!E30,'27.07 Nateete-Ndeeba-24h'!E30,'28.07 Nateete-Ndeeba'!E30)</f>
        <v>3.4285714285714284</v>
      </c>
      <c r="F30" s="49">
        <f>AVERAGE('22.07 Nateete-Ndeeba'!F30,'23.07 Nateete-Ndeeba'!F30,'24.07 Nateete-Ndeeba'!F30,'25.07 Nateete-Ndeeba'!F30,'26.07 Nateete-Ndeeba-24h'!F30,'27.07 Nateete-Ndeeba-24h'!F30,'28.07 Nateete-Ndeeba'!F30)</f>
        <v>30.571428571428573</v>
      </c>
      <c r="G30" s="49">
        <f>AVERAGE('22.07 Nateete-Ndeeba'!G30,'23.07 Nateete-Ndeeba'!G30,'24.07 Nateete-Ndeeba'!G30,'25.07 Nateete-Ndeeba'!G30,'26.07 Nateete-Ndeeba-24h'!G30,'27.07 Nateete-Ndeeba-24h'!G30,'28.07 Nateete-Ndeeba'!G30)</f>
        <v>0.5714285714285714</v>
      </c>
      <c r="H30" s="49">
        <f>AVERAGE('22.07 Nateete-Ndeeba'!H30,'23.07 Nateete-Ndeeba'!H30,'24.07 Nateete-Ndeeba'!H30,'25.07 Nateete-Ndeeba'!H30,'26.07 Nateete-Ndeeba-24h'!H30,'27.07 Nateete-Ndeeba-24h'!H30,'28.07 Nateete-Ndeeba'!H30)</f>
        <v>0.42857142857142855</v>
      </c>
      <c r="I30" s="49">
        <f>AVERAGE('22.07 Nateete-Ndeeba'!I30,'23.07 Nateete-Ndeeba'!I30,'24.07 Nateete-Ndeeba'!I30,'25.07 Nateete-Ndeeba'!I30,'26.07 Nateete-Ndeeba-24h'!I30,'27.07 Nateete-Ndeeba-24h'!I30,'28.07 Nateete-Ndeeba'!I30)</f>
        <v>6.1428571428571432</v>
      </c>
      <c r="J30" s="49">
        <f>AVERAGE('22.07 Nateete-Ndeeba'!J30,'23.07 Nateete-Ndeeba'!J30,'24.07 Nateete-Ndeeba'!J30,'25.07 Nateete-Ndeeba'!J30,'26.07 Nateete-Ndeeba-24h'!J30,'27.07 Nateete-Ndeeba-24h'!J30,'28.07 Nateete-Ndeeba'!J30)</f>
        <v>10.428571428571429</v>
      </c>
      <c r="K30" s="49">
        <f>AVERAGE('22.07 Nateete-Ndeeba'!K30,'23.07 Nateete-Ndeeba'!K30,'24.07 Nateete-Ndeeba'!K30,'25.07 Nateete-Ndeeba'!K30,'26.07 Nateete-Ndeeba-24h'!K30,'27.07 Nateete-Ndeeba-24h'!K30,'28.07 Nateete-Ndeeba'!K30)</f>
        <v>2.2857142857142856</v>
      </c>
      <c r="L30" s="49">
        <f>AVERAGE('22.07 Nateete-Ndeeba'!L30,'23.07 Nateete-Ndeeba'!L30,'24.07 Nateete-Ndeeba'!L30,'25.07 Nateete-Ndeeba'!L30,'26.07 Nateete-Ndeeba-24h'!L30,'27.07 Nateete-Ndeeba-24h'!L30,'28.07 Nateete-Ndeeba'!L30)</f>
        <v>0.7142857142857143</v>
      </c>
      <c r="M30" s="49">
        <f>AVERAGE('22.07 Nateete-Ndeeba'!M30,'23.07 Nateete-Ndeeba'!M30,'24.07 Nateete-Ndeeba'!M30,'25.07 Nateete-Ndeeba'!M30,'26.07 Nateete-Ndeeba-24h'!M30,'27.07 Nateete-Ndeeba-24h'!M30,'28.07 Nateete-Ndeeba'!M30)</f>
        <v>177.85714285714286</v>
      </c>
      <c r="N30" s="49">
        <f>AVERAGE('22.07 Nateete-Ndeeba'!N30,'23.07 Nateete-Ndeeba'!N30,'24.07 Nateete-Ndeeba'!N30,'25.07 Nateete-Ndeeba'!N30,'26.07 Nateete-Ndeeba-24h'!N30,'27.07 Nateete-Ndeeba-24h'!N30,'28.07 Nateete-Ndeeba'!N30)</f>
        <v>0</v>
      </c>
      <c r="O30" s="15">
        <f t="shared" si="0"/>
        <v>104</v>
      </c>
      <c r="P30" s="15">
        <f t="shared" si="1"/>
        <v>281.85714285714289</v>
      </c>
      <c r="R30" s="1" t="s">
        <v>154</v>
      </c>
      <c r="S30" s="34">
        <f>SUM(C90:C93)</f>
        <v>58</v>
      </c>
      <c r="T30" s="34">
        <f t="shared" ref="T30:AD30" si="23">SUM(D90:D93)</f>
        <v>5.5</v>
      </c>
      <c r="U30" s="34">
        <f t="shared" si="23"/>
        <v>4</v>
      </c>
      <c r="V30" s="34">
        <f t="shared" si="23"/>
        <v>10.5</v>
      </c>
      <c r="W30" s="34">
        <f t="shared" si="23"/>
        <v>2.5</v>
      </c>
      <c r="X30" s="34">
        <f t="shared" si="23"/>
        <v>1.5</v>
      </c>
      <c r="Y30" s="34">
        <f t="shared" si="23"/>
        <v>16</v>
      </c>
      <c r="Z30" s="34">
        <f t="shared" si="23"/>
        <v>39.5</v>
      </c>
      <c r="AA30" s="34">
        <f t="shared" si="23"/>
        <v>6.5</v>
      </c>
      <c r="AB30" s="34">
        <f t="shared" si="23"/>
        <v>5.5</v>
      </c>
      <c r="AC30" s="34">
        <f t="shared" si="23"/>
        <v>181</v>
      </c>
      <c r="AD30" s="34">
        <f t="shared" si="23"/>
        <v>0</v>
      </c>
      <c r="AE30" s="31">
        <f t="shared" si="13"/>
        <v>359</v>
      </c>
      <c r="AF30" s="31">
        <f t="shared" si="15"/>
        <v>958.5</v>
      </c>
    </row>
    <row r="31" spans="2:32" ht="23.1" customHeight="1" x14ac:dyDescent="0.25">
      <c r="B31" s="24" t="s">
        <v>58</v>
      </c>
      <c r="C31" s="49">
        <f>AVERAGE('22.07 Nateete-Ndeeba'!C31,'23.07 Nateete-Ndeeba'!C31,'24.07 Nateete-Ndeeba'!C31,'25.07 Nateete-Ndeeba'!C31,'26.07 Nateete-Ndeeba-24h'!C31,'27.07 Nateete-Ndeeba-24h'!C31,'28.07 Nateete-Ndeeba'!C31)</f>
        <v>38.142857142857146</v>
      </c>
      <c r="D31" s="49">
        <f>AVERAGE('22.07 Nateete-Ndeeba'!D31,'23.07 Nateete-Ndeeba'!D31,'24.07 Nateete-Ndeeba'!D31,'25.07 Nateete-Ndeeba'!D31,'26.07 Nateete-Ndeeba-24h'!D31,'27.07 Nateete-Ndeeba-24h'!D31,'28.07 Nateete-Ndeeba'!D31)</f>
        <v>6.5714285714285712</v>
      </c>
      <c r="E31" s="49">
        <f>AVERAGE('22.07 Nateete-Ndeeba'!E31,'23.07 Nateete-Ndeeba'!E31,'24.07 Nateete-Ndeeba'!E31,'25.07 Nateete-Ndeeba'!E31,'26.07 Nateete-Ndeeba-24h'!E31,'27.07 Nateete-Ndeeba-24h'!E31,'28.07 Nateete-Ndeeba'!E31)</f>
        <v>4.4285714285714288</v>
      </c>
      <c r="F31" s="49">
        <f>AVERAGE('22.07 Nateete-Ndeeba'!F31,'23.07 Nateete-Ndeeba'!F31,'24.07 Nateete-Ndeeba'!F31,'25.07 Nateete-Ndeeba'!F31,'26.07 Nateete-Ndeeba-24h'!F31,'27.07 Nateete-Ndeeba-24h'!F31,'28.07 Nateete-Ndeeba'!F31)</f>
        <v>27.142857142857142</v>
      </c>
      <c r="G31" s="49">
        <f>AVERAGE('22.07 Nateete-Ndeeba'!G31,'23.07 Nateete-Ndeeba'!G31,'24.07 Nateete-Ndeeba'!G31,'25.07 Nateete-Ndeeba'!G31,'26.07 Nateete-Ndeeba-24h'!G31,'27.07 Nateete-Ndeeba-24h'!G31,'28.07 Nateete-Ndeeba'!G31)</f>
        <v>0</v>
      </c>
      <c r="H31" s="49">
        <f>AVERAGE('22.07 Nateete-Ndeeba'!H31,'23.07 Nateete-Ndeeba'!H31,'24.07 Nateete-Ndeeba'!H31,'25.07 Nateete-Ndeeba'!H31,'26.07 Nateete-Ndeeba-24h'!H31,'27.07 Nateete-Ndeeba-24h'!H31,'28.07 Nateete-Ndeeba'!H31)</f>
        <v>0</v>
      </c>
      <c r="I31" s="49">
        <f>AVERAGE('22.07 Nateete-Ndeeba'!I31,'23.07 Nateete-Ndeeba'!I31,'24.07 Nateete-Ndeeba'!I31,'25.07 Nateete-Ndeeba'!I31,'26.07 Nateete-Ndeeba-24h'!I31,'27.07 Nateete-Ndeeba-24h'!I31,'28.07 Nateete-Ndeeba'!I31)</f>
        <v>8</v>
      </c>
      <c r="J31" s="49">
        <f>AVERAGE('22.07 Nateete-Ndeeba'!J31,'23.07 Nateete-Ndeeba'!J31,'24.07 Nateete-Ndeeba'!J31,'25.07 Nateete-Ndeeba'!J31,'26.07 Nateete-Ndeeba-24h'!J31,'27.07 Nateete-Ndeeba-24h'!J31,'28.07 Nateete-Ndeeba'!J31)</f>
        <v>13.714285714285714</v>
      </c>
      <c r="K31" s="49">
        <f>AVERAGE('22.07 Nateete-Ndeeba'!K31,'23.07 Nateete-Ndeeba'!K31,'24.07 Nateete-Ndeeba'!K31,'25.07 Nateete-Ndeeba'!K31,'26.07 Nateete-Ndeeba-24h'!K31,'27.07 Nateete-Ndeeba-24h'!K31,'28.07 Nateete-Ndeeba'!K31)</f>
        <v>2.7142857142857144</v>
      </c>
      <c r="L31" s="49">
        <f>AVERAGE('22.07 Nateete-Ndeeba'!L31,'23.07 Nateete-Ndeeba'!L31,'24.07 Nateete-Ndeeba'!L31,'25.07 Nateete-Ndeeba'!L31,'26.07 Nateete-Ndeeba-24h'!L31,'27.07 Nateete-Ndeeba-24h'!L31,'28.07 Nateete-Ndeeba'!L31)</f>
        <v>0.7142857142857143</v>
      </c>
      <c r="M31" s="49">
        <f>AVERAGE('22.07 Nateete-Ndeeba'!M31,'23.07 Nateete-Ndeeba'!M31,'24.07 Nateete-Ndeeba'!M31,'25.07 Nateete-Ndeeba'!M31,'26.07 Nateete-Ndeeba-24h'!M31,'27.07 Nateete-Ndeeba-24h'!M31,'28.07 Nateete-Ndeeba'!M31)</f>
        <v>180.71428571428572</v>
      </c>
      <c r="N31" s="49">
        <f>AVERAGE('22.07 Nateete-Ndeeba'!N31,'23.07 Nateete-Ndeeba'!N31,'24.07 Nateete-Ndeeba'!N31,'25.07 Nateete-Ndeeba'!N31,'26.07 Nateete-Ndeeba-24h'!N31,'27.07 Nateete-Ndeeba-24h'!N31,'28.07 Nateete-Ndeeba'!N31)</f>
        <v>0</v>
      </c>
      <c r="O31" s="15">
        <f t="shared" si="0"/>
        <v>101.42857142857142</v>
      </c>
      <c r="P31" s="15">
        <f t="shared" si="1"/>
        <v>282.14285714285711</v>
      </c>
      <c r="R31" s="1" t="s">
        <v>155</v>
      </c>
      <c r="S31" s="34">
        <f>SUM(C94:C97)</f>
        <v>25.5</v>
      </c>
      <c r="T31" s="34">
        <f t="shared" ref="T31:AD31" si="24">SUM(D94:D97)</f>
        <v>2</v>
      </c>
      <c r="U31" s="34">
        <f t="shared" si="24"/>
        <v>2.5</v>
      </c>
      <c r="V31" s="34">
        <f t="shared" si="24"/>
        <v>7</v>
      </c>
      <c r="W31" s="34">
        <f t="shared" si="24"/>
        <v>0.5</v>
      </c>
      <c r="X31" s="34">
        <f t="shared" si="24"/>
        <v>2.5</v>
      </c>
      <c r="Y31" s="34">
        <f t="shared" si="24"/>
        <v>10</v>
      </c>
      <c r="Z31" s="34">
        <f t="shared" si="24"/>
        <v>32</v>
      </c>
      <c r="AA31" s="34">
        <f t="shared" si="24"/>
        <v>4</v>
      </c>
      <c r="AB31" s="34">
        <f t="shared" si="24"/>
        <v>4.5</v>
      </c>
      <c r="AC31" s="34">
        <f t="shared" si="24"/>
        <v>132.5</v>
      </c>
      <c r="AD31" s="34">
        <f t="shared" si="24"/>
        <v>0</v>
      </c>
      <c r="AE31" s="31">
        <f t="shared" si="13"/>
        <v>352</v>
      </c>
      <c r="AF31" s="31">
        <f t="shared" si="15"/>
        <v>882.5</v>
      </c>
    </row>
    <row r="32" spans="2:32" ht="23.1" customHeight="1" x14ac:dyDescent="0.25">
      <c r="B32" s="24" t="s">
        <v>59</v>
      </c>
      <c r="C32" s="49">
        <f>AVERAGE('22.07 Nateete-Ndeeba'!C32,'23.07 Nateete-Ndeeba'!C32,'24.07 Nateete-Ndeeba'!C32,'25.07 Nateete-Ndeeba'!C32,'26.07 Nateete-Ndeeba-24h'!C32,'27.07 Nateete-Ndeeba-24h'!C32,'28.07 Nateete-Ndeeba'!C32)</f>
        <v>56.142857142857146</v>
      </c>
      <c r="D32" s="49">
        <f>AVERAGE('22.07 Nateete-Ndeeba'!D32,'23.07 Nateete-Ndeeba'!D32,'24.07 Nateete-Ndeeba'!D32,'25.07 Nateete-Ndeeba'!D32,'26.07 Nateete-Ndeeba-24h'!D32,'27.07 Nateete-Ndeeba-24h'!D32,'28.07 Nateete-Ndeeba'!D32)</f>
        <v>5.8571428571428568</v>
      </c>
      <c r="E32" s="49">
        <f>AVERAGE('22.07 Nateete-Ndeeba'!E32,'23.07 Nateete-Ndeeba'!E32,'24.07 Nateete-Ndeeba'!E32,'25.07 Nateete-Ndeeba'!E32,'26.07 Nateete-Ndeeba-24h'!E32,'27.07 Nateete-Ndeeba-24h'!E32,'28.07 Nateete-Ndeeba'!E32)</f>
        <v>3.5714285714285716</v>
      </c>
      <c r="F32" s="49">
        <f>AVERAGE('22.07 Nateete-Ndeeba'!F32,'23.07 Nateete-Ndeeba'!F32,'24.07 Nateete-Ndeeba'!F32,'25.07 Nateete-Ndeeba'!F32,'26.07 Nateete-Ndeeba-24h'!F32,'27.07 Nateete-Ndeeba-24h'!F32,'28.07 Nateete-Ndeeba'!F32)</f>
        <v>31.571428571428573</v>
      </c>
      <c r="G32" s="49">
        <f>AVERAGE('22.07 Nateete-Ndeeba'!G32,'23.07 Nateete-Ndeeba'!G32,'24.07 Nateete-Ndeeba'!G32,'25.07 Nateete-Ndeeba'!G32,'26.07 Nateete-Ndeeba-24h'!G32,'27.07 Nateete-Ndeeba-24h'!G32,'28.07 Nateete-Ndeeba'!G32)</f>
        <v>0.42857142857142855</v>
      </c>
      <c r="H32" s="49">
        <f>AVERAGE('22.07 Nateete-Ndeeba'!H32,'23.07 Nateete-Ndeeba'!H32,'24.07 Nateete-Ndeeba'!H32,'25.07 Nateete-Ndeeba'!H32,'26.07 Nateete-Ndeeba-24h'!H32,'27.07 Nateete-Ndeeba-24h'!H32,'28.07 Nateete-Ndeeba'!H32)</f>
        <v>0.14285714285714285</v>
      </c>
      <c r="I32" s="49">
        <f>AVERAGE('22.07 Nateete-Ndeeba'!I32,'23.07 Nateete-Ndeeba'!I32,'24.07 Nateete-Ndeeba'!I32,'25.07 Nateete-Ndeeba'!I32,'26.07 Nateete-Ndeeba-24h'!I32,'27.07 Nateete-Ndeeba-24h'!I32,'28.07 Nateete-Ndeeba'!I32)</f>
        <v>6.1428571428571432</v>
      </c>
      <c r="J32" s="49">
        <f>AVERAGE('22.07 Nateete-Ndeeba'!J32,'23.07 Nateete-Ndeeba'!J32,'24.07 Nateete-Ndeeba'!J32,'25.07 Nateete-Ndeeba'!J32,'26.07 Nateete-Ndeeba-24h'!J32,'27.07 Nateete-Ndeeba-24h'!J32,'28.07 Nateete-Ndeeba'!J32)</f>
        <v>14.285714285714286</v>
      </c>
      <c r="K32" s="49">
        <f>AVERAGE('22.07 Nateete-Ndeeba'!K32,'23.07 Nateete-Ndeeba'!K32,'24.07 Nateete-Ndeeba'!K32,'25.07 Nateete-Ndeeba'!K32,'26.07 Nateete-Ndeeba-24h'!K32,'27.07 Nateete-Ndeeba-24h'!K32,'28.07 Nateete-Ndeeba'!K32)</f>
        <v>2.1428571428571428</v>
      </c>
      <c r="L32" s="49">
        <f>AVERAGE('22.07 Nateete-Ndeeba'!L32,'23.07 Nateete-Ndeeba'!L32,'24.07 Nateete-Ndeeba'!L32,'25.07 Nateete-Ndeeba'!L32,'26.07 Nateete-Ndeeba-24h'!L32,'27.07 Nateete-Ndeeba-24h'!L32,'28.07 Nateete-Ndeeba'!L32)</f>
        <v>0.8571428571428571</v>
      </c>
      <c r="M32" s="49">
        <f>AVERAGE('22.07 Nateete-Ndeeba'!M32,'23.07 Nateete-Ndeeba'!M32,'24.07 Nateete-Ndeeba'!M32,'25.07 Nateete-Ndeeba'!M32,'26.07 Nateete-Ndeeba-24h'!M32,'27.07 Nateete-Ndeeba-24h'!M32,'28.07 Nateete-Ndeeba'!M32)</f>
        <v>205.71428571428572</v>
      </c>
      <c r="N32" s="49">
        <f>AVERAGE('22.07 Nateete-Ndeeba'!N32,'23.07 Nateete-Ndeeba'!N32,'24.07 Nateete-Ndeeba'!N32,'25.07 Nateete-Ndeeba'!N32,'26.07 Nateete-Ndeeba-24h'!N32,'27.07 Nateete-Ndeeba-24h'!N32,'28.07 Nateete-Ndeeba'!N32)</f>
        <v>0</v>
      </c>
      <c r="O32" s="15">
        <f t="shared" si="0"/>
        <v>121.14285714285714</v>
      </c>
      <c r="P32" s="15">
        <f t="shared" si="1"/>
        <v>326.85714285714289</v>
      </c>
      <c r="R32" s="1" t="s">
        <v>156</v>
      </c>
      <c r="S32" s="34">
        <f>SUM(C98:C101)</f>
        <v>78.5</v>
      </c>
      <c r="T32" s="34">
        <f t="shared" ref="T32:AD32" si="25">SUM(D98:D101)</f>
        <v>6</v>
      </c>
      <c r="U32" s="34">
        <f t="shared" si="25"/>
        <v>9.5</v>
      </c>
      <c r="V32" s="34">
        <f t="shared" si="25"/>
        <v>47</v>
      </c>
      <c r="W32" s="34">
        <f t="shared" si="25"/>
        <v>5</v>
      </c>
      <c r="X32" s="34">
        <f t="shared" si="25"/>
        <v>5.5</v>
      </c>
      <c r="Y32" s="34">
        <f t="shared" si="25"/>
        <v>11</v>
      </c>
      <c r="Z32" s="34">
        <f t="shared" si="25"/>
        <v>32.5</v>
      </c>
      <c r="AA32" s="34">
        <f t="shared" si="25"/>
        <v>13</v>
      </c>
      <c r="AB32" s="34">
        <f t="shared" si="25"/>
        <v>8</v>
      </c>
      <c r="AC32" s="34">
        <f t="shared" si="25"/>
        <v>233.5</v>
      </c>
      <c r="AD32" s="34">
        <f t="shared" si="25"/>
        <v>0</v>
      </c>
      <c r="AE32" s="31">
        <f t="shared" si="13"/>
        <v>359</v>
      </c>
      <c r="AF32" s="31">
        <f t="shared" si="15"/>
        <v>848.5</v>
      </c>
    </row>
    <row r="33" spans="2:32" ht="23.1" customHeight="1" x14ac:dyDescent="0.25">
      <c r="B33" s="23" t="s">
        <v>60</v>
      </c>
      <c r="C33" s="49">
        <f>AVERAGE('22.07 Nateete-Ndeeba'!C33,'23.07 Nateete-Ndeeba'!C33,'24.07 Nateete-Ndeeba'!C33,'25.07 Nateete-Ndeeba'!C33,'26.07 Nateete-Ndeeba-24h'!C33,'27.07 Nateete-Ndeeba-24h'!C33,'28.07 Nateete-Ndeeba'!C33)</f>
        <v>41.142857142857146</v>
      </c>
      <c r="D33" s="49">
        <f>AVERAGE('22.07 Nateete-Ndeeba'!D33,'23.07 Nateete-Ndeeba'!D33,'24.07 Nateete-Ndeeba'!D33,'25.07 Nateete-Ndeeba'!D33,'26.07 Nateete-Ndeeba-24h'!D33,'27.07 Nateete-Ndeeba-24h'!D33,'28.07 Nateete-Ndeeba'!D33)</f>
        <v>5.5714285714285712</v>
      </c>
      <c r="E33" s="49">
        <f>AVERAGE('22.07 Nateete-Ndeeba'!E33,'23.07 Nateete-Ndeeba'!E33,'24.07 Nateete-Ndeeba'!E33,'25.07 Nateete-Ndeeba'!E33,'26.07 Nateete-Ndeeba-24h'!E33,'27.07 Nateete-Ndeeba-24h'!E33,'28.07 Nateete-Ndeeba'!E33)</f>
        <v>4.7142857142857144</v>
      </c>
      <c r="F33" s="49">
        <f>AVERAGE('22.07 Nateete-Ndeeba'!F33,'23.07 Nateete-Ndeeba'!F33,'24.07 Nateete-Ndeeba'!F33,'25.07 Nateete-Ndeeba'!F33,'26.07 Nateete-Ndeeba-24h'!F33,'27.07 Nateete-Ndeeba-24h'!F33,'28.07 Nateete-Ndeeba'!F33)</f>
        <v>32.428571428571431</v>
      </c>
      <c r="G33" s="49">
        <f>AVERAGE('22.07 Nateete-Ndeeba'!G33,'23.07 Nateete-Ndeeba'!G33,'24.07 Nateete-Ndeeba'!G33,'25.07 Nateete-Ndeeba'!G33,'26.07 Nateete-Ndeeba-24h'!G33,'27.07 Nateete-Ndeeba-24h'!G33,'28.07 Nateete-Ndeeba'!G33)</f>
        <v>1.2857142857142858</v>
      </c>
      <c r="H33" s="49">
        <f>AVERAGE('22.07 Nateete-Ndeeba'!H33,'23.07 Nateete-Ndeeba'!H33,'24.07 Nateete-Ndeeba'!H33,'25.07 Nateete-Ndeeba'!H33,'26.07 Nateete-Ndeeba-24h'!H33,'27.07 Nateete-Ndeeba-24h'!H33,'28.07 Nateete-Ndeeba'!H33)</f>
        <v>0.14285714285714285</v>
      </c>
      <c r="I33" s="49">
        <f>AVERAGE('22.07 Nateete-Ndeeba'!I33,'23.07 Nateete-Ndeeba'!I33,'24.07 Nateete-Ndeeba'!I33,'25.07 Nateete-Ndeeba'!I33,'26.07 Nateete-Ndeeba-24h'!I33,'27.07 Nateete-Ndeeba-24h'!I33,'28.07 Nateete-Ndeeba'!I33)</f>
        <v>5.8571428571428568</v>
      </c>
      <c r="J33" s="49">
        <f>AVERAGE('22.07 Nateete-Ndeeba'!J33,'23.07 Nateete-Ndeeba'!J33,'24.07 Nateete-Ndeeba'!J33,'25.07 Nateete-Ndeeba'!J33,'26.07 Nateete-Ndeeba-24h'!J33,'27.07 Nateete-Ndeeba-24h'!J33,'28.07 Nateete-Ndeeba'!J33)</f>
        <v>11.142857142857142</v>
      </c>
      <c r="K33" s="49">
        <f>AVERAGE('22.07 Nateete-Ndeeba'!K33,'23.07 Nateete-Ndeeba'!K33,'24.07 Nateete-Ndeeba'!K33,'25.07 Nateete-Ndeeba'!K33,'26.07 Nateete-Ndeeba-24h'!K33,'27.07 Nateete-Ndeeba-24h'!K33,'28.07 Nateete-Ndeeba'!K33)</f>
        <v>2.4285714285714284</v>
      </c>
      <c r="L33" s="49">
        <f>AVERAGE('22.07 Nateete-Ndeeba'!L33,'23.07 Nateete-Ndeeba'!L33,'24.07 Nateete-Ndeeba'!L33,'25.07 Nateete-Ndeeba'!L33,'26.07 Nateete-Ndeeba-24h'!L33,'27.07 Nateete-Ndeeba-24h'!L33,'28.07 Nateete-Ndeeba'!L33)</f>
        <v>1.2857142857142858</v>
      </c>
      <c r="M33" s="49">
        <f>AVERAGE('22.07 Nateete-Ndeeba'!M33,'23.07 Nateete-Ndeeba'!M33,'24.07 Nateete-Ndeeba'!M33,'25.07 Nateete-Ndeeba'!M33,'26.07 Nateete-Ndeeba-24h'!M33,'27.07 Nateete-Ndeeba-24h'!M33,'28.07 Nateete-Ndeeba'!M33)</f>
        <v>183.14285714285714</v>
      </c>
      <c r="N33" s="49">
        <f>AVERAGE('22.07 Nateete-Ndeeba'!N33,'23.07 Nateete-Ndeeba'!N33,'24.07 Nateete-Ndeeba'!N33,'25.07 Nateete-Ndeeba'!N33,'26.07 Nateete-Ndeeba-24h'!N33,'27.07 Nateete-Ndeeba-24h'!N33,'28.07 Nateete-Ndeeba'!N33)</f>
        <v>0</v>
      </c>
      <c r="O33" s="15">
        <f t="shared" si="0"/>
        <v>106.00000000000001</v>
      </c>
      <c r="P33" s="15">
        <f t="shared" si="1"/>
        <v>289.14285714285717</v>
      </c>
      <c r="R33" s="1" t="s">
        <v>157</v>
      </c>
      <c r="S33" s="34">
        <f>SUM(C102:C105)</f>
        <v>59</v>
      </c>
      <c r="T33" s="34">
        <f t="shared" ref="T33:AD33" si="26">SUM(D102:D105)</f>
        <v>10</v>
      </c>
      <c r="U33" s="34">
        <f t="shared" si="26"/>
        <v>16.5</v>
      </c>
      <c r="V33" s="34">
        <f t="shared" si="26"/>
        <v>80.5</v>
      </c>
      <c r="W33" s="34">
        <f t="shared" si="26"/>
        <v>5</v>
      </c>
      <c r="X33" s="34">
        <f t="shared" si="26"/>
        <v>1</v>
      </c>
      <c r="Y33" s="34">
        <f t="shared" si="26"/>
        <v>22.5</v>
      </c>
      <c r="Z33" s="34">
        <f t="shared" si="26"/>
        <v>44</v>
      </c>
      <c r="AA33" s="34">
        <f t="shared" si="26"/>
        <v>11</v>
      </c>
      <c r="AB33" s="34">
        <f t="shared" si="26"/>
        <v>4.5</v>
      </c>
      <c r="AC33" s="34">
        <f t="shared" si="26"/>
        <v>373.5</v>
      </c>
      <c r="AD33" s="34">
        <f t="shared" si="26"/>
        <v>0</v>
      </c>
      <c r="AE33" s="31">
        <f t="shared" si="13"/>
        <v>341</v>
      </c>
      <c r="AF33" s="31">
        <f t="shared" si="15"/>
        <v>784</v>
      </c>
    </row>
    <row r="34" spans="2:32" ht="23.1" customHeight="1" x14ac:dyDescent="0.25">
      <c r="B34" s="24" t="s">
        <v>61</v>
      </c>
      <c r="C34" s="49">
        <f>AVERAGE('22.07 Nateete-Ndeeba'!C34,'23.07 Nateete-Ndeeba'!C34,'24.07 Nateete-Ndeeba'!C34,'25.07 Nateete-Ndeeba'!C34,'26.07 Nateete-Ndeeba-24h'!C34,'27.07 Nateete-Ndeeba-24h'!C34,'28.07 Nateete-Ndeeba'!C34)</f>
        <v>45.714285714285715</v>
      </c>
      <c r="D34" s="49">
        <f>AVERAGE('22.07 Nateete-Ndeeba'!D34,'23.07 Nateete-Ndeeba'!D34,'24.07 Nateete-Ndeeba'!D34,'25.07 Nateete-Ndeeba'!D34,'26.07 Nateete-Ndeeba-24h'!D34,'27.07 Nateete-Ndeeba-24h'!D34,'28.07 Nateete-Ndeeba'!D34)</f>
        <v>5</v>
      </c>
      <c r="E34" s="49">
        <f>AVERAGE('22.07 Nateete-Ndeeba'!E34,'23.07 Nateete-Ndeeba'!E34,'24.07 Nateete-Ndeeba'!E34,'25.07 Nateete-Ndeeba'!E34,'26.07 Nateete-Ndeeba-24h'!E34,'27.07 Nateete-Ndeeba-24h'!E34,'28.07 Nateete-Ndeeba'!E34)</f>
        <v>4.1428571428571432</v>
      </c>
      <c r="F34" s="49">
        <f>AVERAGE('22.07 Nateete-Ndeeba'!F34,'23.07 Nateete-Ndeeba'!F34,'24.07 Nateete-Ndeeba'!F34,'25.07 Nateete-Ndeeba'!F34,'26.07 Nateete-Ndeeba-24h'!F34,'27.07 Nateete-Ndeeba-24h'!F34,'28.07 Nateete-Ndeeba'!F34)</f>
        <v>32.571428571428569</v>
      </c>
      <c r="G34" s="49">
        <f>AVERAGE('22.07 Nateete-Ndeeba'!G34,'23.07 Nateete-Ndeeba'!G34,'24.07 Nateete-Ndeeba'!G34,'25.07 Nateete-Ndeeba'!G34,'26.07 Nateete-Ndeeba-24h'!G34,'27.07 Nateete-Ndeeba-24h'!G34,'28.07 Nateete-Ndeeba'!G34)</f>
        <v>1</v>
      </c>
      <c r="H34" s="49">
        <f>AVERAGE('22.07 Nateete-Ndeeba'!H34,'23.07 Nateete-Ndeeba'!H34,'24.07 Nateete-Ndeeba'!H34,'25.07 Nateete-Ndeeba'!H34,'26.07 Nateete-Ndeeba-24h'!H34,'27.07 Nateete-Ndeeba-24h'!H34,'28.07 Nateete-Ndeeba'!H34)</f>
        <v>0</v>
      </c>
      <c r="I34" s="49">
        <f>AVERAGE('22.07 Nateete-Ndeeba'!I34,'23.07 Nateete-Ndeeba'!I34,'24.07 Nateete-Ndeeba'!I34,'25.07 Nateete-Ndeeba'!I34,'26.07 Nateete-Ndeeba-24h'!I34,'27.07 Nateete-Ndeeba-24h'!I34,'28.07 Nateete-Ndeeba'!I34)</f>
        <v>9.7142857142857135</v>
      </c>
      <c r="J34" s="49">
        <f>AVERAGE('22.07 Nateete-Ndeeba'!J34,'23.07 Nateete-Ndeeba'!J34,'24.07 Nateete-Ndeeba'!J34,'25.07 Nateete-Ndeeba'!J34,'26.07 Nateete-Ndeeba-24h'!J34,'27.07 Nateete-Ndeeba-24h'!J34,'28.07 Nateete-Ndeeba'!J34)</f>
        <v>12</v>
      </c>
      <c r="K34" s="49">
        <f>AVERAGE('22.07 Nateete-Ndeeba'!K34,'23.07 Nateete-Ndeeba'!K34,'24.07 Nateete-Ndeeba'!K34,'25.07 Nateete-Ndeeba'!K34,'26.07 Nateete-Ndeeba-24h'!K34,'27.07 Nateete-Ndeeba-24h'!K34,'28.07 Nateete-Ndeeba'!K34)</f>
        <v>2.2857142857142856</v>
      </c>
      <c r="L34" s="49">
        <f>AVERAGE('22.07 Nateete-Ndeeba'!L34,'23.07 Nateete-Ndeeba'!L34,'24.07 Nateete-Ndeeba'!L34,'25.07 Nateete-Ndeeba'!L34,'26.07 Nateete-Ndeeba-24h'!L34,'27.07 Nateete-Ndeeba-24h'!L34,'28.07 Nateete-Ndeeba'!L34)</f>
        <v>1</v>
      </c>
      <c r="M34" s="49">
        <f>AVERAGE('22.07 Nateete-Ndeeba'!M34,'23.07 Nateete-Ndeeba'!M34,'24.07 Nateete-Ndeeba'!M34,'25.07 Nateete-Ndeeba'!M34,'26.07 Nateete-Ndeeba-24h'!M34,'27.07 Nateete-Ndeeba-24h'!M34,'28.07 Nateete-Ndeeba'!M34)</f>
        <v>193.57142857142858</v>
      </c>
      <c r="N34" s="49">
        <f>AVERAGE('22.07 Nateete-Ndeeba'!N34,'23.07 Nateete-Ndeeba'!N34,'24.07 Nateete-Ndeeba'!N34,'25.07 Nateete-Ndeeba'!N34,'26.07 Nateete-Ndeeba-24h'!N34,'27.07 Nateete-Ndeeba-24h'!N34,'28.07 Nateete-Ndeeba'!N34)</f>
        <v>0</v>
      </c>
      <c r="O34" s="15">
        <f t="shared" si="0"/>
        <v>113.42857142857143</v>
      </c>
      <c r="P34" s="15">
        <f t="shared" si="1"/>
        <v>307</v>
      </c>
      <c r="R34" s="38" t="s">
        <v>90</v>
      </c>
      <c r="S34" s="39">
        <f t="shared" ref="S34:AF34" si="27">MAX(S10:S12)</f>
        <v>165.71428571428572</v>
      </c>
      <c r="T34" s="39">
        <f t="shared" si="27"/>
        <v>25.571428571428569</v>
      </c>
      <c r="U34" s="39">
        <f t="shared" si="27"/>
        <v>17.714285714285715</v>
      </c>
      <c r="V34" s="39">
        <f t="shared" si="27"/>
        <v>139.42857142857142</v>
      </c>
      <c r="W34" s="39">
        <f t="shared" si="27"/>
        <v>2.8571428571428568</v>
      </c>
      <c r="X34" s="39">
        <f t="shared" si="27"/>
        <v>2.5714285714285712</v>
      </c>
      <c r="Y34" s="39">
        <f t="shared" si="27"/>
        <v>31</v>
      </c>
      <c r="Z34" s="39">
        <f t="shared" si="27"/>
        <v>48.285714285714285</v>
      </c>
      <c r="AA34" s="39">
        <f t="shared" si="27"/>
        <v>7.1428571428571423</v>
      </c>
      <c r="AB34" s="39">
        <f t="shared" si="27"/>
        <v>5.2857142857142856</v>
      </c>
      <c r="AC34" s="39">
        <f t="shared" si="27"/>
        <v>819.28571428571433</v>
      </c>
      <c r="AD34" s="39">
        <f t="shared" si="27"/>
        <v>0.14285714285714285</v>
      </c>
      <c r="AE34" s="40">
        <f t="shared" si="27"/>
        <v>439.71428571428572</v>
      </c>
      <c r="AF34" s="40">
        <f t="shared" si="27"/>
        <v>1244.4285714285716</v>
      </c>
    </row>
    <row r="35" spans="2:32" ht="23.1" customHeight="1" x14ac:dyDescent="0.25">
      <c r="B35" s="24" t="s">
        <v>62</v>
      </c>
      <c r="C35" s="49">
        <f>AVERAGE('22.07 Nateete-Ndeeba'!C35,'23.07 Nateete-Ndeeba'!C35,'24.07 Nateete-Ndeeba'!C35,'25.07 Nateete-Ndeeba'!C35,'26.07 Nateete-Ndeeba-24h'!C35,'27.07 Nateete-Ndeeba-24h'!C35,'28.07 Nateete-Ndeeba'!C35)</f>
        <v>33.857142857142854</v>
      </c>
      <c r="D35" s="49">
        <f>AVERAGE('22.07 Nateete-Ndeeba'!D35,'23.07 Nateete-Ndeeba'!D35,'24.07 Nateete-Ndeeba'!D35,'25.07 Nateete-Ndeeba'!D35,'26.07 Nateete-Ndeeba-24h'!D35,'27.07 Nateete-Ndeeba-24h'!D35,'28.07 Nateete-Ndeeba'!D35)</f>
        <v>6.5714285714285712</v>
      </c>
      <c r="E35" s="49">
        <f>AVERAGE('22.07 Nateete-Ndeeba'!E35,'23.07 Nateete-Ndeeba'!E35,'24.07 Nateete-Ndeeba'!E35,'25.07 Nateete-Ndeeba'!E35,'26.07 Nateete-Ndeeba-24h'!E35,'27.07 Nateete-Ndeeba-24h'!E35,'28.07 Nateete-Ndeeba'!E35)</f>
        <v>3.8571428571428572</v>
      </c>
      <c r="F35" s="49">
        <f>AVERAGE('22.07 Nateete-Ndeeba'!F35,'23.07 Nateete-Ndeeba'!F35,'24.07 Nateete-Ndeeba'!F35,'25.07 Nateete-Ndeeba'!F35,'26.07 Nateete-Ndeeba-24h'!F35,'27.07 Nateete-Ndeeba-24h'!F35,'28.07 Nateete-Ndeeba'!F35)</f>
        <v>24</v>
      </c>
      <c r="G35" s="49">
        <f>AVERAGE('22.07 Nateete-Ndeeba'!G35,'23.07 Nateete-Ndeeba'!G35,'24.07 Nateete-Ndeeba'!G35,'25.07 Nateete-Ndeeba'!G35,'26.07 Nateete-Ndeeba-24h'!G35,'27.07 Nateete-Ndeeba-24h'!G35,'28.07 Nateete-Ndeeba'!G35)</f>
        <v>0.7142857142857143</v>
      </c>
      <c r="H35" s="49">
        <f>AVERAGE('22.07 Nateete-Ndeeba'!H35,'23.07 Nateete-Ndeeba'!H35,'24.07 Nateete-Ndeeba'!H35,'25.07 Nateete-Ndeeba'!H35,'26.07 Nateete-Ndeeba-24h'!H35,'27.07 Nateete-Ndeeba-24h'!H35,'28.07 Nateete-Ndeeba'!H35)</f>
        <v>0</v>
      </c>
      <c r="I35" s="49">
        <f>AVERAGE('22.07 Nateete-Ndeeba'!I35,'23.07 Nateete-Ndeeba'!I35,'24.07 Nateete-Ndeeba'!I35,'25.07 Nateete-Ndeeba'!I35,'26.07 Nateete-Ndeeba-24h'!I35,'27.07 Nateete-Ndeeba-24h'!I35,'28.07 Nateete-Ndeeba'!I35)</f>
        <v>7.1428571428571432</v>
      </c>
      <c r="J35" s="49">
        <f>AVERAGE('22.07 Nateete-Ndeeba'!J35,'23.07 Nateete-Ndeeba'!J35,'24.07 Nateete-Ndeeba'!J35,'25.07 Nateete-Ndeeba'!J35,'26.07 Nateete-Ndeeba-24h'!J35,'27.07 Nateete-Ndeeba-24h'!J35,'28.07 Nateete-Ndeeba'!J35)</f>
        <v>7.7142857142857144</v>
      </c>
      <c r="K35" s="49">
        <f>AVERAGE('22.07 Nateete-Ndeeba'!K35,'23.07 Nateete-Ndeeba'!K35,'24.07 Nateete-Ndeeba'!K35,'25.07 Nateete-Ndeeba'!K35,'26.07 Nateete-Ndeeba-24h'!K35,'27.07 Nateete-Ndeeba-24h'!K35,'28.07 Nateete-Ndeeba'!K35)</f>
        <v>2.5714285714285716</v>
      </c>
      <c r="L35" s="49">
        <f>AVERAGE('22.07 Nateete-Ndeeba'!L35,'23.07 Nateete-Ndeeba'!L35,'24.07 Nateete-Ndeeba'!L35,'25.07 Nateete-Ndeeba'!L35,'26.07 Nateete-Ndeeba-24h'!L35,'27.07 Nateete-Ndeeba-24h'!L35,'28.07 Nateete-Ndeeba'!L35)</f>
        <v>0.7142857142857143</v>
      </c>
      <c r="M35" s="49">
        <f>AVERAGE('22.07 Nateete-Ndeeba'!M35,'23.07 Nateete-Ndeeba'!M35,'24.07 Nateete-Ndeeba'!M35,'25.07 Nateete-Ndeeba'!M35,'26.07 Nateete-Ndeeba-24h'!M35,'27.07 Nateete-Ndeeba-24h'!M35,'28.07 Nateete-Ndeeba'!M35)</f>
        <v>191.42857142857142</v>
      </c>
      <c r="N35" s="49">
        <f>AVERAGE('22.07 Nateete-Ndeeba'!N35,'23.07 Nateete-Ndeeba'!N35,'24.07 Nateete-Ndeeba'!N35,'25.07 Nateete-Ndeeba'!N35,'26.07 Nateete-Ndeeba-24h'!N35,'27.07 Nateete-Ndeeba-24h'!N35,'28.07 Nateete-Ndeeba'!N35)</f>
        <v>0</v>
      </c>
      <c r="O35" s="15">
        <f t="shared" si="0"/>
        <v>87.14285714285711</v>
      </c>
      <c r="P35" s="15">
        <f t="shared" si="1"/>
        <v>278.57142857142856</v>
      </c>
      <c r="R35" s="38" t="s">
        <v>91</v>
      </c>
      <c r="S35" s="39">
        <f t="shared" ref="S35:AF35" si="28">MAX(S13:S18)</f>
        <v>180.14285714285714</v>
      </c>
      <c r="T35" s="39">
        <f t="shared" si="28"/>
        <v>30.714285714285715</v>
      </c>
      <c r="U35" s="39">
        <f t="shared" si="28"/>
        <v>18.714285714285715</v>
      </c>
      <c r="V35" s="39">
        <f t="shared" si="28"/>
        <v>127.28571428571429</v>
      </c>
      <c r="W35" s="39">
        <f t="shared" si="28"/>
        <v>4.8571428571428577</v>
      </c>
      <c r="X35" s="39">
        <f t="shared" si="28"/>
        <v>1.4285714285714284</v>
      </c>
      <c r="Y35" s="39">
        <f t="shared" si="28"/>
        <v>31.857142857142854</v>
      </c>
      <c r="Z35" s="39">
        <f t="shared" si="28"/>
        <v>49.571428571428569</v>
      </c>
      <c r="AA35" s="39">
        <f t="shared" si="28"/>
        <v>11.285714285714285</v>
      </c>
      <c r="AB35" s="39">
        <f t="shared" si="28"/>
        <v>4.2857142857142856</v>
      </c>
      <c r="AC35" s="39">
        <f t="shared" si="28"/>
        <v>837.14285714285711</v>
      </c>
      <c r="AD35" s="39">
        <f t="shared" si="28"/>
        <v>0.42857142857142855</v>
      </c>
      <c r="AE35" s="40">
        <f t="shared" si="28"/>
        <v>443.42857142857144</v>
      </c>
      <c r="AF35" s="40">
        <f t="shared" si="28"/>
        <v>1280.5714285714287</v>
      </c>
    </row>
    <row r="36" spans="2:32" ht="23.1" customHeight="1" x14ac:dyDescent="0.25">
      <c r="B36" s="24" t="s">
        <v>63</v>
      </c>
      <c r="C36" s="49">
        <f>AVERAGE('22.07 Nateete-Ndeeba'!C36,'23.07 Nateete-Ndeeba'!C36,'24.07 Nateete-Ndeeba'!C36,'25.07 Nateete-Ndeeba'!C36,'26.07 Nateete-Ndeeba-24h'!C36,'27.07 Nateete-Ndeeba-24h'!C36,'28.07 Nateete-Ndeeba'!C36)</f>
        <v>46.428571428571431</v>
      </c>
      <c r="D36" s="49">
        <f>AVERAGE('22.07 Nateete-Ndeeba'!D36,'23.07 Nateete-Ndeeba'!D36,'24.07 Nateete-Ndeeba'!D36,'25.07 Nateete-Ndeeba'!D36,'26.07 Nateete-Ndeeba-24h'!D36,'27.07 Nateete-Ndeeba-24h'!D36,'28.07 Nateete-Ndeeba'!D36)</f>
        <v>6.1428571428571432</v>
      </c>
      <c r="E36" s="49">
        <f>AVERAGE('22.07 Nateete-Ndeeba'!E36,'23.07 Nateete-Ndeeba'!E36,'24.07 Nateete-Ndeeba'!E36,'25.07 Nateete-Ndeeba'!E36,'26.07 Nateete-Ndeeba-24h'!E36,'27.07 Nateete-Ndeeba-24h'!E36,'28.07 Nateete-Ndeeba'!E36)</f>
        <v>4.2857142857142856</v>
      </c>
      <c r="F36" s="49">
        <f>AVERAGE('22.07 Nateete-Ndeeba'!F36,'23.07 Nateete-Ndeeba'!F36,'24.07 Nateete-Ndeeba'!F36,'25.07 Nateete-Ndeeba'!F36,'26.07 Nateete-Ndeeba-24h'!F36,'27.07 Nateete-Ndeeba-24h'!F36,'28.07 Nateete-Ndeeba'!F36)</f>
        <v>30.285714285714285</v>
      </c>
      <c r="G36" s="49">
        <f>AVERAGE('22.07 Nateete-Ndeeba'!G36,'23.07 Nateete-Ndeeba'!G36,'24.07 Nateete-Ndeeba'!G36,'25.07 Nateete-Ndeeba'!G36,'26.07 Nateete-Ndeeba-24h'!G36,'27.07 Nateete-Ndeeba-24h'!G36,'28.07 Nateete-Ndeeba'!G36)</f>
        <v>0.2857142857142857</v>
      </c>
      <c r="H36" s="49">
        <f>AVERAGE('22.07 Nateete-Ndeeba'!H36,'23.07 Nateete-Ndeeba'!H36,'24.07 Nateete-Ndeeba'!H36,'25.07 Nateete-Ndeeba'!H36,'26.07 Nateete-Ndeeba-24h'!H36,'27.07 Nateete-Ndeeba-24h'!H36,'28.07 Nateete-Ndeeba'!H36)</f>
        <v>0.14285714285714285</v>
      </c>
      <c r="I36" s="49">
        <f>AVERAGE('22.07 Nateete-Ndeeba'!I36,'23.07 Nateete-Ndeeba'!I36,'24.07 Nateete-Ndeeba'!I36,'25.07 Nateete-Ndeeba'!I36,'26.07 Nateete-Ndeeba-24h'!I36,'27.07 Nateete-Ndeeba-24h'!I36,'28.07 Nateete-Ndeeba'!I36)</f>
        <v>8.4285714285714288</v>
      </c>
      <c r="J36" s="49">
        <f>AVERAGE('22.07 Nateete-Ndeeba'!J36,'23.07 Nateete-Ndeeba'!J36,'24.07 Nateete-Ndeeba'!J36,'25.07 Nateete-Ndeeba'!J36,'26.07 Nateete-Ndeeba-24h'!J36,'27.07 Nateete-Ndeeba-24h'!J36,'28.07 Nateete-Ndeeba'!J36)</f>
        <v>9.2857142857142865</v>
      </c>
      <c r="K36" s="49">
        <f>AVERAGE('22.07 Nateete-Ndeeba'!K36,'23.07 Nateete-Ndeeba'!K36,'24.07 Nateete-Ndeeba'!K36,'25.07 Nateete-Ndeeba'!K36,'26.07 Nateete-Ndeeba-24h'!K36,'27.07 Nateete-Ndeeba-24h'!K36,'28.07 Nateete-Ndeeba'!K36)</f>
        <v>2</v>
      </c>
      <c r="L36" s="49">
        <f>AVERAGE('22.07 Nateete-Ndeeba'!L36,'23.07 Nateete-Ndeeba'!L36,'24.07 Nateete-Ndeeba'!L36,'25.07 Nateete-Ndeeba'!L36,'26.07 Nateete-Ndeeba-24h'!L36,'27.07 Nateete-Ndeeba-24h'!L36,'28.07 Nateete-Ndeeba'!L36)</f>
        <v>0.7142857142857143</v>
      </c>
      <c r="M36" s="49">
        <f>AVERAGE('22.07 Nateete-Ndeeba'!M36,'23.07 Nateete-Ndeeba'!M36,'24.07 Nateete-Ndeeba'!M36,'25.07 Nateete-Ndeeba'!M36,'26.07 Nateete-Ndeeba-24h'!M36,'27.07 Nateete-Ndeeba-24h'!M36,'28.07 Nateete-Ndeeba'!M36)</f>
        <v>159.57142857142858</v>
      </c>
      <c r="N36" s="49">
        <f>AVERAGE('22.07 Nateete-Ndeeba'!N36,'23.07 Nateete-Ndeeba'!N36,'24.07 Nateete-Ndeeba'!N36,'25.07 Nateete-Ndeeba'!N36,'26.07 Nateete-Ndeeba-24h'!N36,'27.07 Nateete-Ndeeba-24h'!N36,'28.07 Nateete-Ndeeba'!N36)</f>
        <v>0</v>
      </c>
      <c r="O36" s="15">
        <f t="shared" si="0"/>
        <v>108</v>
      </c>
      <c r="P36" s="15">
        <f t="shared" si="1"/>
        <v>267.57142857142856</v>
      </c>
      <c r="R36" s="38" t="s">
        <v>92</v>
      </c>
      <c r="S36" s="39">
        <f t="shared" ref="S36:AF36" si="29">MAX(S19:S21)</f>
        <v>172.28571428571431</v>
      </c>
      <c r="T36" s="39">
        <f t="shared" si="29"/>
        <v>23.714285714285715</v>
      </c>
      <c r="U36" s="39">
        <f t="shared" si="29"/>
        <v>17.857142857142858</v>
      </c>
      <c r="V36" s="39">
        <f t="shared" si="29"/>
        <v>134.14285714285717</v>
      </c>
      <c r="W36" s="39">
        <f t="shared" si="29"/>
        <v>3.1428571428571428</v>
      </c>
      <c r="X36" s="39">
        <f t="shared" si="29"/>
        <v>3</v>
      </c>
      <c r="Y36" s="39">
        <f t="shared" si="29"/>
        <v>23.857142857142858</v>
      </c>
      <c r="Z36" s="39">
        <f t="shared" si="29"/>
        <v>46.428571428571431</v>
      </c>
      <c r="AA36" s="39">
        <f t="shared" si="29"/>
        <v>9.7142857142857135</v>
      </c>
      <c r="AB36" s="39">
        <f t="shared" si="29"/>
        <v>3</v>
      </c>
      <c r="AC36" s="39">
        <f t="shared" si="29"/>
        <v>745.14285714285711</v>
      </c>
      <c r="AD36" s="39">
        <f t="shared" si="29"/>
        <v>0</v>
      </c>
      <c r="AE36" s="40">
        <f t="shared" si="29"/>
        <v>418.28571428571428</v>
      </c>
      <c r="AF36" s="40">
        <f t="shared" si="29"/>
        <v>1163.4285714285716</v>
      </c>
    </row>
    <row r="37" spans="2:32" ht="23.1" customHeight="1" x14ac:dyDescent="0.25">
      <c r="B37" s="23" t="s">
        <v>64</v>
      </c>
      <c r="C37" s="49">
        <f>AVERAGE('22.07 Nateete-Ndeeba'!C37,'23.07 Nateete-Ndeeba'!C37,'24.07 Nateete-Ndeeba'!C37,'25.07 Nateete-Ndeeba'!C37,'26.07 Nateete-Ndeeba-24h'!C37,'27.07 Nateete-Ndeeba-24h'!C37,'28.07 Nateete-Ndeeba'!C37)</f>
        <v>38</v>
      </c>
      <c r="D37" s="49">
        <f>AVERAGE('22.07 Nateete-Ndeeba'!D37,'23.07 Nateete-Ndeeba'!D37,'24.07 Nateete-Ndeeba'!D37,'25.07 Nateete-Ndeeba'!D37,'26.07 Nateete-Ndeeba-24h'!D37,'27.07 Nateete-Ndeeba-24h'!D37,'28.07 Nateete-Ndeeba'!D37)</f>
        <v>4.8571428571428568</v>
      </c>
      <c r="E37" s="49">
        <f>AVERAGE('22.07 Nateete-Ndeeba'!E37,'23.07 Nateete-Ndeeba'!E37,'24.07 Nateete-Ndeeba'!E37,'25.07 Nateete-Ndeeba'!E37,'26.07 Nateete-Ndeeba-24h'!E37,'27.07 Nateete-Ndeeba-24h'!E37,'28.07 Nateete-Ndeeba'!E37)</f>
        <v>4</v>
      </c>
      <c r="F37" s="49">
        <f>AVERAGE('22.07 Nateete-Ndeeba'!F37,'23.07 Nateete-Ndeeba'!F37,'24.07 Nateete-Ndeeba'!F37,'25.07 Nateete-Ndeeba'!F37,'26.07 Nateete-Ndeeba-24h'!F37,'27.07 Nateete-Ndeeba-24h'!F37,'28.07 Nateete-Ndeeba'!F37)</f>
        <v>25.142857142857142</v>
      </c>
      <c r="G37" s="49">
        <f>AVERAGE('22.07 Nateete-Ndeeba'!G37,'23.07 Nateete-Ndeeba'!G37,'24.07 Nateete-Ndeeba'!G37,'25.07 Nateete-Ndeeba'!G37,'26.07 Nateete-Ndeeba-24h'!G37,'27.07 Nateete-Ndeeba-24h'!G37,'28.07 Nateete-Ndeeba'!G37)</f>
        <v>2.8571428571428572</v>
      </c>
      <c r="H37" s="49">
        <f>AVERAGE('22.07 Nateete-Ndeeba'!H37,'23.07 Nateete-Ndeeba'!H37,'24.07 Nateete-Ndeeba'!H37,'25.07 Nateete-Ndeeba'!H37,'26.07 Nateete-Ndeeba-24h'!H37,'27.07 Nateete-Ndeeba-24h'!H37,'28.07 Nateete-Ndeeba'!H37)</f>
        <v>0</v>
      </c>
      <c r="I37" s="49">
        <f>AVERAGE('22.07 Nateete-Ndeeba'!I37,'23.07 Nateete-Ndeeba'!I37,'24.07 Nateete-Ndeeba'!I37,'25.07 Nateete-Ndeeba'!I37,'26.07 Nateete-Ndeeba-24h'!I37,'27.07 Nateete-Ndeeba-24h'!I37,'28.07 Nateete-Ndeeba'!I37)</f>
        <v>6.5714285714285712</v>
      </c>
      <c r="J37" s="49">
        <f>AVERAGE('22.07 Nateete-Ndeeba'!J37,'23.07 Nateete-Ndeeba'!J37,'24.07 Nateete-Ndeeba'!J37,'25.07 Nateete-Ndeeba'!J37,'26.07 Nateete-Ndeeba-24h'!J37,'27.07 Nateete-Ndeeba-24h'!J37,'28.07 Nateete-Ndeeba'!J37)</f>
        <v>12.285714285714286</v>
      </c>
      <c r="K37" s="49">
        <f>AVERAGE('22.07 Nateete-Ndeeba'!K37,'23.07 Nateete-Ndeeba'!K37,'24.07 Nateete-Ndeeba'!K37,'25.07 Nateete-Ndeeba'!K37,'26.07 Nateete-Ndeeba-24h'!K37,'27.07 Nateete-Ndeeba-24h'!K37,'28.07 Nateete-Ndeeba'!K37)</f>
        <v>1.5714285714285714</v>
      </c>
      <c r="L37" s="49">
        <f>AVERAGE('22.07 Nateete-Ndeeba'!L37,'23.07 Nateete-Ndeeba'!L37,'24.07 Nateete-Ndeeba'!L37,'25.07 Nateete-Ndeeba'!L37,'26.07 Nateete-Ndeeba-24h'!L37,'27.07 Nateete-Ndeeba-24h'!L37,'28.07 Nateete-Ndeeba'!L37)</f>
        <v>0.5714285714285714</v>
      </c>
      <c r="M37" s="49">
        <f>AVERAGE('22.07 Nateete-Ndeeba'!M37,'23.07 Nateete-Ndeeba'!M37,'24.07 Nateete-Ndeeba'!M37,'25.07 Nateete-Ndeeba'!M37,'26.07 Nateete-Ndeeba-24h'!M37,'27.07 Nateete-Ndeeba-24h'!M37,'28.07 Nateete-Ndeeba'!M37)</f>
        <v>184</v>
      </c>
      <c r="N37" s="49">
        <f>AVERAGE('22.07 Nateete-Ndeeba'!N37,'23.07 Nateete-Ndeeba'!N37,'24.07 Nateete-Ndeeba'!N37,'25.07 Nateete-Ndeeba'!N37,'26.07 Nateete-Ndeeba-24h'!N37,'27.07 Nateete-Ndeeba-24h'!N37,'28.07 Nateete-Ndeeba'!N37)</f>
        <v>0</v>
      </c>
      <c r="O37" s="15">
        <f t="shared" si="0"/>
        <v>95.857142857142861</v>
      </c>
      <c r="P37" s="15">
        <f t="shared" si="1"/>
        <v>279.85714285714289</v>
      </c>
      <c r="R37" s="37" t="s">
        <v>85</v>
      </c>
      <c r="S37" s="35">
        <f t="shared" ref="S37:AF37" si="30">SUM(S10:S12)</f>
        <v>473.42857142857144</v>
      </c>
      <c r="T37" s="16">
        <f t="shared" si="30"/>
        <v>68.571428571428569</v>
      </c>
      <c r="U37" s="16">
        <f t="shared" si="30"/>
        <v>41.714285714285715</v>
      </c>
      <c r="V37" s="16">
        <f t="shared" si="30"/>
        <v>369.14285714285711</v>
      </c>
      <c r="W37" s="16">
        <f t="shared" si="30"/>
        <v>7.8571428571428559</v>
      </c>
      <c r="X37" s="16">
        <f t="shared" si="30"/>
        <v>4.8571428571428568</v>
      </c>
      <c r="Y37" s="16">
        <f t="shared" si="30"/>
        <v>91</v>
      </c>
      <c r="Z37" s="16">
        <f t="shared" si="30"/>
        <v>123.42857142857142</v>
      </c>
      <c r="AA37" s="16">
        <f t="shared" si="30"/>
        <v>18.428571428571427</v>
      </c>
      <c r="AB37" s="16">
        <f t="shared" si="30"/>
        <v>8.5714285714285712</v>
      </c>
      <c r="AC37" s="16">
        <f t="shared" si="30"/>
        <v>2149.8571428571431</v>
      </c>
      <c r="AD37" s="16">
        <f t="shared" si="30"/>
        <v>0.14285714285714285</v>
      </c>
      <c r="AE37" s="32">
        <f t="shared" si="30"/>
        <v>1207.1428571428571</v>
      </c>
      <c r="AF37" s="32">
        <f t="shared" si="30"/>
        <v>3357</v>
      </c>
    </row>
    <row r="38" spans="2:32" ht="23.1" customHeight="1" x14ac:dyDescent="0.25">
      <c r="B38" s="24" t="s">
        <v>65</v>
      </c>
      <c r="C38" s="49">
        <f>AVERAGE('22.07 Nateete-Ndeeba'!C38,'23.07 Nateete-Ndeeba'!C38,'24.07 Nateete-Ndeeba'!C38,'25.07 Nateete-Ndeeba'!C38,'26.07 Nateete-Ndeeba-24h'!C38,'27.07 Nateete-Ndeeba-24h'!C38,'28.07 Nateete-Ndeeba'!C38)</f>
        <v>35.857142857142854</v>
      </c>
      <c r="D38" s="49">
        <f>AVERAGE('22.07 Nateete-Ndeeba'!D38,'23.07 Nateete-Ndeeba'!D38,'24.07 Nateete-Ndeeba'!D38,'25.07 Nateete-Ndeeba'!D38,'26.07 Nateete-Ndeeba-24h'!D38,'27.07 Nateete-Ndeeba-24h'!D38,'28.07 Nateete-Ndeeba'!D38)</f>
        <v>3.4285714285714284</v>
      </c>
      <c r="E38" s="49">
        <f>AVERAGE('22.07 Nateete-Ndeeba'!E38,'23.07 Nateete-Ndeeba'!E38,'24.07 Nateete-Ndeeba'!E38,'25.07 Nateete-Ndeeba'!E38,'26.07 Nateete-Ndeeba-24h'!E38,'27.07 Nateete-Ndeeba-24h'!E38,'28.07 Nateete-Ndeeba'!E38)</f>
        <v>2.5714285714285716</v>
      </c>
      <c r="F38" s="49">
        <f>AVERAGE('22.07 Nateete-Ndeeba'!F38,'23.07 Nateete-Ndeeba'!F38,'24.07 Nateete-Ndeeba'!F38,'25.07 Nateete-Ndeeba'!F38,'26.07 Nateete-Ndeeba-24h'!F38,'27.07 Nateete-Ndeeba-24h'!F38,'28.07 Nateete-Ndeeba'!F38)</f>
        <v>25.571428571428573</v>
      </c>
      <c r="G38" s="49">
        <f>AVERAGE('22.07 Nateete-Ndeeba'!G38,'23.07 Nateete-Ndeeba'!G38,'24.07 Nateete-Ndeeba'!G38,'25.07 Nateete-Ndeeba'!G38,'26.07 Nateete-Ndeeba-24h'!G38,'27.07 Nateete-Ndeeba-24h'!G38,'28.07 Nateete-Ndeeba'!G38)</f>
        <v>0.8571428571428571</v>
      </c>
      <c r="H38" s="49">
        <f>AVERAGE('22.07 Nateete-Ndeeba'!H38,'23.07 Nateete-Ndeeba'!H38,'24.07 Nateete-Ndeeba'!H38,'25.07 Nateete-Ndeeba'!H38,'26.07 Nateete-Ndeeba-24h'!H38,'27.07 Nateete-Ndeeba-24h'!H38,'28.07 Nateete-Ndeeba'!H38)</f>
        <v>0.14285714285714285</v>
      </c>
      <c r="I38" s="49">
        <f>AVERAGE('22.07 Nateete-Ndeeba'!I38,'23.07 Nateete-Ndeeba'!I38,'24.07 Nateete-Ndeeba'!I38,'25.07 Nateete-Ndeeba'!I38,'26.07 Nateete-Ndeeba-24h'!I38,'27.07 Nateete-Ndeeba-24h'!I38,'28.07 Nateete-Ndeeba'!I38)</f>
        <v>6.1428571428571432</v>
      </c>
      <c r="J38" s="49">
        <f>AVERAGE('22.07 Nateete-Ndeeba'!J38,'23.07 Nateete-Ndeeba'!J38,'24.07 Nateete-Ndeeba'!J38,'25.07 Nateete-Ndeeba'!J38,'26.07 Nateete-Ndeeba-24h'!J38,'27.07 Nateete-Ndeeba-24h'!J38,'28.07 Nateete-Ndeeba'!J38)</f>
        <v>10.285714285714286</v>
      </c>
      <c r="K38" s="49">
        <f>AVERAGE('22.07 Nateete-Ndeeba'!K38,'23.07 Nateete-Ndeeba'!K38,'24.07 Nateete-Ndeeba'!K38,'25.07 Nateete-Ndeeba'!K38,'26.07 Nateete-Ndeeba-24h'!K38,'27.07 Nateete-Ndeeba-24h'!K38,'28.07 Nateete-Ndeeba'!K38)</f>
        <v>3</v>
      </c>
      <c r="L38" s="49">
        <f>AVERAGE('22.07 Nateete-Ndeeba'!L38,'23.07 Nateete-Ndeeba'!L38,'24.07 Nateete-Ndeeba'!L38,'25.07 Nateete-Ndeeba'!L38,'26.07 Nateete-Ndeeba-24h'!L38,'27.07 Nateete-Ndeeba-24h'!L38,'28.07 Nateete-Ndeeba'!L38)</f>
        <v>0.7142857142857143</v>
      </c>
      <c r="M38" s="49">
        <f>AVERAGE('22.07 Nateete-Ndeeba'!M38,'23.07 Nateete-Ndeeba'!M38,'24.07 Nateete-Ndeeba'!M38,'25.07 Nateete-Ndeeba'!M38,'26.07 Nateete-Ndeeba-24h'!M38,'27.07 Nateete-Ndeeba-24h'!M38,'28.07 Nateete-Ndeeba'!M38)</f>
        <v>176.42857142857142</v>
      </c>
      <c r="N38" s="49">
        <f>AVERAGE('22.07 Nateete-Ndeeba'!N38,'23.07 Nateete-Ndeeba'!N38,'24.07 Nateete-Ndeeba'!N38,'25.07 Nateete-Ndeeba'!N38,'26.07 Nateete-Ndeeba-24h'!N38,'27.07 Nateete-Ndeeba-24h'!N38,'28.07 Nateete-Ndeeba'!N38)</f>
        <v>0</v>
      </c>
      <c r="O38" s="15">
        <f t="shared" si="0"/>
        <v>88.571428571428569</v>
      </c>
      <c r="P38" s="15">
        <f t="shared" si="1"/>
        <v>265</v>
      </c>
      <c r="R38" s="28" t="s">
        <v>86</v>
      </c>
      <c r="S38" s="16">
        <f t="shared" ref="S38:AF38" si="31">SUM(S13:S18)</f>
        <v>999.42857142857133</v>
      </c>
      <c r="T38" s="16">
        <f t="shared" si="31"/>
        <v>145</v>
      </c>
      <c r="U38" s="16">
        <f t="shared" si="31"/>
        <v>96.714285714285722</v>
      </c>
      <c r="V38" s="16">
        <f t="shared" si="31"/>
        <v>702.14285714285711</v>
      </c>
      <c r="W38" s="16">
        <f t="shared" si="31"/>
        <v>15.428571428571429</v>
      </c>
      <c r="X38" s="16">
        <f t="shared" si="31"/>
        <v>4.4285714285714279</v>
      </c>
      <c r="Y38" s="16">
        <f t="shared" si="31"/>
        <v>163.71428571428569</v>
      </c>
      <c r="Z38" s="16">
        <f t="shared" si="31"/>
        <v>273.42857142857144</v>
      </c>
      <c r="AA38" s="16">
        <f t="shared" si="31"/>
        <v>52</v>
      </c>
      <c r="AB38" s="16">
        <f t="shared" si="31"/>
        <v>20.571428571428569</v>
      </c>
      <c r="AC38" s="16">
        <f t="shared" si="31"/>
        <v>4471.1428571428569</v>
      </c>
      <c r="AD38" s="16">
        <f t="shared" si="31"/>
        <v>0.5714285714285714</v>
      </c>
      <c r="AE38" s="32">
        <f t="shared" si="31"/>
        <v>2473.4285714285716</v>
      </c>
      <c r="AF38" s="32">
        <f t="shared" si="31"/>
        <v>6944.5714285714294</v>
      </c>
    </row>
    <row r="39" spans="2:32" ht="23.1" customHeight="1" x14ac:dyDescent="0.25">
      <c r="B39" s="24" t="s">
        <v>66</v>
      </c>
      <c r="C39" s="49">
        <f>AVERAGE('22.07 Nateete-Ndeeba'!C39,'23.07 Nateete-Ndeeba'!C39,'24.07 Nateete-Ndeeba'!C39,'25.07 Nateete-Ndeeba'!C39,'26.07 Nateete-Ndeeba-24h'!C39,'27.07 Nateete-Ndeeba-24h'!C39,'28.07 Nateete-Ndeeba'!C39)</f>
        <v>43.571428571428569</v>
      </c>
      <c r="D39" s="49">
        <f>AVERAGE('22.07 Nateete-Ndeeba'!D39,'23.07 Nateete-Ndeeba'!D39,'24.07 Nateete-Ndeeba'!D39,'25.07 Nateete-Ndeeba'!D39,'26.07 Nateete-Ndeeba-24h'!D39,'27.07 Nateete-Ndeeba-24h'!D39,'28.07 Nateete-Ndeeba'!D39)</f>
        <v>5.8571428571428568</v>
      </c>
      <c r="E39" s="49">
        <f>AVERAGE('22.07 Nateete-Ndeeba'!E39,'23.07 Nateete-Ndeeba'!E39,'24.07 Nateete-Ndeeba'!E39,'25.07 Nateete-Ndeeba'!E39,'26.07 Nateete-Ndeeba-24h'!E39,'27.07 Nateete-Ndeeba-24h'!E39,'28.07 Nateete-Ndeeba'!E39)</f>
        <v>4.1428571428571432</v>
      </c>
      <c r="F39" s="49">
        <f>AVERAGE('22.07 Nateete-Ndeeba'!F39,'23.07 Nateete-Ndeeba'!F39,'24.07 Nateete-Ndeeba'!F39,'25.07 Nateete-Ndeeba'!F39,'26.07 Nateete-Ndeeba-24h'!F39,'27.07 Nateete-Ndeeba-24h'!F39,'28.07 Nateete-Ndeeba'!F39)</f>
        <v>25</v>
      </c>
      <c r="G39" s="49">
        <f>AVERAGE('22.07 Nateete-Ndeeba'!G39,'23.07 Nateete-Ndeeba'!G39,'24.07 Nateete-Ndeeba'!G39,'25.07 Nateete-Ndeeba'!G39,'26.07 Nateete-Ndeeba-24h'!G39,'27.07 Nateete-Ndeeba-24h'!G39,'28.07 Nateete-Ndeeba'!G39)</f>
        <v>0.5714285714285714</v>
      </c>
      <c r="H39" s="49">
        <f>AVERAGE('22.07 Nateete-Ndeeba'!H39,'23.07 Nateete-Ndeeba'!H39,'24.07 Nateete-Ndeeba'!H39,'25.07 Nateete-Ndeeba'!H39,'26.07 Nateete-Ndeeba-24h'!H39,'27.07 Nateete-Ndeeba-24h'!H39,'28.07 Nateete-Ndeeba'!H39)</f>
        <v>0.14285714285714285</v>
      </c>
      <c r="I39" s="49">
        <f>AVERAGE('22.07 Nateete-Ndeeba'!I39,'23.07 Nateete-Ndeeba'!I39,'24.07 Nateete-Ndeeba'!I39,'25.07 Nateete-Ndeeba'!I39,'26.07 Nateete-Ndeeba-24h'!I39,'27.07 Nateete-Ndeeba-24h'!I39,'28.07 Nateete-Ndeeba'!I39)</f>
        <v>9.2857142857142865</v>
      </c>
      <c r="J39" s="49">
        <f>AVERAGE('22.07 Nateete-Ndeeba'!J39,'23.07 Nateete-Ndeeba'!J39,'24.07 Nateete-Ndeeba'!J39,'25.07 Nateete-Ndeeba'!J39,'26.07 Nateete-Ndeeba-24h'!J39,'27.07 Nateete-Ndeeba-24h'!J39,'28.07 Nateete-Ndeeba'!J39)</f>
        <v>10.571428571428571</v>
      </c>
      <c r="K39" s="49">
        <f>AVERAGE('22.07 Nateete-Ndeeba'!K39,'23.07 Nateete-Ndeeba'!K39,'24.07 Nateete-Ndeeba'!K39,'25.07 Nateete-Ndeeba'!K39,'26.07 Nateete-Ndeeba-24h'!K39,'27.07 Nateete-Ndeeba-24h'!K39,'28.07 Nateete-Ndeeba'!K39)</f>
        <v>2.4285714285714284</v>
      </c>
      <c r="L39" s="49">
        <f>AVERAGE('22.07 Nateete-Ndeeba'!L39,'23.07 Nateete-Ndeeba'!L39,'24.07 Nateete-Ndeeba'!L39,'25.07 Nateete-Ndeeba'!L39,'26.07 Nateete-Ndeeba-24h'!L39,'27.07 Nateete-Ndeeba-24h'!L39,'28.07 Nateete-Ndeeba'!L39)</f>
        <v>0.2857142857142857</v>
      </c>
      <c r="M39" s="49">
        <f>AVERAGE('22.07 Nateete-Ndeeba'!M39,'23.07 Nateete-Ndeeba'!M39,'24.07 Nateete-Ndeeba'!M39,'25.07 Nateete-Ndeeba'!M39,'26.07 Nateete-Ndeeba-24h'!M39,'27.07 Nateete-Ndeeba-24h'!M39,'28.07 Nateete-Ndeeba'!M39)</f>
        <v>183.28571428571428</v>
      </c>
      <c r="N39" s="49">
        <f>AVERAGE('22.07 Nateete-Ndeeba'!N39,'23.07 Nateete-Ndeeba'!N39,'24.07 Nateete-Ndeeba'!N39,'25.07 Nateete-Ndeeba'!N39,'26.07 Nateete-Ndeeba-24h'!N39,'27.07 Nateete-Ndeeba-24h'!N39,'28.07 Nateete-Ndeeba'!N39)</f>
        <v>0</v>
      </c>
      <c r="O39" s="15">
        <f t="shared" si="0"/>
        <v>101.85714285714286</v>
      </c>
      <c r="P39" s="15">
        <f t="shared" si="1"/>
        <v>285.14285714285711</v>
      </c>
      <c r="R39" s="29" t="s">
        <v>87</v>
      </c>
      <c r="S39" s="16">
        <f t="shared" ref="S39:AF39" si="32">SUM(S19:S21)</f>
        <v>478.71428571428578</v>
      </c>
      <c r="T39" s="16">
        <f t="shared" si="32"/>
        <v>64.857142857142861</v>
      </c>
      <c r="U39" s="16">
        <f t="shared" si="32"/>
        <v>49</v>
      </c>
      <c r="V39" s="16">
        <f t="shared" si="32"/>
        <v>381.28571428571433</v>
      </c>
      <c r="W39" s="16">
        <f t="shared" si="32"/>
        <v>7</v>
      </c>
      <c r="X39" s="16">
        <f t="shared" si="32"/>
        <v>5</v>
      </c>
      <c r="Y39" s="16">
        <f t="shared" si="32"/>
        <v>68</v>
      </c>
      <c r="Z39" s="16">
        <f t="shared" si="32"/>
        <v>125.00000000000001</v>
      </c>
      <c r="AA39" s="16">
        <f t="shared" si="32"/>
        <v>24.142857142857142</v>
      </c>
      <c r="AB39" s="16">
        <f t="shared" si="32"/>
        <v>5.4285714285714288</v>
      </c>
      <c r="AC39" s="16">
        <f t="shared" si="32"/>
        <v>2121.4285714285716</v>
      </c>
      <c r="AD39" s="16">
        <f t="shared" si="32"/>
        <v>0</v>
      </c>
      <c r="AE39" s="32">
        <f t="shared" si="32"/>
        <v>1208.4285714285713</v>
      </c>
      <c r="AF39" s="32">
        <f t="shared" si="32"/>
        <v>3329.8571428571427</v>
      </c>
    </row>
    <row r="40" spans="2:32" ht="23.1" customHeight="1" x14ac:dyDescent="0.25">
      <c r="B40" s="24" t="s">
        <v>67</v>
      </c>
      <c r="C40" s="49">
        <f>AVERAGE('22.07 Nateete-Ndeeba'!C40,'23.07 Nateete-Ndeeba'!C40,'24.07 Nateete-Ndeeba'!C40,'25.07 Nateete-Ndeeba'!C40,'26.07 Nateete-Ndeeba-24h'!C40,'27.07 Nateete-Ndeeba-24h'!C40,'28.07 Nateete-Ndeeba'!C40)</f>
        <v>41</v>
      </c>
      <c r="D40" s="49">
        <f>AVERAGE('22.07 Nateete-Ndeeba'!D40,'23.07 Nateete-Ndeeba'!D40,'24.07 Nateete-Ndeeba'!D40,'25.07 Nateete-Ndeeba'!D40,'26.07 Nateete-Ndeeba-24h'!D40,'27.07 Nateete-Ndeeba-24h'!D40,'28.07 Nateete-Ndeeba'!D40)</f>
        <v>5.4285714285714288</v>
      </c>
      <c r="E40" s="49">
        <f>AVERAGE('22.07 Nateete-Ndeeba'!E40,'23.07 Nateete-Ndeeba'!E40,'24.07 Nateete-Ndeeba'!E40,'25.07 Nateete-Ndeeba'!E40,'26.07 Nateete-Ndeeba-24h'!E40,'27.07 Nateete-Ndeeba-24h'!E40,'28.07 Nateete-Ndeeba'!E40)</f>
        <v>5</v>
      </c>
      <c r="F40" s="49">
        <f>AVERAGE('22.07 Nateete-Ndeeba'!F40,'23.07 Nateete-Ndeeba'!F40,'24.07 Nateete-Ndeeba'!F40,'25.07 Nateete-Ndeeba'!F40,'26.07 Nateete-Ndeeba-24h'!F40,'27.07 Nateete-Ndeeba-24h'!F40,'28.07 Nateete-Ndeeba'!F40)</f>
        <v>27.571428571428573</v>
      </c>
      <c r="G40" s="49">
        <f>AVERAGE('22.07 Nateete-Ndeeba'!G40,'23.07 Nateete-Ndeeba'!G40,'24.07 Nateete-Ndeeba'!G40,'25.07 Nateete-Ndeeba'!G40,'26.07 Nateete-Ndeeba-24h'!G40,'27.07 Nateete-Ndeeba-24h'!G40,'28.07 Nateete-Ndeeba'!G40)</f>
        <v>0.8571428571428571</v>
      </c>
      <c r="H40" s="49">
        <f>AVERAGE('22.07 Nateete-Ndeeba'!H40,'23.07 Nateete-Ndeeba'!H40,'24.07 Nateete-Ndeeba'!H40,'25.07 Nateete-Ndeeba'!H40,'26.07 Nateete-Ndeeba-24h'!H40,'27.07 Nateete-Ndeeba-24h'!H40,'28.07 Nateete-Ndeeba'!H40)</f>
        <v>0.2857142857142857</v>
      </c>
      <c r="I40" s="49">
        <f>AVERAGE('22.07 Nateete-Ndeeba'!I40,'23.07 Nateete-Ndeeba'!I40,'24.07 Nateete-Ndeeba'!I40,'25.07 Nateete-Ndeeba'!I40,'26.07 Nateete-Ndeeba-24h'!I40,'27.07 Nateete-Ndeeba-24h'!I40,'28.07 Nateete-Ndeeba'!I40)</f>
        <v>5.7142857142857144</v>
      </c>
      <c r="J40" s="49">
        <f>AVERAGE('22.07 Nateete-Ndeeba'!J40,'23.07 Nateete-Ndeeba'!J40,'24.07 Nateete-Ndeeba'!J40,'25.07 Nateete-Ndeeba'!J40,'26.07 Nateete-Ndeeba-24h'!J40,'27.07 Nateete-Ndeeba-24h'!J40,'28.07 Nateete-Ndeeba'!J40)</f>
        <v>14.285714285714286</v>
      </c>
      <c r="K40" s="49">
        <f>AVERAGE('22.07 Nateete-Ndeeba'!K40,'23.07 Nateete-Ndeeba'!K40,'24.07 Nateete-Ndeeba'!K40,'25.07 Nateete-Ndeeba'!K40,'26.07 Nateete-Ndeeba-24h'!K40,'27.07 Nateete-Ndeeba-24h'!K40,'28.07 Nateete-Ndeeba'!K40)</f>
        <v>2</v>
      </c>
      <c r="L40" s="49">
        <f>AVERAGE('22.07 Nateete-Ndeeba'!L40,'23.07 Nateete-Ndeeba'!L40,'24.07 Nateete-Ndeeba'!L40,'25.07 Nateete-Ndeeba'!L40,'26.07 Nateete-Ndeeba-24h'!L40,'27.07 Nateete-Ndeeba-24h'!L40,'28.07 Nateete-Ndeeba'!L40)</f>
        <v>0.42857142857142855</v>
      </c>
      <c r="M40" s="49">
        <f>AVERAGE('22.07 Nateete-Ndeeba'!M40,'23.07 Nateete-Ndeeba'!M40,'24.07 Nateete-Ndeeba'!M40,'25.07 Nateete-Ndeeba'!M40,'26.07 Nateete-Ndeeba-24h'!M40,'27.07 Nateete-Ndeeba-24h'!M40,'28.07 Nateete-Ndeeba'!M40)</f>
        <v>170.71428571428572</v>
      </c>
      <c r="N40" s="49">
        <f>AVERAGE('22.07 Nateete-Ndeeba'!N40,'23.07 Nateete-Ndeeba'!N40,'24.07 Nateete-Ndeeba'!N40,'25.07 Nateete-Ndeeba'!N40,'26.07 Nateete-Ndeeba-24h'!N40,'27.07 Nateete-Ndeeba-24h'!N40,'28.07 Nateete-Ndeeba'!N40)</f>
        <v>0</v>
      </c>
      <c r="O40" s="15">
        <f t="shared" si="0"/>
        <v>102.57142857142858</v>
      </c>
      <c r="P40" s="15">
        <f t="shared" si="1"/>
        <v>273.28571428571433</v>
      </c>
      <c r="R40" s="5" t="s">
        <v>17</v>
      </c>
      <c r="S40" s="16">
        <f t="shared" ref="S40:AF40" si="33">SUM(S10:S21)</f>
        <v>1951.5714285714284</v>
      </c>
      <c r="T40" s="16">
        <f t="shared" si="33"/>
        <v>278.42857142857144</v>
      </c>
      <c r="U40" s="16">
        <f t="shared" si="33"/>
        <v>187.42857142857144</v>
      </c>
      <c r="V40" s="16">
        <f t="shared" si="33"/>
        <v>1452.5714285714284</v>
      </c>
      <c r="W40" s="16">
        <f t="shared" si="33"/>
        <v>30.285714285714281</v>
      </c>
      <c r="X40" s="16">
        <f t="shared" si="33"/>
        <v>14.285714285714285</v>
      </c>
      <c r="Y40" s="16">
        <f t="shared" si="33"/>
        <v>322.71428571428567</v>
      </c>
      <c r="Z40" s="16">
        <f t="shared" si="33"/>
        <v>521.85714285714289</v>
      </c>
      <c r="AA40" s="16">
        <f t="shared" si="33"/>
        <v>94.571428571428569</v>
      </c>
      <c r="AB40" s="16">
        <f t="shared" si="33"/>
        <v>34.571428571428569</v>
      </c>
      <c r="AC40" s="16">
        <f t="shared" si="33"/>
        <v>8742.4285714285725</v>
      </c>
      <c r="AD40" s="16">
        <f t="shared" si="33"/>
        <v>0.71428571428571419</v>
      </c>
      <c r="AE40" s="32">
        <f t="shared" si="33"/>
        <v>4889</v>
      </c>
      <c r="AF40" s="32">
        <f t="shared" si="33"/>
        <v>13631.428571428574</v>
      </c>
    </row>
    <row r="41" spans="2:32" ht="23.1" customHeight="1" x14ac:dyDescent="0.25">
      <c r="B41" s="23" t="s">
        <v>68</v>
      </c>
      <c r="C41" s="49">
        <f>AVERAGE('22.07 Nateete-Ndeeba'!C41,'23.07 Nateete-Ndeeba'!C41,'24.07 Nateete-Ndeeba'!C41,'25.07 Nateete-Ndeeba'!C41,'26.07 Nateete-Ndeeba-24h'!C41,'27.07 Nateete-Ndeeba-24h'!C41,'28.07 Nateete-Ndeeba'!C41)</f>
        <v>33.857142857142854</v>
      </c>
      <c r="D41" s="49">
        <f>AVERAGE('22.07 Nateete-Ndeeba'!D41,'23.07 Nateete-Ndeeba'!D41,'24.07 Nateete-Ndeeba'!D41,'25.07 Nateete-Ndeeba'!D41,'26.07 Nateete-Ndeeba-24h'!D41,'27.07 Nateete-Ndeeba-24h'!D41,'28.07 Nateete-Ndeeba'!D41)</f>
        <v>6.4285714285714288</v>
      </c>
      <c r="E41" s="49">
        <f>AVERAGE('22.07 Nateete-Ndeeba'!E41,'23.07 Nateete-Ndeeba'!E41,'24.07 Nateete-Ndeeba'!E41,'25.07 Nateete-Ndeeba'!E41,'26.07 Nateete-Ndeeba-24h'!E41,'27.07 Nateete-Ndeeba-24h'!E41,'28.07 Nateete-Ndeeba'!E41)</f>
        <v>5.1428571428571432</v>
      </c>
      <c r="F41" s="49">
        <f>AVERAGE('22.07 Nateete-Ndeeba'!F41,'23.07 Nateete-Ndeeba'!F41,'24.07 Nateete-Ndeeba'!F41,'25.07 Nateete-Ndeeba'!F41,'26.07 Nateete-Ndeeba-24h'!F41,'27.07 Nateete-Ndeeba-24h'!F41,'28.07 Nateete-Ndeeba'!F41)</f>
        <v>31.142857142857142</v>
      </c>
      <c r="G41" s="49">
        <f>AVERAGE('22.07 Nateete-Ndeeba'!G41,'23.07 Nateete-Ndeeba'!G41,'24.07 Nateete-Ndeeba'!G41,'25.07 Nateete-Ndeeba'!G41,'26.07 Nateete-Ndeeba-24h'!G41,'27.07 Nateete-Ndeeba-24h'!G41,'28.07 Nateete-Ndeeba'!G41)</f>
        <v>0.14285714285714285</v>
      </c>
      <c r="H41" s="49">
        <f>AVERAGE('22.07 Nateete-Ndeeba'!H41,'23.07 Nateete-Ndeeba'!H41,'24.07 Nateete-Ndeeba'!H41,'25.07 Nateete-Ndeeba'!H41,'26.07 Nateete-Ndeeba-24h'!H41,'27.07 Nateete-Ndeeba-24h'!H41,'28.07 Nateete-Ndeeba'!H41)</f>
        <v>0.8571428571428571</v>
      </c>
      <c r="I41" s="49">
        <f>AVERAGE('22.07 Nateete-Ndeeba'!I41,'23.07 Nateete-Ndeeba'!I41,'24.07 Nateete-Ndeeba'!I41,'25.07 Nateete-Ndeeba'!I41,'26.07 Nateete-Ndeeba-24h'!I41,'27.07 Nateete-Ndeeba-24h'!I41,'28.07 Nateete-Ndeeba'!I41)</f>
        <v>3.2857142857142856</v>
      </c>
      <c r="J41" s="49">
        <f>AVERAGE('22.07 Nateete-Ndeeba'!J41,'23.07 Nateete-Ndeeba'!J41,'24.07 Nateete-Ndeeba'!J41,'25.07 Nateete-Ndeeba'!J41,'26.07 Nateete-Ndeeba-24h'!J41,'27.07 Nateete-Ndeeba-24h'!J41,'28.07 Nateete-Ndeeba'!J41)</f>
        <v>10.428571428571429</v>
      </c>
      <c r="K41" s="49">
        <f>AVERAGE('22.07 Nateete-Ndeeba'!K41,'23.07 Nateete-Ndeeba'!K41,'24.07 Nateete-Ndeeba'!K41,'25.07 Nateete-Ndeeba'!K41,'26.07 Nateete-Ndeeba-24h'!K41,'27.07 Nateete-Ndeeba-24h'!K41,'28.07 Nateete-Ndeeba'!K41)</f>
        <v>2</v>
      </c>
      <c r="L41" s="49">
        <f>AVERAGE('22.07 Nateete-Ndeeba'!L41,'23.07 Nateete-Ndeeba'!L41,'24.07 Nateete-Ndeeba'!L41,'25.07 Nateete-Ndeeba'!L41,'26.07 Nateete-Ndeeba-24h'!L41,'27.07 Nateete-Ndeeba-24h'!L41,'28.07 Nateete-Ndeeba'!L41)</f>
        <v>1.1428571428571428</v>
      </c>
      <c r="M41" s="49">
        <f>AVERAGE('22.07 Nateete-Ndeeba'!M41,'23.07 Nateete-Ndeeba'!M41,'24.07 Nateete-Ndeeba'!M41,'25.07 Nateete-Ndeeba'!M41,'26.07 Nateete-Ndeeba-24h'!M41,'27.07 Nateete-Ndeeba-24h'!M41,'28.07 Nateete-Ndeeba'!M41)</f>
        <v>170.57142857142858</v>
      </c>
      <c r="N41" s="49">
        <f>AVERAGE('22.07 Nateete-Ndeeba'!N41,'23.07 Nateete-Ndeeba'!N41,'24.07 Nateete-Ndeeba'!N41,'25.07 Nateete-Ndeeba'!N41,'26.07 Nateete-Ndeeba-24h'!N41,'27.07 Nateete-Ndeeba-24h'!N41,'28.07 Nateete-Ndeeba'!N41)</f>
        <v>0</v>
      </c>
      <c r="O41" s="15">
        <f t="shared" si="0"/>
        <v>94.428571428571431</v>
      </c>
      <c r="P41" s="15">
        <f t="shared" si="1"/>
        <v>265</v>
      </c>
      <c r="R41" s="5" t="s">
        <v>184</v>
      </c>
      <c r="S41" s="52">
        <f>SUM(S10:S33)</f>
        <v>3064.0714285714284</v>
      </c>
      <c r="T41" s="52">
        <f t="shared" ref="T41:AD41" si="34">SUM(T10:T33)</f>
        <v>440.42857142857144</v>
      </c>
      <c r="U41" s="52">
        <f t="shared" si="34"/>
        <v>335.92857142857144</v>
      </c>
      <c r="V41" s="52">
        <f t="shared" si="34"/>
        <v>2224.5714285714284</v>
      </c>
      <c r="W41" s="52">
        <f t="shared" si="34"/>
        <v>58.285714285714278</v>
      </c>
      <c r="X41" s="52">
        <f t="shared" si="34"/>
        <v>79.285714285714278</v>
      </c>
      <c r="Y41" s="52">
        <f t="shared" si="34"/>
        <v>516.21428571428567</v>
      </c>
      <c r="Z41" s="52">
        <f t="shared" si="34"/>
        <v>862.85714285714289</v>
      </c>
      <c r="AA41" s="52">
        <f t="shared" si="34"/>
        <v>189.07142857142856</v>
      </c>
      <c r="AB41" s="52">
        <f t="shared" si="34"/>
        <v>99.571428571428569</v>
      </c>
      <c r="AC41" s="52">
        <f t="shared" si="34"/>
        <v>12951.928571428572</v>
      </c>
      <c r="AD41" s="52">
        <f t="shared" si="34"/>
        <v>1.2142857142857142</v>
      </c>
      <c r="AE41" s="53">
        <f>SUM(AE10:AE33)</f>
        <v>9165.3571428571431</v>
      </c>
      <c r="AF41" s="53">
        <f>SUM(AF10:AF33)</f>
        <v>25887.21428571429</v>
      </c>
    </row>
    <row r="42" spans="2:32" ht="23.1" customHeight="1" x14ac:dyDescent="0.25">
      <c r="B42" s="24" t="s">
        <v>69</v>
      </c>
      <c r="C42" s="49">
        <f>AVERAGE('22.07 Nateete-Ndeeba'!C42,'23.07 Nateete-Ndeeba'!C42,'24.07 Nateete-Ndeeba'!C42,'25.07 Nateete-Ndeeba'!C42,'26.07 Nateete-Ndeeba-24h'!C42,'27.07 Nateete-Ndeeba-24h'!C42,'28.07 Nateete-Ndeeba'!C42)</f>
        <v>39</v>
      </c>
      <c r="D42" s="49">
        <f>AVERAGE('22.07 Nateete-Ndeeba'!D42,'23.07 Nateete-Ndeeba'!D42,'24.07 Nateete-Ndeeba'!D42,'25.07 Nateete-Ndeeba'!D42,'26.07 Nateete-Ndeeba-24h'!D42,'27.07 Nateete-Ndeeba-24h'!D42,'28.07 Nateete-Ndeeba'!D42)</f>
        <v>4.8571428571428568</v>
      </c>
      <c r="E42" s="49">
        <f>AVERAGE('22.07 Nateete-Ndeeba'!E42,'23.07 Nateete-Ndeeba'!E42,'24.07 Nateete-Ndeeba'!E42,'25.07 Nateete-Ndeeba'!E42,'26.07 Nateete-Ndeeba-24h'!E42,'27.07 Nateete-Ndeeba-24h'!E42,'28.07 Nateete-Ndeeba'!E42)</f>
        <v>4.7142857142857144</v>
      </c>
      <c r="F42" s="49">
        <f>AVERAGE('22.07 Nateete-Ndeeba'!F42,'23.07 Nateete-Ndeeba'!F42,'24.07 Nateete-Ndeeba'!F42,'25.07 Nateete-Ndeeba'!F42,'26.07 Nateete-Ndeeba-24h'!F42,'27.07 Nateete-Ndeeba-24h'!F42,'28.07 Nateete-Ndeeba'!F42)</f>
        <v>27.857142857142858</v>
      </c>
      <c r="G42" s="49">
        <f>AVERAGE('22.07 Nateete-Ndeeba'!G42,'23.07 Nateete-Ndeeba'!G42,'24.07 Nateete-Ndeeba'!G42,'25.07 Nateete-Ndeeba'!G42,'26.07 Nateete-Ndeeba-24h'!G42,'27.07 Nateete-Ndeeba-24h'!G42,'28.07 Nateete-Ndeeba'!G42)</f>
        <v>0.5714285714285714</v>
      </c>
      <c r="H42" s="49">
        <f>AVERAGE('22.07 Nateete-Ndeeba'!H42,'23.07 Nateete-Ndeeba'!H42,'24.07 Nateete-Ndeeba'!H42,'25.07 Nateete-Ndeeba'!H42,'26.07 Nateete-Ndeeba-24h'!H42,'27.07 Nateete-Ndeeba-24h'!H42,'28.07 Nateete-Ndeeba'!H42)</f>
        <v>0.2857142857142857</v>
      </c>
      <c r="I42" s="49">
        <f>AVERAGE('22.07 Nateete-Ndeeba'!I42,'23.07 Nateete-Ndeeba'!I42,'24.07 Nateete-Ndeeba'!I42,'25.07 Nateete-Ndeeba'!I42,'26.07 Nateete-Ndeeba-24h'!I42,'27.07 Nateete-Ndeeba-24h'!I42,'28.07 Nateete-Ndeeba'!I42)</f>
        <v>8.2857142857142865</v>
      </c>
      <c r="J42" s="49">
        <f>AVERAGE('22.07 Nateete-Ndeeba'!J42,'23.07 Nateete-Ndeeba'!J42,'24.07 Nateete-Ndeeba'!J42,'25.07 Nateete-Ndeeba'!J42,'26.07 Nateete-Ndeeba-24h'!J42,'27.07 Nateete-Ndeeba-24h'!J42,'28.07 Nateete-Ndeeba'!J42)</f>
        <v>10.571428571428571</v>
      </c>
      <c r="K42" s="49">
        <f>AVERAGE('22.07 Nateete-Ndeeba'!K42,'23.07 Nateete-Ndeeba'!K42,'24.07 Nateete-Ndeeba'!K42,'25.07 Nateete-Ndeeba'!K42,'26.07 Nateete-Ndeeba-24h'!K42,'27.07 Nateete-Ndeeba-24h'!K42,'28.07 Nateete-Ndeeba'!K42)</f>
        <v>1.8571428571428572</v>
      </c>
      <c r="L42" s="49">
        <f>AVERAGE('22.07 Nateete-Ndeeba'!L42,'23.07 Nateete-Ndeeba'!L42,'24.07 Nateete-Ndeeba'!L42,'25.07 Nateete-Ndeeba'!L42,'26.07 Nateete-Ndeeba-24h'!L42,'27.07 Nateete-Ndeeba-24h'!L42,'28.07 Nateete-Ndeeba'!L42)</f>
        <v>0.7142857142857143</v>
      </c>
      <c r="M42" s="49">
        <f>AVERAGE('22.07 Nateete-Ndeeba'!M42,'23.07 Nateete-Ndeeba'!M42,'24.07 Nateete-Ndeeba'!M42,'25.07 Nateete-Ndeeba'!M42,'26.07 Nateete-Ndeeba-24h'!M42,'27.07 Nateete-Ndeeba-24h'!M42,'28.07 Nateete-Ndeeba'!M42)</f>
        <v>159.71428571428572</v>
      </c>
      <c r="N42" s="49">
        <f>AVERAGE('22.07 Nateete-Ndeeba'!N42,'23.07 Nateete-Ndeeba'!N42,'24.07 Nateete-Ndeeba'!N42,'25.07 Nateete-Ndeeba'!N42,'26.07 Nateete-Ndeeba-24h'!N42,'27.07 Nateete-Ndeeba-24h'!N42,'28.07 Nateete-Ndeeba'!N42)</f>
        <v>0</v>
      </c>
      <c r="O42" s="15">
        <f t="shared" si="0"/>
        <v>98.714285714285722</v>
      </c>
      <c r="P42" s="15">
        <f t="shared" si="1"/>
        <v>258.42857142857144</v>
      </c>
      <c r="R42" s="5" t="s">
        <v>160</v>
      </c>
      <c r="S42" s="48">
        <f>S41/S40</f>
        <v>1.5700534367908645</v>
      </c>
      <c r="T42" s="48">
        <f t="shared" ref="T42:AF42" si="35">T41/T40</f>
        <v>1.581836839404823</v>
      </c>
      <c r="U42" s="48">
        <f t="shared" si="35"/>
        <v>1.7923018292682926</v>
      </c>
      <c r="V42" s="48">
        <f t="shared" si="35"/>
        <v>1.5314712824547601</v>
      </c>
      <c r="W42" s="48">
        <f t="shared" si="35"/>
        <v>1.9245283018867925</v>
      </c>
      <c r="X42" s="48">
        <f t="shared" si="35"/>
        <v>5.55</v>
      </c>
      <c r="Y42" s="48">
        <f t="shared" si="35"/>
        <v>1.5996015936254981</v>
      </c>
      <c r="Z42" s="48">
        <f t="shared" si="35"/>
        <v>1.653435532439091</v>
      </c>
      <c r="AA42" s="48">
        <f t="shared" si="35"/>
        <v>1.9992447129909365</v>
      </c>
      <c r="AB42" s="48">
        <f t="shared" si="35"/>
        <v>2.8801652892561984</v>
      </c>
      <c r="AC42" s="48">
        <f t="shared" si="35"/>
        <v>1.4815023612268574</v>
      </c>
      <c r="AD42" s="48">
        <f t="shared" si="35"/>
        <v>1.7000000000000002</v>
      </c>
      <c r="AE42" s="54">
        <f t="shared" si="35"/>
        <v>1.874689536276773</v>
      </c>
      <c r="AF42" s="54">
        <f t="shared" si="35"/>
        <v>1.8990830014671976</v>
      </c>
    </row>
    <row r="43" spans="2:32" ht="23.1" customHeight="1" x14ac:dyDescent="0.25">
      <c r="B43" s="23" t="s">
        <v>70</v>
      </c>
      <c r="C43" s="49">
        <f>AVERAGE('22.07 Nateete-Ndeeba'!C43,'23.07 Nateete-Ndeeba'!C43,'24.07 Nateete-Ndeeba'!C43,'25.07 Nateete-Ndeeba'!C43,'26.07 Nateete-Ndeeba-24h'!C43,'27.07 Nateete-Ndeeba-24h'!C43,'28.07 Nateete-Ndeeba'!C43)</f>
        <v>37.714285714285715</v>
      </c>
      <c r="D43" s="49">
        <f>AVERAGE('22.07 Nateete-Ndeeba'!D43,'23.07 Nateete-Ndeeba'!D43,'24.07 Nateete-Ndeeba'!D43,'25.07 Nateete-Ndeeba'!D43,'26.07 Nateete-Ndeeba-24h'!D43,'27.07 Nateete-Ndeeba-24h'!D43,'28.07 Nateete-Ndeeba'!D43)</f>
        <v>6</v>
      </c>
      <c r="E43" s="49">
        <f>AVERAGE('22.07 Nateete-Ndeeba'!E43,'23.07 Nateete-Ndeeba'!E43,'24.07 Nateete-Ndeeba'!E43,'25.07 Nateete-Ndeeba'!E43,'26.07 Nateete-Ndeeba-24h'!E43,'27.07 Nateete-Ndeeba-24h'!E43,'28.07 Nateete-Ndeeba'!E43)</f>
        <v>4</v>
      </c>
      <c r="F43" s="49">
        <f>AVERAGE('22.07 Nateete-Ndeeba'!F43,'23.07 Nateete-Ndeeba'!F43,'24.07 Nateete-Ndeeba'!F43,'25.07 Nateete-Ndeeba'!F43,'26.07 Nateete-Ndeeba-24h'!F43,'27.07 Nateete-Ndeeba-24h'!F43,'28.07 Nateete-Ndeeba'!F43)</f>
        <v>25.571428571428573</v>
      </c>
      <c r="G43" s="49">
        <f>AVERAGE('22.07 Nateete-Ndeeba'!G43,'23.07 Nateete-Ndeeba'!G43,'24.07 Nateete-Ndeeba'!G43,'25.07 Nateete-Ndeeba'!G43,'26.07 Nateete-Ndeeba-24h'!G43,'27.07 Nateete-Ndeeba-24h'!G43,'28.07 Nateete-Ndeeba'!G43)</f>
        <v>0.8571428571428571</v>
      </c>
      <c r="H43" s="49">
        <f>AVERAGE('22.07 Nateete-Ndeeba'!H43,'23.07 Nateete-Ndeeba'!H43,'24.07 Nateete-Ndeeba'!H43,'25.07 Nateete-Ndeeba'!H43,'26.07 Nateete-Ndeeba-24h'!H43,'27.07 Nateete-Ndeeba-24h'!H43,'28.07 Nateete-Ndeeba'!H43)</f>
        <v>0.2857142857142857</v>
      </c>
      <c r="I43" s="49">
        <f>AVERAGE('22.07 Nateete-Ndeeba'!I43,'23.07 Nateete-Ndeeba'!I43,'24.07 Nateete-Ndeeba'!I43,'25.07 Nateete-Ndeeba'!I43,'26.07 Nateete-Ndeeba-24h'!I43,'27.07 Nateete-Ndeeba-24h'!I43,'28.07 Nateete-Ndeeba'!I43)</f>
        <v>7.1428571428571432</v>
      </c>
      <c r="J43" s="49">
        <f>AVERAGE('22.07 Nateete-Ndeeba'!J43,'23.07 Nateete-Ndeeba'!J43,'24.07 Nateete-Ndeeba'!J43,'25.07 Nateete-Ndeeba'!J43,'26.07 Nateete-Ndeeba-24h'!J43,'27.07 Nateete-Ndeeba-24h'!J43,'28.07 Nateete-Ndeeba'!J43)</f>
        <v>12</v>
      </c>
      <c r="K43" s="49">
        <f>AVERAGE('22.07 Nateete-Ndeeba'!K43,'23.07 Nateete-Ndeeba'!K43,'24.07 Nateete-Ndeeba'!K43,'25.07 Nateete-Ndeeba'!K43,'26.07 Nateete-Ndeeba-24h'!K43,'27.07 Nateete-Ndeeba-24h'!K43,'28.07 Nateete-Ndeeba'!K43)</f>
        <v>1.1428571428571428</v>
      </c>
      <c r="L43" s="49">
        <f>AVERAGE('22.07 Nateete-Ndeeba'!L43,'23.07 Nateete-Ndeeba'!L43,'24.07 Nateete-Ndeeba'!L43,'25.07 Nateete-Ndeeba'!L43,'26.07 Nateete-Ndeeba-24h'!L43,'27.07 Nateete-Ndeeba-24h'!L43,'28.07 Nateete-Ndeeba'!L43)</f>
        <v>0.7142857142857143</v>
      </c>
      <c r="M43" s="49">
        <f>AVERAGE('22.07 Nateete-Ndeeba'!M43,'23.07 Nateete-Ndeeba'!M43,'24.07 Nateete-Ndeeba'!M43,'25.07 Nateete-Ndeeba'!M43,'26.07 Nateete-Ndeeba-24h'!M43,'27.07 Nateete-Ndeeba-24h'!M43,'28.07 Nateete-Ndeeba'!M43)</f>
        <v>160.57142857142858</v>
      </c>
      <c r="N43" s="49">
        <f>AVERAGE('22.07 Nateete-Ndeeba'!N43,'23.07 Nateete-Ndeeba'!N43,'24.07 Nateete-Ndeeba'!N43,'25.07 Nateete-Ndeeba'!N43,'26.07 Nateete-Ndeeba-24h'!N43,'27.07 Nateete-Ndeeba-24h'!N43,'28.07 Nateete-Ndeeba'!N43)</f>
        <v>0</v>
      </c>
      <c r="O43" s="15">
        <f t="shared" si="0"/>
        <v>95.428571428571431</v>
      </c>
      <c r="P43" s="15">
        <f t="shared" si="1"/>
        <v>256</v>
      </c>
    </row>
    <row r="44" spans="2:32" ht="23.1" customHeight="1" x14ac:dyDescent="0.25">
      <c r="B44" s="25" t="s">
        <v>71</v>
      </c>
      <c r="C44" s="49">
        <f>AVERAGE('22.07 Nateete-Ndeeba'!C44,'23.07 Nateete-Ndeeba'!C44,'24.07 Nateete-Ndeeba'!C44,'25.07 Nateete-Ndeeba'!C44,'26.07 Nateete-Ndeeba-24h'!C44,'27.07 Nateete-Ndeeba-24h'!C44,'28.07 Nateete-Ndeeba'!C44)</f>
        <v>42</v>
      </c>
      <c r="D44" s="49">
        <f>AVERAGE('22.07 Nateete-Ndeeba'!D44,'23.07 Nateete-Ndeeba'!D44,'24.07 Nateete-Ndeeba'!D44,'25.07 Nateete-Ndeeba'!D44,'26.07 Nateete-Ndeeba-24h'!D44,'27.07 Nateete-Ndeeba-24h'!D44,'28.07 Nateete-Ndeeba'!D44)</f>
        <v>7.1428571428571432</v>
      </c>
      <c r="E44" s="49">
        <f>AVERAGE('22.07 Nateete-Ndeeba'!E44,'23.07 Nateete-Ndeeba'!E44,'24.07 Nateete-Ndeeba'!E44,'25.07 Nateete-Ndeeba'!E44,'26.07 Nateete-Ndeeba-24h'!E44,'27.07 Nateete-Ndeeba-24h'!E44,'28.07 Nateete-Ndeeba'!E44)</f>
        <v>5.5714285714285712</v>
      </c>
      <c r="F44" s="49">
        <f>AVERAGE('22.07 Nateete-Ndeeba'!F44,'23.07 Nateete-Ndeeba'!F44,'24.07 Nateete-Ndeeba'!F44,'25.07 Nateete-Ndeeba'!F44,'26.07 Nateete-Ndeeba-24h'!F44,'27.07 Nateete-Ndeeba-24h'!F44,'28.07 Nateete-Ndeeba'!F44)</f>
        <v>33.142857142857146</v>
      </c>
      <c r="G44" s="49">
        <f>AVERAGE('22.07 Nateete-Ndeeba'!G44,'23.07 Nateete-Ndeeba'!G44,'24.07 Nateete-Ndeeba'!G44,'25.07 Nateete-Ndeeba'!G44,'26.07 Nateete-Ndeeba-24h'!G44,'27.07 Nateete-Ndeeba-24h'!G44,'28.07 Nateete-Ndeeba'!G44)</f>
        <v>0.42857142857142855</v>
      </c>
      <c r="H44" s="49">
        <f>AVERAGE('22.07 Nateete-Ndeeba'!H44,'23.07 Nateete-Ndeeba'!H44,'24.07 Nateete-Ndeeba'!H44,'25.07 Nateete-Ndeeba'!H44,'26.07 Nateete-Ndeeba-24h'!H44,'27.07 Nateete-Ndeeba-24h'!H44,'28.07 Nateete-Ndeeba'!H44)</f>
        <v>0.2857142857142857</v>
      </c>
      <c r="I44" s="49">
        <f>AVERAGE('22.07 Nateete-Ndeeba'!I44,'23.07 Nateete-Ndeeba'!I44,'24.07 Nateete-Ndeeba'!I44,'25.07 Nateete-Ndeeba'!I44,'26.07 Nateete-Ndeeba-24h'!I44,'27.07 Nateete-Ndeeba-24h'!I44,'28.07 Nateete-Ndeeba'!I44)</f>
        <v>7.7142857142857144</v>
      </c>
      <c r="J44" s="49">
        <f>AVERAGE('22.07 Nateete-Ndeeba'!J44,'23.07 Nateete-Ndeeba'!J44,'24.07 Nateete-Ndeeba'!J44,'25.07 Nateete-Ndeeba'!J44,'26.07 Nateete-Ndeeba-24h'!J44,'27.07 Nateete-Ndeeba-24h'!J44,'28.07 Nateete-Ndeeba'!J44)</f>
        <v>9</v>
      </c>
      <c r="K44" s="49">
        <f>AVERAGE('22.07 Nateete-Ndeeba'!K44,'23.07 Nateete-Ndeeba'!K44,'24.07 Nateete-Ndeeba'!K44,'25.07 Nateete-Ndeeba'!K44,'26.07 Nateete-Ndeeba-24h'!K44,'27.07 Nateete-Ndeeba-24h'!K44,'28.07 Nateete-Ndeeba'!K44)</f>
        <v>1.4285714285714286</v>
      </c>
      <c r="L44" s="49">
        <f>AVERAGE('22.07 Nateete-Ndeeba'!L44,'23.07 Nateete-Ndeeba'!L44,'24.07 Nateete-Ndeeba'!L44,'25.07 Nateete-Ndeeba'!L44,'26.07 Nateete-Ndeeba-24h'!L44,'27.07 Nateete-Ndeeba-24h'!L44,'28.07 Nateete-Ndeeba'!L44)</f>
        <v>0.5714285714285714</v>
      </c>
      <c r="M44" s="49">
        <f>AVERAGE('22.07 Nateete-Ndeeba'!M44,'23.07 Nateete-Ndeeba'!M44,'24.07 Nateete-Ndeeba'!M44,'25.07 Nateete-Ndeeba'!M44,'26.07 Nateete-Ndeeba-24h'!M44,'27.07 Nateete-Ndeeba-24h'!M44,'28.07 Nateete-Ndeeba'!M44)</f>
        <v>173.71428571428572</v>
      </c>
      <c r="N44" s="49">
        <f>AVERAGE('22.07 Nateete-Ndeeba'!N44,'23.07 Nateete-Ndeeba'!N44,'24.07 Nateete-Ndeeba'!N44,'25.07 Nateete-Ndeeba'!N44,'26.07 Nateete-Ndeeba-24h'!N44,'27.07 Nateete-Ndeeba-24h'!N44,'28.07 Nateete-Ndeeba'!N44)</f>
        <v>0</v>
      </c>
      <c r="O44" s="15">
        <f t="shared" si="0"/>
        <v>107.28571428571429</v>
      </c>
      <c r="P44" s="15">
        <f t="shared" si="1"/>
        <v>281</v>
      </c>
    </row>
    <row r="45" spans="2:32" ht="23.1" customHeight="1" x14ac:dyDescent="0.25">
      <c r="B45" s="23" t="s">
        <v>72</v>
      </c>
      <c r="C45" s="49">
        <f>AVERAGE('22.07 Nateete-Ndeeba'!C45,'23.07 Nateete-Ndeeba'!C45,'24.07 Nateete-Ndeeba'!C45,'25.07 Nateete-Ndeeba'!C45,'26.07 Nateete-Ndeeba-24h'!C45,'27.07 Nateete-Ndeeba-24h'!C45,'28.07 Nateete-Ndeeba'!C45)</f>
        <v>46.142857142857146</v>
      </c>
      <c r="D45" s="49">
        <f>AVERAGE('22.07 Nateete-Ndeeba'!D45,'23.07 Nateete-Ndeeba'!D45,'24.07 Nateete-Ndeeba'!D45,'25.07 Nateete-Ndeeba'!D45,'26.07 Nateete-Ndeeba-24h'!D45,'27.07 Nateete-Ndeeba-24h'!D45,'28.07 Nateete-Ndeeba'!D45)</f>
        <v>6.5714285714285712</v>
      </c>
      <c r="E45" s="49">
        <f>AVERAGE('22.07 Nateete-Ndeeba'!E45,'23.07 Nateete-Ndeeba'!E45,'24.07 Nateete-Ndeeba'!E45,'25.07 Nateete-Ndeeba'!E45,'26.07 Nateete-Ndeeba-24h'!E45,'27.07 Nateete-Ndeeba-24h'!E45,'28.07 Nateete-Ndeeba'!E45)</f>
        <v>4.4285714285714288</v>
      </c>
      <c r="F45" s="49">
        <f>AVERAGE('22.07 Nateete-Ndeeba'!F45,'23.07 Nateete-Ndeeba'!F45,'24.07 Nateete-Ndeeba'!F45,'25.07 Nateete-Ndeeba'!F45,'26.07 Nateete-Ndeeba-24h'!F45,'27.07 Nateete-Ndeeba-24h'!F45,'28.07 Nateete-Ndeeba'!F45)</f>
        <v>26.285714285714285</v>
      </c>
      <c r="G45" s="49">
        <f>AVERAGE('22.07 Nateete-Ndeeba'!G45,'23.07 Nateete-Ndeeba'!G45,'24.07 Nateete-Ndeeba'!G45,'25.07 Nateete-Ndeeba'!G45,'26.07 Nateete-Ndeeba-24h'!G45,'27.07 Nateete-Ndeeba-24h'!G45,'28.07 Nateete-Ndeeba'!G45)</f>
        <v>0.2857142857142857</v>
      </c>
      <c r="H45" s="49">
        <f>AVERAGE('22.07 Nateete-Ndeeba'!H45,'23.07 Nateete-Ndeeba'!H45,'24.07 Nateete-Ndeeba'!H45,'25.07 Nateete-Ndeeba'!H45,'26.07 Nateete-Ndeeba-24h'!H45,'27.07 Nateete-Ndeeba-24h'!H45,'28.07 Nateete-Ndeeba'!H45)</f>
        <v>0.14285714285714285</v>
      </c>
      <c r="I45" s="49">
        <f>AVERAGE('22.07 Nateete-Ndeeba'!I45,'23.07 Nateete-Ndeeba'!I45,'24.07 Nateete-Ndeeba'!I45,'25.07 Nateete-Ndeeba'!I45,'26.07 Nateete-Ndeeba-24h'!I45,'27.07 Nateete-Ndeeba-24h'!I45,'28.07 Nateete-Ndeeba'!I45)</f>
        <v>5.7142857142857144</v>
      </c>
      <c r="J45" s="49">
        <f>AVERAGE('22.07 Nateete-Ndeeba'!J45,'23.07 Nateete-Ndeeba'!J45,'24.07 Nateete-Ndeeba'!J45,'25.07 Nateete-Ndeeba'!J45,'26.07 Nateete-Ndeeba-24h'!J45,'27.07 Nateete-Ndeeba-24h'!J45,'28.07 Nateete-Ndeeba'!J45)</f>
        <v>11.857142857142858</v>
      </c>
      <c r="K45" s="49">
        <f>AVERAGE('22.07 Nateete-Ndeeba'!K45,'23.07 Nateete-Ndeeba'!K45,'24.07 Nateete-Ndeeba'!K45,'25.07 Nateete-Ndeeba'!K45,'26.07 Nateete-Ndeeba-24h'!K45,'27.07 Nateete-Ndeeba-24h'!K45,'28.07 Nateete-Ndeeba'!K45)</f>
        <v>1.8571428571428572</v>
      </c>
      <c r="L45" s="49">
        <f>AVERAGE('22.07 Nateete-Ndeeba'!L45,'23.07 Nateete-Ndeeba'!L45,'24.07 Nateete-Ndeeba'!L45,'25.07 Nateete-Ndeeba'!L45,'26.07 Nateete-Ndeeba-24h'!L45,'27.07 Nateete-Ndeeba-24h'!L45,'28.07 Nateete-Ndeeba'!L45)</f>
        <v>1.7142857142857142</v>
      </c>
      <c r="M45" s="49">
        <f>AVERAGE('22.07 Nateete-Ndeeba'!M45,'23.07 Nateete-Ndeeba'!M45,'24.07 Nateete-Ndeeba'!M45,'25.07 Nateete-Ndeeba'!M45,'26.07 Nateete-Ndeeba-24h'!M45,'27.07 Nateete-Ndeeba-24h'!M45,'28.07 Nateete-Ndeeba'!M45)</f>
        <v>164.14285714285714</v>
      </c>
      <c r="N45" s="49">
        <f>AVERAGE('22.07 Nateete-Ndeeba'!N45,'23.07 Nateete-Ndeeba'!N45,'24.07 Nateete-Ndeeba'!N45,'25.07 Nateete-Ndeeba'!N45,'26.07 Nateete-Ndeeba-24h'!N45,'27.07 Nateete-Ndeeba-24h'!N45,'28.07 Nateete-Ndeeba'!N45)</f>
        <v>0.14285714285714285</v>
      </c>
      <c r="O45" s="15">
        <f t="shared" si="0"/>
        <v>105.14285714285714</v>
      </c>
      <c r="P45" s="15">
        <f t="shared" si="1"/>
        <v>269.28571428571428</v>
      </c>
    </row>
    <row r="46" spans="2:32" ht="23.1" customHeight="1" x14ac:dyDescent="0.25">
      <c r="B46" s="24" t="s">
        <v>73</v>
      </c>
      <c r="C46" s="49">
        <f>AVERAGE('22.07 Nateete-Ndeeba'!C46,'23.07 Nateete-Ndeeba'!C46,'24.07 Nateete-Ndeeba'!C46,'25.07 Nateete-Ndeeba'!C46,'26.07 Nateete-Ndeeba-24h'!C46,'27.07 Nateete-Ndeeba-24h'!C46,'28.07 Nateete-Ndeeba'!C46)</f>
        <v>46.142857142857146</v>
      </c>
      <c r="D46" s="49">
        <f>AVERAGE('22.07 Nateete-Ndeeba'!D46,'23.07 Nateete-Ndeeba'!D46,'24.07 Nateete-Ndeeba'!D46,'25.07 Nateete-Ndeeba'!D46,'26.07 Nateete-Ndeeba-24h'!D46,'27.07 Nateete-Ndeeba-24h'!D46,'28.07 Nateete-Ndeeba'!D46)</f>
        <v>6.7142857142857144</v>
      </c>
      <c r="E46" s="49">
        <f>AVERAGE('22.07 Nateete-Ndeeba'!E46,'23.07 Nateete-Ndeeba'!E46,'24.07 Nateete-Ndeeba'!E46,'25.07 Nateete-Ndeeba'!E46,'26.07 Nateete-Ndeeba-24h'!E46,'27.07 Nateete-Ndeeba-24h'!E46,'28.07 Nateete-Ndeeba'!E46)</f>
        <v>4.2857142857142856</v>
      </c>
      <c r="F46" s="49">
        <f>AVERAGE('22.07 Nateete-Ndeeba'!F46,'23.07 Nateete-Ndeeba'!F46,'24.07 Nateete-Ndeeba'!F46,'25.07 Nateete-Ndeeba'!F46,'26.07 Nateete-Ndeeba-24h'!F46,'27.07 Nateete-Ndeeba-24h'!F46,'28.07 Nateete-Ndeeba'!F46)</f>
        <v>28.285714285714285</v>
      </c>
      <c r="G46" s="49">
        <f>AVERAGE('22.07 Nateete-Ndeeba'!G46,'23.07 Nateete-Ndeeba'!G46,'24.07 Nateete-Ndeeba'!G46,'25.07 Nateete-Ndeeba'!G46,'26.07 Nateete-Ndeeba-24h'!G46,'27.07 Nateete-Ndeeba-24h'!G46,'28.07 Nateete-Ndeeba'!G46)</f>
        <v>0.7142857142857143</v>
      </c>
      <c r="H46" s="49">
        <f>AVERAGE('22.07 Nateete-Ndeeba'!H46,'23.07 Nateete-Ndeeba'!H46,'24.07 Nateete-Ndeeba'!H46,'25.07 Nateete-Ndeeba'!H46,'26.07 Nateete-Ndeeba-24h'!H46,'27.07 Nateete-Ndeeba-24h'!H46,'28.07 Nateete-Ndeeba'!H46)</f>
        <v>0</v>
      </c>
      <c r="I46" s="49">
        <f>AVERAGE('22.07 Nateete-Ndeeba'!I46,'23.07 Nateete-Ndeeba'!I46,'24.07 Nateete-Ndeeba'!I46,'25.07 Nateete-Ndeeba'!I46,'26.07 Nateete-Ndeeba-24h'!I46,'27.07 Nateete-Ndeeba-24h'!I46,'28.07 Nateete-Ndeeba'!I46)</f>
        <v>6</v>
      </c>
      <c r="J46" s="49">
        <f>AVERAGE('22.07 Nateete-Ndeeba'!J46,'23.07 Nateete-Ndeeba'!J46,'24.07 Nateete-Ndeeba'!J46,'25.07 Nateete-Ndeeba'!J46,'26.07 Nateete-Ndeeba-24h'!J46,'27.07 Nateete-Ndeeba-24h'!J46,'28.07 Nateete-Ndeeba'!J46)</f>
        <v>10.285714285714286</v>
      </c>
      <c r="K46" s="49">
        <f>AVERAGE('22.07 Nateete-Ndeeba'!K46,'23.07 Nateete-Ndeeba'!K46,'24.07 Nateete-Ndeeba'!K46,'25.07 Nateete-Ndeeba'!K46,'26.07 Nateete-Ndeeba-24h'!K46,'27.07 Nateete-Ndeeba-24h'!K46,'28.07 Nateete-Ndeeba'!K46)</f>
        <v>1.4285714285714286</v>
      </c>
      <c r="L46" s="49">
        <f>AVERAGE('22.07 Nateete-Ndeeba'!L46,'23.07 Nateete-Ndeeba'!L46,'24.07 Nateete-Ndeeba'!L46,'25.07 Nateete-Ndeeba'!L46,'26.07 Nateete-Ndeeba-24h'!L46,'27.07 Nateete-Ndeeba-24h'!L46,'28.07 Nateete-Ndeeba'!L46)</f>
        <v>0</v>
      </c>
      <c r="M46" s="49">
        <f>AVERAGE('22.07 Nateete-Ndeeba'!M46,'23.07 Nateete-Ndeeba'!M46,'24.07 Nateete-Ndeeba'!M46,'25.07 Nateete-Ndeeba'!M46,'26.07 Nateete-Ndeeba-24h'!M46,'27.07 Nateete-Ndeeba-24h'!M46,'28.07 Nateete-Ndeeba'!M46)</f>
        <v>154.57142857142858</v>
      </c>
      <c r="N46" s="49">
        <f>AVERAGE('22.07 Nateete-Ndeeba'!N46,'23.07 Nateete-Ndeeba'!N46,'24.07 Nateete-Ndeeba'!N46,'25.07 Nateete-Ndeeba'!N46,'26.07 Nateete-Ndeeba-24h'!N46,'27.07 Nateete-Ndeeba-24h'!N46,'28.07 Nateete-Ndeeba'!N46)</f>
        <v>0</v>
      </c>
      <c r="O46" s="15">
        <f t="shared" si="0"/>
        <v>103.85714285714286</v>
      </c>
      <c r="P46" s="15">
        <f t="shared" si="1"/>
        <v>258.42857142857144</v>
      </c>
      <c r="R46" s="8"/>
      <c r="T46"/>
    </row>
    <row r="47" spans="2:32" ht="23.1" customHeight="1" x14ac:dyDescent="0.25">
      <c r="B47" s="24" t="s">
        <v>74</v>
      </c>
      <c r="C47" s="49">
        <f>AVERAGE('22.07 Nateete-Ndeeba'!C47,'23.07 Nateete-Ndeeba'!C47,'24.07 Nateete-Ndeeba'!C47,'25.07 Nateete-Ndeeba'!C47,'26.07 Nateete-Ndeeba-24h'!C47,'27.07 Nateete-Ndeeba-24h'!C47,'28.07 Nateete-Ndeeba'!C47)</f>
        <v>39.571428571428569</v>
      </c>
      <c r="D47" s="49">
        <f>AVERAGE('22.07 Nateete-Ndeeba'!D47,'23.07 Nateete-Ndeeba'!D47,'24.07 Nateete-Ndeeba'!D47,'25.07 Nateete-Ndeeba'!D47,'26.07 Nateete-Ndeeba-24h'!D47,'27.07 Nateete-Ndeeba-24h'!D47,'28.07 Nateete-Ndeeba'!D47)</f>
        <v>5.8571428571428568</v>
      </c>
      <c r="E47" s="49">
        <f>AVERAGE('22.07 Nateete-Ndeeba'!E47,'23.07 Nateete-Ndeeba'!E47,'24.07 Nateete-Ndeeba'!E47,'25.07 Nateete-Ndeeba'!E47,'26.07 Nateete-Ndeeba-24h'!E47,'27.07 Nateete-Ndeeba-24h'!E47,'28.07 Nateete-Ndeeba'!E47)</f>
        <v>4.1428571428571432</v>
      </c>
      <c r="F47" s="49">
        <f>AVERAGE('22.07 Nateete-Ndeeba'!F47,'23.07 Nateete-Ndeeba'!F47,'24.07 Nateete-Ndeeba'!F47,'25.07 Nateete-Ndeeba'!F47,'26.07 Nateete-Ndeeba-24h'!F47,'27.07 Nateete-Ndeeba-24h'!F47,'28.07 Nateete-Ndeeba'!F47)</f>
        <v>25.428571428571427</v>
      </c>
      <c r="G47" s="49">
        <f>AVERAGE('22.07 Nateete-Ndeeba'!G47,'23.07 Nateete-Ndeeba'!G47,'24.07 Nateete-Ndeeba'!G47,'25.07 Nateete-Ndeeba'!G47,'26.07 Nateete-Ndeeba-24h'!G47,'27.07 Nateete-Ndeeba-24h'!G47,'28.07 Nateete-Ndeeba'!G47)</f>
        <v>1</v>
      </c>
      <c r="H47" s="49">
        <f>AVERAGE('22.07 Nateete-Ndeeba'!H47,'23.07 Nateete-Ndeeba'!H47,'24.07 Nateete-Ndeeba'!H47,'25.07 Nateete-Ndeeba'!H47,'26.07 Nateete-Ndeeba-24h'!H47,'27.07 Nateete-Ndeeba-24h'!H47,'28.07 Nateete-Ndeeba'!H47)</f>
        <v>0</v>
      </c>
      <c r="I47" s="49">
        <f>AVERAGE('22.07 Nateete-Ndeeba'!I47,'23.07 Nateete-Ndeeba'!I47,'24.07 Nateete-Ndeeba'!I47,'25.07 Nateete-Ndeeba'!I47,'26.07 Nateete-Ndeeba-24h'!I47,'27.07 Nateete-Ndeeba-24h'!I47,'28.07 Nateete-Ndeeba'!I47)</f>
        <v>4.7142857142857144</v>
      </c>
      <c r="J47" s="49">
        <f>AVERAGE('22.07 Nateete-Ndeeba'!J47,'23.07 Nateete-Ndeeba'!J47,'24.07 Nateete-Ndeeba'!J47,'25.07 Nateete-Ndeeba'!J47,'26.07 Nateete-Ndeeba-24h'!J47,'27.07 Nateete-Ndeeba-24h'!J47,'28.07 Nateete-Ndeeba'!J47)</f>
        <v>12.428571428571429</v>
      </c>
      <c r="K47" s="49">
        <f>AVERAGE('22.07 Nateete-Ndeeba'!K47,'23.07 Nateete-Ndeeba'!K47,'24.07 Nateete-Ndeeba'!K47,'25.07 Nateete-Ndeeba'!K47,'26.07 Nateete-Ndeeba-24h'!K47,'27.07 Nateete-Ndeeba-24h'!K47,'28.07 Nateete-Ndeeba'!K47)</f>
        <v>0.2857142857142857</v>
      </c>
      <c r="L47" s="49">
        <f>AVERAGE('22.07 Nateete-Ndeeba'!L47,'23.07 Nateete-Ndeeba'!L47,'24.07 Nateete-Ndeeba'!L47,'25.07 Nateete-Ndeeba'!L47,'26.07 Nateete-Ndeeba-24h'!L47,'27.07 Nateete-Ndeeba-24h'!L47,'28.07 Nateete-Ndeeba'!L47)</f>
        <v>0.5714285714285714</v>
      </c>
      <c r="M47" s="49">
        <f>AVERAGE('22.07 Nateete-Ndeeba'!M47,'23.07 Nateete-Ndeeba'!M47,'24.07 Nateete-Ndeeba'!M47,'25.07 Nateete-Ndeeba'!M47,'26.07 Nateete-Ndeeba-24h'!M47,'27.07 Nateete-Ndeeba-24h'!M47,'28.07 Nateete-Ndeeba'!M47)</f>
        <v>156.14285714285714</v>
      </c>
      <c r="N47" s="49">
        <f>AVERAGE('22.07 Nateete-Ndeeba'!N47,'23.07 Nateete-Ndeeba'!N47,'24.07 Nateete-Ndeeba'!N47,'25.07 Nateete-Ndeeba'!N47,'26.07 Nateete-Ndeeba-24h'!N47,'27.07 Nateete-Ndeeba-24h'!N47,'28.07 Nateete-Ndeeba'!N47)</f>
        <v>0</v>
      </c>
      <c r="O47" s="15">
        <f t="shared" si="0"/>
        <v>94</v>
      </c>
      <c r="P47" s="15">
        <f t="shared" si="1"/>
        <v>250.14285714285714</v>
      </c>
      <c r="R47" s="8"/>
      <c r="T47"/>
    </row>
    <row r="48" spans="2:32" ht="23.1" customHeight="1" x14ac:dyDescent="0.25">
      <c r="B48" s="24" t="s">
        <v>75</v>
      </c>
      <c r="C48" s="49">
        <f>AVERAGE('22.07 Nateete-Ndeeba'!C48,'23.07 Nateete-Ndeeba'!C48,'24.07 Nateete-Ndeeba'!C48,'25.07 Nateete-Ndeeba'!C48,'26.07 Nateete-Ndeeba-24h'!C48,'27.07 Nateete-Ndeeba-24h'!C48,'28.07 Nateete-Ndeeba'!C48)</f>
        <v>52.428571428571431</v>
      </c>
      <c r="D48" s="49">
        <f>AVERAGE('22.07 Nateete-Ndeeba'!D48,'23.07 Nateete-Ndeeba'!D48,'24.07 Nateete-Ndeeba'!D48,'25.07 Nateete-Ndeeba'!D48,'26.07 Nateete-Ndeeba-24h'!D48,'27.07 Nateete-Ndeeba-24h'!D48,'28.07 Nateete-Ndeeba'!D48)</f>
        <v>6.2857142857142856</v>
      </c>
      <c r="E48" s="49">
        <f>AVERAGE('22.07 Nateete-Ndeeba'!E48,'23.07 Nateete-Ndeeba'!E48,'24.07 Nateete-Ndeeba'!E48,'25.07 Nateete-Ndeeba'!E48,'26.07 Nateete-Ndeeba-24h'!E48,'27.07 Nateete-Ndeeba-24h'!E48,'28.07 Nateete-Ndeeba'!E48)</f>
        <v>5.4285714285714288</v>
      </c>
      <c r="F48" s="49">
        <f>AVERAGE('22.07 Nateete-Ndeeba'!F48,'23.07 Nateete-Ndeeba'!F48,'24.07 Nateete-Ndeeba'!F48,'25.07 Nateete-Ndeeba'!F48,'26.07 Nateete-Ndeeba-24h'!F48,'27.07 Nateete-Ndeeba-24h'!F48,'28.07 Nateete-Ndeeba'!F48)</f>
        <v>31.142857142857142</v>
      </c>
      <c r="G48" s="49">
        <f>AVERAGE('22.07 Nateete-Ndeeba'!G48,'23.07 Nateete-Ndeeba'!G48,'24.07 Nateete-Ndeeba'!G48,'25.07 Nateete-Ndeeba'!G48,'26.07 Nateete-Ndeeba-24h'!G48,'27.07 Nateete-Ndeeba-24h'!G48,'28.07 Nateete-Ndeeba'!G48)</f>
        <v>0.42857142857142855</v>
      </c>
      <c r="H48" s="49">
        <f>AVERAGE('22.07 Nateete-Ndeeba'!H48,'23.07 Nateete-Ndeeba'!H48,'24.07 Nateete-Ndeeba'!H48,'25.07 Nateete-Ndeeba'!H48,'26.07 Nateete-Ndeeba-24h'!H48,'27.07 Nateete-Ndeeba-24h'!H48,'28.07 Nateete-Ndeeba'!H48)</f>
        <v>0.14285714285714285</v>
      </c>
      <c r="I48" s="49">
        <f>AVERAGE('22.07 Nateete-Ndeeba'!I48,'23.07 Nateete-Ndeeba'!I48,'24.07 Nateete-Ndeeba'!I48,'25.07 Nateete-Ndeeba'!I48,'26.07 Nateete-Ndeeba-24h'!I48,'27.07 Nateete-Ndeeba-24h'!I48,'28.07 Nateete-Ndeeba'!I48)</f>
        <v>6.5714285714285712</v>
      </c>
      <c r="J48" s="49">
        <f>AVERAGE('22.07 Nateete-Ndeeba'!J48,'23.07 Nateete-Ndeeba'!J48,'24.07 Nateete-Ndeeba'!J48,'25.07 Nateete-Ndeeba'!J48,'26.07 Nateete-Ndeeba-24h'!J48,'27.07 Nateete-Ndeeba-24h'!J48,'28.07 Nateete-Ndeeba'!J48)</f>
        <v>11.714285714285714</v>
      </c>
      <c r="K48" s="49">
        <f>AVERAGE('22.07 Nateete-Ndeeba'!K48,'23.07 Nateete-Ndeeba'!K48,'24.07 Nateete-Ndeeba'!K48,'25.07 Nateete-Ndeeba'!K48,'26.07 Nateete-Ndeeba-24h'!K48,'27.07 Nateete-Ndeeba-24h'!K48,'28.07 Nateete-Ndeeba'!K48)</f>
        <v>2.1428571428571428</v>
      </c>
      <c r="L48" s="49">
        <f>AVERAGE('22.07 Nateete-Ndeeba'!L48,'23.07 Nateete-Ndeeba'!L48,'24.07 Nateete-Ndeeba'!L48,'25.07 Nateete-Ndeeba'!L48,'26.07 Nateete-Ndeeba-24h'!L48,'27.07 Nateete-Ndeeba-24h'!L48,'28.07 Nateete-Ndeeba'!L48)</f>
        <v>0</v>
      </c>
      <c r="M48" s="49">
        <f>AVERAGE('22.07 Nateete-Ndeeba'!M48,'23.07 Nateete-Ndeeba'!M48,'24.07 Nateete-Ndeeba'!M48,'25.07 Nateete-Ndeeba'!M48,'26.07 Nateete-Ndeeba-24h'!M48,'27.07 Nateete-Ndeeba-24h'!M48,'28.07 Nateete-Ndeeba'!M48)</f>
        <v>199.28571428571428</v>
      </c>
      <c r="N48" s="49">
        <f>AVERAGE('22.07 Nateete-Ndeeba'!N48,'23.07 Nateete-Ndeeba'!N48,'24.07 Nateete-Ndeeba'!N48,'25.07 Nateete-Ndeeba'!N48,'26.07 Nateete-Ndeeba-24h'!N48,'27.07 Nateete-Ndeeba-24h'!N48,'28.07 Nateete-Ndeeba'!N48)</f>
        <v>0</v>
      </c>
      <c r="O48" s="15">
        <f t="shared" si="0"/>
        <v>116.28571428571426</v>
      </c>
      <c r="P48" s="15">
        <f t="shared" si="1"/>
        <v>315.57142857142856</v>
      </c>
      <c r="R48" s="8"/>
      <c r="T48"/>
    </row>
    <row r="49" spans="2:20" ht="23.1" customHeight="1" x14ac:dyDescent="0.25">
      <c r="B49" s="23" t="s">
        <v>76</v>
      </c>
      <c r="C49" s="49">
        <f>AVERAGE('22.07 Nateete-Ndeeba'!C49,'23.07 Nateete-Ndeeba'!C49,'24.07 Nateete-Ndeeba'!C49,'25.07 Nateete-Ndeeba'!C49,'26.07 Nateete-Ndeeba-24h'!C49,'27.07 Nateete-Ndeeba-24h'!C49,'28.07 Nateete-Ndeeba'!C49)</f>
        <v>34.142857142857146</v>
      </c>
      <c r="D49" s="49">
        <f>AVERAGE('22.07 Nateete-Ndeeba'!D49,'23.07 Nateete-Ndeeba'!D49,'24.07 Nateete-Ndeeba'!D49,'25.07 Nateete-Ndeeba'!D49,'26.07 Nateete-Ndeeba-24h'!D49,'27.07 Nateete-Ndeeba-24h'!D49,'28.07 Nateete-Ndeeba'!D49)</f>
        <v>3.2857142857142856</v>
      </c>
      <c r="E49" s="49">
        <f>AVERAGE('22.07 Nateete-Ndeeba'!E49,'23.07 Nateete-Ndeeba'!E49,'24.07 Nateete-Ndeeba'!E49,'25.07 Nateete-Ndeeba'!E49,'26.07 Nateete-Ndeeba-24h'!E49,'27.07 Nateete-Ndeeba-24h'!E49,'28.07 Nateete-Ndeeba'!E49)</f>
        <v>4</v>
      </c>
      <c r="F49" s="49">
        <f>AVERAGE('22.07 Nateete-Ndeeba'!F49,'23.07 Nateete-Ndeeba'!F49,'24.07 Nateete-Ndeeba'!F49,'25.07 Nateete-Ndeeba'!F49,'26.07 Nateete-Ndeeba-24h'!F49,'27.07 Nateete-Ndeeba-24h'!F49,'28.07 Nateete-Ndeeba'!F49)</f>
        <v>29.857142857142858</v>
      </c>
      <c r="G49" s="49">
        <f>AVERAGE('22.07 Nateete-Ndeeba'!G49,'23.07 Nateete-Ndeeba'!G49,'24.07 Nateete-Ndeeba'!G49,'25.07 Nateete-Ndeeba'!G49,'26.07 Nateete-Ndeeba-24h'!G49,'27.07 Nateete-Ndeeba-24h'!G49,'28.07 Nateete-Ndeeba'!G49)</f>
        <v>0.5714285714285714</v>
      </c>
      <c r="H49" s="49">
        <f>AVERAGE('22.07 Nateete-Ndeeba'!H49,'23.07 Nateete-Ndeeba'!H49,'24.07 Nateete-Ndeeba'!H49,'25.07 Nateete-Ndeeba'!H49,'26.07 Nateete-Ndeeba-24h'!H49,'27.07 Nateete-Ndeeba-24h'!H49,'28.07 Nateete-Ndeeba'!H49)</f>
        <v>0.2857142857142857</v>
      </c>
      <c r="I49" s="49">
        <f>AVERAGE('22.07 Nateete-Ndeeba'!I49,'23.07 Nateete-Ndeeba'!I49,'24.07 Nateete-Ndeeba'!I49,'25.07 Nateete-Ndeeba'!I49,'26.07 Nateete-Ndeeba-24h'!I49,'27.07 Nateete-Ndeeba-24h'!I49,'28.07 Nateete-Ndeeba'!I49)</f>
        <v>4.4285714285714288</v>
      </c>
      <c r="J49" s="49">
        <f>AVERAGE('22.07 Nateete-Ndeeba'!J49,'23.07 Nateete-Ndeeba'!J49,'24.07 Nateete-Ndeeba'!J49,'25.07 Nateete-Ndeeba'!J49,'26.07 Nateete-Ndeeba-24h'!J49,'27.07 Nateete-Ndeeba-24h'!J49,'28.07 Nateete-Ndeeba'!J49)</f>
        <v>12</v>
      </c>
      <c r="K49" s="49">
        <f>AVERAGE('22.07 Nateete-Ndeeba'!K49,'23.07 Nateete-Ndeeba'!K49,'24.07 Nateete-Ndeeba'!K49,'25.07 Nateete-Ndeeba'!K49,'26.07 Nateete-Ndeeba-24h'!K49,'27.07 Nateete-Ndeeba-24h'!K49,'28.07 Nateete-Ndeeba'!K49)</f>
        <v>1.7142857142857142</v>
      </c>
      <c r="L49" s="49">
        <f>AVERAGE('22.07 Nateete-Ndeeba'!L49,'23.07 Nateete-Ndeeba'!L49,'24.07 Nateete-Ndeeba'!L49,'25.07 Nateete-Ndeeba'!L49,'26.07 Nateete-Ndeeba-24h'!L49,'27.07 Nateete-Ndeeba-24h'!L49,'28.07 Nateete-Ndeeba'!L49)</f>
        <v>0.42857142857142855</v>
      </c>
      <c r="M49" s="49">
        <f>AVERAGE('22.07 Nateete-Ndeeba'!M49,'23.07 Nateete-Ndeeba'!M49,'24.07 Nateete-Ndeeba'!M49,'25.07 Nateete-Ndeeba'!M49,'26.07 Nateete-Ndeeba-24h'!M49,'27.07 Nateete-Ndeeba-24h'!M49,'28.07 Nateete-Ndeeba'!M49)</f>
        <v>179.71428571428572</v>
      </c>
      <c r="N49" s="49">
        <f>AVERAGE('22.07 Nateete-Ndeeba'!N49,'23.07 Nateete-Ndeeba'!N49,'24.07 Nateete-Ndeeba'!N49,'25.07 Nateete-Ndeeba'!N49,'26.07 Nateete-Ndeeba-24h'!N49,'27.07 Nateete-Ndeeba-24h'!N49,'28.07 Nateete-Ndeeba'!N49)</f>
        <v>0</v>
      </c>
      <c r="O49" s="15">
        <f t="shared" si="0"/>
        <v>90.714285714285722</v>
      </c>
      <c r="P49" s="15">
        <f t="shared" si="1"/>
        <v>270.42857142857144</v>
      </c>
      <c r="R49" s="8"/>
      <c r="T49"/>
    </row>
    <row r="50" spans="2:20" ht="23.1" customHeight="1" x14ac:dyDescent="0.25">
      <c r="B50" s="24" t="s">
        <v>77</v>
      </c>
      <c r="C50" s="49">
        <f>AVERAGE('22.07 Nateete-Ndeeba'!C50,'23.07 Nateete-Ndeeba'!C50,'24.07 Nateete-Ndeeba'!C50,'25.07 Nateete-Ndeeba'!C50,'26.07 Nateete-Ndeeba-24h'!C50,'27.07 Nateete-Ndeeba-24h'!C50,'28.07 Nateete-Ndeeba'!C50)</f>
        <v>35</v>
      </c>
      <c r="D50" s="49">
        <f>AVERAGE('22.07 Nateete-Ndeeba'!D50,'23.07 Nateete-Ndeeba'!D50,'24.07 Nateete-Ndeeba'!D50,'25.07 Nateete-Ndeeba'!D50,'26.07 Nateete-Ndeeba-24h'!D50,'27.07 Nateete-Ndeeba-24h'!D50,'28.07 Nateete-Ndeeba'!D50)</f>
        <v>4.4285714285714288</v>
      </c>
      <c r="E50" s="49">
        <f>AVERAGE('22.07 Nateete-Ndeeba'!E50,'23.07 Nateete-Ndeeba'!E50,'24.07 Nateete-Ndeeba'!E50,'25.07 Nateete-Ndeeba'!E50,'26.07 Nateete-Ndeeba-24h'!E50,'27.07 Nateete-Ndeeba-24h'!E50,'28.07 Nateete-Ndeeba'!E50)</f>
        <v>5</v>
      </c>
      <c r="F50" s="49">
        <f>AVERAGE('22.07 Nateete-Ndeeba'!F50,'23.07 Nateete-Ndeeba'!F50,'24.07 Nateete-Ndeeba'!F50,'25.07 Nateete-Ndeeba'!F50,'26.07 Nateete-Ndeeba-24h'!F50,'27.07 Nateete-Ndeeba-24h'!F50,'28.07 Nateete-Ndeeba'!F50)</f>
        <v>34.857142857142854</v>
      </c>
      <c r="G50" s="49">
        <f>AVERAGE('22.07 Nateete-Ndeeba'!G50,'23.07 Nateete-Ndeeba'!G50,'24.07 Nateete-Ndeeba'!G50,'25.07 Nateete-Ndeeba'!G50,'26.07 Nateete-Ndeeba-24h'!G50,'27.07 Nateete-Ndeeba-24h'!G50,'28.07 Nateete-Ndeeba'!G50)</f>
        <v>0.42857142857142855</v>
      </c>
      <c r="H50" s="49">
        <f>AVERAGE('22.07 Nateete-Ndeeba'!H50,'23.07 Nateete-Ndeeba'!H50,'24.07 Nateete-Ndeeba'!H50,'25.07 Nateete-Ndeeba'!H50,'26.07 Nateete-Ndeeba-24h'!H50,'27.07 Nateete-Ndeeba-24h'!H50,'28.07 Nateete-Ndeeba'!H50)</f>
        <v>0.5714285714285714</v>
      </c>
      <c r="I50" s="49">
        <f>AVERAGE('22.07 Nateete-Ndeeba'!I50,'23.07 Nateete-Ndeeba'!I50,'24.07 Nateete-Ndeeba'!I50,'25.07 Nateete-Ndeeba'!I50,'26.07 Nateete-Ndeeba-24h'!I50,'27.07 Nateete-Ndeeba-24h'!I50,'28.07 Nateete-Ndeeba'!I50)</f>
        <v>6.4285714285714288</v>
      </c>
      <c r="J50" s="49">
        <f>AVERAGE('22.07 Nateete-Ndeeba'!J50,'23.07 Nateete-Ndeeba'!J50,'24.07 Nateete-Ndeeba'!J50,'25.07 Nateete-Ndeeba'!J50,'26.07 Nateete-Ndeeba-24h'!J50,'27.07 Nateete-Ndeeba-24h'!J50,'28.07 Nateete-Ndeeba'!J50)</f>
        <v>13.428571428571429</v>
      </c>
      <c r="K50" s="49">
        <f>AVERAGE('22.07 Nateete-Ndeeba'!K50,'23.07 Nateete-Ndeeba'!K50,'24.07 Nateete-Ndeeba'!K50,'25.07 Nateete-Ndeeba'!K50,'26.07 Nateete-Ndeeba-24h'!K50,'27.07 Nateete-Ndeeba-24h'!K50,'28.07 Nateete-Ndeeba'!K50)</f>
        <v>2</v>
      </c>
      <c r="L50" s="49">
        <f>AVERAGE('22.07 Nateete-Ndeeba'!L50,'23.07 Nateete-Ndeeba'!L50,'24.07 Nateete-Ndeeba'!L50,'25.07 Nateete-Ndeeba'!L50,'26.07 Nateete-Ndeeba-24h'!L50,'27.07 Nateete-Ndeeba-24h'!L50,'28.07 Nateete-Ndeeba'!L50)</f>
        <v>0.42857142857142855</v>
      </c>
      <c r="M50" s="49">
        <f>AVERAGE('22.07 Nateete-Ndeeba'!M50,'23.07 Nateete-Ndeeba'!M50,'24.07 Nateete-Ndeeba'!M50,'25.07 Nateete-Ndeeba'!M50,'26.07 Nateete-Ndeeba-24h'!M50,'27.07 Nateete-Ndeeba-24h'!M50,'28.07 Nateete-Ndeeba'!M50)</f>
        <v>182.85714285714286</v>
      </c>
      <c r="N50" s="49">
        <f>AVERAGE('22.07 Nateete-Ndeeba'!N50,'23.07 Nateete-Ndeeba'!N50,'24.07 Nateete-Ndeeba'!N50,'25.07 Nateete-Ndeeba'!N50,'26.07 Nateete-Ndeeba-24h'!N50,'27.07 Nateete-Ndeeba-24h'!N50,'28.07 Nateete-Ndeeba'!N50)</f>
        <v>0</v>
      </c>
      <c r="O50" s="15">
        <f t="shared" si="0"/>
        <v>102.57142857142857</v>
      </c>
      <c r="P50" s="15">
        <f t="shared" si="1"/>
        <v>285.42857142857144</v>
      </c>
      <c r="R50" s="8"/>
      <c r="T50"/>
    </row>
    <row r="51" spans="2:20" ht="23.1" customHeight="1" x14ac:dyDescent="0.25">
      <c r="B51" s="24" t="s">
        <v>78</v>
      </c>
      <c r="C51" s="49">
        <f>AVERAGE('22.07 Nateete-Ndeeba'!C51,'23.07 Nateete-Ndeeba'!C51,'24.07 Nateete-Ndeeba'!C51,'25.07 Nateete-Ndeeba'!C51,'26.07 Nateete-Ndeeba-24h'!C51,'27.07 Nateete-Ndeeba-24h'!C51,'28.07 Nateete-Ndeeba'!C51)</f>
        <v>42.428571428571431</v>
      </c>
      <c r="D51" s="49">
        <f>AVERAGE('22.07 Nateete-Ndeeba'!D51,'23.07 Nateete-Ndeeba'!D51,'24.07 Nateete-Ndeeba'!D51,'25.07 Nateete-Ndeeba'!D51,'26.07 Nateete-Ndeeba-24h'!D51,'27.07 Nateete-Ndeeba-24h'!D51,'28.07 Nateete-Ndeeba'!D51)</f>
        <v>6.5714285714285712</v>
      </c>
      <c r="E51" s="49">
        <f>AVERAGE('22.07 Nateete-Ndeeba'!E51,'23.07 Nateete-Ndeeba'!E51,'24.07 Nateete-Ndeeba'!E51,'25.07 Nateete-Ndeeba'!E51,'26.07 Nateete-Ndeeba-24h'!E51,'27.07 Nateete-Ndeeba-24h'!E51,'28.07 Nateete-Ndeeba'!E51)</f>
        <v>3.1428571428571428</v>
      </c>
      <c r="F51" s="49">
        <f>AVERAGE('22.07 Nateete-Ndeeba'!F51,'23.07 Nateete-Ndeeba'!F51,'24.07 Nateete-Ndeeba'!F51,'25.07 Nateete-Ndeeba'!F51,'26.07 Nateete-Ndeeba-24h'!F51,'27.07 Nateete-Ndeeba-24h'!F51,'28.07 Nateete-Ndeeba'!F51)</f>
        <v>34</v>
      </c>
      <c r="G51" s="49">
        <f>AVERAGE('22.07 Nateete-Ndeeba'!G51,'23.07 Nateete-Ndeeba'!G51,'24.07 Nateete-Ndeeba'!G51,'25.07 Nateete-Ndeeba'!G51,'26.07 Nateete-Ndeeba-24h'!G51,'27.07 Nateete-Ndeeba-24h'!G51,'28.07 Nateete-Ndeeba'!G51)</f>
        <v>0.2857142857142857</v>
      </c>
      <c r="H51" s="49">
        <f>AVERAGE('22.07 Nateete-Ndeeba'!H51,'23.07 Nateete-Ndeeba'!H51,'24.07 Nateete-Ndeeba'!H51,'25.07 Nateete-Ndeeba'!H51,'26.07 Nateete-Ndeeba-24h'!H51,'27.07 Nateete-Ndeeba-24h'!H51,'28.07 Nateete-Ndeeba'!H51)</f>
        <v>0.5714285714285714</v>
      </c>
      <c r="I51" s="49">
        <f>AVERAGE('22.07 Nateete-Ndeeba'!I51,'23.07 Nateete-Ndeeba'!I51,'24.07 Nateete-Ndeeba'!I51,'25.07 Nateete-Ndeeba'!I51,'26.07 Nateete-Ndeeba-24h'!I51,'27.07 Nateete-Ndeeba-24h'!I51,'28.07 Nateete-Ndeeba'!I51)</f>
        <v>6</v>
      </c>
      <c r="J51" s="49">
        <f>AVERAGE('22.07 Nateete-Ndeeba'!J51,'23.07 Nateete-Ndeeba'!J51,'24.07 Nateete-Ndeeba'!J51,'25.07 Nateete-Ndeeba'!J51,'26.07 Nateete-Ndeeba-24h'!J51,'27.07 Nateete-Ndeeba-24h'!J51,'28.07 Nateete-Ndeeba'!J51)</f>
        <v>10.571428571428571</v>
      </c>
      <c r="K51" s="49">
        <f>AVERAGE('22.07 Nateete-Ndeeba'!K51,'23.07 Nateete-Ndeeba'!K51,'24.07 Nateete-Ndeeba'!K51,'25.07 Nateete-Ndeeba'!K51,'26.07 Nateete-Ndeeba-24h'!K51,'27.07 Nateete-Ndeeba-24h'!K51,'28.07 Nateete-Ndeeba'!K51)</f>
        <v>2.2857142857142856</v>
      </c>
      <c r="L51" s="49">
        <f>AVERAGE('22.07 Nateete-Ndeeba'!L51,'23.07 Nateete-Ndeeba'!L51,'24.07 Nateete-Ndeeba'!L51,'25.07 Nateete-Ndeeba'!L51,'26.07 Nateete-Ndeeba-24h'!L51,'27.07 Nateete-Ndeeba-24h'!L51,'28.07 Nateete-Ndeeba'!L51)</f>
        <v>0.14285714285714285</v>
      </c>
      <c r="M51" s="49">
        <f>AVERAGE('22.07 Nateete-Ndeeba'!M51,'23.07 Nateete-Ndeeba'!M51,'24.07 Nateete-Ndeeba'!M51,'25.07 Nateete-Ndeeba'!M51,'26.07 Nateete-Ndeeba-24h'!M51,'27.07 Nateete-Ndeeba-24h'!M51,'28.07 Nateete-Ndeeba'!M51)</f>
        <v>188.42857142857142</v>
      </c>
      <c r="N51" s="49">
        <f>AVERAGE('22.07 Nateete-Ndeeba'!N51,'23.07 Nateete-Ndeeba'!N51,'24.07 Nateete-Ndeeba'!N51,'25.07 Nateete-Ndeeba'!N51,'26.07 Nateete-Ndeeba-24h'!N51,'27.07 Nateete-Ndeeba-24h'!N51,'28.07 Nateete-Ndeeba'!N51)</f>
        <v>0</v>
      </c>
      <c r="O51" s="15">
        <f t="shared" si="0"/>
        <v>106</v>
      </c>
      <c r="P51" s="15">
        <f t="shared" si="1"/>
        <v>294.42857142857144</v>
      </c>
      <c r="R51" s="8"/>
      <c r="T51"/>
    </row>
    <row r="52" spans="2:20" ht="23.1" customHeight="1" x14ac:dyDescent="0.25">
      <c r="B52" s="24" t="s">
        <v>79</v>
      </c>
      <c r="C52" s="49">
        <f>AVERAGE('22.07 Nateete-Ndeeba'!C52,'23.07 Nateete-Ndeeba'!C52,'24.07 Nateete-Ndeeba'!C52,'25.07 Nateete-Ndeeba'!C52,'26.07 Nateete-Ndeeba-24h'!C52,'27.07 Nateete-Ndeeba-24h'!C52,'28.07 Nateete-Ndeeba'!C52)</f>
        <v>46.142857142857146</v>
      </c>
      <c r="D52" s="49">
        <f>AVERAGE('22.07 Nateete-Ndeeba'!D52,'23.07 Nateete-Ndeeba'!D52,'24.07 Nateete-Ndeeba'!D52,'25.07 Nateete-Ndeeba'!D52,'26.07 Nateete-Ndeeba-24h'!D52,'27.07 Nateete-Ndeeba-24h'!D52,'28.07 Nateete-Ndeeba'!D52)</f>
        <v>5</v>
      </c>
      <c r="E52" s="49">
        <f>AVERAGE('22.07 Nateete-Ndeeba'!E52,'23.07 Nateete-Ndeeba'!E52,'24.07 Nateete-Ndeeba'!E52,'25.07 Nateete-Ndeeba'!E52,'26.07 Nateete-Ndeeba-24h'!E52,'27.07 Nateete-Ndeeba-24h'!E52,'28.07 Nateete-Ndeeba'!E52)</f>
        <v>4.7142857142857144</v>
      </c>
      <c r="F52" s="49">
        <f>AVERAGE('22.07 Nateete-Ndeeba'!F52,'23.07 Nateete-Ndeeba'!F52,'24.07 Nateete-Ndeeba'!F52,'25.07 Nateete-Ndeeba'!F52,'26.07 Nateete-Ndeeba-24h'!F52,'27.07 Nateete-Ndeeba-24h'!F52,'28.07 Nateete-Ndeeba'!F52)</f>
        <v>29.857142857142858</v>
      </c>
      <c r="G52" s="49">
        <f>AVERAGE('22.07 Nateete-Ndeeba'!G52,'23.07 Nateete-Ndeeba'!G52,'24.07 Nateete-Ndeeba'!G52,'25.07 Nateete-Ndeeba'!G52,'26.07 Nateete-Ndeeba-24h'!G52,'27.07 Nateete-Ndeeba-24h'!G52,'28.07 Nateete-Ndeeba'!G52)</f>
        <v>0.2857142857142857</v>
      </c>
      <c r="H52" s="49">
        <f>AVERAGE('22.07 Nateete-Ndeeba'!H52,'23.07 Nateete-Ndeeba'!H52,'24.07 Nateete-Ndeeba'!H52,'25.07 Nateete-Ndeeba'!H52,'26.07 Nateete-Ndeeba-24h'!H52,'27.07 Nateete-Ndeeba-24h'!H52,'28.07 Nateete-Ndeeba'!H52)</f>
        <v>0.2857142857142857</v>
      </c>
      <c r="I52" s="49">
        <f>AVERAGE('22.07 Nateete-Ndeeba'!I52,'23.07 Nateete-Ndeeba'!I52,'24.07 Nateete-Ndeeba'!I52,'25.07 Nateete-Ndeeba'!I52,'26.07 Nateete-Ndeeba-24h'!I52,'27.07 Nateete-Ndeeba-24h'!I52,'28.07 Nateete-Ndeeba'!I52)</f>
        <v>6.4285714285714288</v>
      </c>
      <c r="J52" s="49">
        <f>AVERAGE('22.07 Nateete-Ndeeba'!J52,'23.07 Nateete-Ndeeba'!J52,'24.07 Nateete-Ndeeba'!J52,'25.07 Nateete-Ndeeba'!J52,'26.07 Nateete-Ndeeba-24h'!J52,'27.07 Nateete-Ndeeba-24h'!J52,'28.07 Nateete-Ndeeba'!J52)</f>
        <v>9.4285714285714288</v>
      </c>
      <c r="K52" s="49">
        <f>AVERAGE('22.07 Nateete-Ndeeba'!K52,'23.07 Nateete-Ndeeba'!K52,'24.07 Nateete-Ndeeba'!K52,'25.07 Nateete-Ndeeba'!K52,'26.07 Nateete-Ndeeba-24h'!K52,'27.07 Nateete-Ndeeba-24h'!K52,'28.07 Nateete-Ndeeba'!K52)</f>
        <v>3.4285714285714284</v>
      </c>
      <c r="L52" s="49">
        <f>AVERAGE('22.07 Nateete-Ndeeba'!L52,'23.07 Nateete-Ndeeba'!L52,'24.07 Nateete-Ndeeba'!L52,'25.07 Nateete-Ndeeba'!L52,'26.07 Nateete-Ndeeba-24h'!L52,'27.07 Nateete-Ndeeba-24h'!L52,'28.07 Nateete-Ndeeba'!L52)</f>
        <v>0.5714285714285714</v>
      </c>
      <c r="M52" s="49">
        <f>AVERAGE('22.07 Nateete-Ndeeba'!M52,'23.07 Nateete-Ndeeba'!M52,'24.07 Nateete-Ndeeba'!M52,'25.07 Nateete-Ndeeba'!M52,'26.07 Nateete-Ndeeba-24h'!M52,'27.07 Nateete-Ndeeba-24h'!M52,'28.07 Nateete-Ndeeba'!M52)</f>
        <v>192.42857142857142</v>
      </c>
      <c r="N52" s="49">
        <f>AVERAGE('22.07 Nateete-Ndeeba'!N52,'23.07 Nateete-Ndeeba'!N52,'24.07 Nateete-Ndeeba'!N52,'25.07 Nateete-Ndeeba'!N52,'26.07 Nateete-Ndeeba-24h'!N52,'27.07 Nateete-Ndeeba-24h'!N52,'28.07 Nateete-Ndeeba'!N52)</f>
        <v>0</v>
      </c>
      <c r="O52" s="15">
        <f t="shared" si="0"/>
        <v>106.14285714285717</v>
      </c>
      <c r="P52" s="15">
        <f t="shared" si="1"/>
        <v>298.57142857142856</v>
      </c>
      <c r="R52" s="8"/>
      <c r="T52"/>
    </row>
    <row r="53" spans="2:20" ht="23.1" customHeight="1" x14ac:dyDescent="0.25">
      <c r="B53" s="23" t="s">
        <v>80</v>
      </c>
      <c r="C53" s="49">
        <f>AVERAGE('22.07 Nateete-Ndeeba'!C53,'23.07 Nateete-Ndeeba'!C53,'24.07 Nateete-Ndeeba'!C53,'25.07 Nateete-Ndeeba'!C53,'26.07 Nateete-Ndeeba-24h'!C53,'27.07 Nateete-Ndeeba-24h'!C53,'28.07 Nateete-Ndeeba'!C53)</f>
        <v>44.857142857142854</v>
      </c>
      <c r="D53" s="49">
        <f>AVERAGE('22.07 Nateete-Ndeeba'!D53,'23.07 Nateete-Ndeeba'!D53,'24.07 Nateete-Ndeeba'!D53,'25.07 Nateete-Ndeeba'!D53,'26.07 Nateete-Ndeeba-24h'!D53,'27.07 Nateete-Ndeeba-24h'!D53,'28.07 Nateete-Ndeeba'!D53)</f>
        <v>3</v>
      </c>
      <c r="E53" s="49">
        <f>AVERAGE('22.07 Nateete-Ndeeba'!E53,'23.07 Nateete-Ndeeba'!E53,'24.07 Nateete-Ndeeba'!E53,'25.07 Nateete-Ndeeba'!E53,'26.07 Nateete-Ndeeba-24h'!E53,'27.07 Nateete-Ndeeba-24h'!E53,'28.07 Nateete-Ndeeba'!E53)</f>
        <v>4</v>
      </c>
      <c r="F53" s="49">
        <f>AVERAGE('22.07 Nateete-Ndeeba'!F53,'23.07 Nateete-Ndeeba'!F53,'24.07 Nateete-Ndeeba'!F53,'25.07 Nateete-Ndeeba'!F53,'26.07 Nateete-Ndeeba-24h'!F53,'27.07 Nateete-Ndeeba-24h'!F53,'28.07 Nateete-Ndeeba'!F53)</f>
        <v>35.428571428571431</v>
      </c>
      <c r="G53" s="49">
        <f>AVERAGE('22.07 Nateete-Ndeeba'!G53,'23.07 Nateete-Ndeeba'!G53,'24.07 Nateete-Ndeeba'!G53,'25.07 Nateete-Ndeeba'!G53,'26.07 Nateete-Ndeeba-24h'!G53,'27.07 Nateete-Ndeeba-24h'!G53,'28.07 Nateete-Ndeeba'!G53)</f>
        <v>0.14285714285714285</v>
      </c>
      <c r="H53" s="49">
        <f>AVERAGE('22.07 Nateete-Ndeeba'!H53,'23.07 Nateete-Ndeeba'!H53,'24.07 Nateete-Ndeeba'!H53,'25.07 Nateete-Ndeeba'!H53,'26.07 Nateete-Ndeeba-24h'!H53,'27.07 Nateete-Ndeeba-24h'!H53,'28.07 Nateete-Ndeeba'!H53)</f>
        <v>0.14285714285714285</v>
      </c>
      <c r="I53" s="49">
        <f>AVERAGE('22.07 Nateete-Ndeeba'!I53,'23.07 Nateete-Ndeeba'!I53,'24.07 Nateete-Ndeeba'!I53,'25.07 Nateete-Ndeeba'!I53,'26.07 Nateete-Ndeeba-24h'!I53,'27.07 Nateete-Ndeeba-24h'!I53,'28.07 Nateete-Ndeeba'!I53)</f>
        <v>5</v>
      </c>
      <c r="J53" s="49">
        <f>AVERAGE('22.07 Nateete-Ndeeba'!J53,'23.07 Nateete-Ndeeba'!J53,'24.07 Nateete-Ndeeba'!J53,'25.07 Nateete-Ndeeba'!J53,'26.07 Nateete-Ndeeba-24h'!J53,'27.07 Nateete-Ndeeba-24h'!J53,'28.07 Nateete-Ndeeba'!J53)</f>
        <v>8.7142857142857135</v>
      </c>
      <c r="K53" s="49">
        <f>AVERAGE('22.07 Nateete-Ndeeba'!K53,'23.07 Nateete-Ndeeba'!K53,'24.07 Nateete-Ndeeba'!K53,'25.07 Nateete-Ndeeba'!K53,'26.07 Nateete-Ndeeba-24h'!K53,'27.07 Nateete-Ndeeba-24h'!K53,'28.07 Nateete-Ndeeba'!K53)</f>
        <v>2</v>
      </c>
      <c r="L53" s="49">
        <f>AVERAGE('22.07 Nateete-Ndeeba'!L53,'23.07 Nateete-Ndeeba'!L53,'24.07 Nateete-Ndeeba'!L53,'25.07 Nateete-Ndeeba'!L53,'26.07 Nateete-Ndeeba-24h'!L53,'27.07 Nateete-Ndeeba-24h'!L53,'28.07 Nateete-Ndeeba'!L53)</f>
        <v>0.2857142857142857</v>
      </c>
      <c r="M53" s="49">
        <f>AVERAGE('22.07 Nateete-Ndeeba'!M53,'23.07 Nateete-Ndeeba'!M53,'24.07 Nateete-Ndeeba'!M53,'25.07 Nateete-Ndeeba'!M53,'26.07 Nateete-Ndeeba-24h'!M53,'27.07 Nateete-Ndeeba-24h'!M53,'28.07 Nateete-Ndeeba'!M53)</f>
        <v>181.42857142857142</v>
      </c>
      <c r="N53" s="49">
        <f>AVERAGE('22.07 Nateete-Ndeeba'!N53,'23.07 Nateete-Ndeeba'!N53,'24.07 Nateete-Ndeeba'!N53,'25.07 Nateete-Ndeeba'!N53,'26.07 Nateete-Ndeeba-24h'!N53,'27.07 Nateete-Ndeeba-24h'!N53,'28.07 Nateete-Ndeeba'!N53)</f>
        <v>0</v>
      </c>
      <c r="O53" s="15">
        <f t="shared" si="0"/>
        <v>103.57142857142856</v>
      </c>
      <c r="P53" s="15">
        <f t="shared" si="1"/>
        <v>285</v>
      </c>
      <c r="R53" s="8"/>
      <c r="T53"/>
    </row>
    <row r="54" spans="2:20" ht="23.1" customHeight="1" x14ac:dyDescent="0.25">
      <c r="B54" s="23" t="s">
        <v>81</v>
      </c>
      <c r="C54" s="49">
        <f>AVERAGE('22.07 Nateete-Ndeeba'!C54,'23.07 Nateete-Ndeeba'!C54,'24.07 Nateete-Ndeeba'!C54,'25.07 Nateete-Ndeeba'!C54,'26.07 Nateete-Ndeeba-24h'!C54,'27.07 Nateete-Ndeeba-24h'!C54,'28.07 Nateete-Ndeeba'!C54)</f>
        <v>36.571428571428569</v>
      </c>
      <c r="D54" s="49">
        <f>AVERAGE('22.07 Nateete-Ndeeba'!D54,'23.07 Nateete-Ndeeba'!D54,'24.07 Nateete-Ndeeba'!D54,'25.07 Nateete-Ndeeba'!D54,'26.07 Nateete-Ndeeba-24h'!D54,'27.07 Nateete-Ndeeba-24h'!D54,'28.07 Nateete-Ndeeba'!D54)</f>
        <v>5.7142857142857144</v>
      </c>
      <c r="E54" s="49">
        <f>AVERAGE('22.07 Nateete-Ndeeba'!E54,'23.07 Nateete-Ndeeba'!E54,'24.07 Nateete-Ndeeba'!E54,'25.07 Nateete-Ndeeba'!E54,'26.07 Nateete-Ndeeba-24h'!E54,'27.07 Nateete-Ndeeba-24h'!E54,'28.07 Nateete-Ndeeba'!E54)</f>
        <v>5.1428571428571432</v>
      </c>
      <c r="F54" s="49">
        <f>AVERAGE('22.07 Nateete-Ndeeba'!F54,'23.07 Nateete-Ndeeba'!F54,'24.07 Nateete-Ndeeba'!F54,'25.07 Nateete-Ndeeba'!F54,'26.07 Nateete-Ndeeba-24h'!F54,'27.07 Nateete-Ndeeba-24h'!F54,'28.07 Nateete-Ndeeba'!F54)</f>
        <v>29.142857142857142</v>
      </c>
      <c r="G54" s="49">
        <f>AVERAGE('22.07 Nateete-Ndeeba'!G54,'23.07 Nateete-Ndeeba'!G54,'24.07 Nateete-Ndeeba'!G54,'25.07 Nateete-Ndeeba'!G54,'26.07 Nateete-Ndeeba-24h'!G54,'27.07 Nateete-Ndeeba-24h'!G54,'28.07 Nateete-Ndeeba'!G54)</f>
        <v>0.5714285714285714</v>
      </c>
      <c r="H54" s="49">
        <f>AVERAGE('22.07 Nateete-Ndeeba'!H54,'23.07 Nateete-Ndeeba'!H54,'24.07 Nateete-Ndeeba'!H54,'25.07 Nateete-Ndeeba'!H54,'26.07 Nateete-Ndeeba-24h'!H54,'27.07 Nateete-Ndeeba-24h'!H54,'28.07 Nateete-Ndeeba'!H54)</f>
        <v>0.14285714285714285</v>
      </c>
      <c r="I54" s="49">
        <f>AVERAGE('22.07 Nateete-Ndeeba'!I54,'23.07 Nateete-Ndeeba'!I54,'24.07 Nateete-Ndeeba'!I54,'25.07 Nateete-Ndeeba'!I54,'26.07 Nateete-Ndeeba-24h'!I54,'27.07 Nateete-Ndeeba-24h'!I54,'28.07 Nateete-Ndeeba'!I54)</f>
        <v>6.5714285714285712</v>
      </c>
      <c r="J54" s="49">
        <f>AVERAGE('22.07 Nateete-Ndeeba'!J54,'23.07 Nateete-Ndeeba'!J54,'24.07 Nateete-Ndeeba'!J54,'25.07 Nateete-Ndeeba'!J54,'26.07 Nateete-Ndeeba-24h'!J54,'27.07 Nateete-Ndeeba-24h'!J54,'28.07 Nateete-Ndeeba'!J54)</f>
        <v>8.4285714285714288</v>
      </c>
      <c r="K54" s="49">
        <f>AVERAGE('22.07 Nateete-Ndeeba'!K54,'23.07 Nateete-Ndeeba'!K54,'24.07 Nateete-Ndeeba'!K54,'25.07 Nateete-Ndeeba'!K54,'26.07 Nateete-Ndeeba-24h'!K54,'27.07 Nateete-Ndeeba-24h'!K54,'28.07 Nateete-Ndeeba'!K54)</f>
        <v>1.4285714285714286</v>
      </c>
      <c r="L54" s="49">
        <f>AVERAGE('22.07 Nateete-Ndeeba'!L54,'23.07 Nateete-Ndeeba'!L54,'24.07 Nateete-Ndeeba'!L54,'25.07 Nateete-Ndeeba'!L54,'26.07 Nateete-Ndeeba-24h'!L54,'27.07 Nateete-Ndeeba-24h'!L54,'28.07 Nateete-Ndeeba'!L54)</f>
        <v>1</v>
      </c>
      <c r="M54" s="49">
        <f>AVERAGE('22.07 Nateete-Ndeeba'!M54,'23.07 Nateete-Ndeeba'!M54,'24.07 Nateete-Ndeeba'!M54,'25.07 Nateete-Ndeeba'!M54,'26.07 Nateete-Ndeeba-24h'!M54,'27.07 Nateete-Ndeeba-24h'!M54,'28.07 Nateete-Ndeeba'!M54)</f>
        <v>169.42857142857142</v>
      </c>
      <c r="N54" s="49">
        <f>AVERAGE('22.07 Nateete-Ndeeba'!N54,'23.07 Nateete-Ndeeba'!N54,'24.07 Nateete-Ndeeba'!N54,'25.07 Nateete-Ndeeba'!N54,'26.07 Nateete-Ndeeba-24h'!N54,'27.07 Nateete-Ndeeba-24h'!N54,'28.07 Nateete-Ndeeba'!N54)</f>
        <v>0</v>
      </c>
      <c r="O54" s="15">
        <f t="shared" si="0"/>
        <v>94.714285714285708</v>
      </c>
      <c r="P54" s="15">
        <f t="shared" si="1"/>
        <v>264.14285714285711</v>
      </c>
      <c r="R54" s="8"/>
      <c r="T54"/>
    </row>
    <row r="55" spans="2:20" ht="23.1" customHeight="1" x14ac:dyDescent="0.25">
      <c r="B55" s="23" t="s">
        <v>82</v>
      </c>
      <c r="C55" s="49">
        <f>AVERAGE('22.07 Nateete-Ndeeba'!C55,'23.07 Nateete-Ndeeba'!C55,'24.07 Nateete-Ndeeba'!C55,'25.07 Nateete-Ndeeba'!C55,'26.07 Nateete-Ndeeba-24h'!C55,'27.07 Nateete-Ndeeba-24h'!C55,'28.07 Nateete-Ndeeba'!C55)</f>
        <v>35.285714285714285</v>
      </c>
      <c r="D55" s="49">
        <f>AVERAGE('22.07 Nateete-Ndeeba'!D55,'23.07 Nateete-Ndeeba'!D55,'24.07 Nateete-Ndeeba'!D55,'25.07 Nateete-Ndeeba'!D55,'26.07 Nateete-Ndeeba-24h'!D55,'27.07 Nateete-Ndeeba-24h'!D55,'28.07 Nateete-Ndeeba'!D55)</f>
        <v>7.2857142857142856</v>
      </c>
      <c r="E55" s="49">
        <f>AVERAGE('22.07 Nateete-Ndeeba'!E55,'23.07 Nateete-Ndeeba'!E55,'24.07 Nateete-Ndeeba'!E55,'25.07 Nateete-Ndeeba'!E55,'26.07 Nateete-Ndeeba-24h'!E55,'27.07 Nateete-Ndeeba-24h'!E55,'28.07 Nateete-Ndeeba'!E55)</f>
        <v>2.5714285714285716</v>
      </c>
      <c r="F55" s="49">
        <f>AVERAGE('22.07 Nateete-Ndeeba'!F55,'23.07 Nateete-Ndeeba'!F55,'24.07 Nateete-Ndeeba'!F55,'25.07 Nateete-Ndeeba'!F55,'26.07 Nateete-Ndeeba-24h'!F55,'27.07 Nateete-Ndeeba-24h'!F55,'28.07 Nateete-Ndeeba'!F55)</f>
        <v>33.142857142857146</v>
      </c>
      <c r="G55" s="49">
        <f>AVERAGE('22.07 Nateete-Ndeeba'!G55,'23.07 Nateete-Ndeeba'!G55,'24.07 Nateete-Ndeeba'!G55,'25.07 Nateete-Ndeeba'!G55,'26.07 Nateete-Ndeeba-24h'!G55,'27.07 Nateete-Ndeeba-24h'!G55,'28.07 Nateete-Ndeeba'!G55)</f>
        <v>1.1428571428571428</v>
      </c>
      <c r="H55" s="49">
        <f>AVERAGE('22.07 Nateete-Ndeeba'!H55,'23.07 Nateete-Ndeeba'!H55,'24.07 Nateete-Ndeeba'!H55,'25.07 Nateete-Ndeeba'!H55,'26.07 Nateete-Ndeeba-24h'!H55,'27.07 Nateete-Ndeeba-24h'!H55,'28.07 Nateete-Ndeeba'!H55)</f>
        <v>0.5714285714285714</v>
      </c>
      <c r="I55" s="49">
        <f>AVERAGE('22.07 Nateete-Ndeeba'!I55,'23.07 Nateete-Ndeeba'!I55,'24.07 Nateete-Ndeeba'!I55,'25.07 Nateete-Ndeeba'!I55,'26.07 Nateete-Ndeeba-24h'!I55,'27.07 Nateete-Ndeeba-24h'!I55,'28.07 Nateete-Ndeeba'!I55)</f>
        <v>5.4285714285714288</v>
      </c>
      <c r="J55" s="49">
        <f>AVERAGE('22.07 Nateete-Ndeeba'!J55,'23.07 Nateete-Ndeeba'!J55,'24.07 Nateete-Ndeeba'!J55,'25.07 Nateete-Ndeeba'!J55,'26.07 Nateete-Ndeeba-24h'!J55,'27.07 Nateete-Ndeeba-24h'!J55,'28.07 Nateete-Ndeeba'!J55)</f>
        <v>10.857142857142858</v>
      </c>
      <c r="K55" s="49">
        <f>AVERAGE('22.07 Nateete-Ndeeba'!K55,'23.07 Nateete-Ndeeba'!K55,'24.07 Nateete-Ndeeba'!K55,'25.07 Nateete-Ndeeba'!K55,'26.07 Nateete-Ndeeba-24h'!K55,'27.07 Nateete-Ndeeba-24h'!K55,'28.07 Nateete-Ndeeba'!K55)</f>
        <v>1.5714285714285714</v>
      </c>
      <c r="L55" s="49">
        <f>AVERAGE('22.07 Nateete-Ndeeba'!L55,'23.07 Nateete-Ndeeba'!L55,'24.07 Nateete-Ndeeba'!L55,'25.07 Nateete-Ndeeba'!L55,'26.07 Nateete-Ndeeba-24h'!L55,'27.07 Nateete-Ndeeba-24h'!L55,'28.07 Nateete-Ndeeba'!L55)</f>
        <v>0.7142857142857143</v>
      </c>
      <c r="M55" s="49">
        <f>AVERAGE('22.07 Nateete-Ndeeba'!M55,'23.07 Nateete-Ndeeba'!M55,'24.07 Nateete-Ndeeba'!M55,'25.07 Nateete-Ndeeba'!M55,'26.07 Nateete-Ndeeba-24h'!M55,'27.07 Nateete-Ndeeba-24h'!M55,'28.07 Nateete-Ndeeba'!M55)</f>
        <v>157.14285714285714</v>
      </c>
      <c r="N55" s="49">
        <f>AVERAGE('22.07 Nateete-Ndeeba'!N55,'23.07 Nateete-Ndeeba'!N55,'24.07 Nateete-Ndeeba'!N55,'25.07 Nateete-Ndeeba'!N55,'26.07 Nateete-Ndeeba-24h'!N55,'27.07 Nateete-Ndeeba-24h'!N55,'28.07 Nateete-Ndeeba'!N55)</f>
        <v>0</v>
      </c>
      <c r="O55" s="15">
        <f t="shared" si="0"/>
        <v>98.571428571428555</v>
      </c>
      <c r="P55" s="15">
        <f t="shared" si="1"/>
        <v>255.71428571428569</v>
      </c>
      <c r="R55" s="8"/>
      <c r="T55"/>
    </row>
    <row r="56" spans="2:20" ht="23.1" customHeight="1" x14ac:dyDescent="0.25">
      <c r="B56" s="23" t="s">
        <v>83</v>
      </c>
      <c r="C56" s="49">
        <f>AVERAGE('22.07 Nateete-Ndeeba'!C56,'23.07 Nateete-Ndeeba'!C56,'24.07 Nateete-Ndeeba'!C56,'25.07 Nateete-Ndeeba'!C56,'26.07 Nateete-Ndeeba-24h'!C56,'27.07 Nateete-Ndeeba-24h'!C56,'28.07 Nateete-Ndeeba'!C56)</f>
        <v>29.428571428571427</v>
      </c>
      <c r="D56" s="49">
        <f>AVERAGE('22.07 Nateete-Ndeeba'!D56,'23.07 Nateete-Ndeeba'!D56,'24.07 Nateete-Ndeeba'!D56,'25.07 Nateete-Ndeeba'!D56,'26.07 Nateete-Ndeeba-24h'!D56,'27.07 Nateete-Ndeeba-24h'!D56,'28.07 Nateete-Ndeeba'!D56)</f>
        <v>5.4285714285714288</v>
      </c>
      <c r="E56" s="49">
        <f>AVERAGE('22.07 Nateete-Ndeeba'!E56,'23.07 Nateete-Ndeeba'!E56,'24.07 Nateete-Ndeeba'!E56,'25.07 Nateete-Ndeeba'!E56,'26.07 Nateete-Ndeeba-24h'!E56,'27.07 Nateete-Ndeeba-24h'!E56,'28.07 Nateete-Ndeeba'!E56)</f>
        <v>3.7142857142857144</v>
      </c>
      <c r="F56" s="49">
        <f>AVERAGE('22.07 Nateete-Ndeeba'!F56,'23.07 Nateete-Ndeeba'!F56,'24.07 Nateete-Ndeeba'!F56,'25.07 Nateete-Ndeeba'!F56,'26.07 Nateete-Ndeeba-24h'!F56,'27.07 Nateete-Ndeeba-24h'!F56,'28.07 Nateete-Ndeeba'!F56)</f>
        <v>32.714285714285715</v>
      </c>
      <c r="G56" s="49">
        <f>AVERAGE('22.07 Nateete-Ndeeba'!G56,'23.07 Nateete-Ndeeba'!G56,'24.07 Nateete-Ndeeba'!G56,'25.07 Nateete-Ndeeba'!G56,'26.07 Nateete-Ndeeba-24h'!G56,'27.07 Nateete-Ndeeba-24h'!G56,'28.07 Nateete-Ndeeba'!G56)</f>
        <v>0.7142857142857143</v>
      </c>
      <c r="H56" s="49">
        <f>AVERAGE('22.07 Nateete-Ndeeba'!H56,'23.07 Nateete-Ndeeba'!H56,'24.07 Nateete-Ndeeba'!H56,'25.07 Nateete-Ndeeba'!H56,'26.07 Nateete-Ndeeba-24h'!H56,'27.07 Nateete-Ndeeba-24h'!H56,'28.07 Nateete-Ndeeba'!H56)</f>
        <v>1.1428571428571428</v>
      </c>
      <c r="I56" s="49">
        <f>AVERAGE('22.07 Nateete-Ndeeba'!I56,'23.07 Nateete-Ndeeba'!I56,'24.07 Nateete-Ndeeba'!I56,'25.07 Nateete-Ndeeba'!I56,'26.07 Nateete-Ndeeba-24h'!I56,'27.07 Nateete-Ndeeba-24h'!I56,'28.07 Nateete-Ndeeba'!I56)</f>
        <v>6.2857142857142856</v>
      </c>
      <c r="J56" s="49">
        <f>AVERAGE('22.07 Nateete-Ndeeba'!J56,'23.07 Nateete-Ndeeba'!J56,'24.07 Nateete-Ndeeba'!J56,'25.07 Nateete-Ndeeba'!J56,'26.07 Nateete-Ndeeba-24h'!J56,'27.07 Nateete-Ndeeba-24h'!J56,'28.07 Nateete-Ndeeba'!J56)</f>
        <v>10.142857142857142</v>
      </c>
      <c r="K56" s="49">
        <f>AVERAGE('22.07 Nateete-Ndeeba'!K56,'23.07 Nateete-Ndeeba'!K56,'24.07 Nateete-Ndeeba'!K56,'25.07 Nateete-Ndeeba'!K56,'26.07 Nateete-Ndeeba-24h'!K56,'27.07 Nateete-Ndeeba-24h'!K56,'28.07 Nateete-Ndeeba'!K56)</f>
        <v>2.2857142857142856</v>
      </c>
      <c r="L56" s="49">
        <f>AVERAGE('22.07 Nateete-Ndeeba'!L56,'23.07 Nateete-Ndeeba'!L56,'24.07 Nateete-Ndeeba'!L56,'25.07 Nateete-Ndeeba'!L56,'26.07 Nateete-Ndeeba-24h'!L56,'27.07 Nateete-Ndeeba-24h'!L56,'28.07 Nateete-Ndeeba'!L56)</f>
        <v>0.8571428571428571</v>
      </c>
      <c r="M56" s="49">
        <f>AVERAGE('22.07 Nateete-Ndeeba'!M56,'23.07 Nateete-Ndeeba'!M56,'24.07 Nateete-Ndeeba'!M56,'25.07 Nateete-Ndeeba'!M56,'26.07 Nateete-Ndeeba-24h'!M56,'27.07 Nateete-Ndeeba-24h'!M56,'28.07 Nateete-Ndeeba'!M56)</f>
        <v>175.71428571428572</v>
      </c>
      <c r="N56" s="49">
        <f>AVERAGE('22.07 Nateete-Ndeeba'!N56,'23.07 Nateete-Ndeeba'!N56,'24.07 Nateete-Ndeeba'!N56,'25.07 Nateete-Ndeeba'!N56,'26.07 Nateete-Ndeeba-24h'!N56,'27.07 Nateete-Ndeeba-24h'!N56,'28.07 Nateete-Ndeeba'!N56)</f>
        <v>0</v>
      </c>
      <c r="O56" s="15">
        <f t="shared" si="0"/>
        <v>92.714285714285708</v>
      </c>
      <c r="P56" s="15">
        <f t="shared" si="1"/>
        <v>268.42857142857144</v>
      </c>
      <c r="R56" s="8"/>
      <c r="T56"/>
    </row>
    <row r="57" spans="2:20" ht="23.1" customHeight="1" x14ac:dyDescent="0.25">
      <c r="B57" s="23" t="s">
        <v>84</v>
      </c>
      <c r="C57" s="49">
        <f>AVERAGE('22.07 Nateete-Ndeeba'!C57,'23.07 Nateete-Ndeeba'!C57,'24.07 Nateete-Ndeeba'!C57,'25.07 Nateete-Ndeeba'!C57,'26.07 Nateete-Ndeeba-24h'!C57,'27.07 Nateete-Ndeeba-24h'!C57,'28.07 Nateete-Ndeeba'!C57)</f>
        <v>36.714285714285715</v>
      </c>
      <c r="D57" s="49">
        <f>AVERAGE('22.07 Nateete-Ndeeba'!D57,'23.07 Nateete-Ndeeba'!D57,'24.07 Nateete-Ndeeba'!D57,'25.07 Nateete-Ndeeba'!D57,'26.07 Nateete-Ndeeba-24h'!D57,'27.07 Nateete-Ndeeba-24h'!D57,'28.07 Nateete-Ndeeba'!D57)</f>
        <v>5.2857142857142856</v>
      </c>
      <c r="E57" s="49">
        <f>AVERAGE('22.07 Nateete-Ndeeba'!E57,'23.07 Nateete-Ndeeba'!E57,'24.07 Nateete-Ndeeba'!E57,'25.07 Nateete-Ndeeba'!E57,'26.07 Nateete-Ndeeba-24h'!E57,'27.07 Nateete-Ndeeba-24h'!E57,'28.07 Nateete-Ndeeba'!E57)</f>
        <v>2.8571428571428572</v>
      </c>
      <c r="F57" s="49">
        <f>AVERAGE('22.07 Nateete-Ndeeba'!F57,'23.07 Nateete-Ndeeba'!F57,'24.07 Nateete-Ndeeba'!F57,'25.07 Nateete-Ndeeba'!F57,'26.07 Nateete-Ndeeba-24h'!F57,'27.07 Nateete-Ndeeba-24h'!F57,'28.07 Nateete-Ndeeba'!F57)</f>
        <v>37.428571428571431</v>
      </c>
      <c r="G57" s="49">
        <f>AVERAGE('22.07 Nateete-Ndeeba'!G57,'23.07 Nateete-Ndeeba'!G57,'24.07 Nateete-Ndeeba'!G57,'25.07 Nateete-Ndeeba'!G57,'26.07 Nateete-Ndeeba-24h'!G57,'27.07 Nateete-Ndeeba-24h'!G57,'28.07 Nateete-Ndeeba'!G57)</f>
        <v>0.7142857142857143</v>
      </c>
      <c r="H57" s="49">
        <f>AVERAGE('22.07 Nateete-Ndeeba'!H57,'23.07 Nateete-Ndeeba'!H57,'24.07 Nateete-Ndeeba'!H57,'25.07 Nateete-Ndeeba'!H57,'26.07 Nateete-Ndeeba-24h'!H57,'27.07 Nateete-Ndeeba-24h'!H57,'28.07 Nateete-Ndeeba'!H57)</f>
        <v>1.1428571428571428</v>
      </c>
      <c r="I57" s="49">
        <f>AVERAGE('22.07 Nateete-Ndeeba'!I57,'23.07 Nateete-Ndeeba'!I57,'24.07 Nateete-Ndeeba'!I57,'25.07 Nateete-Ndeeba'!I57,'26.07 Nateete-Ndeeba-24h'!I57,'27.07 Nateete-Ndeeba-24h'!I57,'28.07 Nateete-Ndeeba'!I57)</f>
        <v>4.1428571428571432</v>
      </c>
      <c r="J57" s="49">
        <f>AVERAGE('22.07 Nateete-Ndeeba'!J57,'23.07 Nateete-Ndeeba'!J57,'24.07 Nateete-Ndeeba'!J57,'25.07 Nateete-Ndeeba'!J57,'26.07 Nateete-Ndeeba-24h'!J57,'27.07 Nateete-Ndeeba-24h'!J57,'28.07 Nateete-Ndeeba'!J57)</f>
        <v>7</v>
      </c>
      <c r="K57" s="49">
        <f>AVERAGE('22.07 Nateete-Ndeeba'!K57,'23.07 Nateete-Ndeeba'!K57,'24.07 Nateete-Ndeeba'!K57,'25.07 Nateete-Ndeeba'!K57,'26.07 Nateete-Ndeeba-24h'!K57,'27.07 Nateete-Ndeeba-24h'!K57,'28.07 Nateete-Ndeeba'!K57)</f>
        <v>3.5714285714285716</v>
      </c>
      <c r="L57" s="49">
        <f>AVERAGE('22.07 Nateete-Ndeeba'!L57,'23.07 Nateete-Ndeeba'!L57,'24.07 Nateete-Ndeeba'!L57,'25.07 Nateete-Ndeeba'!L57,'26.07 Nateete-Ndeeba-24h'!L57,'27.07 Nateete-Ndeeba-24h'!L57,'28.07 Nateete-Ndeeba'!L57)</f>
        <v>0.42857142857142855</v>
      </c>
      <c r="M57" s="49">
        <f>AVERAGE('22.07 Nateete-Ndeeba'!M57,'23.07 Nateete-Ndeeba'!M57,'24.07 Nateete-Ndeeba'!M57,'25.07 Nateete-Ndeeba'!M57,'26.07 Nateete-Ndeeba-24h'!M57,'27.07 Nateete-Ndeeba-24h'!M57,'28.07 Nateete-Ndeeba'!M57)</f>
        <v>184.28571428571428</v>
      </c>
      <c r="N57" s="49">
        <f>AVERAGE('22.07 Nateete-Ndeeba'!N57,'23.07 Nateete-Ndeeba'!N57,'24.07 Nateete-Ndeeba'!N57,'25.07 Nateete-Ndeeba'!N57,'26.07 Nateete-Ndeeba-24h'!N57,'27.07 Nateete-Ndeeba-24h'!N57,'28.07 Nateete-Ndeeba'!N57)</f>
        <v>0</v>
      </c>
      <c r="O57" s="15">
        <f t="shared" si="0"/>
        <v>99.285714285714263</v>
      </c>
      <c r="P57" s="15">
        <f t="shared" si="1"/>
        <v>283.57142857142856</v>
      </c>
      <c r="R57" s="8"/>
      <c r="T57"/>
    </row>
    <row r="58" spans="2:20" ht="23.1" customHeight="1" x14ac:dyDescent="0.25">
      <c r="B58" s="23" t="s">
        <v>99</v>
      </c>
      <c r="C58" s="49">
        <f>AVERAGE('26.07 Nateete-Ndeeba-24h'!C58,'27.07 Nateete-Ndeeba-24h'!C58)</f>
        <v>28.5</v>
      </c>
      <c r="D58" s="49">
        <f>AVERAGE('26.07 Nateete-Ndeeba-24h'!D58,'27.07 Nateete-Ndeeba-24h'!D58)</f>
        <v>7</v>
      </c>
      <c r="E58" s="49">
        <f>AVERAGE('26.07 Nateete-Ndeeba-24h'!E58,'27.07 Nateete-Ndeeba-24h'!E58)</f>
        <v>5</v>
      </c>
      <c r="F58" s="49">
        <f>AVERAGE('26.07 Nateete-Ndeeba-24h'!F58,'27.07 Nateete-Ndeeba-24h'!F58)</f>
        <v>23.5</v>
      </c>
      <c r="G58" s="49">
        <f>AVERAGE('26.07 Nateete-Ndeeba-24h'!G58,'27.07 Nateete-Ndeeba-24h'!G58)</f>
        <v>1</v>
      </c>
      <c r="H58" s="49">
        <f>AVERAGE('26.07 Nateete-Ndeeba-24h'!H58,'27.07 Nateete-Ndeeba-24h'!H58)</f>
        <v>1.5</v>
      </c>
      <c r="I58" s="49">
        <f>AVERAGE('26.07 Nateete-Ndeeba-24h'!I58,'27.07 Nateete-Ndeeba-24h'!I58)</f>
        <v>4.5</v>
      </c>
      <c r="J58" s="49">
        <f>AVERAGE('26.07 Nateete-Ndeeba-24h'!J58,'27.07 Nateete-Ndeeba-24h'!J58)</f>
        <v>8.5</v>
      </c>
      <c r="K58" s="49">
        <f>AVERAGE('26.07 Nateete-Ndeeba-24h'!K58,'27.07 Nateete-Ndeeba-24h'!K58)</f>
        <v>2</v>
      </c>
      <c r="L58" s="49">
        <f>AVERAGE('26.07 Nateete-Ndeeba-24h'!L58,'27.07 Nateete-Ndeeba-24h'!L58)</f>
        <v>2</v>
      </c>
      <c r="M58" s="49">
        <f>AVERAGE('26.07 Nateete-Ndeeba-24h'!M58,'27.07 Nateete-Ndeeba-24h'!M58)</f>
        <v>153</v>
      </c>
      <c r="N58" s="49">
        <f>AVERAGE('26.07 Nateete-Ndeeba-24h'!N58,'27.07 Nateete-Ndeeba-24h'!N58)</f>
        <v>0</v>
      </c>
      <c r="O58" s="15">
        <f t="shared" ref="O58:O104" si="36">SUM(C58:L58,N58)</f>
        <v>83.5</v>
      </c>
      <c r="P58" s="15">
        <f t="shared" ref="P58:P104" si="37">SUM(C58:N58)</f>
        <v>236.5</v>
      </c>
      <c r="R58" s="8"/>
      <c r="T58"/>
    </row>
    <row r="59" spans="2:20" ht="23.1" customHeight="1" x14ac:dyDescent="0.25">
      <c r="B59" s="23" t="s">
        <v>100</v>
      </c>
      <c r="C59" s="49">
        <f>AVERAGE('26.07 Nateete-Ndeeba-24h'!C59,'27.07 Nateete-Ndeeba-24h'!C59)</f>
        <v>45.5</v>
      </c>
      <c r="D59" s="49">
        <f>AVERAGE('26.07 Nateete-Ndeeba-24h'!D59,'27.07 Nateete-Ndeeba-24h'!D59)</f>
        <v>4.5</v>
      </c>
      <c r="E59" s="49">
        <f>AVERAGE('26.07 Nateete-Ndeeba-24h'!E59,'27.07 Nateete-Ndeeba-24h'!E59)</f>
        <v>4.5</v>
      </c>
      <c r="F59" s="49">
        <f>AVERAGE('26.07 Nateete-Ndeeba-24h'!F59,'27.07 Nateete-Ndeeba-24h'!F59)</f>
        <v>32</v>
      </c>
      <c r="G59" s="49">
        <f>AVERAGE('26.07 Nateete-Ndeeba-24h'!G59,'27.07 Nateete-Ndeeba-24h'!G59)</f>
        <v>0.5</v>
      </c>
      <c r="H59" s="49">
        <f>AVERAGE('26.07 Nateete-Ndeeba-24h'!H59,'27.07 Nateete-Ndeeba-24h'!H59)</f>
        <v>0</v>
      </c>
      <c r="I59" s="49">
        <f>AVERAGE('26.07 Nateete-Ndeeba-24h'!I59,'27.07 Nateete-Ndeeba-24h'!I59)</f>
        <v>2.5</v>
      </c>
      <c r="J59" s="49">
        <f>AVERAGE('26.07 Nateete-Ndeeba-24h'!J59,'27.07 Nateete-Ndeeba-24h'!J59)</f>
        <v>3</v>
      </c>
      <c r="K59" s="49">
        <f>AVERAGE('26.07 Nateete-Ndeeba-24h'!K59,'27.07 Nateete-Ndeeba-24h'!K59)</f>
        <v>1</v>
      </c>
      <c r="L59" s="49">
        <f>AVERAGE('26.07 Nateete-Ndeeba-24h'!L59,'27.07 Nateete-Ndeeba-24h'!L59)</f>
        <v>1.5</v>
      </c>
      <c r="M59" s="49">
        <f>AVERAGE('26.07 Nateete-Ndeeba-24h'!M59,'27.07 Nateete-Ndeeba-24h'!M59)</f>
        <v>198</v>
      </c>
      <c r="N59" s="49">
        <f>AVERAGE('26.07 Nateete-Ndeeba-24h'!N59,'27.07 Nateete-Ndeeba-24h'!N59)</f>
        <v>0</v>
      </c>
      <c r="O59" s="15">
        <f t="shared" si="36"/>
        <v>95</v>
      </c>
      <c r="P59" s="15">
        <f t="shared" si="37"/>
        <v>293</v>
      </c>
      <c r="R59" s="8"/>
      <c r="T59"/>
    </row>
    <row r="60" spans="2:20" ht="23.1" customHeight="1" x14ac:dyDescent="0.25">
      <c r="B60" s="23" t="s">
        <v>101</v>
      </c>
      <c r="C60" s="49">
        <f>AVERAGE('26.07 Nateete-Ndeeba-24h'!C60,'27.07 Nateete-Ndeeba-24h'!C60)</f>
        <v>48</v>
      </c>
      <c r="D60" s="49">
        <f>AVERAGE('26.07 Nateete-Ndeeba-24h'!D60,'27.07 Nateete-Ndeeba-24h'!D60)</f>
        <v>8.5</v>
      </c>
      <c r="E60" s="49">
        <f>AVERAGE('26.07 Nateete-Ndeeba-24h'!E60,'27.07 Nateete-Ndeeba-24h'!E60)</f>
        <v>2.5</v>
      </c>
      <c r="F60" s="49">
        <f>AVERAGE('26.07 Nateete-Ndeeba-24h'!F60,'27.07 Nateete-Ndeeba-24h'!F60)</f>
        <v>31</v>
      </c>
      <c r="G60" s="49">
        <f>AVERAGE('26.07 Nateete-Ndeeba-24h'!G60,'27.07 Nateete-Ndeeba-24h'!G60)</f>
        <v>0</v>
      </c>
      <c r="H60" s="49">
        <f>AVERAGE('26.07 Nateete-Ndeeba-24h'!H60,'27.07 Nateete-Ndeeba-24h'!H60)</f>
        <v>0</v>
      </c>
      <c r="I60" s="49">
        <f>AVERAGE('26.07 Nateete-Ndeeba-24h'!I60,'27.07 Nateete-Ndeeba-24h'!I60)</f>
        <v>4.5</v>
      </c>
      <c r="J60" s="49">
        <f>AVERAGE('26.07 Nateete-Ndeeba-24h'!J60,'27.07 Nateete-Ndeeba-24h'!J60)</f>
        <v>3</v>
      </c>
      <c r="K60" s="49">
        <f>AVERAGE('26.07 Nateete-Ndeeba-24h'!K60,'27.07 Nateete-Ndeeba-24h'!K60)</f>
        <v>2.5</v>
      </c>
      <c r="L60" s="49">
        <f>AVERAGE('26.07 Nateete-Ndeeba-24h'!L60,'27.07 Nateete-Ndeeba-24h'!L60)</f>
        <v>2</v>
      </c>
      <c r="M60" s="49">
        <f>AVERAGE('26.07 Nateete-Ndeeba-24h'!M60,'27.07 Nateete-Ndeeba-24h'!M60)</f>
        <v>171</v>
      </c>
      <c r="N60" s="49">
        <f>AVERAGE('26.07 Nateete-Ndeeba-24h'!N60,'27.07 Nateete-Ndeeba-24h'!N60)</f>
        <v>0</v>
      </c>
      <c r="O60" s="15">
        <f t="shared" si="36"/>
        <v>102</v>
      </c>
      <c r="P60" s="15">
        <f t="shared" si="37"/>
        <v>273</v>
      </c>
      <c r="R60" s="8"/>
      <c r="T60"/>
    </row>
    <row r="61" spans="2:20" ht="23.1" customHeight="1" x14ac:dyDescent="0.25">
      <c r="B61" s="23" t="s">
        <v>102</v>
      </c>
      <c r="C61" s="49">
        <f>AVERAGE('26.07 Nateete-Ndeeba-24h'!C61,'27.07 Nateete-Ndeeba-24h'!C61)</f>
        <v>35</v>
      </c>
      <c r="D61" s="49">
        <f>AVERAGE('26.07 Nateete-Ndeeba-24h'!D61,'27.07 Nateete-Ndeeba-24h'!D61)</f>
        <v>5</v>
      </c>
      <c r="E61" s="49">
        <f>AVERAGE('26.07 Nateete-Ndeeba-24h'!E61,'27.07 Nateete-Ndeeba-24h'!E61)</f>
        <v>4</v>
      </c>
      <c r="F61" s="49">
        <f>AVERAGE('26.07 Nateete-Ndeeba-24h'!F61,'27.07 Nateete-Ndeeba-24h'!F61)</f>
        <v>22</v>
      </c>
      <c r="G61" s="49">
        <f>AVERAGE('26.07 Nateete-Ndeeba-24h'!G61,'27.07 Nateete-Ndeeba-24h'!G61)</f>
        <v>0</v>
      </c>
      <c r="H61" s="49">
        <f>AVERAGE('26.07 Nateete-Ndeeba-24h'!H61,'27.07 Nateete-Ndeeba-24h'!H61)</f>
        <v>0</v>
      </c>
      <c r="I61" s="49">
        <f>AVERAGE('26.07 Nateete-Ndeeba-24h'!I61,'27.07 Nateete-Ndeeba-24h'!I61)</f>
        <v>4</v>
      </c>
      <c r="J61" s="49">
        <f>AVERAGE('26.07 Nateete-Ndeeba-24h'!J61,'27.07 Nateete-Ndeeba-24h'!J61)</f>
        <v>2.5</v>
      </c>
      <c r="K61" s="49">
        <f>AVERAGE('26.07 Nateete-Ndeeba-24h'!K61,'27.07 Nateete-Ndeeba-24h'!K61)</f>
        <v>1</v>
      </c>
      <c r="L61" s="49">
        <f>AVERAGE('26.07 Nateete-Ndeeba-24h'!L61,'27.07 Nateete-Ndeeba-24h'!L61)</f>
        <v>0</v>
      </c>
      <c r="M61" s="49">
        <f>AVERAGE('26.07 Nateete-Ndeeba-24h'!M61,'27.07 Nateete-Ndeeba-24h'!M61)</f>
        <v>183.5</v>
      </c>
      <c r="N61" s="49">
        <f>AVERAGE('26.07 Nateete-Ndeeba-24h'!N61,'27.07 Nateete-Ndeeba-24h'!N61)</f>
        <v>0.5</v>
      </c>
      <c r="O61" s="15">
        <f t="shared" si="36"/>
        <v>74</v>
      </c>
      <c r="P61" s="15">
        <f t="shared" si="37"/>
        <v>257.5</v>
      </c>
      <c r="R61" s="8"/>
      <c r="T61"/>
    </row>
    <row r="62" spans="2:20" ht="23.1" customHeight="1" x14ac:dyDescent="0.25">
      <c r="B62" s="23" t="s">
        <v>107</v>
      </c>
      <c r="C62" s="49">
        <f>AVERAGE('26.07 Nateete-Ndeeba-24h'!C62,'27.07 Nateete-Ndeeba-24h'!C62)</f>
        <v>31.5</v>
      </c>
      <c r="D62" s="49">
        <f>AVERAGE('26.07 Nateete-Ndeeba-24h'!D62,'27.07 Nateete-Ndeeba-24h'!D62)</f>
        <v>5.5</v>
      </c>
      <c r="E62" s="49">
        <f>AVERAGE('26.07 Nateete-Ndeeba-24h'!E62,'27.07 Nateete-Ndeeba-24h'!E62)</f>
        <v>2</v>
      </c>
      <c r="F62" s="49">
        <f>AVERAGE('26.07 Nateete-Ndeeba-24h'!F62,'27.07 Nateete-Ndeeba-24h'!F62)</f>
        <v>29</v>
      </c>
      <c r="G62" s="49">
        <f>AVERAGE('26.07 Nateete-Ndeeba-24h'!G62,'27.07 Nateete-Ndeeba-24h'!G62)</f>
        <v>1.5</v>
      </c>
      <c r="H62" s="49">
        <f>AVERAGE('26.07 Nateete-Ndeeba-24h'!H62,'27.07 Nateete-Ndeeba-24h'!H62)</f>
        <v>0</v>
      </c>
      <c r="I62" s="49">
        <f>AVERAGE('26.07 Nateete-Ndeeba-24h'!I62,'27.07 Nateete-Ndeeba-24h'!I62)</f>
        <v>5</v>
      </c>
      <c r="J62" s="49">
        <f>AVERAGE('26.07 Nateete-Ndeeba-24h'!J62,'27.07 Nateete-Ndeeba-24h'!J62)</f>
        <v>4</v>
      </c>
      <c r="K62" s="49">
        <f>AVERAGE('26.07 Nateete-Ndeeba-24h'!K62,'27.07 Nateete-Ndeeba-24h'!K62)</f>
        <v>1.5</v>
      </c>
      <c r="L62" s="49">
        <f>AVERAGE('26.07 Nateete-Ndeeba-24h'!L62,'27.07 Nateete-Ndeeba-24h'!L62)</f>
        <v>1.5</v>
      </c>
      <c r="M62" s="49">
        <f>AVERAGE('26.07 Nateete-Ndeeba-24h'!M62,'27.07 Nateete-Ndeeba-24h'!M62)</f>
        <v>263.5</v>
      </c>
      <c r="N62" s="49">
        <f>AVERAGE('26.07 Nateete-Ndeeba-24h'!N62,'27.07 Nateete-Ndeeba-24h'!N62)</f>
        <v>0</v>
      </c>
      <c r="O62" s="15">
        <f t="shared" si="36"/>
        <v>81.5</v>
      </c>
      <c r="P62" s="15">
        <f t="shared" si="37"/>
        <v>345</v>
      </c>
      <c r="R62" s="8"/>
      <c r="T62"/>
    </row>
    <row r="63" spans="2:20" ht="23.1" customHeight="1" x14ac:dyDescent="0.25">
      <c r="B63" s="23" t="s">
        <v>108</v>
      </c>
      <c r="C63" s="49">
        <f>AVERAGE('26.07 Nateete-Ndeeba-24h'!C63,'27.07 Nateete-Ndeeba-24h'!C63)</f>
        <v>34.5</v>
      </c>
      <c r="D63" s="49">
        <f>AVERAGE('26.07 Nateete-Ndeeba-24h'!D63,'27.07 Nateete-Ndeeba-24h'!D63)</f>
        <v>8</v>
      </c>
      <c r="E63" s="49">
        <f>AVERAGE('26.07 Nateete-Ndeeba-24h'!E63,'27.07 Nateete-Ndeeba-24h'!E63)</f>
        <v>2.5</v>
      </c>
      <c r="F63" s="49">
        <f>AVERAGE('26.07 Nateete-Ndeeba-24h'!F63,'27.07 Nateete-Ndeeba-24h'!F63)</f>
        <v>33.5</v>
      </c>
      <c r="G63" s="49">
        <f>AVERAGE('26.07 Nateete-Ndeeba-24h'!G63,'27.07 Nateete-Ndeeba-24h'!G63)</f>
        <v>1.5</v>
      </c>
      <c r="H63" s="49">
        <f>AVERAGE('26.07 Nateete-Ndeeba-24h'!H63,'27.07 Nateete-Ndeeba-24h'!H63)</f>
        <v>0</v>
      </c>
      <c r="I63" s="49">
        <f>AVERAGE('26.07 Nateete-Ndeeba-24h'!I63,'27.07 Nateete-Ndeeba-24h'!I63)</f>
        <v>2.5</v>
      </c>
      <c r="J63" s="49">
        <f>AVERAGE('26.07 Nateete-Ndeeba-24h'!J63,'27.07 Nateete-Ndeeba-24h'!J63)</f>
        <v>1.5</v>
      </c>
      <c r="K63" s="49">
        <f>AVERAGE('26.07 Nateete-Ndeeba-24h'!K63,'27.07 Nateete-Ndeeba-24h'!K63)</f>
        <v>1.5</v>
      </c>
      <c r="L63" s="49">
        <f>AVERAGE('26.07 Nateete-Ndeeba-24h'!L63,'27.07 Nateete-Ndeeba-24h'!L63)</f>
        <v>0.5</v>
      </c>
      <c r="M63" s="49">
        <f>AVERAGE('26.07 Nateete-Ndeeba-24h'!M63,'27.07 Nateete-Ndeeba-24h'!M63)</f>
        <v>179</v>
      </c>
      <c r="N63" s="49">
        <f>AVERAGE('26.07 Nateete-Ndeeba-24h'!N63,'27.07 Nateete-Ndeeba-24h'!N63)</f>
        <v>0</v>
      </c>
      <c r="O63" s="15">
        <f t="shared" si="36"/>
        <v>86</v>
      </c>
      <c r="P63" s="15">
        <f t="shared" si="37"/>
        <v>265</v>
      </c>
      <c r="R63" s="8"/>
      <c r="T63"/>
    </row>
    <row r="64" spans="2:20" ht="23.1" customHeight="1" x14ac:dyDescent="0.25">
      <c r="B64" s="23" t="s">
        <v>109</v>
      </c>
      <c r="C64" s="49">
        <f>AVERAGE('26.07 Nateete-Ndeeba-24h'!C64,'27.07 Nateete-Ndeeba-24h'!C64)</f>
        <v>30.5</v>
      </c>
      <c r="D64" s="49">
        <f>AVERAGE('26.07 Nateete-Ndeeba-24h'!D64,'27.07 Nateete-Ndeeba-24h'!D64)</f>
        <v>9</v>
      </c>
      <c r="E64" s="49">
        <f>AVERAGE('26.07 Nateete-Ndeeba-24h'!E64,'27.07 Nateete-Ndeeba-24h'!E64)</f>
        <v>3.5</v>
      </c>
      <c r="F64" s="49">
        <f>AVERAGE('26.07 Nateete-Ndeeba-24h'!F64,'27.07 Nateete-Ndeeba-24h'!F64)</f>
        <v>36</v>
      </c>
      <c r="G64" s="49">
        <f>AVERAGE('26.07 Nateete-Ndeeba-24h'!G64,'27.07 Nateete-Ndeeba-24h'!G64)</f>
        <v>0.5</v>
      </c>
      <c r="H64" s="49">
        <f>AVERAGE('26.07 Nateete-Ndeeba-24h'!H64,'27.07 Nateete-Ndeeba-24h'!H64)</f>
        <v>0.5</v>
      </c>
      <c r="I64" s="49">
        <f>AVERAGE('26.07 Nateete-Ndeeba-24h'!I64,'27.07 Nateete-Ndeeba-24h'!I64)</f>
        <v>6.5</v>
      </c>
      <c r="J64" s="49">
        <f>AVERAGE('26.07 Nateete-Ndeeba-24h'!J64,'27.07 Nateete-Ndeeba-24h'!J64)</f>
        <v>1.5</v>
      </c>
      <c r="K64" s="49">
        <f>AVERAGE('26.07 Nateete-Ndeeba-24h'!K64,'27.07 Nateete-Ndeeba-24h'!K64)</f>
        <v>3.5</v>
      </c>
      <c r="L64" s="49">
        <f>AVERAGE('26.07 Nateete-Ndeeba-24h'!L64,'27.07 Nateete-Ndeeba-24h'!L64)</f>
        <v>1</v>
      </c>
      <c r="M64" s="49">
        <f>AVERAGE('26.07 Nateete-Ndeeba-24h'!M64,'27.07 Nateete-Ndeeba-24h'!M64)</f>
        <v>148</v>
      </c>
      <c r="N64" s="49">
        <f>AVERAGE('26.07 Nateete-Ndeeba-24h'!N64,'27.07 Nateete-Ndeeba-24h'!N64)</f>
        <v>0</v>
      </c>
      <c r="O64" s="15">
        <f t="shared" si="36"/>
        <v>92.5</v>
      </c>
      <c r="P64" s="15">
        <f t="shared" si="37"/>
        <v>240.5</v>
      </c>
      <c r="R64" s="8"/>
      <c r="T64"/>
    </row>
    <row r="65" spans="2:20" ht="23.1" customHeight="1" x14ac:dyDescent="0.25">
      <c r="B65" s="23" t="s">
        <v>158</v>
      </c>
      <c r="C65" s="49">
        <f>AVERAGE('26.07 Nateete-Ndeeba-24h'!C65,'27.07 Nateete-Ndeeba-24h'!C65)</f>
        <v>38.5</v>
      </c>
      <c r="D65" s="49">
        <f>AVERAGE('26.07 Nateete-Ndeeba-24h'!D65,'27.07 Nateete-Ndeeba-24h'!D65)</f>
        <v>4.5</v>
      </c>
      <c r="E65" s="49">
        <f>AVERAGE('26.07 Nateete-Ndeeba-24h'!E65,'27.07 Nateete-Ndeeba-24h'!E65)</f>
        <v>2.5</v>
      </c>
      <c r="F65" s="49">
        <f>AVERAGE('26.07 Nateete-Ndeeba-24h'!F65,'27.07 Nateete-Ndeeba-24h'!F65)</f>
        <v>39</v>
      </c>
      <c r="G65" s="49">
        <f>AVERAGE('26.07 Nateete-Ndeeba-24h'!G65,'27.07 Nateete-Ndeeba-24h'!G65)</f>
        <v>1</v>
      </c>
      <c r="H65" s="49">
        <f>AVERAGE('26.07 Nateete-Ndeeba-24h'!H65,'27.07 Nateete-Ndeeba-24h'!H65)</f>
        <v>0</v>
      </c>
      <c r="I65" s="49">
        <f>AVERAGE('26.07 Nateete-Ndeeba-24h'!I65,'27.07 Nateete-Ndeeba-24h'!I65)</f>
        <v>5</v>
      </c>
      <c r="J65" s="49">
        <f>AVERAGE('26.07 Nateete-Ndeeba-24h'!J65,'27.07 Nateete-Ndeeba-24h'!J65)</f>
        <v>3</v>
      </c>
      <c r="K65" s="49">
        <f>AVERAGE('26.07 Nateete-Ndeeba-24h'!K65,'27.07 Nateete-Ndeeba-24h'!K65)</f>
        <v>1</v>
      </c>
      <c r="L65" s="49">
        <f>AVERAGE('26.07 Nateete-Ndeeba-24h'!L65,'27.07 Nateete-Ndeeba-24h'!L65)</f>
        <v>2</v>
      </c>
      <c r="M65" s="49">
        <f>AVERAGE('26.07 Nateete-Ndeeba-24h'!M65,'27.07 Nateete-Ndeeba-24h'!M65)</f>
        <v>146.5</v>
      </c>
      <c r="N65" s="49">
        <f>AVERAGE('26.07 Nateete-Ndeeba-24h'!N65,'27.07 Nateete-Ndeeba-24h'!N65)</f>
        <v>0</v>
      </c>
      <c r="O65" s="15">
        <f t="shared" si="36"/>
        <v>96.5</v>
      </c>
      <c r="P65" s="15">
        <f t="shared" si="37"/>
        <v>243</v>
      </c>
      <c r="R65" s="8"/>
      <c r="T65"/>
    </row>
    <row r="66" spans="2:20" ht="23.1" customHeight="1" x14ac:dyDescent="0.25">
      <c r="B66" s="23" t="s">
        <v>103</v>
      </c>
      <c r="C66" s="49">
        <f>AVERAGE('26.07 Nateete-Ndeeba-24h'!C66,'27.07 Nateete-Ndeeba-24h'!C66)</f>
        <v>28.5</v>
      </c>
      <c r="D66" s="49">
        <f>AVERAGE('26.07 Nateete-Ndeeba-24h'!D66,'27.07 Nateete-Ndeeba-24h'!D66)</f>
        <v>5.5</v>
      </c>
      <c r="E66" s="49">
        <f>AVERAGE('26.07 Nateete-Ndeeba-24h'!E66,'27.07 Nateete-Ndeeba-24h'!E66)</f>
        <v>6</v>
      </c>
      <c r="F66" s="49">
        <f>AVERAGE('26.07 Nateete-Ndeeba-24h'!F66,'27.07 Nateete-Ndeeba-24h'!F66)</f>
        <v>33.5</v>
      </c>
      <c r="G66" s="49">
        <f>AVERAGE('26.07 Nateete-Ndeeba-24h'!G66,'27.07 Nateete-Ndeeba-24h'!G66)</f>
        <v>0</v>
      </c>
      <c r="H66" s="49">
        <f>AVERAGE('26.07 Nateete-Ndeeba-24h'!H66,'27.07 Nateete-Ndeeba-24h'!H66)</f>
        <v>1</v>
      </c>
      <c r="I66" s="49">
        <f>AVERAGE('26.07 Nateete-Ndeeba-24h'!I66,'27.07 Nateete-Ndeeba-24h'!I66)</f>
        <v>3</v>
      </c>
      <c r="J66" s="49">
        <f>AVERAGE('26.07 Nateete-Ndeeba-24h'!J66,'27.07 Nateete-Ndeeba-24h'!J66)</f>
        <v>4.5</v>
      </c>
      <c r="K66" s="49">
        <f>AVERAGE('26.07 Nateete-Ndeeba-24h'!K66,'27.07 Nateete-Ndeeba-24h'!K66)</f>
        <v>1.5</v>
      </c>
      <c r="L66" s="49">
        <f>AVERAGE('26.07 Nateete-Ndeeba-24h'!L66,'27.07 Nateete-Ndeeba-24h'!L66)</f>
        <v>0.5</v>
      </c>
      <c r="M66" s="49">
        <f>AVERAGE('26.07 Nateete-Ndeeba-24h'!M66,'27.07 Nateete-Ndeeba-24h'!M66)</f>
        <v>126</v>
      </c>
      <c r="N66" s="49">
        <f>AVERAGE('26.07 Nateete-Ndeeba-24h'!N66,'27.07 Nateete-Ndeeba-24h'!N66)</f>
        <v>0</v>
      </c>
      <c r="O66" s="15">
        <f t="shared" si="36"/>
        <v>84</v>
      </c>
      <c r="P66" s="15">
        <f t="shared" si="37"/>
        <v>210</v>
      </c>
      <c r="R66" s="8"/>
      <c r="T66"/>
    </row>
    <row r="67" spans="2:20" ht="23.1" customHeight="1" x14ac:dyDescent="0.25">
      <c r="B67" s="23" t="s">
        <v>104</v>
      </c>
      <c r="C67" s="49">
        <f>AVERAGE('26.07 Nateete-Ndeeba-24h'!C67,'27.07 Nateete-Ndeeba-24h'!C67)</f>
        <v>24.5</v>
      </c>
      <c r="D67" s="49">
        <f>AVERAGE('26.07 Nateete-Ndeeba-24h'!D67,'27.07 Nateete-Ndeeba-24h'!D67)</f>
        <v>5</v>
      </c>
      <c r="E67" s="49">
        <f>AVERAGE('26.07 Nateete-Ndeeba-24h'!E67,'27.07 Nateete-Ndeeba-24h'!E67)</f>
        <v>4.5</v>
      </c>
      <c r="F67" s="49">
        <f>AVERAGE('26.07 Nateete-Ndeeba-24h'!F67,'27.07 Nateete-Ndeeba-24h'!F67)</f>
        <v>32</v>
      </c>
      <c r="G67" s="49">
        <f>AVERAGE('26.07 Nateete-Ndeeba-24h'!G67,'27.07 Nateete-Ndeeba-24h'!G67)</f>
        <v>0.5</v>
      </c>
      <c r="H67" s="49">
        <f>AVERAGE('26.07 Nateete-Ndeeba-24h'!H67,'27.07 Nateete-Ndeeba-24h'!H67)</f>
        <v>0</v>
      </c>
      <c r="I67" s="49">
        <f>AVERAGE('26.07 Nateete-Ndeeba-24h'!I67,'27.07 Nateete-Ndeeba-24h'!I67)</f>
        <v>5</v>
      </c>
      <c r="J67" s="49">
        <f>AVERAGE('26.07 Nateete-Ndeeba-24h'!J67,'27.07 Nateete-Ndeeba-24h'!J67)</f>
        <v>3</v>
      </c>
      <c r="K67" s="49">
        <f>AVERAGE('26.07 Nateete-Ndeeba-24h'!K67,'27.07 Nateete-Ndeeba-24h'!K67)</f>
        <v>2</v>
      </c>
      <c r="L67" s="49">
        <f>AVERAGE('26.07 Nateete-Ndeeba-24h'!L67,'27.07 Nateete-Ndeeba-24h'!L67)</f>
        <v>2.5</v>
      </c>
      <c r="M67" s="49">
        <f>AVERAGE('26.07 Nateete-Ndeeba-24h'!M67,'27.07 Nateete-Ndeeba-24h'!M67)</f>
        <v>110</v>
      </c>
      <c r="N67" s="49">
        <f>AVERAGE('26.07 Nateete-Ndeeba-24h'!N67,'27.07 Nateete-Ndeeba-24h'!N67)</f>
        <v>0</v>
      </c>
      <c r="O67" s="15">
        <f t="shared" si="36"/>
        <v>79</v>
      </c>
      <c r="P67" s="15">
        <f t="shared" si="37"/>
        <v>189</v>
      </c>
      <c r="R67" s="8"/>
      <c r="T67"/>
    </row>
    <row r="68" spans="2:20" ht="23.1" customHeight="1" x14ac:dyDescent="0.25">
      <c r="B68" s="23" t="s">
        <v>105</v>
      </c>
      <c r="C68" s="49">
        <f>AVERAGE('26.07 Nateete-Ndeeba-24h'!C68,'27.07 Nateete-Ndeeba-24h'!C68)</f>
        <v>42.5</v>
      </c>
      <c r="D68" s="49">
        <f>AVERAGE('26.07 Nateete-Ndeeba-24h'!D68,'27.07 Nateete-Ndeeba-24h'!D68)</f>
        <v>7</v>
      </c>
      <c r="E68" s="49">
        <f>AVERAGE('26.07 Nateete-Ndeeba-24h'!E68,'27.07 Nateete-Ndeeba-24h'!E68)</f>
        <v>5.5</v>
      </c>
      <c r="F68" s="49">
        <f>AVERAGE('26.07 Nateete-Ndeeba-24h'!F68,'27.07 Nateete-Ndeeba-24h'!F68)</f>
        <v>32.5</v>
      </c>
      <c r="G68" s="49">
        <f>AVERAGE('26.07 Nateete-Ndeeba-24h'!G68,'27.07 Nateete-Ndeeba-24h'!G68)</f>
        <v>1</v>
      </c>
      <c r="H68" s="49">
        <f>AVERAGE('26.07 Nateete-Ndeeba-24h'!H68,'27.07 Nateete-Ndeeba-24h'!H68)</f>
        <v>0</v>
      </c>
      <c r="I68" s="49">
        <f>AVERAGE('26.07 Nateete-Ndeeba-24h'!I68,'27.07 Nateete-Ndeeba-24h'!I68)</f>
        <v>3</v>
      </c>
      <c r="J68" s="49">
        <f>AVERAGE('26.07 Nateete-Ndeeba-24h'!J68,'27.07 Nateete-Ndeeba-24h'!J68)</f>
        <v>5.5</v>
      </c>
      <c r="K68" s="49">
        <f>AVERAGE('26.07 Nateete-Ndeeba-24h'!K68,'27.07 Nateete-Ndeeba-24h'!K68)</f>
        <v>0.5</v>
      </c>
      <c r="L68" s="49">
        <f>AVERAGE('26.07 Nateete-Ndeeba-24h'!L68,'27.07 Nateete-Ndeeba-24h'!L68)</f>
        <v>2</v>
      </c>
      <c r="M68" s="49">
        <f>AVERAGE('26.07 Nateete-Ndeeba-24h'!M68,'27.07 Nateete-Ndeeba-24h'!M68)</f>
        <v>107</v>
      </c>
      <c r="N68" s="49">
        <f>AVERAGE('26.07 Nateete-Ndeeba-24h'!N68,'27.07 Nateete-Ndeeba-24h'!N68)</f>
        <v>0</v>
      </c>
      <c r="O68" s="15">
        <f t="shared" si="36"/>
        <v>99.5</v>
      </c>
      <c r="P68" s="15">
        <f t="shared" si="37"/>
        <v>206.5</v>
      </c>
      <c r="R68" s="8"/>
      <c r="T68"/>
    </row>
    <row r="69" spans="2:20" ht="23.1" customHeight="1" x14ac:dyDescent="0.25">
      <c r="B69" s="23" t="s">
        <v>106</v>
      </c>
      <c r="C69" s="49">
        <f>AVERAGE('26.07 Nateete-Ndeeba-24h'!C69,'27.07 Nateete-Ndeeba-24h'!C69)</f>
        <v>28</v>
      </c>
      <c r="D69" s="49">
        <f>AVERAGE('26.07 Nateete-Ndeeba-24h'!D69,'27.07 Nateete-Ndeeba-24h'!D69)</f>
        <v>7</v>
      </c>
      <c r="E69" s="49">
        <f>AVERAGE('26.07 Nateete-Ndeeba-24h'!E69,'27.07 Nateete-Ndeeba-24h'!E69)</f>
        <v>4.5</v>
      </c>
      <c r="F69" s="49">
        <f>AVERAGE('26.07 Nateete-Ndeeba-24h'!F69,'27.07 Nateete-Ndeeba-24h'!F69)</f>
        <v>29</v>
      </c>
      <c r="G69" s="49">
        <f>AVERAGE('26.07 Nateete-Ndeeba-24h'!G69,'27.07 Nateete-Ndeeba-24h'!G69)</f>
        <v>1</v>
      </c>
      <c r="H69" s="49">
        <f>AVERAGE('26.07 Nateete-Ndeeba-24h'!H69,'27.07 Nateete-Ndeeba-24h'!H69)</f>
        <v>0</v>
      </c>
      <c r="I69" s="49">
        <f>AVERAGE('26.07 Nateete-Ndeeba-24h'!I69,'27.07 Nateete-Ndeeba-24h'!I69)</f>
        <v>3</v>
      </c>
      <c r="J69" s="49">
        <f>AVERAGE('26.07 Nateete-Ndeeba-24h'!J69,'27.07 Nateete-Ndeeba-24h'!J69)</f>
        <v>3</v>
      </c>
      <c r="K69" s="49">
        <f>AVERAGE('26.07 Nateete-Ndeeba-24h'!K69,'27.07 Nateete-Ndeeba-24h'!K69)</f>
        <v>1</v>
      </c>
      <c r="L69" s="49">
        <f>AVERAGE('26.07 Nateete-Ndeeba-24h'!L69,'27.07 Nateete-Ndeeba-24h'!L69)</f>
        <v>2</v>
      </c>
      <c r="M69" s="49">
        <f>AVERAGE('26.07 Nateete-Ndeeba-24h'!M69,'27.07 Nateete-Ndeeba-24h'!M69)</f>
        <v>100</v>
      </c>
      <c r="N69" s="49">
        <f>AVERAGE('26.07 Nateete-Ndeeba-24h'!N69,'27.07 Nateete-Ndeeba-24h'!N69)</f>
        <v>0</v>
      </c>
      <c r="O69" s="15">
        <f t="shared" si="36"/>
        <v>78.5</v>
      </c>
      <c r="P69" s="15">
        <f t="shared" si="37"/>
        <v>178.5</v>
      </c>
      <c r="R69" s="8"/>
      <c r="T69"/>
    </row>
    <row r="70" spans="2:20" ht="23.1" customHeight="1" x14ac:dyDescent="0.25">
      <c r="B70" s="23" t="s">
        <v>110</v>
      </c>
      <c r="C70" s="49">
        <f>AVERAGE('26.07 Nateete-Ndeeba-24h'!C70,'27.07 Nateete-Ndeeba-24h'!C70)</f>
        <v>32.5</v>
      </c>
      <c r="D70" s="49">
        <f>AVERAGE('26.07 Nateete-Ndeeba-24h'!D70,'27.07 Nateete-Ndeeba-24h'!D70)</f>
        <v>6.5</v>
      </c>
      <c r="E70" s="49">
        <f>AVERAGE('26.07 Nateete-Ndeeba-24h'!E70,'27.07 Nateete-Ndeeba-24h'!E70)</f>
        <v>5</v>
      </c>
      <c r="F70" s="49">
        <f>AVERAGE('26.07 Nateete-Ndeeba-24h'!F70,'27.07 Nateete-Ndeeba-24h'!F70)</f>
        <v>33</v>
      </c>
      <c r="G70" s="49">
        <f>AVERAGE('26.07 Nateete-Ndeeba-24h'!G70,'27.07 Nateete-Ndeeba-24h'!G70)</f>
        <v>0.5</v>
      </c>
      <c r="H70" s="49">
        <f>AVERAGE('26.07 Nateete-Ndeeba-24h'!H70,'27.07 Nateete-Ndeeba-24h'!H70)</f>
        <v>0</v>
      </c>
      <c r="I70" s="49">
        <f>AVERAGE('26.07 Nateete-Ndeeba-24h'!I70,'27.07 Nateete-Ndeeba-24h'!I70)</f>
        <v>6</v>
      </c>
      <c r="J70" s="49">
        <f>AVERAGE('26.07 Nateete-Ndeeba-24h'!J70,'27.07 Nateete-Ndeeba-24h'!J70)</f>
        <v>3</v>
      </c>
      <c r="K70" s="49">
        <f>AVERAGE('26.07 Nateete-Ndeeba-24h'!K70,'27.07 Nateete-Ndeeba-24h'!K70)</f>
        <v>5</v>
      </c>
      <c r="L70" s="49">
        <f>AVERAGE('26.07 Nateete-Ndeeba-24h'!L70,'27.07 Nateete-Ndeeba-24h'!L70)</f>
        <v>0.5</v>
      </c>
      <c r="M70" s="49">
        <f>AVERAGE('26.07 Nateete-Ndeeba-24h'!M70,'27.07 Nateete-Ndeeba-24h'!M70)</f>
        <v>98</v>
      </c>
      <c r="N70" s="49">
        <f>AVERAGE('26.07 Nateete-Ndeeba-24h'!N70,'27.07 Nateete-Ndeeba-24h'!N70)</f>
        <v>0</v>
      </c>
      <c r="O70" s="15">
        <f t="shared" si="36"/>
        <v>92</v>
      </c>
      <c r="P70" s="15">
        <f t="shared" si="37"/>
        <v>190</v>
      </c>
      <c r="R70" s="8"/>
      <c r="T70"/>
    </row>
    <row r="71" spans="2:20" ht="23.1" customHeight="1" x14ac:dyDescent="0.25">
      <c r="B71" s="23" t="s">
        <v>111</v>
      </c>
      <c r="C71" s="49">
        <f>AVERAGE('26.07 Nateete-Ndeeba-24h'!C71,'27.07 Nateete-Ndeeba-24h'!C71)</f>
        <v>27.5</v>
      </c>
      <c r="D71" s="49">
        <f>AVERAGE('26.07 Nateete-Ndeeba-24h'!D71,'27.07 Nateete-Ndeeba-24h'!D71)</f>
        <v>4.5</v>
      </c>
      <c r="E71" s="49">
        <f>AVERAGE('26.07 Nateete-Ndeeba-24h'!E71,'27.07 Nateete-Ndeeba-24h'!E71)</f>
        <v>5.5</v>
      </c>
      <c r="F71" s="49">
        <f>AVERAGE('26.07 Nateete-Ndeeba-24h'!F71,'27.07 Nateete-Ndeeba-24h'!F71)</f>
        <v>25</v>
      </c>
      <c r="G71" s="49">
        <f>AVERAGE('26.07 Nateete-Ndeeba-24h'!G71,'27.07 Nateete-Ndeeba-24h'!G71)</f>
        <v>1</v>
      </c>
      <c r="H71" s="49">
        <f>AVERAGE('26.07 Nateete-Ndeeba-24h'!H71,'27.07 Nateete-Ndeeba-24h'!H71)</f>
        <v>0</v>
      </c>
      <c r="I71" s="49">
        <f>AVERAGE('26.07 Nateete-Ndeeba-24h'!I71,'27.07 Nateete-Ndeeba-24h'!I71)</f>
        <v>4</v>
      </c>
      <c r="J71" s="49">
        <f>AVERAGE('26.07 Nateete-Ndeeba-24h'!J71,'27.07 Nateete-Ndeeba-24h'!J71)</f>
        <v>5</v>
      </c>
      <c r="K71" s="49">
        <f>AVERAGE('26.07 Nateete-Ndeeba-24h'!K71,'27.07 Nateete-Ndeeba-24h'!K71)</f>
        <v>1.5</v>
      </c>
      <c r="L71" s="49">
        <f>AVERAGE('26.07 Nateete-Ndeeba-24h'!L71,'27.07 Nateete-Ndeeba-24h'!L71)</f>
        <v>0</v>
      </c>
      <c r="M71" s="49">
        <f>AVERAGE('26.07 Nateete-Ndeeba-24h'!M71,'27.07 Nateete-Ndeeba-24h'!M71)</f>
        <v>73.5</v>
      </c>
      <c r="N71" s="49">
        <f>AVERAGE('26.07 Nateete-Ndeeba-24h'!N71,'27.07 Nateete-Ndeeba-24h'!N71)</f>
        <v>0</v>
      </c>
      <c r="O71" s="15">
        <f t="shared" si="36"/>
        <v>74</v>
      </c>
      <c r="P71" s="15">
        <f t="shared" si="37"/>
        <v>147.5</v>
      </c>
      <c r="R71" s="8"/>
      <c r="T71"/>
    </row>
    <row r="72" spans="2:20" ht="23.1" customHeight="1" x14ac:dyDescent="0.25">
      <c r="B72" s="23" t="s">
        <v>112</v>
      </c>
      <c r="C72" s="49">
        <f>AVERAGE('26.07 Nateete-Ndeeba-24h'!C72,'27.07 Nateete-Ndeeba-24h'!C72)</f>
        <v>32</v>
      </c>
      <c r="D72" s="49">
        <f>AVERAGE('26.07 Nateete-Ndeeba-24h'!D72,'27.07 Nateete-Ndeeba-24h'!D72)</f>
        <v>4.5</v>
      </c>
      <c r="E72" s="49">
        <f>AVERAGE('26.07 Nateete-Ndeeba-24h'!E72,'27.07 Nateete-Ndeeba-24h'!E72)</f>
        <v>6</v>
      </c>
      <c r="F72" s="49">
        <f>AVERAGE('26.07 Nateete-Ndeeba-24h'!F72,'27.07 Nateete-Ndeeba-24h'!F72)</f>
        <v>21.5</v>
      </c>
      <c r="G72" s="49">
        <f>AVERAGE('26.07 Nateete-Ndeeba-24h'!G72,'27.07 Nateete-Ndeeba-24h'!G72)</f>
        <v>0</v>
      </c>
      <c r="H72" s="49">
        <f>AVERAGE('26.07 Nateete-Ndeeba-24h'!H72,'27.07 Nateete-Ndeeba-24h'!H72)</f>
        <v>0.5</v>
      </c>
      <c r="I72" s="49">
        <f>AVERAGE('26.07 Nateete-Ndeeba-24h'!I72,'27.07 Nateete-Ndeeba-24h'!I72)</f>
        <v>5</v>
      </c>
      <c r="J72" s="49">
        <f>AVERAGE('26.07 Nateete-Ndeeba-24h'!J72,'27.07 Nateete-Ndeeba-24h'!J72)</f>
        <v>2.5</v>
      </c>
      <c r="K72" s="49">
        <f>AVERAGE('26.07 Nateete-Ndeeba-24h'!K72,'27.07 Nateete-Ndeeba-24h'!K72)</f>
        <v>1</v>
      </c>
      <c r="L72" s="49">
        <f>AVERAGE('26.07 Nateete-Ndeeba-24h'!L72,'27.07 Nateete-Ndeeba-24h'!L72)</f>
        <v>2</v>
      </c>
      <c r="M72" s="49">
        <f>AVERAGE('26.07 Nateete-Ndeeba-24h'!M72,'27.07 Nateete-Ndeeba-24h'!M72)</f>
        <v>79.5</v>
      </c>
      <c r="N72" s="49">
        <f>AVERAGE('26.07 Nateete-Ndeeba-24h'!N72,'27.07 Nateete-Ndeeba-24h'!N72)</f>
        <v>0</v>
      </c>
      <c r="O72" s="15">
        <f t="shared" si="36"/>
        <v>75</v>
      </c>
      <c r="P72" s="15">
        <f t="shared" si="37"/>
        <v>154.5</v>
      </c>
      <c r="R72" s="8"/>
      <c r="T72"/>
    </row>
    <row r="73" spans="2:20" ht="23.1" customHeight="1" x14ac:dyDescent="0.25">
      <c r="B73" s="23" t="s">
        <v>113</v>
      </c>
      <c r="C73" s="49">
        <f>AVERAGE('26.07 Nateete-Ndeeba-24h'!C73,'27.07 Nateete-Ndeeba-24h'!C73)</f>
        <v>31.5</v>
      </c>
      <c r="D73" s="49">
        <f>AVERAGE('26.07 Nateete-Ndeeba-24h'!D73,'27.07 Nateete-Ndeeba-24h'!D73)</f>
        <v>4.5</v>
      </c>
      <c r="E73" s="49">
        <f>AVERAGE('26.07 Nateete-Ndeeba-24h'!E73,'27.07 Nateete-Ndeeba-24h'!E73)</f>
        <v>5.5</v>
      </c>
      <c r="F73" s="49">
        <f>AVERAGE('26.07 Nateete-Ndeeba-24h'!F73,'27.07 Nateete-Ndeeba-24h'!F73)</f>
        <v>18.5</v>
      </c>
      <c r="G73" s="49">
        <f>AVERAGE('26.07 Nateete-Ndeeba-24h'!G73,'27.07 Nateete-Ndeeba-24h'!G73)</f>
        <v>0.5</v>
      </c>
      <c r="H73" s="49">
        <f>AVERAGE('26.07 Nateete-Ndeeba-24h'!H73,'27.07 Nateete-Ndeeba-24h'!H73)</f>
        <v>3</v>
      </c>
      <c r="I73" s="49">
        <f>AVERAGE('26.07 Nateete-Ndeeba-24h'!I73,'27.07 Nateete-Ndeeba-24h'!I73)</f>
        <v>5</v>
      </c>
      <c r="J73" s="49">
        <f>AVERAGE('26.07 Nateete-Ndeeba-24h'!J73,'27.07 Nateete-Ndeeba-24h'!J73)</f>
        <v>3</v>
      </c>
      <c r="K73" s="49">
        <f>AVERAGE('26.07 Nateete-Ndeeba-24h'!K73,'27.07 Nateete-Ndeeba-24h'!K73)</f>
        <v>2.5</v>
      </c>
      <c r="L73" s="49">
        <f>AVERAGE('26.07 Nateete-Ndeeba-24h'!L73,'27.07 Nateete-Ndeeba-24h'!L73)</f>
        <v>1.5</v>
      </c>
      <c r="M73" s="49">
        <f>AVERAGE('26.07 Nateete-Ndeeba-24h'!M73,'27.07 Nateete-Ndeeba-24h'!M73)</f>
        <v>80.5</v>
      </c>
      <c r="N73" s="49">
        <f>AVERAGE('26.07 Nateete-Ndeeba-24h'!N73,'27.07 Nateete-Ndeeba-24h'!N73)</f>
        <v>0</v>
      </c>
      <c r="O73" s="15">
        <f t="shared" si="36"/>
        <v>75.5</v>
      </c>
      <c r="P73" s="15">
        <f t="shared" si="37"/>
        <v>156</v>
      </c>
      <c r="R73" s="8"/>
      <c r="T73"/>
    </row>
    <row r="74" spans="2:20" ht="23.1" customHeight="1" x14ac:dyDescent="0.25">
      <c r="B74" s="23" t="s">
        <v>114</v>
      </c>
      <c r="C74" s="49">
        <f>AVERAGE('26.07 Nateete-Ndeeba-24h'!C74,'27.07 Nateete-Ndeeba-24h'!C74)</f>
        <v>29.5</v>
      </c>
      <c r="D74" s="49">
        <f>AVERAGE('26.07 Nateete-Ndeeba-24h'!D74,'27.07 Nateete-Ndeeba-24h'!D74)</f>
        <v>4.5</v>
      </c>
      <c r="E74" s="49">
        <f>AVERAGE('26.07 Nateete-Ndeeba-24h'!E74,'27.07 Nateete-Ndeeba-24h'!E74)</f>
        <v>4.5</v>
      </c>
      <c r="F74" s="49">
        <f>AVERAGE('26.07 Nateete-Ndeeba-24h'!F74,'27.07 Nateete-Ndeeba-24h'!F74)</f>
        <v>15.5</v>
      </c>
      <c r="G74" s="49">
        <f>AVERAGE('26.07 Nateete-Ndeeba-24h'!G74,'27.07 Nateete-Ndeeba-24h'!G74)</f>
        <v>0</v>
      </c>
      <c r="H74" s="49">
        <f>AVERAGE('26.07 Nateete-Ndeeba-24h'!H74,'27.07 Nateete-Ndeeba-24h'!H74)</f>
        <v>40.5</v>
      </c>
      <c r="I74" s="49">
        <f>AVERAGE('26.07 Nateete-Ndeeba-24h'!I74,'27.07 Nateete-Ndeeba-24h'!I74)</f>
        <v>4.5</v>
      </c>
      <c r="J74" s="49">
        <f>AVERAGE('26.07 Nateete-Ndeeba-24h'!J74,'27.07 Nateete-Ndeeba-24h'!J74)</f>
        <v>5</v>
      </c>
      <c r="K74" s="49">
        <f>AVERAGE('26.07 Nateete-Ndeeba-24h'!K74,'27.07 Nateete-Ndeeba-24h'!K74)</f>
        <v>2</v>
      </c>
      <c r="L74" s="49">
        <f>AVERAGE('26.07 Nateete-Ndeeba-24h'!L74,'27.07 Nateete-Ndeeba-24h'!L74)</f>
        <v>2.5</v>
      </c>
      <c r="M74" s="49">
        <f>AVERAGE('26.07 Nateete-Ndeeba-24h'!M74,'27.07 Nateete-Ndeeba-24h'!M74)</f>
        <v>68.5</v>
      </c>
      <c r="N74" s="49">
        <f>AVERAGE('26.07 Nateete-Ndeeba-24h'!N74,'27.07 Nateete-Ndeeba-24h'!N74)</f>
        <v>0</v>
      </c>
      <c r="O74" s="15">
        <f t="shared" si="36"/>
        <v>108.5</v>
      </c>
      <c r="P74" s="15">
        <f t="shared" si="37"/>
        <v>177</v>
      </c>
      <c r="R74" s="8"/>
      <c r="T74"/>
    </row>
    <row r="75" spans="2:20" ht="23.1" customHeight="1" x14ac:dyDescent="0.25">
      <c r="B75" s="23" t="s">
        <v>115</v>
      </c>
      <c r="C75" s="49">
        <f>AVERAGE('26.07 Nateete-Ndeeba-24h'!C75,'27.07 Nateete-Ndeeba-24h'!C75)</f>
        <v>27</v>
      </c>
      <c r="D75" s="49">
        <f>AVERAGE('26.07 Nateete-Ndeeba-24h'!D75,'27.07 Nateete-Ndeeba-24h'!D75)</f>
        <v>4.5</v>
      </c>
      <c r="E75" s="49">
        <f>AVERAGE('26.07 Nateete-Ndeeba-24h'!E75,'27.07 Nateete-Ndeeba-24h'!E75)</f>
        <v>6</v>
      </c>
      <c r="F75" s="49">
        <f>AVERAGE('26.07 Nateete-Ndeeba-24h'!F75,'27.07 Nateete-Ndeeba-24h'!F75)</f>
        <v>17.5</v>
      </c>
      <c r="G75" s="49">
        <f>AVERAGE('26.07 Nateete-Ndeeba-24h'!G75,'27.07 Nateete-Ndeeba-24h'!G75)</f>
        <v>0</v>
      </c>
      <c r="H75" s="49">
        <f>AVERAGE('26.07 Nateete-Ndeeba-24h'!H75,'27.07 Nateete-Ndeeba-24h'!H75)</f>
        <v>0</v>
      </c>
      <c r="I75" s="49">
        <f>AVERAGE('26.07 Nateete-Ndeeba-24h'!I75,'27.07 Nateete-Ndeeba-24h'!I75)</f>
        <v>3.5</v>
      </c>
      <c r="J75" s="49">
        <f>AVERAGE('26.07 Nateete-Ndeeba-24h'!J75,'27.07 Nateete-Ndeeba-24h'!J75)</f>
        <v>8</v>
      </c>
      <c r="K75" s="49">
        <f>AVERAGE('26.07 Nateete-Ndeeba-24h'!K75,'27.07 Nateete-Ndeeba-24h'!K75)</f>
        <v>2.5</v>
      </c>
      <c r="L75" s="49">
        <f>AVERAGE('26.07 Nateete-Ndeeba-24h'!L75,'27.07 Nateete-Ndeeba-24h'!L75)</f>
        <v>1</v>
      </c>
      <c r="M75" s="49">
        <f>AVERAGE('26.07 Nateete-Ndeeba-24h'!M75,'27.07 Nateete-Ndeeba-24h'!M75)</f>
        <v>79.5</v>
      </c>
      <c r="N75" s="49">
        <f>AVERAGE('26.07 Nateete-Ndeeba-24h'!N75,'27.07 Nateete-Ndeeba-24h'!N75)</f>
        <v>0</v>
      </c>
      <c r="O75" s="15">
        <f t="shared" si="36"/>
        <v>70</v>
      </c>
      <c r="P75" s="15">
        <f t="shared" si="37"/>
        <v>149.5</v>
      </c>
      <c r="R75" s="8"/>
      <c r="T75"/>
    </row>
    <row r="76" spans="2:20" ht="23.1" customHeight="1" x14ac:dyDescent="0.25">
      <c r="B76" s="23" t="s">
        <v>116</v>
      </c>
      <c r="C76" s="49">
        <f>AVERAGE('26.07 Nateete-Ndeeba-24h'!C76,'27.07 Nateete-Ndeeba-24h'!C76)</f>
        <v>23</v>
      </c>
      <c r="D76" s="49">
        <f>AVERAGE('26.07 Nateete-Ndeeba-24h'!D76,'27.07 Nateete-Ndeeba-24h'!D76)</f>
        <v>3</v>
      </c>
      <c r="E76" s="49">
        <f>AVERAGE('26.07 Nateete-Ndeeba-24h'!E76,'27.07 Nateete-Ndeeba-24h'!E76)</f>
        <v>3</v>
      </c>
      <c r="F76" s="49">
        <f>AVERAGE('26.07 Nateete-Ndeeba-24h'!F76,'27.07 Nateete-Ndeeba-24h'!F76)</f>
        <v>14.5</v>
      </c>
      <c r="G76" s="49">
        <f>AVERAGE('26.07 Nateete-Ndeeba-24h'!G76,'27.07 Nateete-Ndeeba-24h'!G76)</f>
        <v>0</v>
      </c>
      <c r="H76" s="49">
        <f>AVERAGE('26.07 Nateete-Ndeeba-24h'!H76,'27.07 Nateete-Ndeeba-24h'!H76)</f>
        <v>0</v>
      </c>
      <c r="I76" s="49">
        <f>AVERAGE('26.07 Nateete-Ndeeba-24h'!I76,'27.07 Nateete-Ndeeba-24h'!I76)</f>
        <v>3.5</v>
      </c>
      <c r="J76" s="49">
        <f>AVERAGE('26.07 Nateete-Ndeeba-24h'!J76,'27.07 Nateete-Ndeeba-24h'!J76)</f>
        <v>6</v>
      </c>
      <c r="K76" s="49">
        <f>AVERAGE('26.07 Nateete-Ndeeba-24h'!K76,'27.07 Nateete-Ndeeba-24h'!K76)</f>
        <v>1.5</v>
      </c>
      <c r="L76" s="49">
        <f>AVERAGE('26.07 Nateete-Ndeeba-24h'!L76,'27.07 Nateete-Ndeeba-24h'!L76)</f>
        <v>0</v>
      </c>
      <c r="M76" s="49">
        <f>AVERAGE('26.07 Nateete-Ndeeba-24h'!M76,'27.07 Nateete-Ndeeba-24h'!M76)</f>
        <v>78</v>
      </c>
      <c r="N76" s="49">
        <f>AVERAGE('26.07 Nateete-Ndeeba-24h'!N76,'27.07 Nateete-Ndeeba-24h'!N76)</f>
        <v>0</v>
      </c>
      <c r="O76" s="15">
        <f t="shared" si="36"/>
        <v>54.5</v>
      </c>
      <c r="P76" s="15">
        <f t="shared" si="37"/>
        <v>132.5</v>
      </c>
      <c r="R76" s="8"/>
      <c r="T76"/>
    </row>
    <row r="77" spans="2:20" ht="23.1" customHeight="1" x14ac:dyDescent="0.25">
      <c r="B77" s="23" t="s">
        <v>117</v>
      </c>
      <c r="C77" s="49">
        <f>AVERAGE('26.07 Nateete-Ndeeba-24h'!C77,'27.07 Nateete-Ndeeba-24h'!C77)</f>
        <v>27.5</v>
      </c>
      <c r="D77" s="49">
        <f>AVERAGE('26.07 Nateete-Ndeeba-24h'!D77,'27.07 Nateete-Ndeeba-24h'!D77)</f>
        <v>5.5</v>
      </c>
      <c r="E77" s="49">
        <f>AVERAGE('26.07 Nateete-Ndeeba-24h'!E77,'27.07 Nateete-Ndeeba-24h'!E77)</f>
        <v>5</v>
      </c>
      <c r="F77" s="49">
        <f>AVERAGE('26.07 Nateete-Ndeeba-24h'!F77,'27.07 Nateete-Ndeeba-24h'!F77)</f>
        <v>14</v>
      </c>
      <c r="G77" s="49">
        <f>AVERAGE('26.07 Nateete-Ndeeba-24h'!G77,'27.07 Nateete-Ndeeba-24h'!G77)</f>
        <v>0.5</v>
      </c>
      <c r="H77" s="49">
        <f>AVERAGE('26.07 Nateete-Ndeeba-24h'!H77,'27.07 Nateete-Ndeeba-24h'!H77)</f>
        <v>0</v>
      </c>
      <c r="I77" s="49">
        <f>AVERAGE('26.07 Nateete-Ndeeba-24h'!I77,'27.07 Nateete-Ndeeba-24h'!I77)</f>
        <v>1.5</v>
      </c>
      <c r="J77" s="49">
        <f>AVERAGE('26.07 Nateete-Ndeeba-24h'!J77,'27.07 Nateete-Ndeeba-24h'!J77)</f>
        <v>5.5</v>
      </c>
      <c r="K77" s="49">
        <f>AVERAGE('26.07 Nateete-Ndeeba-24h'!K77,'27.07 Nateete-Ndeeba-24h'!K77)</f>
        <v>1</v>
      </c>
      <c r="L77" s="49">
        <f>AVERAGE('26.07 Nateete-Ndeeba-24h'!L77,'27.07 Nateete-Ndeeba-24h'!L77)</f>
        <v>1.5</v>
      </c>
      <c r="M77" s="49">
        <f>AVERAGE('26.07 Nateete-Ndeeba-24h'!M77,'27.07 Nateete-Ndeeba-24h'!M77)</f>
        <v>64</v>
      </c>
      <c r="N77" s="49">
        <f>AVERAGE('26.07 Nateete-Ndeeba-24h'!N77,'27.07 Nateete-Ndeeba-24h'!N77)</f>
        <v>0</v>
      </c>
      <c r="O77" s="15">
        <f t="shared" si="36"/>
        <v>62</v>
      </c>
      <c r="P77" s="15">
        <f t="shared" si="37"/>
        <v>126</v>
      </c>
      <c r="R77" s="8"/>
      <c r="T77"/>
    </row>
    <row r="78" spans="2:20" ht="23.1" customHeight="1" x14ac:dyDescent="0.25">
      <c r="B78" s="24" t="s">
        <v>118</v>
      </c>
      <c r="C78" s="49">
        <f>AVERAGE('26.07 Nateete-Ndeeba-24h'!C78,'27.07 Nateete-Ndeeba-24h'!C78)</f>
        <v>19</v>
      </c>
      <c r="D78" s="49">
        <f>AVERAGE('26.07 Nateete-Ndeeba-24h'!D78,'27.07 Nateete-Ndeeba-24h'!D78)</f>
        <v>0.5</v>
      </c>
      <c r="E78" s="49">
        <f>AVERAGE('26.07 Nateete-Ndeeba-24h'!E78,'27.07 Nateete-Ndeeba-24h'!E78)</f>
        <v>2</v>
      </c>
      <c r="F78" s="49">
        <f>AVERAGE('26.07 Nateete-Ndeeba-24h'!F78,'27.07 Nateete-Ndeeba-24h'!F78)</f>
        <v>11.5</v>
      </c>
      <c r="G78" s="49">
        <f>AVERAGE('26.07 Nateete-Ndeeba-24h'!G78,'27.07 Nateete-Ndeeba-24h'!G78)</f>
        <v>1</v>
      </c>
      <c r="H78" s="49">
        <f>AVERAGE('26.07 Nateete-Ndeeba-24h'!H78,'27.07 Nateete-Ndeeba-24h'!H78)</f>
        <v>1</v>
      </c>
      <c r="I78" s="49">
        <f>AVERAGE('26.07 Nateete-Ndeeba-24h'!I78,'27.07 Nateete-Ndeeba-24h'!I78)</f>
        <v>2</v>
      </c>
      <c r="J78" s="49">
        <f>AVERAGE('26.07 Nateete-Ndeeba-24h'!J78,'27.07 Nateete-Ndeeba-24h'!J78)</f>
        <v>8</v>
      </c>
      <c r="K78" s="49">
        <f>AVERAGE('26.07 Nateete-Ndeeba-24h'!K78,'27.07 Nateete-Ndeeba-24h'!K78)</f>
        <v>2</v>
      </c>
      <c r="L78" s="49">
        <f>AVERAGE('26.07 Nateete-Ndeeba-24h'!L78,'27.07 Nateete-Ndeeba-24h'!L78)</f>
        <v>0.5</v>
      </c>
      <c r="M78" s="49">
        <f>AVERAGE('26.07 Nateete-Ndeeba-24h'!M78,'27.07 Nateete-Ndeeba-24h'!M78)</f>
        <v>72.5</v>
      </c>
      <c r="N78" s="49">
        <f>AVERAGE('26.07 Nateete-Ndeeba-24h'!N78,'27.07 Nateete-Ndeeba-24h'!N78)</f>
        <v>0</v>
      </c>
      <c r="O78" s="15">
        <f t="shared" si="36"/>
        <v>47.5</v>
      </c>
      <c r="P78" s="15">
        <f t="shared" si="37"/>
        <v>120</v>
      </c>
      <c r="R78" s="8"/>
      <c r="T78"/>
    </row>
    <row r="79" spans="2:20" ht="23.1" customHeight="1" x14ac:dyDescent="0.25">
      <c r="B79" s="23" t="s">
        <v>119</v>
      </c>
      <c r="C79" s="49">
        <f>AVERAGE('26.07 Nateete-Ndeeba-24h'!C79,'27.07 Nateete-Ndeeba-24h'!C79)</f>
        <v>13.5</v>
      </c>
      <c r="D79" s="49">
        <f>AVERAGE('26.07 Nateete-Ndeeba-24h'!D79,'27.07 Nateete-Ndeeba-24h'!D79)</f>
        <v>2.5</v>
      </c>
      <c r="E79" s="49">
        <f>AVERAGE('26.07 Nateete-Ndeeba-24h'!E79,'27.07 Nateete-Ndeeba-24h'!E79)</f>
        <v>3</v>
      </c>
      <c r="F79" s="49">
        <f>AVERAGE('26.07 Nateete-Ndeeba-24h'!F79,'27.07 Nateete-Ndeeba-24h'!F79)</f>
        <v>11</v>
      </c>
      <c r="G79" s="49">
        <f>AVERAGE('26.07 Nateete-Ndeeba-24h'!G79,'27.07 Nateete-Ndeeba-24h'!G79)</f>
        <v>0</v>
      </c>
      <c r="H79" s="49">
        <f>AVERAGE('26.07 Nateete-Ndeeba-24h'!H79,'27.07 Nateete-Ndeeba-24h'!H79)</f>
        <v>0</v>
      </c>
      <c r="I79" s="49">
        <f>AVERAGE('26.07 Nateete-Ndeeba-24h'!I79,'27.07 Nateete-Ndeeba-24h'!I79)</f>
        <v>5.5</v>
      </c>
      <c r="J79" s="49">
        <f>AVERAGE('26.07 Nateete-Ndeeba-24h'!J79,'27.07 Nateete-Ndeeba-24h'!J79)</f>
        <v>9.5</v>
      </c>
      <c r="K79" s="49">
        <f>AVERAGE('26.07 Nateete-Ndeeba-24h'!K79,'27.07 Nateete-Ndeeba-24h'!K79)</f>
        <v>3</v>
      </c>
      <c r="L79" s="49">
        <f>AVERAGE('26.07 Nateete-Ndeeba-24h'!L79,'27.07 Nateete-Ndeeba-24h'!L79)</f>
        <v>0.5</v>
      </c>
      <c r="M79" s="49">
        <f>AVERAGE('26.07 Nateete-Ndeeba-24h'!M79,'27.07 Nateete-Ndeeba-24h'!M79)</f>
        <v>88</v>
      </c>
      <c r="N79" s="49">
        <f>AVERAGE('26.07 Nateete-Ndeeba-24h'!N79,'27.07 Nateete-Ndeeba-24h'!N79)</f>
        <v>0</v>
      </c>
      <c r="O79" s="15">
        <f t="shared" si="36"/>
        <v>48.5</v>
      </c>
      <c r="P79" s="15">
        <f t="shared" si="37"/>
        <v>136.5</v>
      </c>
      <c r="R79" s="8"/>
      <c r="T79"/>
    </row>
    <row r="80" spans="2:20" ht="23.1" customHeight="1" x14ac:dyDescent="0.25">
      <c r="B80" s="25" t="s">
        <v>120</v>
      </c>
      <c r="C80" s="49">
        <f>AVERAGE('26.07 Nateete-Ndeeba-24h'!C80,'27.07 Nateete-Ndeeba-24h'!C80)</f>
        <v>21.5</v>
      </c>
      <c r="D80" s="49">
        <f>AVERAGE('26.07 Nateete-Ndeeba-24h'!D80,'27.07 Nateete-Ndeeba-24h'!D80)</f>
        <v>1.5</v>
      </c>
      <c r="E80" s="49">
        <f>AVERAGE('26.07 Nateete-Ndeeba-24h'!E80,'27.07 Nateete-Ndeeba-24h'!E80)</f>
        <v>4</v>
      </c>
      <c r="F80" s="49">
        <f>AVERAGE('26.07 Nateete-Ndeeba-24h'!F80,'27.07 Nateete-Ndeeba-24h'!F80)</f>
        <v>7.5</v>
      </c>
      <c r="G80" s="49">
        <f>AVERAGE('26.07 Nateete-Ndeeba-24h'!G80,'27.07 Nateete-Ndeeba-24h'!G80)</f>
        <v>2</v>
      </c>
      <c r="H80" s="49">
        <f>AVERAGE('26.07 Nateete-Ndeeba-24h'!H80,'27.07 Nateete-Ndeeba-24h'!H80)</f>
        <v>0</v>
      </c>
      <c r="I80" s="49">
        <f>AVERAGE('26.07 Nateete-Ndeeba-24h'!I80,'27.07 Nateete-Ndeeba-24h'!I80)</f>
        <v>8.5</v>
      </c>
      <c r="J80" s="49">
        <f>AVERAGE('26.07 Nateete-Ndeeba-24h'!J80,'27.07 Nateete-Ndeeba-24h'!J80)</f>
        <v>9.5</v>
      </c>
      <c r="K80" s="49">
        <f>AVERAGE('26.07 Nateete-Ndeeba-24h'!K80,'27.07 Nateete-Ndeeba-24h'!K80)</f>
        <v>1.5</v>
      </c>
      <c r="L80" s="49">
        <f>AVERAGE('26.07 Nateete-Ndeeba-24h'!L80,'27.07 Nateete-Ndeeba-24h'!L80)</f>
        <v>0.5</v>
      </c>
      <c r="M80" s="49">
        <f>AVERAGE('26.07 Nateete-Ndeeba-24h'!M80,'27.07 Nateete-Ndeeba-24h'!M80)</f>
        <v>87.5</v>
      </c>
      <c r="N80" s="49">
        <f>AVERAGE('26.07 Nateete-Ndeeba-24h'!N80,'27.07 Nateete-Ndeeba-24h'!N80)</f>
        <v>0</v>
      </c>
      <c r="O80" s="15">
        <f t="shared" si="36"/>
        <v>56.5</v>
      </c>
      <c r="P80" s="15">
        <f t="shared" si="37"/>
        <v>144</v>
      </c>
      <c r="R80" s="8"/>
      <c r="T80"/>
    </row>
    <row r="81" spans="2:20" ht="23.1" customHeight="1" x14ac:dyDescent="0.25">
      <c r="B81" s="23" t="s">
        <v>121</v>
      </c>
      <c r="C81" s="49">
        <f>AVERAGE('26.07 Nateete-Ndeeba-24h'!C81,'27.07 Nateete-Ndeeba-24h'!C81)</f>
        <v>22.5</v>
      </c>
      <c r="D81" s="49">
        <f>AVERAGE('26.07 Nateete-Ndeeba-24h'!D81,'27.07 Nateete-Ndeeba-24h'!D81)</f>
        <v>4</v>
      </c>
      <c r="E81" s="49">
        <f>AVERAGE('26.07 Nateete-Ndeeba-24h'!E81,'27.07 Nateete-Ndeeba-24h'!E81)</f>
        <v>3</v>
      </c>
      <c r="F81" s="49">
        <f>AVERAGE('26.07 Nateete-Ndeeba-24h'!F81,'27.07 Nateete-Ndeeba-24h'!F81)</f>
        <v>9.5</v>
      </c>
      <c r="G81" s="49">
        <f>AVERAGE('26.07 Nateete-Ndeeba-24h'!G81,'27.07 Nateete-Ndeeba-24h'!G81)</f>
        <v>0</v>
      </c>
      <c r="H81" s="49">
        <f>AVERAGE('26.07 Nateete-Ndeeba-24h'!H81,'27.07 Nateete-Ndeeba-24h'!H81)</f>
        <v>1.5</v>
      </c>
      <c r="I81" s="49">
        <f>AVERAGE('26.07 Nateete-Ndeeba-24h'!I81,'27.07 Nateete-Ndeeba-24h'!I81)</f>
        <v>4</v>
      </c>
      <c r="J81" s="49">
        <f>AVERAGE('26.07 Nateete-Ndeeba-24h'!J81,'27.07 Nateete-Ndeeba-24h'!J81)</f>
        <v>12.5</v>
      </c>
      <c r="K81" s="49">
        <f>AVERAGE('26.07 Nateete-Ndeeba-24h'!K81,'27.07 Nateete-Ndeeba-24h'!K81)</f>
        <v>0.5</v>
      </c>
      <c r="L81" s="49">
        <f>AVERAGE('26.07 Nateete-Ndeeba-24h'!L81,'27.07 Nateete-Ndeeba-24h'!L81)</f>
        <v>0.5</v>
      </c>
      <c r="M81" s="49">
        <f>AVERAGE('26.07 Nateete-Ndeeba-24h'!M81,'27.07 Nateete-Ndeeba-24h'!M81)</f>
        <v>66</v>
      </c>
      <c r="N81" s="49">
        <f>AVERAGE('26.07 Nateete-Ndeeba-24h'!N81,'27.07 Nateete-Ndeeba-24h'!N81)</f>
        <v>0</v>
      </c>
      <c r="O81" s="15">
        <f t="shared" si="36"/>
        <v>58</v>
      </c>
      <c r="P81" s="15">
        <f t="shared" si="37"/>
        <v>124</v>
      </c>
      <c r="R81" s="8"/>
      <c r="T81"/>
    </row>
    <row r="82" spans="2:20" ht="23.1" customHeight="1" x14ac:dyDescent="0.25">
      <c r="B82" s="24" t="s">
        <v>122</v>
      </c>
      <c r="C82" s="49">
        <f>AVERAGE('26.07 Nateete-Ndeeba-24h'!C82,'27.07 Nateete-Ndeeba-24h'!C82)</f>
        <v>20.5</v>
      </c>
      <c r="D82" s="49">
        <f>AVERAGE('26.07 Nateete-Ndeeba-24h'!D82,'27.07 Nateete-Ndeeba-24h'!D82)</f>
        <v>2</v>
      </c>
      <c r="E82" s="49">
        <f>AVERAGE('26.07 Nateete-Ndeeba-24h'!E82,'27.07 Nateete-Ndeeba-24h'!E82)</f>
        <v>2</v>
      </c>
      <c r="F82" s="49">
        <f>AVERAGE('26.07 Nateete-Ndeeba-24h'!F82,'27.07 Nateete-Ndeeba-24h'!F82)</f>
        <v>6</v>
      </c>
      <c r="G82" s="49">
        <f>AVERAGE('26.07 Nateete-Ndeeba-24h'!G82,'27.07 Nateete-Ndeeba-24h'!G82)</f>
        <v>0</v>
      </c>
      <c r="H82" s="49">
        <f>AVERAGE('26.07 Nateete-Ndeeba-24h'!H82,'27.07 Nateete-Ndeeba-24h'!H82)</f>
        <v>0</v>
      </c>
      <c r="I82" s="49">
        <f>AVERAGE('26.07 Nateete-Ndeeba-24h'!I82,'27.07 Nateete-Ndeeba-24h'!I82)</f>
        <v>3</v>
      </c>
      <c r="J82" s="49">
        <f>AVERAGE('26.07 Nateete-Ndeeba-24h'!J82,'27.07 Nateete-Ndeeba-24h'!J82)</f>
        <v>9</v>
      </c>
      <c r="K82" s="49">
        <f>AVERAGE('26.07 Nateete-Ndeeba-24h'!K82,'27.07 Nateete-Ndeeba-24h'!K82)</f>
        <v>2.5</v>
      </c>
      <c r="L82" s="49">
        <f>AVERAGE('26.07 Nateete-Ndeeba-24h'!L82,'27.07 Nateete-Ndeeba-24h'!L82)</f>
        <v>2</v>
      </c>
      <c r="M82" s="49">
        <f>AVERAGE('26.07 Nateete-Ndeeba-24h'!M82,'27.07 Nateete-Ndeeba-24h'!M82)</f>
        <v>65.5</v>
      </c>
      <c r="N82" s="49">
        <f>AVERAGE('26.07 Nateete-Ndeeba-24h'!N82,'27.07 Nateete-Ndeeba-24h'!N82)</f>
        <v>0</v>
      </c>
      <c r="O82" s="15">
        <f t="shared" si="36"/>
        <v>47</v>
      </c>
      <c r="P82" s="15">
        <f t="shared" si="37"/>
        <v>112.5</v>
      </c>
      <c r="R82" s="8"/>
      <c r="T82"/>
    </row>
    <row r="83" spans="2:20" ht="23.1" customHeight="1" x14ac:dyDescent="0.25">
      <c r="B83" s="23" t="s">
        <v>123</v>
      </c>
      <c r="C83" s="49">
        <f>AVERAGE('26.07 Nateete-Ndeeba-24h'!C83,'27.07 Nateete-Ndeeba-24h'!C83)</f>
        <v>21</v>
      </c>
      <c r="D83" s="49">
        <f>AVERAGE('26.07 Nateete-Ndeeba-24h'!D83,'27.07 Nateete-Ndeeba-24h'!D83)</f>
        <v>1.5</v>
      </c>
      <c r="E83" s="49">
        <f>AVERAGE('26.07 Nateete-Ndeeba-24h'!E83,'27.07 Nateete-Ndeeba-24h'!E83)</f>
        <v>2</v>
      </c>
      <c r="F83" s="49">
        <f>AVERAGE('26.07 Nateete-Ndeeba-24h'!F83,'27.07 Nateete-Ndeeba-24h'!F83)</f>
        <v>13.5</v>
      </c>
      <c r="G83" s="49">
        <f>AVERAGE('26.07 Nateete-Ndeeba-24h'!G83,'27.07 Nateete-Ndeeba-24h'!G83)</f>
        <v>0</v>
      </c>
      <c r="H83" s="49">
        <f>AVERAGE('26.07 Nateete-Ndeeba-24h'!H83,'27.07 Nateete-Ndeeba-24h'!H83)</f>
        <v>1.5</v>
      </c>
      <c r="I83" s="49">
        <f>AVERAGE('26.07 Nateete-Ndeeba-24h'!I83,'27.07 Nateete-Ndeeba-24h'!I83)</f>
        <v>5.5</v>
      </c>
      <c r="J83" s="49">
        <f>AVERAGE('26.07 Nateete-Ndeeba-24h'!J83,'27.07 Nateete-Ndeeba-24h'!J83)</f>
        <v>6</v>
      </c>
      <c r="K83" s="49">
        <f>AVERAGE('26.07 Nateete-Ndeeba-24h'!K83,'27.07 Nateete-Ndeeba-24h'!K83)</f>
        <v>2.5</v>
      </c>
      <c r="L83" s="49">
        <f>AVERAGE('26.07 Nateete-Ndeeba-24h'!L83,'27.07 Nateete-Ndeeba-24h'!L83)</f>
        <v>3</v>
      </c>
      <c r="M83" s="49">
        <f>AVERAGE('26.07 Nateete-Ndeeba-24h'!M83,'27.07 Nateete-Ndeeba-24h'!M83)</f>
        <v>63</v>
      </c>
      <c r="N83" s="49">
        <f>AVERAGE('26.07 Nateete-Ndeeba-24h'!N83,'27.07 Nateete-Ndeeba-24h'!N83)</f>
        <v>0</v>
      </c>
      <c r="O83" s="15">
        <f t="shared" si="36"/>
        <v>56.5</v>
      </c>
      <c r="P83" s="15">
        <f t="shared" si="37"/>
        <v>119.5</v>
      </c>
      <c r="R83" s="8"/>
      <c r="T83"/>
    </row>
    <row r="84" spans="2:20" ht="23.1" customHeight="1" x14ac:dyDescent="0.25">
      <c r="B84" s="25" t="s">
        <v>124</v>
      </c>
      <c r="C84" s="49">
        <f>AVERAGE('26.07 Nateete-Ndeeba-24h'!C84,'27.07 Nateete-Ndeeba-24h'!C84)</f>
        <v>33.5</v>
      </c>
      <c r="D84" s="49">
        <f>AVERAGE('26.07 Nateete-Ndeeba-24h'!D84,'27.07 Nateete-Ndeeba-24h'!D84)</f>
        <v>4.5</v>
      </c>
      <c r="E84" s="49">
        <f>AVERAGE('26.07 Nateete-Ndeeba-24h'!E84,'27.07 Nateete-Ndeeba-24h'!E84)</f>
        <v>2.5</v>
      </c>
      <c r="F84" s="49">
        <f>AVERAGE('26.07 Nateete-Ndeeba-24h'!F84,'27.07 Nateete-Ndeeba-24h'!F84)</f>
        <v>11.5</v>
      </c>
      <c r="G84" s="49">
        <f>AVERAGE('26.07 Nateete-Ndeeba-24h'!G84,'27.07 Nateete-Ndeeba-24h'!G84)</f>
        <v>0</v>
      </c>
      <c r="H84" s="49">
        <f>AVERAGE('26.07 Nateete-Ndeeba-24h'!H84,'27.07 Nateete-Ndeeba-24h'!H84)</f>
        <v>1</v>
      </c>
      <c r="I84" s="49">
        <f>AVERAGE('26.07 Nateete-Ndeeba-24h'!I84,'27.07 Nateete-Ndeeba-24h'!I84)</f>
        <v>6</v>
      </c>
      <c r="J84" s="49">
        <f>AVERAGE('26.07 Nateete-Ndeeba-24h'!J84,'27.07 Nateete-Ndeeba-24h'!J84)</f>
        <v>10.5</v>
      </c>
      <c r="K84" s="49">
        <f>AVERAGE('26.07 Nateete-Ndeeba-24h'!K84,'27.07 Nateete-Ndeeba-24h'!K84)</f>
        <v>1.5</v>
      </c>
      <c r="L84" s="49">
        <f>AVERAGE('26.07 Nateete-Ndeeba-24h'!L84,'27.07 Nateete-Ndeeba-24h'!L84)</f>
        <v>1</v>
      </c>
      <c r="M84" s="49">
        <f>AVERAGE('26.07 Nateete-Ndeeba-24h'!M84,'27.07 Nateete-Ndeeba-24h'!M84)</f>
        <v>55</v>
      </c>
      <c r="N84" s="49">
        <f>AVERAGE('26.07 Nateete-Ndeeba-24h'!N84,'27.07 Nateete-Ndeeba-24h'!N84)</f>
        <v>0</v>
      </c>
      <c r="O84" s="15">
        <f t="shared" si="36"/>
        <v>72</v>
      </c>
      <c r="P84" s="15">
        <f t="shared" si="37"/>
        <v>127</v>
      </c>
      <c r="R84" s="8"/>
      <c r="T84"/>
    </row>
    <row r="85" spans="2:20" ht="23.1" customHeight="1" x14ac:dyDescent="0.25">
      <c r="B85" s="23" t="s">
        <v>125</v>
      </c>
      <c r="C85" s="49">
        <f>AVERAGE('26.07 Nateete-Ndeeba-24h'!C85,'27.07 Nateete-Ndeeba-24h'!C85)</f>
        <v>34.5</v>
      </c>
      <c r="D85" s="49">
        <f>AVERAGE('26.07 Nateete-Ndeeba-24h'!D85,'27.07 Nateete-Ndeeba-24h'!D85)</f>
        <v>1.5</v>
      </c>
      <c r="E85" s="49">
        <f>AVERAGE('26.07 Nateete-Ndeeba-24h'!E85,'27.07 Nateete-Ndeeba-24h'!E85)</f>
        <v>2</v>
      </c>
      <c r="F85" s="49">
        <f>AVERAGE('26.07 Nateete-Ndeeba-24h'!F85,'27.07 Nateete-Ndeeba-24h'!F85)</f>
        <v>9.5</v>
      </c>
      <c r="G85" s="49">
        <f>AVERAGE('26.07 Nateete-Ndeeba-24h'!G85,'27.07 Nateete-Ndeeba-24h'!G85)</f>
        <v>1</v>
      </c>
      <c r="H85" s="49">
        <f>AVERAGE('26.07 Nateete-Ndeeba-24h'!H85,'27.07 Nateete-Ndeeba-24h'!H85)</f>
        <v>1</v>
      </c>
      <c r="I85" s="49">
        <f>AVERAGE('26.07 Nateete-Ndeeba-24h'!I85,'27.07 Nateete-Ndeeba-24h'!I85)</f>
        <v>4</v>
      </c>
      <c r="J85" s="49">
        <f>AVERAGE('26.07 Nateete-Ndeeba-24h'!J85,'27.07 Nateete-Ndeeba-24h'!J85)</f>
        <v>6.5</v>
      </c>
      <c r="K85" s="49">
        <f>AVERAGE('26.07 Nateete-Ndeeba-24h'!K85,'27.07 Nateete-Ndeeba-24h'!K85)</f>
        <v>3</v>
      </c>
      <c r="L85" s="49">
        <f>AVERAGE('26.07 Nateete-Ndeeba-24h'!L85,'27.07 Nateete-Ndeeba-24h'!L85)</f>
        <v>2.5</v>
      </c>
      <c r="M85" s="49">
        <f>AVERAGE('26.07 Nateete-Ndeeba-24h'!M85,'27.07 Nateete-Ndeeba-24h'!M85)</f>
        <v>65.5</v>
      </c>
      <c r="N85" s="49">
        <f>AVERAGE('26.07 Nateete-Ndeeba-24h'!N85,'27.07 Nateete-Ndeeba-24h'!N85)</f>
        <v>0</v>
      </c>
      <c r="O85" s="15">
        <f t="shared" si="36"/>
        <v>65.5</v>
      </c>
      <c r="P85" s="15">
        <f t="shared" si="37"/>
        <v>131</v>
      </c>
      <c r="R85" s="8"/>
      <c r="T85"/>
    </row>
    <row r="86" spans="2:20" ht="23.1" customHeight="1" x14ac:dyDescent="0.25">
      <c r="B86" s="24" t="s">
        <v>126</v>
      </c>
      <c r="C86" s="49">
        <f>AVERAGE('26.07 Nateete-Ndeeba-24h'!C86,'27.07 Nateete-Ndeeba-24h'!C86)</f>
        <v>15</v>
      </c>
      <c r="D86" s="49">
        <f>AVERAGE('26.07 Nateete-Ndeeba-24h'!D86,'27.07 Nateete-Ndeeba-24h'!D86)</f>
        <v>1.5</v>
      </c>
      <c r="E86" s="49">
        <f>AVERAGE('26.07 Nateete-Ndeeba-24h'!E86,'27.07 Nateete-Ndeeba-24h'!E86)</f>
        <v>4</v>
      </c>
      <c r="F86" s="49">
        <f>AVERAGE('26.07 Nateete-Ndeeba-24h'!F86,'27.07 Nateete-Ndeeba-24h'!F86)</f>
        <v>5</v>
      </c>
      <c r="G86" s="49">
        <f>AVERAGE('26.07 Nateete-Ndeeba-24h'!G86,'27.07 Nateete-Ndeeba-24h'!G86)</f>
        <v>0</v>
      </c>
      <c r="H86" s="49">
        <f>AVERAGE('26.07 Nateete-Ndeeba-24h'!H86,'27.07 Nateete-Ndeeba-24h'!H86)</f>
        <v>1</v>
      </c>
      <c r="I86" s="49">
        <f>AVERAGE('26.07 Nateete-Ndeeba-24h'!I86,'27.07 Nateete-Ndeeba-24h'!I86)</f>
        <v>3</v>
      </c>
      <c r="J86" s="49">
        <f>AVERAGE('26.07 Nateete-Ndeeba-24h'!J86,'27.07 Nateete-Ndeeba-24h'!J86)</f>
        <v>12.5</v>
      </c>
      <c r="K86" s="49">
        <f>AVERAGE('26.07 Nateete-Ndeeba-24h'!K86,'27.07 Nateete-Ndeeba-24h'!K86)</f>
        <v>3</v>
      </c>
      <c r="L86" s="49">
        <f>AVERAGE('26.07 Nateete-Ndeeba-24h'!L86,'27.07 Nateete-Ndeeba-24h'!L86)</f>
        <v>3</v>
      </c>
      <c r="M86" s="49">
        <f>AVERAGE('26.07 Nateete-Ndeeba-24h'!M86,'27.07 Nateete-Ndeeba-24h'!M86)</f>
        <v>62.5</v>
      </c>
      <c r="N86" s="49">
        <f>AVERAGE('26.07 Nateete-Ndeeba-24h'!N86,'27.07 Nateete-Ndeeba-24h'!N86)</f>
        <v>0</v>
      </c>
      <c r="O86" s="15">
        <f t="shared" si="36"/>
        <v>48</v>
      </c>
      <c r="P86" s="15">
        <f t="shared" si="37"/>
        <v>110.5</v>
      </c>
      <c r="R86" s="8"/>
      <c r="T86"/>
    </row>
    <row r="87" spans="2:20" ht="23.1" customHeight="1" x14ac:dyDescent="0.25">
      <c r="B87" s="23" t="s">
        <v>127</v>
      </c>
      <c r="C87" s="49">
        <f>AVERAGE('26.07 Nateete-Ndeeba-24h'!C87,'27.07 Nateete-Ndeeba-24h'!C87)</f>
        <v>20.5</v>
      </c>
      <c r="D87" s="49">
        <f>AVERAGE('26.07 Nateete-Ndeeba-24h'!D87,'27.07 Nateete-Ndeeba-24h'!D87)</f>
        <v>1.5</v>
      </c>
      <c r="E87" s="49">
        <f>AVERAGE('26.07 Nateete-Ndeeba-24h'!E87,'27.07 Nateete-Ndeeba-24h'!E87)</f>
        <v>1.5</v>
      </c>
      <c r="F87" s="49">
        <f>AVERAGE('26.07 Nateete-Ndeeba-24h'!F87,'27.07 Nateete-Ndeeba-24h'!F87)</f>
        <v>4</v>
      </c>
      <c r="G87" s="49">
        <f>AVERAGE('26.07 Nateete-Ndeeba-24h'!G87,'27.07 Nateete-Ndeeba-24h'!G87)</f>
        <v>0</v>
      </c>
      <c r="H87" s="49">
        <f>AVERAGE('26.07 Nateete-Ndeeba-24h'!H87,'27.07 Nateete-Ndeeba-24h'!H87)</f>
        <v>0</v>
      </c>
      <c r="I87" s="49">
        <f>AVERAGE('26.07 Nateete-Ndeeba-24h'!I87,'27.07 Nateete-Ndeeba-24h'!I87)</f>
        <v>5.5</v>
      </c>
      <c r="J87" s="49">
        <f>AVERAGE('26.07 Nateete-Ndeeba-24h'!J87,'27.07 Nateete-Ndeeba-24h'!J87)</f>
        <v>8</v>
      </c>
      <c r="K87" s="49">
        <f>AVERAGE('26.07 Nateete-Ndeeba-24h'!K87,'27.07 Nateete-Ndeeba-24h'!K87)</f>
        <v>2</v>
      </c>
      <c r="L87" s="49">
        <f>AVERAGE('26.07 Nateete-Ndeeba-24h'!L87,'27.07 Nateete-Ndeeba-24h'!L87)</f>
        <v>0</v>
      </c>
      <c r="M87" s="49">
        <f>AVERAGE('26.07 Nateete-Ndeeba-24h'!M87,'27.07 Nateete-Ndeeba-24h'!M87)</f>
        <v>52.5</v>
      </c>
      <c r="N87" s="49">
        <f>AVERAGE('26.07 Nateete-Ndeeba-24h'!N87,'27.07 Nateete-Ndeeba-24h'!N87)</f>
        <v>0</v>
      </c>
      <c r="O87" s="15">
        <f t="shared" si="36"/>
        <v>43</v>
      </c>
      <c r="P87" s="15">
        <f t="shared" si="37"/>
        <v>95.5</v>
      </c>
      <c r="R87" s="8"/>
      <c r="T87"/>
    </row>
    <row r="88" spans="2:20" ht="23.1" customHeight="1" x14ac:dyDescent="0.25">
      <c r="B88" s="25" t="s">
        <v>128</v>
      </c>
      <c r="C88" s="49">
        <f>AVERAGE('26.07 Nateete-Ndeeba-24h'!C88,'27.07 Nateete-Ndeeba-24h'!C88)</f>
        <v>13</v>
      </c>
      <c r="D88" s="49">
        <f>AVERAGE('26.07 Nateete-Ndeeba-24h'!D88,'27.07 Nateete-Ndeeba-24h'!D88)</f>
        <v>0.5</v>
      </c>
      <c r="E88" s="49">
        <f>AVERAGE('26.07 Nateete-Ndeeba-24h'!E88,'27.07 Nateete-Ndeeba-24h'!E88)</f>
        <v>0.5</v>
      </c>
      <c r="F88" s="49">
        <f>AVERAGE('26.07 Nateete-Ndeeba-24h'!F88,'27.07 Nateete-Ndeeba-24h'!F88)</f>
        <v>4</v>
      </c>
      <c r="G88" s="49">
        <f>AVERAGE('26.07 Nateete-Ndeeba-24h'!G88,'27.07 Nateete-Ndeeba-24h'!G88)</f>
        <v>0</v>
      </c>
      <c r="H88" s="49">
        <f>AVERAGE('26.07 Nateete-Ndeeba-24h'!H88,'27.07 Nateete-Ndeeba-24h'!H88)</f>
        <v>0.5</v>
      </c>
      <c r="I88" s="49">
        <f>AVERAGE('26.07 Nateete-Ndeeba-24h'!I88,'27.07 Nateete-Ndeeba-24h'!I88)</f>
        <v>3.5</v>
      </c>
      <c r="J88" s="49">
        <f>AVERAGE('26.07 Nateete-Ndeeba-24h'!J88,'27.07 Nateete-Ndeeba-24h'!J88)</f>
        <v>7</v>
      </c>
      <c r="K88" s="49">
        <f>AVERAGE('26.07 Nateete-Ndeeba-24h'!K88,'27.07 Nateete-Ndeeba-24h'!K88)</f>
        <v>0.5</v>
      </c>
      <c r="L88" s="49">
        <f>AVERAGE('26.07 Nateete-Ndeeba-24h'!L88,'27.07 Nateete-Ndeeba-24h'!L88)</f>
        <v>1.5</v>
      </c>
      <c r="M88" s="49">
        <f>AVERAGE('26.07 Nateete-Ndeeba-24h'!M88,'27.07 Nateete-Ndeeba-24h'!M88)</f>
        <v>49.5</v>
      </c>
      <c r="N88" s="49">
        <f>AVERAGE('26.07 Nateete-Ndeeba-24h'!N88,'27.07 Nateete-Ndeeba-24h'!N88)</f>
        <v>0</v>
      </c>
      <c r="O88" s="15">
        <f t="shared" si="36"/>
        <v>31</v>
      </c>
      <c r="P88" s="15">
        <f t="shared" si="37"/>
        <v>80.5</v>
      </c>
      <c r="R88" s="8"/>
      <c r="T88"/>
    </row>
    <row r="89" spans="2:20" ht="23.1" customHeight="1" x14ac:dyDescent="0.25">
      <c r="B89" s="23" t="s">
        <v>129</v>
      </c>
      <c r="C89" s="49">
        <f>AVERAGE('26.07 Nateete-Ndeeba-24h'!C89,'27.07 Nateete-Ndeeba-24h'!C89)</f>
        <v>11</v>
      </c>
      <c r="D89" s="49">
        <f>AVERAGE('26.07 Nateete-Ndeeba-24h'!D89,'27.07 Nateete-Ndeeba-24h'!D89)</f>
        <v>3</v>
      </c>
      <c r="E89" s="49">
        <f>AVERAGE('26.07 Nateete-Ndeeba-24h'!E89,'27.07 Nateete-Ndeeba-24h'!E89)</f>
        <v>2</v>
      </c>
      <c r="F89" s="49">
        <f>AVERAGE('26.07 Nateete-Ndeeba-24h'!F89,'27.07 Nateete-Ndeeba-24h'!F89)</f>
        <v>1.5</v>
      </c>
      <c r="G89" s="49">
        <f>AVERAGE('26.07 Nateete-Ndeeba-24h'!G89,'27.07 Nateete-Ndeeba-24h'!G89)</f>
        <v>0</v>
      </c>
      <c r="H89" s="49">
        <f>AVERAGE('26.07 Nateete-Ndeeba-24h'!H89,'27.07 Nateete-Ndeeba-24h'!H89)</f>
        <v>0</v>
      </c>
      <c r="I89" s="49">
        <f>AVERAGE('26.07 Nateete-Ndeeba-24h'!I89,'27.07 Nateete-Ndeeba-24h'!I89)</f>
        <v>2</v>
      </c>
      <c r="J89" s="49">
        <f>AVERAGE('26.07 Nateete-Ndeeba-24h'!J89,'27.07 Nateete-Ndeeba-24h'!J89)</f>
        <v>13</v>
      </c>
      <c r="K89" s="49">
        <f>AVERAGE('26.07 Nateete-Ndeeba-24h'!K89,'27.07 Nateete-Ndeeba-24h'!K89)</f>
        <v>2</v>
      </c>
      <c r="L89" s="49">
        <f>AVERAGE('26.07 Nateete-Ndeeba-24h'!L89,'27.07 Nateete-Ndeeba-24h'!L89)</f>
        <v>1</v>
      </c>
      <c r="M89" s="49">
        <f>AVERAGE('26.07 Nateete-Ndeeba-24h'!M89,'27.07 Nateete-Ndeeba-24h'!M89)</f>
        <v>54.5</v>
      </c>
      <c r="N89" s="49">
        <f>AVERAGE('26.07 Nateete-Ndeeba-24h'!N89,'27.07 Nateete-Ndeeba-24h'!N89)</f>
        <v>0</v>
      </c>
      <c r="O89" s="15">
        <f t="shared" si="36"/>
        <v>35.5</v>
      </c>
      <c r="P89" s="15">
        <f t="shared" si="37"/>
        <v>90</v>
      </c>
      <c r="R89" s="8"/>
      <c r="T89"/>
    </row>
    <row r="90" spans="2:20" ht="23.1" customHeight="1" x14ac:dyDescent="0.25">
      <c r="B90" s="24" t="s">
        <v>130</v>
      </c>
      <c r="C90" s="49">
        <f>AVERAGE('26.07 Nateete-Ndeeba-24h'!C90,'27.07 Nateete-Ndeeba-24h'!C90)</f>
        <v>13.5</v>
      </c>
      <c r="D90" s="49">
        <f>AVERAGE('26.07 Nateete-Ndeeba-24h'!D90,'27.07 Nateete-Ndeeba-24h'!D90)</f>
        <v>1.5</v>
      </c>
      <c r="E90" s="49">
        <f>AVERAGE('26.07 Nateete-Ndeeba-24h'!E90,'27.07 Nateete-Ndeeba-24h'!E90)</f>
        <v>0</v>
      </c>
      <c r="F90" s="49">
        <f>AVERAGE('26.07 Nateete-Ndeeba-24h'!F90,'27.07 Nateete-Ndeeba-24h'!F90)</f>
        <v>1.5</v>
      </c>
      <c r="G90" s="49">
        <f>AVERAGE('26.07 Nateete-Ndeeba-24h'!G90,'27.07 Nateete-Ndeeba-24h'!G90)</f>
        <v>0</v>
      </c>
      <c r="H90" s="49">
        <f>AVERAGE('26.07 Nateete-Ndeeba-24h'!H90,'27.07 Nateete-Ndeeba-24h'!H90)</f>
        <v>0</v>
      </c>
      <c r="I90" s="49">
        <f>AVERAGE('26.07 Nateete-Ndeeba-24h'!I90,'27.07 Nateete-Ndeeba-24h'!I90)</f>
        <v>4</v>
      </c>
      <c r="J90" s="49">
        <f>AVERAGE('26.07 Nateete-Ndeeba-24h'!J90,'27.07 Nateete-Ndeeba-24h'!J90)</f>
        <v>12.5</v>
      </c>
      <c r="K90" s="49">
        <f>AVERAGE('26.07 Nateete-Ndeeba-24h'!K90,'27.07 Nateete-Ndeeba-24h'!K90)</f>
        <v>0</v>
      </c>
      <c r="L90" s="49">
        <f>AVERAGE('26.07 Nateete-Ndeeba-24h'!L90,'27.07 Nateete-Ndeeba-24h'!L90)</f>
        <v>0.5</v>
      </c>
      <c r="M90" s="49">
        <f>AVERAGE('26.07 Nateete-Ndeeba-24h'!M90,'27.07 Nateete-Ndeeba-24h'!M90)</f>
        <v>47</v>
      </c>
      <c r="N90" s="49">
        <f>AVERAGE('26.07 Nateete-Ndeeba-24h'!N90,'27.07 Nateete-Ndeeba-24h'!N90)</f>
        <v>0</v>
      </c>
      <c r="O90" s="15">
        <f t="shared" si="36"/>
        <v>33.5</v>
      </c>
      <c r="P90" s="15">
        <f t="shared" si="37"/>
        <v>80.5</v>
      </c>
      <c r="R90" s="8"/>
      <c r="T90"/>
    </row>
    <row r="91" spans="2:20" ht="23.1" customHeight="1" x14ac:dyDescent="0.25">
      <c r="B91" s="23" t="s">
        <v>131</v>
      </c>
      <c r="C91" s="49">
        <f>AVERAGE('26.07 Nateete-Ndeeba-24h'!C91,'27.07 Nateete-Ndeeba-24h'!C91)</f>
        <v>9</v>
      </c>
      <c r="D91" s="49">
        <f>AVERAGE('26.07 Nateete-Ndeeba-24h'!D91,'27.07 Nateete-Ndeeba-24h'!D91)</f>
        <v>1</v>
      </c>
      <c r="E91" s="49">
        <f>AVERAGE('26.07 Nateete-Ndeeba-24h'!E91,'27.07 Nateete-Ndeeba-24h'!E91)</f>
        <v>1</v>
      </c>
      <c r="F91" s="49">
        <f>AVERAGE('26.07 Nateete-Ndeeba-24h'!F91,'27.07 Nateete-Ndeeba-24h'!F91)</f>
        <v>4.5</v>
      </c>
      <c r="G91" s="49">
        <f>AVERAGE('26.07 Nateete-Ndeeba-24h'!G91,'27.07 Nateete-Ndeeba-24h'!G91)</f>
        <v>1</v>
      </c>
      <c r="H91" s="49">
        <f>AVERAGE('26.07 Nateete-Ndeeba-24h'!H91,'27.07 Nateete-Ndeeba-24h'!H91)</f>
        <v>0.5</v>
      </c>
      <c r="I91" s="49">
        <f>AVERAGE('26.07 Nateete-Ndeeba-24h'!I91,'27.07 Nateete-Ndeeba-24h'!I91)</f>
        <v>2.5</v>
      </c>
      <c r="J91" s="49">
        <f>AVERAGE('26.07 Nateete-Ndeeba-24h'!J91,'27.07 Nateete-Ndeeba-24h'!J91)</f>
        <v>7.5</v>
      </c>
      <c r="K91" s="49">
        <f>AVERAGE('26.07 Nateete-Ndeeba-24h'!K91,'27.07 Nateete-Ndeeba-24h'!K91)</f>
        <v>2.5</v>
      </c>
      <c r="L91" s="49">
        <f>AVERAGE('26.07 Nateete-Ndeeba-24h'!L91,'27.07 Nateete-Ndeeba-24h'!L91)</f>
        <v>1</v>
      </c>
      <c r="M91" s="49">
        <f>AVERAGE('26.07 Nateete-Ndeeba-24h'!M91,'27.07 Nateete-Ndeeba-24h'!M91)</f>
        <v>41.5</v>
      </c>
      <c r="N91" s="49">
        <f>AVERAGE('26.07 Nateete-Ndeeba-24h'!N91,'27.07 Nateete-Ndeeba-24h'!N91)</f>
        <v>0</v>
      </c>
      <c r="O91" s="15">
        <f t="shared" si="36"/>
        <v>30.5</v>
      </c>
      <c r="P91" s="15">
        <f t="shared" si="37"/>
        <v>72</v>
      </c>
      <c r="R91" s="8"/>
      <c r="T91"/>
    </row>
    <row r="92" spans="2:20" ht="23.1" customHeight="1" x14ac:dyDescent="0.25">
      <c r="B92" s="25" t="s">
        <v>132</v>
      </c>
      <c r="C92" s="49">
        <f>AVERAGE('26.07 Nateete-Ndeeba-24h'!C92,'27.07 Nateete-Ndeeba-24h'!C92)</f>
        <v>13.5</v>
      </c>
      <c r="D92" s="49">
        <f>AVERAGE('26.07 Nateete-Ndeeba-24h'!D92,'27.07 Nateete-Ndeeba-24h'!D92)</f>
        <v>2.5</v>
      </c>
      <c r="E92" s="49">
        <f>AVERAGE('26.07 Nateete-Ndeeba-24h'!E92,'27.07 Nateete-Ndeeba-24h'!E92)</f>
        <v>1</v>
      </c>
      <c r="F92" s="49">
        <f>AVERAGE('26.07 Nateete-Ndeeba-24h'!F92,'27.07 Nateete-Ndeeba-24h'!F92)</f>
        <v>2</v>
      </c>
      <c r="G92" s="49">
        <f>AVERAGE('26.07 Nateete-Ndeeba-24h'!G92,'27.07 Nateete-Ndeeba-24h'!G92)</f>
        <v>1.5</v>
      </c>
      <c r="H92" s="49">
        <f>AVERAGE('26.07 Nateete-Ndeeba-24h'!H92,'27.07 Nateete-Ndeeba-24h'!H92)</f>
        <v>1</v>
      </c>
      <c r="I92" s="49">
        <f>AVERAGE('26.07 Nateete-Ndeeba-24h'!I92,'27.07 Nateete-Ndeeba-24h'!I92)</f>
        <v>4.5</v>
      </c>
      <c r="J92" s="49">
        <f>AVERAGE('26.07 Nateete-Ndeeba-24h'!J92,'27.07 Nateete-Ndeeba-24h'!J92)</f>
        <v>10</v>
      </c>
      <c r="K92" s="49">
        <f>AVERAGE('26.07 Nateete-Ndeeba-24h'!K92,'27.07 Nateete-Ndeeba-24h'!K92)</f>
        <v>1.5</v>
      </c>
      <c r="L92" s="49">
        <f>AVERAGE('26.07 Nateete-Ndeeba-24h'!L92,'27.07 Nateete-Ndeeba-24h'!L92)</f>
        <v>2</v>
      </c>
      <c r="M92" s="49">
        <f>AVERAGE('26.07 Nateete-Ndeeba-24h'!M92,'27.07 Nateete-Ndeeba-24h'!M92)</f>
        <v>51</v>
      </c>
      <c r="N92" s="49">
        <f>AVERAGE('26.07 Nateete-Ndeeba-24h'!N92,'27.07 Nateete-Ndeeba-24h'!N92)</f>
        <v>0</v>
      </c>
      <c r="O92" s="15">
        <f t="shared" si="36"/>
        <v>39.5</v>
      </c>
      <c r="P92" s="15">
        <f t="shared" si="37"/>
        <v>90.5</v>
      </c>
      <c r="R92" s="8"/>
      <c r="T92"/>
    </row>
    <row r="93" spans="2:20" ht="23.1" customHeight="1" x14ac:dyDescent="0.25">
      <c r="B93" s="23" t="s">
        <v>133</v>
      </c>
      <c r="C93" s="49">
        <f>AVERAGE('26.07 Nateete-Ndeeba-24h'!C93,'27.07 Nateete-Ndeeba-24h'!C93)</f>
        <v>22</v>
      </c>
      <c r="D93" s="49">
        <f>AVERAGE('26.07 Nateete-Ndeeba-24h'!D93,'27.07 Nateete-Ndeeba-24h'!D93)</f>
        <v>0.5</v>
      </c>
      <c r="E93" s="49">
        <f>AVERAGE('26.07 Nateete-Ndeeba-24h'!E93,'27.07 Nateete-Ndeeba-24h'!E93)</f>
        <v>2</v>
      </c>
      <c r="F93" s="49">
        <f>AVERAGE('26.07 Nateete-Ndeeba-24h'!F93,'27.07 Nateete-Ndeeba-24h'!F93)</f>
        <v>2.5</v>
      </c>
      <c r="G93" s="49">
        <f>AVERAGE('26.07 Nateete-Ndeeba-24h'!G93,'27.07 Nateete-Ndeeba-24h'!G93)</f>
        <v>0</v>
      </c>
      <c r="H93" s="49">
        <f>AVERAGE('26.07 Nateete-Ndeeba-24h'!H93,'27.07 Nateete-Ndeeba-24h'!H93)</f>
        <v>0</v>
      </c>
      <c r="I93" s="49">
        <f>AVERAGE('26.07 Nateete-Ndeeba-24h'!I93,'27.07 Nateete-Ndeeba-24h'!I93)</f>
        <v>5</v>
      </c>
      <c r="J93" s="49">
        <f>AVERAGE('26.07 Nateete-Ndeeba-24h'!J93,'27.07 Nateete-Ndeeba-24h'!J93)</f>
        <v>9.5</v>
      </c>
      <c r="K93" s="49">
        <f>AVERAGE('26.07 Nateete-Ndeeba-24h'!K93,'27.07 Nateete-Ndeeba-24h'!K93)</f>
        <v>2.5</v>
      </c>
      <c r="L93" s="49">
        <f>AVERAGE('26.07 Nateete-Ndeeba-24h'!L93,'27.07 Nateete-Ndeeba-24h'!L93)</f>
        <v>2</v>
      </c>
      <c r="M93" s="49">
        <f>AVERAGE('26.07 Nateete-Ndeeba-24h'!M93,'27.07 Nateete-Ndeeba-24h'!M93)</f>
        <v>41.5</v>
      </c>
      <c r="N93" s="49">
        <f>AVERAGE('26.07 Nateete-Ndeeba-24h'!N93,'27.07 Nateete-Ndeeba-24h'!N93)</f>
        <v>0</v>
      </c>
      <c r="O93" s="15">
        <f t="shared" si="36"/>
        <v>46</v>
      </c>
      <c r="P93" s="15">
        <f t="shared" si="37"/>
        <v>87.5</v>
      </c>
      <c r="R93" s="8"/>
      <c r="T93"/>
    </row>
    <row r="94" spans="2:20" ht="23.1" customHeight="1" x14ac:dyDescent="0.25">
      <c r="B94" s="24" t="s">
        <v>134</v>
      </c>
      <c r="C94" s="49">
        <f>AVERAGE('26.07 Nateete-Ndeeba-24h'!C94,'27.07 Nateete-Ndeeba-24h'!C94)</f>
        <v>6</v>
      </c>
      <c r="D94" s="49">
        <f>AVERAGE('26.07 Nateete-Ndeeba-24h'!D94,'27.07 Nateete-Ndeeba-24h'!D94)</f>
        <v>0.5</v>
      </c>
      <c r="E94" s="49">
        <f>AVERAGE('26.07 Nateete-Ndeeba-24h'!E94,'27.07 Nateete-Ndeeba-24h'!E94)</f>
        <v>0</v>
      </c>
      <c r="F94" s="49">
        <f>AVERAGE('26.07 Nateete-Ndeeba-24h'!F94,'27.07 Nateete-Ndeeba-24h'!F94)</f>
        <v>0</v>
      </c>
      <c r="G94" s="49">
        <f>AVERAGE('26.07 Nateete-Ndeeba-24h'!G94,'27.07 Nateete-Ndeeba-24h'!G94)</f>
        <v>0</v>
      </c>
      <c r="H94" s="49">
        <f>AVERAGE('26.07 Nateete-Ndeeba-24h'!H94,'27.07 Nateete-Ndeeba-24h'!H94)</f>
        <v>0.5</v>
      </c>
      <c r="I94" s="49">
        <f>AVERAGE('26.07 Nateete-Ndeeba-24h'!I94,'27.07 Nateete-Ndeeba-24h'!I94)</f>
        <v>2</v>
      </c>
      <c r="J94" s="49">
        <f>AVERAGE('26.07 Nateete-Ndeeba-24h'!J94,'27.07 Nateete-Ndeeba-24h'!J94)</f>
        <v>4</v>
      </c>
      <c r="K94" s="49">
        <f>AVERAGE('26.07 Nateete-Ndeeba-24h'!K94,'27.07 Nateete-Ndeeba-24h'!K94)</f>
        <v>1</v>
      </c>
      <c r="L94" s="49">
        <f>AVERAGE('26.07 Nateete-Ndeeba-24h'!L94,'27.07 Nateete-Ndeeba-24h'!L94)</f>
        <v>0.5</v>
      </c>
      <c r="M94" s="49">
        <f>AVERAGE('26.07 Nateete-Ndeeba-24h'!M94,'27.07 Nateete-Ndeeba-24h'!M94)</f>
        <v>29</v>
      </c>
      <c r="N94" s="49">
        <f>AVERAGE('26.07 Nateete-Ndeeba-24h'!N94,'27.07 Nateete-Ndeeba-24h'!N94)</f>
        <v>0</v>
      </c>
      <c r="O94" s="15">
        <f t="shared" si="36"/>
        <v>14.5</v>
      </c>
      <c r="P94" s="15">
        <f t="shared" si="37"/>
        <v>43.5</v>
      </c>
      <c r="R94" s="8"/>
      <c r="T94"/>
    </row>
    <row r="95" spans="2:20" ht="23.1" customHeight="1" x14ac:dyDescent="0.25">
      <c r="B95" s="23" t="s">
        <v>135</v>
      </c>
      <c r="C95" s="49">
        <f>AVERAGE('26.07 Nateete-Ndeeba-24h'!C95,'27.07 Nateete-Ndeeba-24h'!C95)</f>
        <v>6.5</v>
      </c>
      <c r="D95" s="49">
        <f>AVERAGE('26.07 Nateete-Ndeeba-24h'!D95,'27.07 Nateete-Ndeeba-24h'!D95)</f>
        <v>0</v>
      </c>
      <c r="E95" s="49">
        <f>AVERAGE('26.07 Nateete-Ndeeba-24h'!E95,'27.07 Nateete-Ndeeba-24h'!E95)</f>
        <v>1</v>
      </c>
      <c r="F95" s="49">
        <f>AVERAGE('26.07 Nateete-Ndeeba-24h'!F95,'27.07 Nateete-Ndeeba-24h'!F95)</f>
        <v>0.5</v>
      </c>
      <c r="G95" s="49">
        <f>AVERAGE('26.07 Nateete-Ndeeba-24h'!G95,'27.07 Nateete-Ndeeba-24h'!G95)</f>
        <v>0</v>
      </c>
      <c r="H95" s="49">
        <f>AVERAGE('26.07 Nateete-Ndeeba-24h'!H95,'27.07 Nateete-Ndeeba-24h'!H95)</f>
        <v>0</v>
      </c>
      <c r="I95" s="49">
        <f>AVERAGE('26.07 Nateete-Ndeeba-24h'!I95,'27.07 Nateete-Ndeeba-24h'!I95)</f>
        <v>3.5</v>
      </c>
      <c r="J95" s="49">
        <f>AVERAGE('26.07 Nateete-Ndeeba-24h'!J95,'27.07 Nateete-Ndeeba-24h'!J95)</f>
        <v>8.5</v>
      </c>
      <c r="K95" s="49">
        <f>AVERAGE('26.07 Nateete-Ndeeba-24h'!K95,'27.07 Nateete-Ndeeba-24h'!K95)</f>
        <v>0.5</v>
      </c>
      <c r="L95" s="49">
        <f>AVERAGE('26.07 Nateete-Ndeeba-24h'!L95,'27.07 Nateete-Ndeeba-24h'!L95)</f>
        <v>1</v>
      </c>
      <c r="M95" s="49">
        <f>AVERAGE('26.07 Nateete-Ndeeba-24h'!M95,'27.07 Nateete-Ndeeba-24h'!M95)</f>
        <v>27.5</v>
      </c>
      <c r="N95" s="49">
        <f>AVERAGE('26.07 Nateete-Ndeeba-24h'!N95,'27.07 Nateete-Ndeeba-24h'!N95)</f>
        <v>0</v>
      </c>
      <c r="O95" s="15">
        <f t="shared" si="36"/>
        <v>21.5</v>
      </c>
      <c r="P95" s="15">
        <f t="shared" si="37"/>
        <v>49</v>
      </c>
      <c r="R95" s="8"/>
      <c r="T95"/>
    </row>
    <row r="96" spans="2:20" ht="23.1" customHeight="1" x14ac:dyDescent="0.25">
      <c r="B96" s="25" t="s">
        <v>136</v>
      </c>
      <c r="C96" s="49">
        <f>AVERAGE('26.07 Nateete-Ndeeba-24h'!C96,'27.07 Nateete-Ndeeba-24h'!C96)</f>
        <v>5.5</v>
      </c>
      <c r="D96" s="49">
        <f>AVERAGE('26.07 Nateete-Ndeeba-24h'!D96,'27.07 Nateete-Ndeeba-24h'!D96)</f>
        <v>1</v>
      </c>
      <c r="E96" s="49">
        <f>AVERAGE('26.07 Nateete-Ndeeba-24h'!E96,'27.07 Nateete-Ndeeba-24h'!E96)</f>
        <v>0.5</v>
      </c>
      <c r="F96" s="49">
        <f>AVERAGE('26.07 Nateete-Ndeeba-24h'!F96,'27.07 Nateete-Ndeeba-24h'!F96)</f>
        <v>2.5</v>
      </c>
      <c r="G96" s="49">
        <f>AVERAGE('26.07 Nateete-Ndeeba-24h'!G96,'27.07 Nateete-Ndeeba-24h'!G96)</f>
        <v>0</v>
      </c>
      <c r="H96" s="49">
        <f>AVERAGE('26.07 Nateete-Ndeeba-24h'!H96,'27.07 Nateete-Ndeeba-24h'!H96)</f>
        <v>2</v>
      </c>
      <c r="I96" s="49">
        <f>AVERAGE('26.07 Nateete-Ndeeba-24h'!I96,'27.07 Nateete-Ndeeba-24h'!I96)</f>
        <v>1</v>
      </c>
      <c r="J96" s="49">
        <f>AVERAGE('26.07 Nateete-Ndeeba-24h'!J96,'27.07 Nateete-Ndeeba-24h'!J96)</f>
        <v>9.5</v>
      </c>
      <c r="K96" s="49">
        <f>AVERAGE('26.07 Nateete-Ndeeba-24h'!K96,'27.07 Nateete-Ndeeba-24h'!K96)</f>
        <v>1</v>
      </c>
      <c r="L96" s="49">
        <f>AVERAGE('26.07 Nateete-Ndeeba-24h'!L96,'27.07 Nateete-Ndeeba-24h'!L96)</f>
        <v>1</v>
      </c>
      <c r="M96" s="49">
        <f>AVERAGE('26.07 Nateete-Ndeeba-24h'!M96,'27.07 Nateete-Ndeeba-24h'!M96)</f>
        <v>32</v>
      </c>
      <c r="N96" s="49">
        <f>AVERAGE('26.07 Nateete-Ndeeba-24h'!N96,'27.07 Nateete-Ndeeba-24h'!N96)</f>
        <v>0</v>
      </c>
      <c r="O96" s="15">
        <f t="shared" si="36"/>
        <v>24</v>
      </c>
      <c r="P96" s="15">
        <f t="shared" si="37"/>
        <v>56</v>
      </c>
      <c r="R96" s="8"/>
      <c r="T96"/>
    </row>
    <row r="97" spans="2:20" ht="23.1" customHeight="1" x14ac:dyDescent="0.25">
      <c r="B97" s="23" t="s">
        <v>137</v>
      </c>
      <c r="C97" s="49">
        <f>AVERAGE('26.07 Nateete-Ndeeba-24h'!C97,'27.07 Nateete-Ndeeba-24h'!C97)</f>
        <v>7.5</v>
      </c>
      <c r="D97" s="49">
        <f>AVERAGE('26.07 Nateete-Ndeeba-24h'!D97,'27.07 Nateete-Ndeeba-24h'!D97)</f>
        <v>0.5</v>
      </c>
      <c r="E97" s="49">
        <f>AVERAGE('26.07 Nateete-Ndeeba-24h'!E97,'27.07 Nateete-Ndeeba-24h'!E97)</f>
        <v>1</v>
      </c>
      <c r="F97" s="49">
        <f>AVERAGE('26.07 Nateete-Ndeeba-24h'!F97,'27.07 Nateete-Ndeeba-24h'!F97)</f>
        <v>4</v>
      </c>
      <c r="G97" s="49">
        <f>AVERAGE('26.07 Nateete-Ndeeba-24h'!G97,'27.07 Nateete-Ndeeba-24h'!G97)</f>
        <v>0.5</v>
      </c>
      <c r="H97" s="49">
        <f>AVERAGE('26.07 Nateete-Ndeeba-24h'!H97,'27.07 Nateete-Ndeeba-24h'!H97)</f>
        <v>0</v>
      </c>
      <c r="I97" s="49">
        <f>AVERAGE('26.07 Nateete-Ndeeba-24h'!I97,'27.07 Nateete-Ndeeba-24h'!I97)</f>
        <v>3.5</v>
      </c>
      <c r="J97" s="49">
        <f>AVERAGE('26.07 Nateete-Ndeeba-24h'!J97,'27.07 Nateete-Ndeeba-24h'!J97)</f>
        <v>10</v>
      </c>
      <c r="K97" s="49">
        <f>AVERAGE('26.07 Nateete-Ndeeba-24h'!K97,'27.07 Nateete-Ndeeba-24h'!K97)</f>
        <v>1.5</v>
      </c>
      <c r="L97" s="49">
        <f>AVERAGE('26.07 Nateete-Ndeeba-24h'!L97,'27.07 Nateete-Ndeeba-24h'!L97)</f>
        <v>2</v>
      </c>
      <c r="M97" s="49">
        <f>AVERAGE('26.07 Nateete-Ndeeba-24h'!M97,'27.07 Nateete-Ndeeba-24h'!M97)</f>
        <v>44</v>
      </c>
      <c r="N97" s="49">
        <f>AVERAGE('26.07 Nateete-Ndeeba-24h'!N97,'27.07 Nateete-Ndeeba-24h'!N97)</f>
        <v>0</v>
      </c>
      <c r="O97" s="15">
        <f t="shared" si="36"/>
        <v>30.5</v>
      </c>
      <c r="P97" s="15">
        <f t="shared" si="37"/>
        <v>74.5</v>
      </c>
      <c r="R97" s="8"/>
      <c r="T97"/>
    </row>
    <row r="98" spans="2:20" ht="23.1" customHeight="1" x14ac:dyDescent="0.25">
      <c r="B98" s="24" t="s">
        <v>138</v>
      </c>
      <c r="C98" s="49">
        <f>AVERAGE('26.07 Nateete-Ndeeba-24h'!C98,'27.07 Nateete-Ndeeba-24h'!C98)</f>
        <v>19</v>
      </c>
      <c r="D98" s="49">
        <f>AVERAGE('26.07 Nateete-Ndeeba-24h'!D98,'27.07 Nateete-Ndeeba-24h'!D98)</f>
        <v>1.5</v>
      </c>
      <c r="E98" s="49">
        <f>AVERAGE('26.07 Nateete-Ndeeba-24h'!E98,'27.07 Nateete-Ndeeba-24h'!E98)</f>
        <v>2.5</v>
      </c>
      <c r="F98" s="49">
        <f>AVERAGE('26.07 Nateete-Ndeeba-24h'!F98,'27.07 Nateete-Ndeeba-24h'!F98)</f>
        <v>10</v>
      </c>
      <c r="G98" s="49">
        <f>AVERAGE('26.07 Nateete-Ndeeba-24h'!G98,'27.07 Nateete-Ndeeba-24h'!G98)</f>
        <v>0</v>
      </c>
      <c r="H98" s="49">
        <f>AVERAGE('26.07 Nateete-Ndeeba-24h'!H98,'27.07 Nateete-Ndeeba-24h'!H98)</f>
        <v>1</v>
      </c>
      <c r="I98" s="49">
        <f>AVERAGE('26.07 Nateete-Ndeeba-24h'!I98,'27.07 Nateete-Ndeeba-24h'!I98)</f>
        <v>2</v>
      </c>
      <c r="J98" s="49">
        <f>AVERAGE('26.07 Nateete-Ndeeba-24h'!J98,'27.07 Nateete-Ndeeba-24h'!J98)</f>
        <v>8</v>
      </c>
      <c r="K98" s="49">
        <f>AVERAGE('26.07 Nateete-Ndeeba-24h'!K98,'27.07 Nateete-Ndeeba-24h'!K98)</f>
        <v>3.5</v>
      </c>
      <c r="L98" s="49">
        <f>AVERAGE('26.07 Nateete-Ndeeba-24h'!L98,'27.07 Nateete-Ndeeba-24h'!L98)</f>
        <v>2.5</v>
      </c>
      <c r="M98" s="49">
        <f>AVERAGE('26.07 Nateete-Ndeeba-24h'!M98,'27.07 Nateete-Ndeeba-24h'!M98)</f>
        <v>39.5</v>
      </c>
      <c r="N98" s="49">
        <f>AVERAGE('26.07 Nateete-Ndeeba-24h'!N98,'27.07 Nateete-Ndeeba-24h'!N98)</f>
        <v>0</v>
      </c>
      <c r="O98" s="15">
        <f t="shared" si="36"/>
        <v>50</v>
      </c>
      <c r="P98" s="15">
        <f t="shared" si="37"/>
        <v>89.5</v>
      </c>
      <c r="R98" s="8"/>
      <c r="T98"/>
    </row>
    <row r="99" spans="2:20" ht="23.1" customHeight="1" x14ac:dyDescent="0.25">
      <c r="B99" s="23" t="s">
        <v>139</v>
      </c>
      <c r="C99" s="49">
        <f>AVERAGE('26.07 Nateete-Ndeeba-24h'!C99,'27.07 Nateete-Ndeeba-24h'!C99)</f>
        <v>28.5</v>
      </c>
      <c r="D99" s="49">
        <f>AVERAGE('26.07 Nateete-Ndeeba-24h'!D99,'27.07 Nateete-Ndeeba-24h'!D99)</f>
        <v>2</v>
      </c>
      <c r="E99" s="49">
        <f>AVERAGE('26.07 Nateete-Ndeeba-24h'!E99,'27.07 Nateete-Ndeeba-24h'!E99)</f>
        <v>2</v>
      </c>
      <c r="F99" s="49">
        <f>AVERAGE('26.07 Nateete-Ndeeba-24h'!F99,'27.07 Nateete-Ndeeba-24h'!F99)</f>
        <v>11</v>
      </c>
      <c r="G99" s="49">
        <f>AVERAGE('26.07 Nateete-Ndeeba-24h'!G99,'27.07 Nateete-Ndeeba-24h'!G99)</f>
        <v>2</v>
      </c>
      <c r="H99" s="49">
        <f>AVERAGE('26.07 Nateete-Ndeeba-24h'!H99,'27.07 Nateete-Ndeeba-24h'!H99)</f>
        <v>2.5</v>
      </c>
      <c r="I99" s="49">
        <f>AVERAGE('26.07 Nateete-Ndeeba-24h'!I99,'27.07 Nateete-Ndeeba-24h'!I99)</f>
        <v>4</v>
      </c>
      <c r="J99" s="49">
        <f>AVERAGE('26.07 Nateete-Ndeeba-24h'!J99,'27.07 Nateete-Ndeeba-24h'!J99)</f>
        <v>8</v>
      </c>
      <c r="K99" s="49">
        <f>AVERAGE('26.07 Nateete-Ndeeba-24h'!K99,'27.07 Nateete-Ndeeba-24h'!K99)</f>
        <v>4.5</v>
      </c>
      <c r="L99" s="49">
        <f>AVERAGE('26.07 Nateete-Ndeeba-24h'!L99,'27.07 Nateete-Ndeeba-24h'!L99)</f>
        <v>2.5</v>
      </c>
      <c r="M99" s="49">
        <f>AVERAGE('26.07 Nateete-Ndeeba-24h'!M99,'27.07 Nateete-Ndeeba-24h'!M99)</f>
        <v>47.5</v>
      </c>
      <c r="N99" s="49">
        <f>AVERAGE('26.07 Nateete-Ndeeba-24h'!N99,'27.07 Nateete-Ndeeba-24h'!N99)</f>
        <v>0</v>
      </c>
      <c r="O99" s="15">
        <f t="shared" si="36"/>
        <v>67</v>
      </c>
      <c r="P99" s="15">
        <f t="shared" si="37"/>
        <v>114.5</v>
      </c>
      <c r="R99" s="8"/>
      <c r="T99"/>
    </row>
    <row r="100" spans="2:20" ht="23.1" customHeight="1" x14ac:dyDescent="0.25">
      <c r="B100" s="25" t="s">
        <v>140</v>
      </c>
      <c r="C100" s="49">
        <f>AVERAGE('26.07 Nateete-Ndeeba-24h'!C100,'27.07 Nateete-Ndeeba-24h'!C100)</f>
        <v>15.5</v>
      </c>
      <c r="D100" s="49">
        <f>AVERAGE('26.07 Nateete-Ndeeba-24h'!D100,'27.07 Nateete-Ndeeba-24h'!D100)</f>
        <v>0.5</v>
      </c>
      <c r="E100" s="49">
        <f>AVERAGE('26.07 Nateete-Ndeeba-24h'!E100,'27.07 Nateete-Ndeeba-24h'!E100)</f>
        <v>3</v>
      </c>
      <c r="F100" s="49">
        <f>AVERAGE('26.07 Nateete-Ndeeba-24h'!F100,'27.07 Nateete-Ndeeba-24h'!F100)</f>
        <v>12</v>
      </c>
      <c r="G100" s="49">
        <f>AVERAGE('26.07 Nateete-Ndeeba-24h'!G100,'27.07 Nateete-Ndeeba-24h'!G100)</f>
        <v>1</v>
      </c>
      <c r="H100" s="49">
        <f>AVERAGE('26.07 Nateete-Ndeeba-24h'!H100,'27.07 Nateete-Ndeeba-24h'!H100)</f>
        <v>0.5</v>
      </c>
      <c r="I100" s="49">
        <f>AVERAGE('26.07 Nateete-Ndeeba-24h'!I100,'27.07 Nateete-Ndeeba-24h'!I100)</f>
        <v>2.5</v>
      </c>
      <c r="J100" s="49">
        <f>AVERAGE('26.07 Nateete-Ndeeba-24h'!J100,'27.07 Nateete-Ndeeba-24h'!J100)</f>
        <v>6.5</v>
      </c>
      <c r="K100" s="49">
        <f>AVERAGE('26.07 Nateete-Ndeeba-24h'!K100,'27.07 Nateete-Ndeeba-24h'!K100)</f>
        <v>3</v>
      </c>
      <c r="L100" s="49">
        <f>AVERAGE('26.07 Nateete-Ndeeba-24h'!L100,'27.07 Nateete-Ndeeba-24h'!L100)</f>
        <v>1.5</v>
      </c>
      <c r="M100" s="49">
        <f>AVERAGE('26.07 Nateete-Ndeeba-24h'!M100,'27.07 Nateete-Ndeeba-24h'!M100)</f>
        <v>62.5</v>
      </c>
      <c r="N100" s="49">
        <f>AVERAGE('26.07 Nateete-Ndeeba-24h'!N100,'27.07 Nateete-Ndeeba-24h'!N100)</f>
        <v>0</v>
      </c>
      <c r="O100" s="15">
        <f t="shared" si="36"/>
        <v>46</v>
      </c>
      <c r="P100" s="15">
        <f t="shared" si="37"/>
        <v>108.5</v>
      </c>
      <c r="R100" s="8"/>
      <c r="T100"/>
    </row>
    <row r="101" spans="2:20" ht="23.1" customHeight="1" x14ac:dyDescent="0.25">
      <c r="B101" s="23" t="s">
        <v>141</v>
      </c>
      <c r="C101" s="49">
        <f>AVERAGE('26.07 Nateete-Ndeeba-24h'!C101,'27.07 Nateete-Ndeeba-24h'!C101)</f>
        <v>15.5</v>
      </c>
      <c r="D101" s="49">
        <f>AVERAGE('26.07 Nateete-Ndeeba-24h'!D101,'27.07 Nateete-Ndeeba-24h'!D101)</f>
        <v>2</v>
      </c>
      <c r="E101" s="49">
        <f>AVERAGE('26.07 Nateete-Ndeeba-24h'!E101,'27.07 Nateete-Ndeeba-24h'!E101)</f>
        <v>2</v>
      </c>
      <c r="F101" s="49">
        <f>AVERAGE('26.07 Nateete-Ndeeba-24h'!F101,'27.07 Nateete-Ndeeba-24h'!F101)</f>
        <v>14</v>
      </c>
      <c r="G101" s="49">
        <f>AVERAGE('26.07 Nateete-Ndeeba-24h'!G101,'27.07 Nateete-Ndeeba-24h'!G101)</f>
        <v>2</v>
      </c>
      <c r="H101" s="49">
        <f>AVERAGE('26.07 Nateete-Ndeeba-24h'!H101,'27.07 Nateete-Ndeeba-24h'!H101)</f>
        <v>1.5</v>
      </c>
      <c r="I101" s="49">
        <f>AVERAGE('26.07 Nateete-Ndeeba-24h'!I101,'27.07 Nateete-Ndeeba-24h'!I101)</f>
        <v>2.5</v>
      </c>
      <c r="J101" s="49">
        <f>AVERAGE('26.07 Nateete-Ndeeba-24h'!J101,'27.07 Nateete-Ndeeba-24h'!J101)</f>
        <v>10</v>
      </c>
      <c r="K101" s="49">
        <f>AVERAGE('26.07 Nateete-Ndeeba-24h'!K101,'27.07 Nateete-Ndeeba-24h'!K101)</f>
        <v>2</v>
      </c>
      <c r="L101" s="49">
        <f>AVERAGE('26.07 Nateete-Ndeeba-24h'!L101,'27.07 Nateete-Ndeeba-24h'!L101)</f>
        <v>1.5</v>
      </c>
      <c r="M101" s="49">
        <f>AVERAGE('26.07 Nateete-Ndeeba-24h'!M101,'27.07 Nateete-Ndeeba-24h'!M101)</f>
        <v>84</v>
      </c>
      <c r="N101" s="49">
        <f>AVERAGE('26.07 Nateete-Ndeeba-24h'!N101,'27.07 Nateete-Ndeeba-24h'!N101)</f>
        <v>0</v>
      </c>
      <c r="O101" s="15">
        <f t="shared" si="36"/>
        <v>53</v>
      </c>
      <c r="P101" s="15">
        <f t="shared" si="37"/>
        <v>137</v>
      </c>
      <c r="R101" s="8"/>
      <c r="T101"/>
    </row>
    <row r="102" spans="2:20" ht="23.1" customHeight="1" x14ac:dyDescent="0.25">
      <c r="B102" s="24" t="s">
        <v>142</v>
      </c>
      <c r="C102" s="49">
        <f>AVERAGE('26.07 Nateete-Ndeeba-24h'!C102,'27.07 Nateete-Ndeeba-24h'!C102)</f>
        <v>9</v>
      </c>
      <c r="D102" s="49">
        <f>AVERAGE('26.07 Nateete-Ndeeba-24h'!D102,'27.07 Nateete-Ndeeba-24h'!D102)</f>
        <v>1.5</v>
      </c>
      <c r="E102" s="49">
        <f>AVERAGE('26.07 Nateete-Ndeeba-24h'!E102,'27.07 Nateete-Ndeeba-24h'!E102)</f>
        <v>1.5</v>
      </c>
      <c r="F102" s="49">
        <f>AVERAGE('26.07 Nateete-Ndeeba-24h'!F102,'27.07 Nateete-Ndeeba-24h'!F102)</f>
        <v>14.5</v>
      </c>
      <c r="G102" s="49">
        <f>AVERAGE('26.07 Nateete-Ndeeba-24h'!G102,'27.07 Nateete-Ndeeba-24h'!G102)</f>
        <v>2.5</v>
      </c>
      <c r="H102" s="49">
        <f>AVERAGE('26.07 Nateete-Ndeeba-24h'!H102,'27.07 Nateete-Ndeeba-24h'!H102)</f>
        <v>0.5</v>
      </c>
      <c r="I102" s="49">
        <f>AVERAGE('26.07 Nateete-Ndeeba-24h'!I102,'27.07 Nateete-Ndeeba-24h'!I102)</f>
        <v>3</v>
      </c>
      <c r="J102" s="49">
        <f>AVERAGE('26.07 Nateete-Ndeeba-24h'!J102,'27.07 Nateete-Ndeeba-24h'!J102)</f>
        <v>11</v>
      </c>
      <c r="K102" s="49">
        <f>AVERAGE('26.07 Nateete-Ndeeba-24h'!K102,'27.07 Nateete-Ndeeba-24h'!K102)</f>
        <v>4</v>
      </c>
      <c r="L102" s="49">
        <f>AVERAGE('26.07 Nateete-Ndeeba-24h'!L102,'27.07 Nateete-Ndeeba-24h'!L102)</f>
        <v>1</v>
      </c>
      <c r="M102" s="49">
        <f>AVERAGE('26.07 Nateete-Ndeeba-24h'!M102,'27.07 Nateete-Ndeeba-24h'!M102)</f>
        <v>81</v>
      </c>
      <c r="N102" s="49">
        <f>AVERAGE('26.07 Nateete-Ndeeba-24h'!N102,'27.07 Nateete-Ndeeba-24h'!N102)</f>
        <v>0</v>
      </c>
      <c r="O102" s="15">
        <f t="shared" si="36"/>
        <v>48.5</v>
      </c>
      <c r="P102" s="15">
        <f t="shared" si="37"/>
        <v>129.5</v>
      </c>
      <c r="R102" s="8"/>
      <c r="T102"/>
    </row>
    <row r="103" spans="2:20" ht="23.1" customHeight="1" x14ac:dyDescent="0.25">
      <c r="B103" s="23" t="s">
        <v>143</v>
      </c>
      <c r="C103" s="49">
        <f>AVERAGE('26.07 Nateete-Ndeeba-24h'!C103,'27.07 Nateete-Ndeeba-24h'!C103)</f>
        <v>12.5</v>
      </c>
      <c r="D103" s="49">
        <f>AVERAGE('26.07 Nateete-Ndeeba-24h'!D103,'27.07 Nateete-Ndeeba-24h'!D103)</f>
        <v>2</v>
      </c>
      <c r="E103" s="49">
        <f>AVERAGE('26.07 Nateete-Ndeeba-24h'!E103,'27.07 Nateete-Ndeeba-24h'!E103)</f>
        <v>2</v>
      </c>
      <c r="F103" s="49">
        <f>AVERAGE('26.07 Nateete-Ndeeba-24h'!F103,'27.07 Nateete-Ndeeba-24h'!F103)</f>
        <v>16</v>
      </c>
      <c r="G103" s="49">
        <f>AVERAGE('26.07 Nateete-Ndeeba-24h'!G103,'27.07 Nateete-Ndeeba-24h'!G103)</f>
        <v>1.5</v>
      </c>
      <c r="H103" s="49">
        <f>AVERAGE('26.07 Nateete-Ndeeba-24h'!H103,'27.07 Nateete-Ndeeba-24h'!H103)</f>
        <v>0</v>
      </c>
      <c r="I103" s="49">
        <f>AVERAGE('26.07 Nateete-Ndeeba-24h'!I103,'27.07 Nateete-Ndeeba-24h'!I103)</f>
        <v>6.5</v>
      </c>
      <c r="J103" s="49">
        <f>AVERAGE('26.07 Nateete-Ndeeba-24h'!J103,'27.07 Nateete-Ndeeba-24h'!J103)</f>
        <v>12</v>
      </c>
      <c r="K103" s="49">
        <f>AVERAGE('26.07 Nateete-Ndeeba-24h'!K103,'27.07 Nateete-Ndeeba-24h'!K103)</f>
        <v>3</v>
      </c>
      <c r="L103" s="49">
        <f>AVERAGE('26.07 Nateete-Ndeeba-24h'!L103,'27.07 Nateete-Ndeeba-24h'!L103)</f>
        <v>2</v>
      </c>
      <c r="M103" s="49">
        <f>AVERAGE('26.07 Nateete-Ndeeba-24h'!M103,'27.07 Nateete-Ndeeba-24h'!M103)</f>
        <v>85</v>
      </c>
      <c r="N103" s="49">
        <f>AVERAGE('26.07 Nateete-Ndeeba-24h'!N103,'27.07 Nateete-Ndeeba-24h'!N103)</f>
        <v>0</v>
      </c>
      <c r="O103" s="15">
        <f t="shared" si="36"/>
        <v>57.5</v>
      </c>
      <c r="P103" s="15">
        <f t="shared" si="37"/>
        <v>142.5</v>
      </c>
      <c r="R103" s="8"/>
      <c r="T103"/>
    </row>
    <row r="104" spans="2:20" ht="23.1" customHeight="1" x14ac:dyDescent="0.25">
      <c r="B104" s="25" t="s">
        <v>144</v>
      </c>
      <c r="C104" s="49">
        <f>AVERAGE('26.07 Nateete-Ndeeba-24h'!C104,'27.07 Nateete-Ndeeba-24h'!C104)</f>
        <v>17</v>
      </c>
      <c r="D104" s="49">
        <f>AVERAGE('26.07 Nateete-Ndeeba-24h'!D104,'27.07 Nateete-Ndeeba-24h'!D104)</f>
        <v>2.5</v>
      </c>
      <c r="E104" s="49">
        <f>AVERAGE('26.07 Nateete-Ndeeba-24h'!E104,'27.07 Nateete-Ndeeba-24h'!E104)</f>
        <v>7</v>
      </c>
      <c r="F104" s="49">
        <f>AVERAGE('26.07 Nateete-Ndeeba-24h'!F104,'27.07 Nateete-Ndeeba-24h'!F104)</f>
        <v>19.5</v>
      </c>
      <c r="G104" s="49">
        <f>AVERAGE('26.07 Nateete-Ndeeba-24h'!G104,'27.07 Nateete-Ndeeba-24h'!G104)</f>
        <v>1</v>
      </c>
      <c r="H104" s="49">
        <f>AVERAGE('26.07 Nateete-Ndeeba-24h'!H104,'27.07 Nateete-Ndeeba-24h'!H104)</f>
        <v>0</v>
      </c>
      <c r="I104" s="49">
        <f>AVERAGE('26.07 Nateete-Ndeeba-24h'!I104,'27.07 Nateete-Ndeeba-24h'!I104)</f>
        <v>7</v>
      </c>
      <c r="J104" s="49">
        <f>AVERAGE('26.07 Nateete-Ndeeba-24h'!J104,'27.07 Nateete-Ndeeba-24h'!J104)</f>
        <v>9</v>
      </c>
      <c r="K104" s="49">
        <f>AVERAGE('26.07 Nateete-Ndeeba-24h'!K104,'27.07 Nateete-Ndeeba-24h'!K104)</f>
        <v>2</v>
      </c>
      <c r="L104" s="49">
        <f>AVERAGE('26.07 Nateete-Ndeeba-24h'!L104,'27.07 Nateete-Ndeeba-24h'!L104)</f>
        <v>0</v>
      </c>
      <c r="M104" s="49">
        <f>AVERAGE('26.07 Nateete-Ndeeba-24h'!M104,'27.07 Nateete-Ndeeba-24h'!M104)</f>
        <v>91.5</v>
      </c>
      <c r="N104" s="49">
        <f>AVERAGE('26.07 Nateete-Ndeeba-24h'!N104,'27.07 Nateete-Ndeeba-24h'!N104)</f>
        <v>0</v>
      </c>
      <c r="O104" s="15">
        <f t="shared" si="36"/>
        <v>65</v>
      </c>
      <c r="P104" s="15">
        <f t="shared" si="37"/>
        <v>156.5</v>
      </c>
      <c r="R104" s="8"/>
      <c r="T104"/>
    </row>
    <row r="105" spans="2:20" ht="23.1" customHeight="1" x14ac:dyDescent="0.25">
      <c r="B105" s="23" t="s">
        <v>145</v>
      </c>
      <c r="C105" s="49">
        <f>AVERAGE('26.07 Nateete-Ndeeba-24h'!C105,'27.07 Nateete-Ndeeba-24h'!C105)</f>
        <v>20.5</v>
      </c>
      <c r="D105" s="49">
        <f>AVERAGE('26.07 Nateete-Ndeeba-24h'!D105,'27.07 Nateete-Ndeeba-24h'!D105)</f>
        <v>4</v>
      </c>
      <c r="E105" s="49">
        <f>AVERAGE('26.07 Nateete-Ndeeba-24h'!E105,'27.07 Nateete-Ndeeba-24h'!E105)</f>
        <v>6</v>
      </c>
      <c r="F105" s="49">
        <f>AVERAGE('26.07 Nateete-Ndeeba-24h'!F105,'27.07 Nateete-Ndeeba-24h'!F105)</f>
        <v>30.5</v>
      </c>
      <c r="G105" s="49">
        <f>AVERAGE('26.07 Nateete-Ndeeba-24h'!G105,'27.07 Nateete-Ndeeba-24h'!G105)</f>
        <v>0</v>
      </c>
      <c r="H105" s="49">
        <f>AVERAGE('26.07 Nateete-Ndeeba-24h'!H105,'27.07 Nateete-Ndeeba-24h'!H105)</f>
        <v>0.5</v>
      </c>
      <c r="I105" s="49">
        <f>AVERAGE('26.07 Nateete-Ndeeba-24h'!I105,'27.07 Nateete-Ndeeba-24h'!I105)</f>
        <v>6</v>
      </c>
      <c r="J105" s="49">
        <f>AVERAGE('26.07 Nateete-Ndeeba-24h'!J105,'27.07 Nateete-Ndeeba-24h'!J105)</f>
        <v>12</v>
      </c>
      <c r="K105" s="49">
        <f>AVERAGE('26.07 Nateete-Ndeeba-24h'!K105,'27.07 Nateete-Ndeeba-24h'!K105)</f>
        <v>2</v>
      </c>
      <c r="L105" s="49">
        <f>AVERAGE('26.07 Nateete-Ndeeba-24h'!L105,'27.07 Nateete-Ndeeba-24h'!L105)</f>
        <v>1.5</v>
      </c>
      <c r="M105" s="49">
        <f>AVERAGE('26.07 Nateete-Ndeeba-24h'!M105,'27.07 Nateete-Ndeeba-24h'!M105)</f>
        <v>116</v>
      </c>
      <c r="N105" s="49">
        <f>AVERAGE('26.07 Nateete-Ndeeba-24h'!N105,'27.07 Nateete-Ndeeba-24h'!N105)</f>
        <v>0</v>
      </c>
      <c r="O105" s="15">
        <f>SUM(C105:L105,N105)</f>
        <v>83</v>
      </c>
      <c r="P105" s="15">
        <f>SUM(C105:N105)</f>
        <v>199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3064.0714285714284</v>
      </c>
      <c r="D106" s="16">
        <f t="shared" ref="D106:N106" si="38">SUM(D10:D105)</f>
        <v>440.42857142857139</v>
      </c>
      <c r="E106" s="16">
        <f t="shared" si="38"/>
        <v>335.92857142857144</v>
      </c>
      <c r="F106" s="16">
        <f t="shared" si="38"/>
        <v>2224.5714285714284</v>
      </c>
      <c r="G106" s="16">
        <f t="shared" si="38"/>
        <v>58.285714285714292</v>
      </c>
      <c r="H106" s="16">
        <f t="shared" si="38"/>
        <v>79.285714285714292</v>
      </c>
      <c r="I106" s="16">
        <f t="shared" si="38"/>
        <v>516.21428571428578</v>
      </c>
      <c r="J106" s="16">
        <f t="shared" si="38"/>
        <v>862.85714285714278</v>
      </c>
      <c r="K106" s="16">
        <f t="shared" si="38"/>
        <v>189.07142857142858</v>
      </c>
      <c r="L106" s="16">
        <f t="shared" si="38"/>
        <v>99.571428571428584</v>
      </c>
      <c r="M106" s="16">
        <f t="shared" si="38"/>
        <v>12951.928571428569</v>
      </c>
      <c r="N106" s="16">
        <f t="shared" si="38"/>
        <v>1.2142857142857142</v>
      </c>
      <c r="O106" s="16">
        <f>SUM(O10:O57)</f>
        <v>4888.9999999999991</v>
      </c>
      <c r="P106" s="16">
        <f>SUM(P10:P57)</f>
        <v>13631.428571428567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9">C106/$P$106</f>
        <v>0.22477992035212749</v>
      </c>
      <c r="D107" s="43">
        <f t="shared" si="39"/>
        <v>3.230978830433872E-2</v>
      </c>
      <c r="E107" s="43">
        <f t="shared" si="39"/>
        <v>2.4643680570111098E-2</v>
      </c>
      <c r="F107" s="43">
        <f t="shared" si="39"/>
        <v>0.16319429888912182</v>
      </c>
      <c r="G107" s="43">
        <f t="shared" si="39"/>
        <v>4.2758331586669482E-3</v>
      </c>
      <c r="H107" s="43">
        <f t="shared" si="39"/>
        <v>5.816390693774892E-3</v>
      </c>
      <c r="I107" s="43">
        <f t="shared" si="39"/>
        <v>3.7869419408928962E-2</v>
      </c>
      <c r="J107" s="43">
        <f t="shared" si="39"/>
        <v>6.3299098721442057E-2</v>
      </c>
      <c r="K107" s="43">
        <f t="shared" si="39"/>
        <v>1.3870257807587513E-2</v>
      </c>
      <c r="L107" s="43">
        <f t="shared" si="39"/>
        <v>7.3045483127227029E-3</v>
      </c>
      <c r="M107" s="43">
        <f t="shared" si="39"/>
        <v>0.95015195975686451</v>
      </c>
      <c r="N107" s="43">
        <f t="shared" si="39"/>
        <v>8.9079857472228061E-5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0.62672763930689901</v>
      </c>
      <c r="D108" s="44">
        <f t="shared" ref="D108:N108" si="40">D106/$O$106</f>
        <v>9.0085614937322867E-2</v>
      </c>
      <c r="E108" s="44">
        <f t="shared" si="40"/>
        <v>6.8711100721736862E-2</v>
      </c>
      <c r="F108" s="44">
        <f t="shared" si="40"/>
        <v>0.45501563276159313</v>
      </c>
      <c r="G108" s="44">
        <f t="shared" si="40"/>
        <v>1.1921806971919472E-2</v>
      </c>
      <c r="H108" s="44">
        <f t="shared" si="40"/>
        <v>1.6217163895625754E-2</v>
      </c>
      <c r="I108" s="44">
        <f t="shared" si="40"/>
        <v>0.10558688601233092</v>
      </c>
      <c r="J108" s="44">
        <f t="shared" si="40"/>
        <v>0.17648949536861178</v>
      </c>
      <c r="K108" s="44">
        <f t="shared" si="40"/>
        <v>3.8672822370920151E-2</v>
      </c>
      <c r="L108" s="44">
        <f t="shared" si="40"/>
        <v>2.0366420243695768E-2</v>
      </c>
      <c r="M108" s="44"/>
      <c r="N108" s="44">
        <f t="shared" si="40"/>
        <v>2.4837097858165563E-4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B1:AE1"/>
    <mergeCell ref="B2:AE2"/>
    <mergeCell ref="C3:G3"/>
    <mergeCell ref="G5:H5"/>
    <mergeCell ref="G6:H6"/>
    <mergeCell ref="R8:AF8"/>
    <mergeCell ref="D6:E6"/>
    <mergeCell ref="K5:L5"/>
    <mergeCell ref="K6:L6"/>
    <mergeCell ref="D5:E5"/>
  </mergeCells>
  <pageMargins left="0" right="0" top="0" bottom="0" header="0.15748031496063" footer="0.118110236220472"/>
  <pageSetup paperSize="9" scale="21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74"/>
  <sheetViews>
    <sheetView view="pageBreakPreview" topLeftCell="L52" zoomScale="60" workbookViewId="0">
      <selection activeCell="AB77" sqref="AB7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8" t="s">
        <v>23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</row>
    <row r="2" spans="2:32" ht="20.100000000000001" customHeight="1" x14ac:dyDescent="0.25">
      <c r="B2" s="59" t="s">
        <v>95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</row>
    <row r="3" spans="2:32" ht="20.100000000000001" customHeight="1" x14ac:dyDescent="0.25">
      <c r="B3" s="22" t="s">
        <v>96</v>
      </c>
      <c r="C3" s="73" t="str">
        <f>'28.07 Ndeeba-Nateete'!C3:G3</f>
        <v>MCC - C1 - STN07 - MASAKA ROAD</v>
      </c>
      <c r="D3" s="73"/>
      <c r="E3" s="73"/>
      <c r="F3" s="73"/>
      <c r="G3" s="73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71" t="s">
        <v>168</v>
      </c>
      <c r="E5" s="72"/>
      <c r="F5" s="41" t="s">
        <v>1</v>
      </c>
      <c r="G5" s="69" t="str">
        <f>'28.07 Ndeeba-Nateete'!G5:H5</f>
        <v>Rhino Funeral Services</v>
      </c>
      <c r="H5" s="70"/>
      <c r="I5" s="14"/>
      <c r="J5" s="2" t="s">
        <v>5</v>
      </c>
      <c r="K5" s="69" t="str">
        <f>'28.07 Ndeeba-Nateete'!K5:L5</f>
        <v>Asibazuyo Jennipher &amp;Kyagulanyi Lawrence</v>
      </c>
      <c r="L5" s="70"/>
      <c r="M5" s="10"/>
      <c r="N5" s="10"/>
      <c r="O5" s="3"/>
      <c r="P5" s="3"/>
    </row>
    <row r="6" spans="2:32" ht="23.25" customHeight="1" x14ac:dyDescent="0.25">
      <c r="C6" s="2" t="s">
        <v>4</v>
      </c>
      <c r="D6" s="69" t="str">
        <f>'28.07 Ndeeba-Nateete'!D6:E6</f>
        <v>Ndeeba</v>
      </c>
      <c r="E6" s="70"/>
      <c r="F6" s="2" t="s">
        <v>2</v>
      </c>
      <c r="G6" s="69" t="str">
        <f>'28.07 Ndeeba-Nateete'!G6:H6</f>
        <v>Nateete</v>
      </c>
      <c r="H6" s="70"/>
      <c r="J6" s="2" t="s">
        <v>21</v>
      </c>
      <c r="K6" s="69" t="str">
        <f>'28.07 Ndeeba-Nateete'!K6:L6</f>
        <v>Felix</v>
      </c>
      <c r="L6" s="70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7" t="s">
        <v>88</v>
      </c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AVERAGE('22.07 Ndeeba-Nateete'!C10,'23.07 Ndeeba-Nateete'!C10,'24.07 Ndeeba-Nateete'!C10,'25.07 Ndeeba-Nateete'!C10,'26.07 Ndeeba-Nateete-24h'!C10,'27.07 Ndeeba-Nateete-24h'!C10,'28.07 Ndeeba-Nateete'!C10)</f>
        <v>21.285714285714285</v>
      </c>
      <c r="D10" s="49">
        <f>AVERAGE('22.07 Ndeeba-Nateete'!D10,'23.07 Ndeeba-Nateete'!D10,'24.07 Ndeeba-Nateete'!D10,'25.07 Ndeeba-Nateete'!D10,'26.07 Ndeeba-Nateete-24h'!D10,'27.07 Ndeeba-Nateete-24h'!D10,'28.07 Ndeeba-Nateete'!D10)</f>
        <v>3.7142857142857144</v>
      </c>
      <c r="E10" s="49">
        <f>AVERAGE('22.07 Ndeeba-Nateete'!E10,'23.07 Ndeeba-Nateete'!E10,'24.07 Ndeeba-Nateete'!E10,'25.07 Ndeeba-Nateete'!E10,'26.07 Ndeeba-Nateete-24h'!E10,'27.07 Ndeeba-Nateete-24h'!E10,'28.07 Ndeeba-Nateete'!E10)</f>
        <v>3.1428571428571428</v>
      </c>
      <c r="F10" s="49">
        <f>AVERAGE('22.07 Ndeeba-Nateete'!F10,'23.07 Ndeeba-Nateete'!F10,'24.07 Ndeeba-Nateete'!F10,'25.07 Ndeeba-Nateete'!F10,'26.07 Ndeeba-Nateete-24h'!F10,'27.07 Ndeeba-Nateete-24h'!F10,'28.07 Ndeeba-Nateete'!F10)</f>
        <v>21.714285714285715</v>
      </c>
      <c r="G10" s="49">
        <f>AVERAGE('22.07 Ndeeba-Nateete'!G10,'23.07 Ndeeba-Nateete'!G10,'24.07 Ndeeba-Nateete'!G10,'25.07 Ndeeba-Nateete'!G10,'26.07 Ndeeba-Nateete-24h'!G10,'27.07 Ndeeba-Nateete-24h'!G10,'28.07 Ndeeba-Nateete'!G10)</f>
        <v>1</v>
      </c>
      <c r="H10" s="49">
        <f>AVERAGE('22.07 Ndeeba-Nateete'!H10,'23.07 Ndeeba-Nateete'!H10,'24.07 Ndeeba-Nateete'!H10,'25.07 Ndeeba-Nateete'!H10,'26.07 Ndeeba-Nateete-24h'!H10,'27.07 Ndeeba-Nateete-24h'!H10,'28.07 Ndeeba-Nateete'!H10)</f>
        <v>4.7142857142857144</v>
      </c>
      <c r="I10" s="49">
        <f>AVERAGE('22.07 Ndeeba-Nateete'!I10,'23.07 Ndeeba-Nateete'!I10,'24.07 Ndeeba-Nateete'!I10,'25.07 Ndeeba-Nateete'!I10,'26.07 Ndeeba-Nateete-24h'!I10,'27.07 Ndeeba-Nateete-24h'!I10,'28.07 Ndeeba-Nateete'!I10)</f>
        <v>5.7142857142857144</v>
      </c>
      <c r="J10" s="49">
        <f>AVERAGE('22.07 Ndeeba-Nateete'!J10,'23.07 Ndeeba-Nateete'!J10,'24.07 Ndeeba-Nateete'!J10,'25.07 Ndeeba-Nateete'!J10,'26.07 Ndeeba-Nateete-24h'!J10,'27.07 Ndeeba-Nateete-24h'!J10,'28.07 Ndeeba-Nateete'!J10)</f>
        <v>1.2857142857142858</v>
      </c>
      <c r="K10" s="49">
        <f>AVERAGE('22.07 Ndeeba-Nateete'!K10,'23.07 Ndeeba-Nateete'!K10,'24.07 Ndeeba-Nateete'!K10,'25.07 Ndeeba-Nateete'!K10,'26.07 Ndeeba-Nateete-24h'!K10,'27.07 Ndeeba-Nateete-24h'!K10,'28.07 Ndeeba-Nateete'!K10)</f>
        <v>0.7142857142857143</v>
      </c>
      <c r="L10" s="49">
        <f>AVERAGE('22.07 Ndeeba-Nateete'!L10,'23.07 Ndeeba-Nateete'!L10,'24.07 Ndeeba-Nateete'!L10,'25.07 Ndeeba-Nateete'!L10,'26.07 Ndeeba-Nateete-24h'!L10,'27.07 Ndeeba-Nateete-24h'!L10,'28.07 Ndeeba-Nateete'!L10)</f>
        <v>0.5714285714285714</v>
      </c>
      <c r="M10" s="49">
        <f>AVERAGE('22.07 Ndeeba-Nateete'!M10,'23.07 Ndeeba-Nateete'!M10,'24.07 Ndeeba-Nateete'!M10,'25.07 Ndeeba-Nateete'!M10,'26.07 Ndeeba-Nateete-24h'!M10,'27.07 Ndeeba-Nateete-24h'!M10,'28.07 Ndeeba-Nateete'!M10)</f>
        <v>101.28571428571429</v>
      </c>
      <c r="N10" s="49">
        <f>AVERAGE('22.07 Ndeeba-Nateete'!N10,'23.07 Ndeeba-Nateete'!N10,'24.07 Ndeeba-Nateete'!N10,'25.07 Ndeeba-Nateete'!N10,'26.07 Ndeeba-Nateete-24h'!N10,'27.07 Ndeeba-Nateete-24h'!N10,'28.07 Ndeeba-Nateete'!N10)</f>
        <v>0</v>
      </c>
      <c r="O10" s="15">
        <f t="shared" ref="O10:O58" si="0">SUM(C10:L10,N10)</f>
        <v>63.857142857142861</v>
      </c>
      <c r="P10" s="15">
        <f t="shared" ref="P10:P56" si="1">SUM(C10:N10)</f>
        <v>165.14285714285717</v>
      </c>
      <c r="R10" s="1" t="s">
        <v>6</v>
      </c>
      <c r="S10" s="17">
        <f t="shared" ref="S10:AF10" si="2">SUM(C10:C13)</f>
        <v>87.142857142857139</v>
      </c>
      <c r="T10" s="17">
        <f t="shared" si="2"/>
        <v>20.714285714285715</v>
      </c>
      <c r="U10" s="17">
        <f t="shared" si="2"/>
        <v>11.571428571428571</v>
      </c>
      <c r="V10" s="17">
        <f t="shared" si="2"/>
        <v>106.71428571428572</v>
      </c>
      <c r="W10" s="17">
        <f t="shared" si="2"/>
        <v>2.7142857142857144</v>
      </c>
      <c r="X10" s="17">
        <f t="shared" si="2"/>
        <v>5.4285714285714288</v>
      </c>
      <c r="Y10" s="17">
        <f t="shared" si="2"/>
        <v>27.142857142857146</v>
      </c>
      <c r="Z10" s="17">
        <f t="shared" si="2"/>
        <v>11.571428571428571</v>
      </c>
      <c r="AA10" s="17">
        <f t="shared" si="2"/>
        <v>3.4285714285714288</v>
      </c>
      <c r="AB10" s="17">
        <f t="shared" si="2"/>
        <v>3.4285714285714288</v>
      </c>
      <c r="AC10" s="17">
        <f t="shared" si="2"/>
        <v>623.85714285714289</v>
      </c>
      <c r="AD10" s="17">
        <f t="shared" si="2"/>
        <v>0</v>
      </c>
      <c r="AE10" s="31">
        <f t="shared" si="2"/>
        <v>279.85714285714283</v>
      </c>
      <c r="AF10" s="31">
        <f t="shared" si="2"/>
        <v>903.71428571428578</v>
      </c>
    </row>
    <row r="11" spans="2:32" s="6" customFormat="1" ht="23.1" customHeight="1" x14ac:dyDescent="0.25">
      <c r="B11" s="23" t="s">
        <v>38</v>
      </c>
      <c r="C11" s="49">
        <f>AVERAGE('22.07 Ndeeba-Nateete'!C11,'23.07 Ndeeba-Nateete'!C11,'24.07 Ndeeba-Nateete'!C11,'25.07 Ndeeba-Nateete'!C11,'26.07 Ndeeba-Nateete-24h'!C11,'27.07 Ndeeba-Nateete-24h'!C11,'28.07 Ndeeba-Nateete'!C11)</f>
        <v>19.857142857142858</v>
      </c>
      <c r="D11" s="49">
        <f>AVERAGE('22.07 Ndeeba-Nateete'!D11,'23.07 Ndeeba-Nateete'!D11,'24.07 Ndeeba-Nateete'!D11,'25.07 Ndeeba-Nateete'!D11,'26.07 Ndeeba-Nateete-24h'!D11,'27.07 Ndeeba-Nateete-24h'!D11,'28.07 Ndeeba-Nateete'!D11)</f>
        <v>4.2857142857142856</v>
      </c>
      <c r="E11" s="49">
        <f>AVERAGE('22.07 Ndeeba-Nateete'!E11,'23.07 Ndeeba-Nateete'!E11,'24.07 Ndeeba-Nateete'!E11,'25.07 Ndeeba-Nateete'!E11,'26.07 Ndeeba-Nateete-24h'!E11,'27.07 Ndeeba-Nateete-24h'!E11,'28.07 Ndeeba-Nateete'!E11)</f>
        <v>3.2857142857142856</v>
      </c>
      <c r="F11" s="49">
        <f>AVERAGE('22.07 Ndeeba-Nateete'!F11,'23.07 Ndeeba-Nateete'!F11,'24.07 Ndeeba-Nateete'!F11,'25.07 Ndeeba-Nateete'!F11,'26.07 Ndeeba-Nateete-24h'!F11,'27.07 Ndeeba-Nateete-24h'!F11,'28.07 Ndeeba-Nateete'!F11)</f>
        <v>25.857142857142858</v>
      </c>
      <c r="G11" s="49">
        <f>AVERAGE('22.07 Ndeeba-Nateete'!G11,'23.07 Ndeeba-Nateete'!G11,'24.07 Ndeeba-Nateete'!G11,'25.07 Ndeeba-Nateete'!G11,'26.07 Ndeeba-Nateete-24h'!G11,'27.07 Ndeeba-Nateete-24h'!G11,'28.07 Ndeeba-Nateete'!G11)</f>
        <v>0.2857142857142857</v>
      </c>
      <c r="H11" s="49">
        <f>AVERAGE('22.07 Ndeeba-Nateete'!H11,'23.07 Ndeeba-Nateete'!H11,'24.07 Ndeeba-Nateete'!H11,'25.07 Ndeeba-Nateete'!H11,'26.07 Ndeeba-Nateete-24h'!H11,'27.07 Ndeeba-Nateete-24h'!H11,'28.07 Ndeeba-Nateete'!H11)</f>
        <v>0</v>
      </c>
      <c r="I11" s="49">
        <f>AVERAGE('22.07 Ndeeba-Nateete'!I11,'23.07 Ndeeba-Nateete'!I11,'24.07 Ndeeba-Nateete'!I11,'25.07 Ndeeba-Nateete'!I11,'26.07 Ndeeba-Nateete-24h'!I11,'27.07 Ndeeba-Nateete-24h'!I11,'28.07 Ndeeba-Nateete'!I11)</f>
        <v>7.1428571428571432</v>
      </c>
      <c r="J11" s="49">
        <f>AVERAGE('22.07 Ndeeba-Nateete'!J11,'23.07 Ndeeba-Nateete'!J11,'24.07 Ndeeba-Nateete'!J11,'25.07 Ndeeba-Nateete'!J11,'26.07 Ndeeba-Nateete-24h'!J11,'27.07 Ndeeba-Nateete-24h'!J11,'28.07 Ndeeba-Nateete'!J11)</f>
        <v>3.1428571428571428</v>
      </c>
      <c r="K11" s="49">
        <f>AVERAGE('22.07 Ndeeba-Nateete'!K11,'23.07 Ndeeba-Nateete'!K11,'24.07 Ndeeba-Nateete'!K11,'25.07 Ndeeba-Nateete'!K11,'26.07 Ndeeba-Nateete-24h'!K11,'27.07 Ndeeba-Nateete-24h'!K11,'28.07 Ndeeba-Nateete'!K11)</f>
        <v>0.8571428571428571</v>
      </c>
      <c r="L11" s="49">
        <f>AVERAGE('22.07 Ndeeba-Nateete'!L11,'23.07 Ndeeba-Nateete'!L11,'24.07 Ndeeba-Nateete'!L11,'25.07 Ndeeba-Nateete'!L11,'26.07 Ndeeba-Nateete-24h'!L11,'27.07 Ndeeba-Nateete-24h'!L11,'28.07 Ndeeba-Nateete'!L11)</f>
        <v>1.4285714285714286</v>
      </c>
      <c r="M11" s="49">
        <f>AVERAGE('22.07 Ndeeba-Nateete'!M11,'23.07 Ndeeba-Nateete'!M11,'24.07 Ndeeba-Nateete'!M11,'25.07 Ndeeba-Nateete'!M11,'26.07 Ndeeba-Nateete-24h'!M11,'27.07 Ndeeba-Nateete-24h'!M11,'28.07 Ndeeba-Nateete'!M11)</f>
        <v>133.71428571428572</v>
      </c>
      <c r="N11" s="49">
        <f>AVERAGE('22.07 Ndeeba-Nateete'!N11,'23.07 Ndeeba-Nateete'!N11,'24.07 Ndeeba-Nateete'!N11,'25.07 Ndeeba-Nateete'!N11,'26.07 Ndeeba-Nateete-24h'!N11,'27.07 Ndeeba-Nateete-24h'!N11,'28.07 Ndeeba-Nateete'!N11)</f>
        <v>0</v>
      </c>
      <c r="O11" s="15">
        <f t="shared" si="0"/>
        <v>66.142857142857153</v>
      </c>
      <c r="P11" s="15">
        <f t="shared" si="1"/>
        <v>199.85714285714289</v>
      </c>
      <c r="R11" s="1" t="s">
        <v>7</v>
      </c>
      <c r="S11" s="17">
        <f t="shared" ref="S11:AF11" si="3">SUM(C14:C17)</f>
        <v>79.142857142857139</v>
      </c>
      <c r="T11" s="17">
        <f t="shared" si="3"/>
        <v>31.285714285714285</v>
      </c>
      <c r="U11" s="17">
        <f t="shared" si="3"/>
        <v>10.714285714285714</v>
      </c>
      <c r="V11" s="17">
        <f t="shared" si="3"/>
        <v>146.57142857142858</v>
      </c>
      <c r="W11" s="17">
        <f t="shared" si="3"/>
        <v>3.5714285714285712</v>
      </c>
      <c r="X11" s="17">
        <f t="shared" si="3"/>
        <v>0.2857142857142857</v>
      </c>
      <c r="Y11" s="17">
        <f t="shared" si="3"/>
        <v>36.857142857142861</v>
      </c>
      <c r="Z11" s="17">
        <f t="shared" si="3"/>
        <v>15.285714285714285</v>
      </c>
      <c r="AA11" s="17">
        <f t="shared" si="3"/>
        <v>4.1428571428571432</v>
      </c>
      <c r="AB11" s="17">
        <f t="shared" si="3"/>
        <v>1.4285714285714284</v>
      </c>
      <c r="AC11" s="17">
        <f t="shared" si="3"/>
        <v>781.28571428571422</v>
      </c>
      <c r="AD11" s="17">
        <f t="shared" si="3"/>
        <v>0</v>
      </c>
      <c r="AE11" s="31">
        <f t="shared" si="3"/>
        <v>329.28571428571433</v>
      </c>
      <c r="AF11" s="31">
        <f t="shared" si="3"/>
        <v>1110.5714285714284</v>
      </c>
    </row>
    <row r="12" spans="2:32" ht="23.1" customHeight="1" x14ac:dyDescent="0.25">
      <c r="B12" s="23" t="s">
        <v>39</v>
      </c>
      <c r="C12" s="49">
        <f>AVERAGE('22.07 Ndeeba-Nateete'!C12,'23.07 Ndeeba-Nateete'!C12,'24.07 Ndeeba-Nateete'!C12,'25.07 Ndeeba-Nateete'!C12,'26.07 Ndeeba-Nateete-24h'!C12,'27.07 Ndeeba-Nateete-24h'!C12,'28.07 Ndeeba-Nateete'!C12)</f>
        <v>23</v>
      </c>
      <c r="D12" s="49">
        <f>AVERAGE('22.07 Ndeeba-Nateete'!D12,'23.07 Ndeeba-Nateete'!D12,'24.07 Ndeeba-Nateete'!D12,'25.07 Ndeeba-Nateete'!D12,'26.07 Ndeeba-Nateete-24h'!D12,'27.07 Ndeeba-Nateete-24h'!D12,'28.07 Ndeeba-Nateete'!D12)</f>
        <v>6.7142857142857144</v>
      </c>
      <c r="E12" s="49">
        <f>AVERAGE('22.07 Ndeeba-Nateete'!E12,'23.07 Ndeeba-Nateete'!E12,'24.07 Ndeeba-Nateete'!E12,'25.07 Ndeeba-Nateete'!E12,'26.07 Ndeeba-Nateete-24h'!E12,'27.07 Ndeeba-Nateete-24h'!E12,'28.07 Ndeeba-Nateete'!E12)</f>
        <v>2.7142857142857144</v>
      </c>
      <c r="F12" s="49">
        <f>AVERAGE('22.07 Ndeeba-Nateete'!F12,'23.07 Ndeeba-Nateete'!F12,'24.07 Ndeeba-Nateete'!F12,'25.07 Ndeeba-Nateete'!F12,'26.07 Ndeeba-Nateete-24h'!F12,'27.07 Ndeeba-Nateete-24h'!F12,'28.07 Ndeeba-Nateete'!F12)</f>
        <v>30.428571428571427</v>
      </c>
      <c r="G12" s="49">
        <f>AVERAGE('22.07 Ndeeba-Nateete'!G12,'23.07 Ndeeba-Nateete'!G12,'24.07 Ndeeba-Nateete'!G12,'25.07 Ndeeba-Nateete'!G12,'26.07 Ndeeba-Nateete-24h'!G12,'27.07 Ndeeba-Nateete-24h'!G12,'28.07 Ndeeba-Nateete'!G12)</f>
        <v>0.8571428571428571</v>
      </c>
      <c r="H12" s="49">
        <f>AVERAGE('22.07 Ndeeba-Nateete'!H12,'23.07 Ndeeba-Nateete'!H12,'24.07 Ndeeba-Nateete'!H12,'25.07 Ndeeba-Nateete'!H12,'26.07 Ndeeba-Nateete-24h'!H12,'27.07 Ndeeba-Nateete-24h'!H12,'28.07 Ndeeba-Nateete'!H12)</f>
        <v>0.7142857142857143</v>
      </c>
      <c r="I12" s="49">
        <f>AVERAGE('22.07 Ndeeba-Nateete'!I12,'23.07 Ndeeba-Nateete'!I12,'24.07 Ndeeba-Nateete'!I12,'25.07 Ndeeba-Nateete'!I12,'26.07 Ndeeba-Nateete-24h'!I12,'27.07 Ndeeba-Nateete-24h'!I12,'28.07 Ndeeba-Nateete'!I12)</f>
        <v>7.5714285714285712</v>
      </c>
      <c r="J12" s="49">
        <f>AVERAGE('22.07 Ndeeba-Nateete'!J12,'23.07 Ndeeba-Nateete'!J12,'24.07 Ndeeba-Nateete'!J12,'25.07 Ndeeba-Nateete'!J12,'26.07 Ndeeba-Nateete-24h'!J12,'27.07 Ndeeba-Nateete-24h'!J12,'28.07 Ndeeba-Nateete'!J12)</f>
        <v>4</v>
      </c>
      <c r="K12" s="49">
        <f>AVERAGE('22.07 Ndeeba-Nateete'!K12,'23.07 Ndeeba-Nateete'!K12,'24.07 Ndeeba-Nateete'!K12,'25.07 Ndeeba-Nateete'!K12,'26.07 Ndeeba-Nateete-24h'!K12,'27.07 Ndeeba-Nateete-24h'!K12,'28.07 Ndeeba-Nateete'!K12)</f>
        <v>1.1428571428571428</v>
      </c>
      <c r="L12" s="49">
        <f>AVERAGE('22.07 Ndeeba-Nateete'!L12,'23.07 Ndeeba-Nateete'!L12,'24.07 Ndeeba-Nateete'!L12,'25.07 Ndeeba-Nateete'!L12,'26.07 Ndeeba-Nateete-24h'!L12,'27.07 Ndeeba-Nateete-24h'!L12,'28.07 Ndeeba-Nateete'!L12)</f>
        <v>0.8571428571428571</v>
      </c>
      <c r="M12" s="49">
        <f>AVERAGE('22.07 Ndeeba-Nateete'!M12,'23.07 Ndeeba-Nateete'!M12,'24.07 Ndeeba-Nateete'!M12,'25.07 Ndeeba-Nateete'!M12,'26.07 Ndeeba-Nateete-24h'!M12,'27.07 Ndeeba-Nateete-24h'!M12,'28.07 Ndeeba-Nateete'!M12)</f>
        <v>160.71428571428572</v>
      </c>
      <c r="N12" s="49">
        <f>AVERAGE('22.07 Ndeeba-Nateete'!N12,'23.07 Ndeeba-Nateete'!N12,'24.07 Ndeeba-Nateete'!N12,'25.07 Ndeeba-Nateete'!N12,'26.07 Ndeeba-Nateete-24h'!N12,'27.07 Ndeeba-Nateete-24h'!N12,'28.07 Ndeeba-Nateete'!N12)</f>
        <v>0</v>
      </c>
      <c r="O12" s="15">
        <f t="shared" si="0"/>
        <v>78</v>
      </c>
      <c r="P12" s="15">
        <f t="shared" si="1"/>
        <v>238.71428571428572</v>
      </c>
      <c r="R12" s="1" t="s">
        <v>8</v>
      </c>
      <c r="S12" s="17">
        <f t="shared" ref="S12:AF12" si="4">SUM(C18:C21)</f>
        <v>97.714285714285722</v>
      </c>
      <c r="T12" s="17">
        <f t="shared" si="4"/>
        <v>39.428571428571431</v>
      </c>
      <c r="U12" s="17">
        <f t="shared" si="4"/>
        <v>9.2857142857142847</v>
      </c>
      <c r="V12" s="17">
        <f t="shared" si="4"/>
        <v>167.71428571428572</v>
      </c>
      <c r="W12" s="17">
        <f t="shared" si="4"/>
        <v>5.7142857142857135</v>
      </c>
      <c r="X12" s="17">
        <f t="shared" si="4"/>
        <v>0.8571428571428571</v>
      </c>
      <c r="Y12" s="17">
        <f t="shared" si="4"/>
        <v>53</v>
      </c>
      <c r="Z12" s="17">
        <f t="shared" si="4"/>
        <v>17</v>
      </c>
      <c r="AA12" s="17">
        <f t="shared" si="4"/>
        <v>2.1428571428571428</v>
      </c>
      <c r="AB12" s="17">
        <f t="shared" si="4"/>
        <v>1.857142857142857</v>
      </c>
      <c r="AC12" s="17">
        <f t="shared" si="4"/>
        <v>792.71428571428567</v>
      </c>
      <c r="AD12" s="17">
        <f t="shared" si="4"/>
        <v>0</v>
      </c>
      <c r="AE12" s="31">
        <f t="shared" si="4"/>
        <v>394.71428571428578</v>
      </c>
      <c r="AF12" s="31">
        <f t="shared" si="4"/>
        <v>1187.4285714285716</v>
      </c>
    </row>
    <row r="13" spans="2:32" ht="23.1" customHeight="1" x14ac:dyDescent="0.25">
      <c r="B13" s="23" t="s">
        <v>40</v>
      </c>
      <c r="C13" s="49">
        <f>AVERAGE('22.07 Ndeeba-Nateete'!C13,'23.07 Ndeeba-Nateete'!C13,'24.07 Ndeeba-Nateete'!C13,'25.07 Ndeeba-Nateete'!C13,'26.07 Ndeeba-Nateete-24h'!C13,'27.07 Ndeeba-Nateete-24h'!C13,'28.07 Ndeeba-Nateete'!C13)</f>
        <v>23</v>
      </c>
      <c r="D13" s="49">
        <f>AVERAGE('22.07 Ndeeba-Nateete'!D13,'23.07 Ndeeba-Nateete'!D13,'24.07 Ndeeba-Nateete'!D13,'25.07 Ndeeba-Nateete'!D13,'26.07 Ndeeba-Nateete-24h'!D13,'27.07 Ndeeba-Nateete-24h'!D13,'28.07 Ndeeba-Nateete'!D13)</f>
        <v>6</v>
      </c>
      <c r="E13" s="49">
        <f>AVERAGE('22.07 Ndeeba-Nateete'!E13,'23.07 Ndeeba-Nateete'!E13,'24.07 Ndeeba-Nateete'!E13,'25.07 Ndeeba-Nateete'!E13,'26.07 Ndeeba-Nateete-24h'!E13,'27.07 Ndeeba-Nateete-24h'!E13,'28.07 Ndeeba-Nateete'!E13)</f>
        <v>2.4285714285714284</v>
      </c>
      <c r="F13" s="49">
        <f>AVERAGE('22.07 Ndeeba-Nateete'!F13,'23.07 Ndeeba-Nateete'!F13,'24.07 Ndeeba-Nateete'!F13,'25.07 Ndeeba-Nateete'!F13,'26.07 Ndeeba-Nateete-24h'!F13,'27.07 Ndeeba-Nateete-24h'!F13,'28.07 Ndeeba-Nateete'!F13)</f>
        <v>28.714285714285715</v>
      </c>
      <c r="G13" s="49">
        <f>AVERAGE('22.07 Ndeeba-Nateete'!G13,'23.07 Ndeeba-Nateete'!G13,'24.07 Ndeeba-Nateete'!G13,'25.07 Ndeeba-Nateete'!G13,'26.07 Ndeeba-Nateete-24h'!G13,'27.07 Ndeeba-Nateete-24h'!G13,'28.07 Ndeeba-Nateete'!G13)</f>
        <v>0.5714285714285714</v>
      </c>
      <c r="H13" s="49">
        <f>AVERAGE('22.07 Ndeeba-Nateete'!H13,'23.07 Ndeeba-Nateete'!H13,'24.07 Ndeeba-Nateete'!H13,'25.07 Ndeeba-Nateete'!H13,'26.07 Ndeeba-Nateete-24h'!H13,'27.07 Ndeeba-Nateete-24h'!H13,'28.07 Ndeeba-Nateete'!H13)</f>
        <v>0</v>
      </c>
      <c r="I13" s="49">
        <f>AVERAGE('22.07 Ndeeba-Nateete'!I13,'23.07 Ndeeba-Nateete'!I13,'24.07 Ndeeba-Nateete'!I13,'25.07 Ndeeba-Nateete'!I13,'26.07 Ndeeba-Nateete-24h'!I13,'27.07 Ndeeba-Nateete-24h'!I13,'28.07 Ndeeba-Nateete'!I13)</f>
        <v>6.7142857142857144</v>
      </c>
      <c r="J13" s="49">
        <f>AVERAGE('22.07 Ndeeba-Nateete'!J13,'23.07 Ndeeba-Nateete'!J13,'24.07 Ndeeba-Nateete'!J13,'25.07 Ndeeba-Nateete'!J13,'26.07 Ndeeba-Nateete-24h'!J13,'27.07 Ndeeba-Nateete-24h'!J13,'28.07 Ndeeba-Nateete'!J13)</f>
        <v>3.1428571428571428</v>
      </c>
      <c r="K13" s="49">
        <f>AVERAGE('22.07 Ndeeba-Nateete'!K13,'23.07 Ndeeba-Nateete'!K13,'24.07 Ndeeba-Nateete'!K13,'25.07 Ndeeba-Nateete'!K13,'26.07 Ndeeba-Nateete-24h'!K13,'27.07 Ndeeba-Nateete-24h'!K13,'28.07 Ndeeba-Nateete'!K13)</f>
        <v>0.7142857142857143</v>
      </c>
      <c r="L13" s="49">
        <f>AVERAGE('22.07 Ndeeba-Nateete'!L13,'23.07 Ndeeba-Nateete'!L13,'24.07 Ndeeba-Nateete'!L13,'25.07 Ndeeba-Nateete'!L13,'26.07 Ndeeba-Nateete-24h'!L13,'27.07 Ndeeba-Nateete-24h'!L13,'28.07 Ndeeba-Nateete'!L13)</f>
        <v>0.5714285714285714</v>
      </c>
      <c r="M13" s="49">
        <f>AVERAGE('22.07 Ndeeba-Nateete'!M13,'23.07 Ndeeba-Nateete'!M13,'24.07 Ndeeba-Nateete'!M13,'25.07 Ndeeba-Nateete'!M13,'26.07 Ndeeba-Nateete-24h'!M13,'27.07 Ndeeba-Nateete-24h'!M13,'28.07 Ndeeba-Nateete'!M13)</f>
        <v>228.14285714285714</v>
      </c>
      <c r="N13" s="49">
        <f>AVERAGE('22.07 Ndeeba-Nateete'!N13,'23.07 Ndeeba-Nateete'!N13,'24.07 Ndeeba-Nateete'!N13,'25.07 Ndeeba-Nateete'!N13,'26.07 Ndeeba-Nateete-24h'!N13,'27.07 Ndeeba-Nateete-24h'!N13,'28.07 Ndeeba-Nateete'!N13)</f>
        <v>0</v>
      </c>
      <c r="O13" s="15">
        <f t="shared" si="0"/>
        <v>71.857142857142833</v>
      </c>
      <c r="P13" s="15">
        <f t="shared" si="1"/>
        <v>300</v>
      </c>
      <c r="R13" s="1" t="s">
        <v>9</v>
      </c>
      <c r="S13" s="17">
        <f t="shared" ref="S13:AF13" si="5">SUM(C22:C25)</f>
        <v>92</v>
      </c>
      <c r="T13" s="17">
        <f t="shared" si="5"/>
        <v>28</v>
      </c>
      <c r="U13" s="17">
        <f t="shared" si="5"/>
        <v>14.285714285714285</v>
      </c>
      <c r="V13" s="17">
        <f t="shared" si="5"/>
        <v>129.71428571428572</v>
      </c>
      <c r="W13" s="17">
        <f t="shared" si="5"/>
        <v>3.8571428571428572</v>
      </c>
      <c r="X13" s="17">
        <f t="shared" si="5"/>
        <v>1.2857142857142856</v>
      </c>
      <c r="Y13" s="17">
        <f t="shared" si="5"/>
        <v>46.571428571428569</v>
      </c>
      <c r="Z13" s="17">
        <f t="shared" si="5"/>
        <v>20.714285714285715</v>
      </c>
      <c r="AA13" s="17">
        <f t="shared" si="5"/>
        <v>5</v>
      </c>
      <c r="AB13" s="17">
        <f t="shared" si="5"/>
        <v>2.5714285714285712</v>
      </c>
      <c r="AC13" s="17">
        <f t="shared" si="5"/>
        <v>658.14285714285711</v>
      </c>
      <c r="AD13" s="17">
        <f t="shared" si="5"/>
        <v>0</v>
      </c>
      <c r="AE13" s="31">
        <f t="shared" si="5"/>
        <v>344</v>
      </c>
      <c r="AF13" s="31">
        <f t="shared" si="5"/>
        <v>1002.1428571428571</v>
      </c>
    </row>
    <row r="14" spans="2:32" ht="23.1" customHeight="1" x14ac:dyDescent="0.25">
      <c r="B14" s="23" t="s">
        <v>41</v>
      </c>
      <c r="C14" s="49">
        <f>AVERAGE('22.07 Ndeeba-Nateete'!C14,'23.07 Ndeeba-Nateete'!C14,'24.07 Ndeeba-Nateete'!C14,'25.07 Ndeeba-Nateete'!C14,'26.07 Ndeeba-Nateete-24h'!C14,'27.07 Ndeeba-Nateete-24h'!C14,'28.07 Ndeeba-Nateete'!C14)</f>
        <v>19.142857142857142</v>
      </c>
      <c r="D14" s="49">
        <f>AVERAGE('22.07 Ndeeba-Nateete'!D14,'23.07 Ndeeba-Nateete'!D14,'24.07 Ndeeba-Nateete'!D14,'25.07 Ndeeba-Nateete'!D14,'26.07 Ndeeba-Nateete-24h'!D14,'27.07 Ndeeba-Nateete-24h'!D14,'28.07 Ndeeba-Nateete'!D14)</f>
        <v>7.5714285714285712</v>
      </c>
      <c r="E14" s="49">
        <f>AVERAGE('22.07 Ndeeba-Nateete'!E14,'23.07 Ndeeba-Nateete'!E14,'24.07 Ndeeba-Nateete'!E14,'25.07 Ndeeba-Nateete'!E14,'26.07 Ndeeba-Nateete-24h'!E14,'27.07 Ndeeba-Nateete-24h'!E14,'28.07 Ndeeba-Nateete'!E14)</f>
        <v>2.4285714285714284</v>
      </c>
      <c r="F14" s="49">
        <f>AVERAGE('22.07 Ndeeba-Nateete'!F14,'23.07 Ndeeba-Nateete'!F14,'24.07 Ndeeba-Nateete'!F14,'25.07 Ndeeba-Nateete'!F14,'26.07 Ndeeba-Nateete-24h'!F14,'27.07 Ndeeba-Nateete-24h'!F14,'28.07 Ndeeba-Nateete'!F14)</f>
        <v>32.142857142857146</v>
      </c>
      <c r="G14" s="49">
        <f>AVERAGE('22.07 Ndeeba-Nateete'!G14,'23.07 Ndeeba-Nateete'!G14,'24.07 Ndeeba-Nateete'!G14,'25.07 Ndeeba-Nateete'!G14,'26.07 Ndeeba-Nateete-24h'!G14,'27.07 Ndeeba-Nateete-24h'!G14,'28.07 Ndeeba-Nateete'!G14)</f>
        <v>0.5714285714285714</v>
      </c>
      <c r="H14" s="49">
        <f>AVERAGE('22.07 Ndeeba-Nateete'!H14,'23.07 Ndeeba-Nateete'!H14,'24.07 Ndeeba-Nateete'!H14,'25.07 Ndeeba-Nateete'!H14,'26.07 Ndeeba-Nateete-24h'!H14,'27.07 Ndeeba-Nateete-24h'!H14,'28.07 Ndeeba-Nateete'!H14)</f>
        <v>0.14285714285714285</v>
      </c>
      <c r="I14" s="49">
        <f>AVERAGE('22.07 Ndeeba-Nateete'!I14,'23.07 Ndeeba-Nateete'!I14,'24.07 Ndeeba-Nateete'!I14,'25.07 Ndeeba-Nateete'!I14,'26.07 Ndeeba-Nateete-24h'!I14,'27.07 Ndeeba-Nateete-24h'!I14,'28.07 Ndeeba-Nateete'!I14)</f>
        <v>8.2857142857142865</v>
      </c>
      <c r="J14" s="49">
        <f>AVERAGE('22.07 Ndeeba-Nateete'!J14,'23.07 Ndeeba-Nateete'!J14,'24.07 Ndeeba-Nateete'!J14,'25.07 Ndeeba-Nateete'!J14,'26.07 Ndeeba-Nateete-24h'!J14,'27.07 Ndeeba-Nateete-24h'!J14,'28.07 Ndeeba-Nateete'!J14)</f>
        <v>4.1428571428571432</v>
      </c>
      <c r="K14" s="49">
        <f>AVERAGE('22.07 Ndeeba-Nateete'!K14,'23.07 Ndeeba-Nateete'!K14,'24.07 Ndeeba-Nateete'!K14,'25.07 Ndeeba-Nateete'!K14,'26.07 Ndeeba-Nateete-24h'!K14,'27.07 Ndeeba-Nateete-24h'!K14,'28.07 Ndeeba-Nateete'!K14)</f>
        <v>0.8571428571428571</v>
      </c>
      <c r="L14" s="49">
        <f>AVERAGE('22.07 Ndeeba-Nateete'!L14,'23.07 Ndeeba-Nateete'!L14,'24.07 Ndeeba-Nateete'!L14,'25.07 Ndeeba-Nateete'!L14,'26.07 Ndeeba-Nateete-24h'!L14,'27.07 Ndeeba-Nateete-24h'!L14,'28.07 Ndeeba-Nateete'!L14)</f>
        <v>0.14285714285714285</v>
      </c>
      <c r="M14" s="49">
        <f>AVERAGE('22.07 Ndeeba-Nateete'!M14,'23.07 Ndeeba-Nateete'!M14,'24.07 Ndeeba-Nateete'!M14,'25.07 Ndeeba-Nateete'!M14,'26.07 Ndeeba-Nateete-24h'!M14,'27.07 Ndeeba-Nateete-24h'!M14,'28.07 Ndeeba-Nateete'!M14)</f>
        <v>199.85714285714286</v>
      </c>
      <c r="N14" s="49">
        <f>AVERAGE('22.07 Ndeeba-Nateete'!N14,'23.07 Ndeeba-Nateete'!N14,'24.07 Ndeeba-Nateete'!N14,'25.07 Ndeeba-Nateete'!N14,'26.07 Ndeeba-Nateete-24h'!N14,'27.07 Ndeeba-Nateete-24h'!N14,'28.07 Ndeeba-Nateete'!N14)</f>
        <v>0</v>
      </c>
      <c r="O14" s="15">
        <f t="shared" si="0"/>
        <v>75.428571428571431</v>
      </c>
      <c r="P14" s="15">
        <f t="shared" si="1"/>
        <v>275.28571428571428</v>
      </c>
      <c r="R14" s="1" t="s">
        <v>10</v>
      </c>
      <c r="S14" s="17">
        <f t="shared" ref="S14:AF14" si="6">SUM(C26:C29)</f>
        <v>82.428571428571431</v>
      </c>
      <c r="T14" s="17">
        <f t="shared" si="6"/>
        <v>34.571428571428569</v>
      </c>
      <c r="U14" s="17">
        <f t="shared" si="6"/>
        <v>14.428571428571427</v>
      </c>
      <c r="V14" s="17">
        <f t="shared" si="6"/>
        <v>107.71428571428569</v>
      </c>
      <c r="W14" s="17">
        <f t="shared" si="6"/>
        <v>3</v>
      </c>
      <c r="X14" s="17">
        <f t="shared" si="6"/>
        <v>0.85714285714285698</v>
      </c>
      <c r="Y14" s="17">
        <f t="shared" si="6"/>
        <v>44.857142857142861</v>
      </c>
      <c r="Z14" s="17">
        <f t="shared" si="6"/>
        <v>17.428571428571431</v>
      </c>
      <c r="AA14" s="17">
        <f t="shared" si="6"/>
        <v>4.7142857142857144</v>
      </c>
      <c r="AB14" s="17">
        <f t="shared" si="6"/>
        <v>3.7142857142857144</v>
      </c>
      <c r="AC14" s="17">
        <f t="shared" si="6"/>
        <v>663.42857142857133</v>
      </c>
      <c r="AD14" s="17">
        <f t="shared" si="6"/>
        <v>0</v>
      </c>
      <c r="AE14" s="31">
        <f t="shared" si="6"/>
        <v>313.71428571428572</v>
      </c>
      <c r="AF14" s="31">
        <f t="shared" si="6"/>
        <v>977.14285714285722</v>
      </c>
    </row>
    <row r="15" spans="2:32" ht="23.1" customHeight="1" x14ac:dyDescent="0.25">
      <c r="B15" s="23" t="s">
        <v>42</v>
      </c>
      <c r="C15" s="49">
        <f>AVERAGE('22.07 Ndeeba-Nateete'!C15,'23.07 Ndeeba-Nateete'!C15,'24.07 Ndeeba-Nateete'!C15,'25.07 Ndeeba-Nateete'!C15,'26.07 Ndeeba-Nateete-24h'!C15,'27.07 Ndeeba-Nateete-24h'!C15,'28.07 Ndeeba-Nateete'!C15)</f>
        <v>19.571428571428573</v>
      </c>
      <c r="D15" s="49">
        <f>AVERAGE('22.07 Ndeeba-Nateete'!D15,'23.07 Ndeeba-Nateete'!D15,'24.07 Ndeeba-Nateete'!D15,'25.07 Ndeeba-Nateete'!D15,'26.07 Ndeeba-Nateete-24h'!D15,'27.07 Ndeeba-Nateete-24h'!D15,'28.07 Ndeeba-Nateete'!D15)</f>
        <v>8.1428571428571423</v>
      </c>
      <c r="E15" s="49">
        <f>AVERAGE('22.07 Ndeeba-Nateete'!E15,'23.07 Ndeeba-Nateete'!E15,'24.07 Ndeeba-Nateete'!E15,'25.07 Ndeeba-Nateete'!E15,'26.07 Ndeeba-Nateete-24h'!E15,'27.07 Ndeeba-Nateete-24h'!E15,'28.07 Ndeeba-Nateete'!E15)</f>
        <v>1.8571428571428572</v>
      </c>
      <c r="F15" s="49">
        <f>AVERAGE('22.07 Ndeeba-Nateete'!F15,'23.07 Ndeeba-Nateete'!F15,'24.07 Ndeeba-Nateete'!F15,'25.07 Ndeeba-Nateete'!F15,'26.07 Ndeeba-Nateete-24h'!F15,'27.07 Ndeeba-Nateete-24h'!F15,'28.07 Ndeeba-Nateete'!F15)</f>
        <v>37.428571428571431</v>
      </c>
      <c r="G15" s="49">
        <f>AVERAGE('22.07 Ndeeba-Nateete'!G15,'23.07 Ndeeba-Nateete'!G15,'24.07 Ndeeba-Nateete'!G15,'25.07 Ndeeba-Nateete'!G15,'26.07 Ndeeba-Nateete-24h'!G15,'27.07 Ndeeba-Nateete-24h'!G15,'28.07 Ndeeba-Nateete'!G15)</f>
        <v>1</v>
      </c>
      <c r="H15" s="49">
        <f>AVERAGE('22.07 Ndeeba-Nateete'!H15,'23.07 Ndeeba-Nateete'!H15,'24.07 Ndeeba-Nateete'!H15,'25.07 Ndeeba-Nateete'!H15,'26.07 Ndeeba-Nateete-24h'!H15,'27.07 Ndeeba-Nateete-24h'!H15,'28.07 Ndeeba-Nateete'!H15)</f>
        <v>0.14285714285714285</v>
      </c>
      <c r="I15" s="49">
        <f>AVERAGE('22.07 Ndeeba-Nateete'!I15,'23.07 Ndeeba-Nateete'!I15,'24.07 Ndeeba-Nateete'!I15,'25.07 Ndeeba-Nateete'!I15,'26.07 Ndeeba-Nateete-24h'!I15,'27.07 Ndeeba-Nateete-24h'!I15,'28.07 Ndeeba-Nateete'!I15)</f>
        <v>8.7142857142857135</v>
      </c>
      <c r="J15" s="49">
        <f>AVERAGE('22.07 Ndeeba-Nateete'!J15,'23.07 Ndeeba-Nateete'!J15,'24.07 Ndeeba-Nateete'!J15,'25.07 Ndeeba-Nateete'!J15,'26.07 Ndeeba-Nateete-24h'!J15,'27.07 Ndeeba-Nateete-24h'!J15,'28.07 Ndeeba-Nateete'!J15)</f>
        <v>3.4285714285714284</v>
      </c>
      <c r="K15" s="49">
        <f>AVERAGE('22.07 Ndeeba-Nateete'!K15,'23.07 Ndeeba-Nateete'!K15,'24.07 Ndeeba-Nateete'!K15,'25.07 Ndeeba-Nateete'!K15,'26.07 Ndeeba-Nateete-24h'!K15,'27.07 Ndeeba-Nateete-24h'!K15,'28.07 Ndeeba-Nateete'!K15)</f>
        <v>0.2857142857142857</v>
      </c>
      <c r="L15" s="49">
        <f>AVERAGE('22.07 Ndeeba-Nateete'!L15,'23.07 Ndeeba-Nateete'!L15,'24.07 Ndeeba-Nateete'!L15,'25.07 Ndeeba-Nateete'!L15,'26.07 Ndeeba-Nateete-24h'!L15,'27.07 Ndeeba-Nateete-24h'!L15,'28.07 Ndeeba-Nateete'!L15)</f>
        <v>0.8571428571428571</v>
      </c>
      <c r="M15" s="49">
        <f>AVERAGE('22.07 Ndeeba-Nateete'!M15,'23.07 Ndeeba-Nateete'!M15,'24.07 Ndeeba-Nateete'!M15,'25.07 Ndeeba-Nateete'!M15,'26.07 Ndeeba-Nateete-24h'!M15,'27.07 Ndeeba-Nateete-24h'!M15,'28.07 Ndeeba-Nateete'!M15)</f>
        <v>176.28571428571428</v>
      </c>
      <c r="N15" s="49">
        <f>AVERAGE('22.07 Ndeeba-Nateete'!N15,'23.07 Ndeeba-Nateete'!N15,'24.07 Ndeeba-Nateete'!N15,'25.07 Ndeeba-Nateete'!N15,'26.07 Ndeeba-Nateete-24h'!N15,'27.07 Ndeeba-Nateete-24h'!N15,'28.07 Ndeeba-Nateete'!N15)</f>
        <v>0</v>
      </c>
      <c r="O15" s="15">
        <f t="shared" si="0"/>
        <v>81.428571428571431</v>
      </c>
      <c r="P15" s="15">
        <f t="shared" si="1"/>
        <v>257.71428571428572</v>
      </c>
      <c r="R15" s="1" t="s">
        <v>11</v>
      </c>
      <c r="S15" s="17">
        <f t="shared" ref="S15:AF15" si="7">SUM(C30:C33)</f>
        <v>93.285714285714292</v>
      </c>
      <c r="T15" s="17">
        <f t="shared" si="7"/>
        <v>35.571428571428569</v>
      </c>
      <c r="U15" s="17">
        <f t="shared" si="7"/>
        <v>13.142857142857144</v>
      </c>
      <c r="V15" s="17">
        <f t="shared" si="7"/>
        <v>123.57142857142856</v>
      </c>
      <c r="W15" s="17">
        <f t="shared" si="7"/>
        <v>1.857142857142857</v>
      </c>
      <c r="X15" s="17">
        <f t="shared" si="7"/>
        <v>0.42857142857142855</v>
      </c>
      <c r="Y15" s="17">
        <f t="shared" si="7"/>
        <v>53.857142857142861</v>
      </c>
      <c r="Z15" s="17">
        <f t="shared" si="7"/>
        <v>24.285714285714285</v>
      </c>
      <c r="AA15" s="17">
        <f t="shared" si="7"/>
        <v>7.7142857142857144</v>
      </c>
      <c r="AB15" s="17">
        <f t="shared" si="7"/>
        <v>6</v>
      </c>
      <c r="AC15" s="17">
        <f t="shared" si="7"/>
        <v>637.42857142857144</v>
      </c>
      <c r="AD15" s="17">
        <f t="shared" si="7"/>
        <v>0.14285714285714285</v>
      </c>
      <c r="AE15" s="31">
        <f t="shared" si="7"/>
        <v>359.85714285714289</v>
      </c>
      <c r="AF15" s="31">
        <f t="shared" si="7"/>
        <v>997.28571428571433</v>
      </c>
    </row>
    <row r="16" spans="2:32" ht="23.1" customHeight="1" x14ac:dyDescent="0.25">
      <c r="B16" s="23" t="s">
        <v>43</v>
      </c>
      <c r="C16" s="49">
        <f>AVERAGE('22.07 Ndeeba-Nateete'!C16,'23.07 Ndeeba-Nateete'!C16,'24.07 Ndeeba-Nateete'!C16,'25.07 Ndeeba-Nateete'!C16,'26.07 Ndeeba-Nateete-24h'!C16,'27.07 Ndeeba-Nateete-24h'!C16,'28.07 Ndeeba-Nateete'!C16)</f>
        <v>15.142857142857142</v>
      </c>
      <c r="D16" s="49">
        <f>AVERAGE('22.07 Ndeeba-Nateete'!D16,'23.07 Ndeeba-Nateete'!D16,'24.07 Ndeeba-Nateete'!D16,'25.07 Ndeeba-Nateete'!D16,'26.07 Ndeeba-Nateete-24h'!D16,'27.07 Ndeeba-Nateete-24h'!D16,'28.07 Ndeeba-Nateete'!D16)</f>
        <v>9.8571428571428577</v>
      </c>
      <c r="E16" s="49">
        <f>AVERAGE('22.07 Ndeeba-Nateete'!E16,'23.07 Ndeeba-Nateete'!E16,'24.07 Ndeeba-Nateete'!E16,'25.07 Ndeeba-Nateete'!E16,'26.07 Ndeeba-Nateete-24h'!E16,'27.07 Ndeeba-Nateete-24h'!E16,'28.07 Ndeeba-Nateete'!E16)</f>
        <v>3.2857142857142856</v>
      </c>
      <c r="F16" s="49">
        <f>AVERAGE('22.07 Ndeeba-Nateete'!F16,'23.07 Ndeeba-Nateete'!F16,'24.07 Ndeeba-Nateete'!F16,'25.07 Ndeeba-Nateete'!F16,'26.07 Ndeeba-Nateete-24h'!F16,'27.07 Ndeeba-Nateete-24h'!F16,'28.07 Ndeeba-Nateete'!F16)</f>
        <v>36.428571428571431</v>
      </c>
      <c r="G16" s="49">
        <f>AVERAGE('22.07 Ndeeba-Nateete'!G16,'23.07 Ndeeba-Nateete'!G16,'24.07 Ndeeba-Nateete'!G16,'25.07 Ndeeba-Nateete'!G16,'26.07 Ndeeba-Nateete-24h'!G16,'27.07 Ndeeba-Nateete-24h'!G16,'28.07 Ndeeba-Nateete'!G16)</f>
        <v>0.8571428571428571</v>
      </c>
      <c r="H16" s="49">
        <f>AVERAGE('22.07 Ndeeba-Nateete'!H16,'23.07 Ndeeba-Nateete'!H16,'24.07 Ndeeba-Nateete'!H16,'25.07 Ndeeba-Nateete'!H16,'26.07 Ndeeba-Nateete-24h'!H16,'27.07 Ndeeba-Nateete-24h'!H16,'28.07 Ndeeba-Nateete'!H16)</f>
        <v>0</v>
      </c>
      <c r="I16" s="49">
        <f>AVERAGE('22.07 Ndeeba-Nateete'!I16,'23.07 Ndeeba-Nateete'!I16,'24.07 Ndeeba-Nateete'!I16,'25.07 Ndeeba-Nateete'!I16,'26.07 Ndeeba-Nateete-24h'!I16,'27.07 Ndeeba-Nateete-24h'!I16,'28.07 Ndeeba-Nateete'!I16)</f>
        <v>8.8571428571428577</v>
      </c>
      <c r="J16" s="49">
        <f>AVERAGE('22.07 Ndeeba-Nateete'!J16,'23.07 Ndeeba-Nateete'!J16,'24.07 Ndeeba-Nateete'!J16,'25.07 Ndeeba-Nateete'!J16,'26.07 Ndeeba-Nateete-24h'!J16,'27.07 Ndeeba-Nateete-24h'!J16,'28.07 Ndeeba-Nateete'!J16)</f>
        <v>2.8571428571428572</v>
      </c>
      <c r="K16" s="49">
        <f>AVERAGE('22.07 Ndeeba-Nateete'!K16,'23.07 Ndeeba-Nateete'!K16,'24.07 Ndeeba-Nateete'!K16,'25.07 Ndeeba-Nateete'!K16,'26.07 Ndeeba-Nateete-24h'!K16,'27.07 Ndeeba-Nateete-24h'!K16,'28.07 Ndeeba-Nateete'!K16)</f>
        <v>2.5714285714285716</v>
      </c>
      <c r="L16" s="49">
        <f>AVERAGE('22.07 Ndeeba-Nateete'!L16,'23.07 Ndeeba-Nateete'!L16,'24.07 Ndeeba-Nateete'!L16,'25.07 Ndeeba-Nateete'!L16,'26.07 Ndeeba-Nateete-24h'!L16,'27.07 Ndeeba-Nateete-24h'!L16,'28.07 Ndeeba-Nateete'!L16)</f>
        <v>0.2857142857142857</v>
      </c>
      <c r="M16" s="49">
        <f>AVERAGE('22.07 Ndeeba-Nateete'!M16,'23.07 Ndeeba-Nateete'!M16,'24.07 Ndeeba-Nateete'!M16,'25.07 Ndeeba-Nateete'!M16,'26.07 Ndeeba-Nateete-24h'!M16,'27.07 Ndeeba-Nateete-24h'!M16,'28.07 Ndeeba-Nateete'!M16)</f>
        <v>177.85714285714286</v>
      </c>
      <c r="N16" s="49">
        <f>AVERAGE('22.07 Ndeeba-Nateete'!N16,'23.07 Ndeeba-Nateete'!N16,'24.07 Ndeeba-Nateete'!N16,'25.07 Ndeeba-Nateete'!N16,'26.07 Ndeeba-Nateete-24h'!N16,'27.07 Ndeeba-Nateete-24h'!N16,'28.07 Ndeeba-Nateete'!N16)</f>
        <v>0</v>
      </c>
      <c r="O16" s="15">
        <f t="shared" si="0"/>
        <v>80.142857142857167</v>
      </c>
      <c r="P16" s="15">
        <f t="shared" si="1"/>
        <v>258</v>
      </c>
      <c r="R16" s="1" t="s">
        <v>12</v>
      </c>
      <c r="S16" s="17">
        <f t="shared" ref="S16:AF16" si="8">SUM(C34:C37)</f>
        <v>77</v>
      </c>
      <c r="T16" s="17">
        <f t="shared" si="8"/>
        <v>24.714285714285715</v>
      </c>
      <c r="U16" s="17">
        <f t="shared" si="8"/>
        <v>14.857142857142858</v>
      </c>
      <c r="V16" s="17">
        <f t="shared" si="8"/>
        <v>109</v>
      </c>
      <c r="W16" s="17">
        <f t="shared" si="8"/>
        <v>1.4285714285714284</v>
      </c>
      <c r="X16" s="17">
        <f t="shared" si="8"/>
        <v>1</v>
      </c>
      <c r="Y16" s="17">
        <f t="shared" si="8"/>
        <v>44.285714285714285</v>
      </c>
      <c r="Z16" s="17">
        <f t="shared" si="8"/>
        <v>16.857142857142861</v>
      </c>
      <c r="AA16" s="17">
        <f t="shared" si="8"/>
        <v>4.8571428571428568</v>
      </c>
      <c r="AB16" s="17">
        <f t="shared" si="8"/>
        <v>2.4285714285714284</v>
      </c>
      <c r="AC16" s="17">
        <f t="shared" si="8"/>
        <v>603.14285714285711</v>
      </c>
      <c r="AD16" s="17">
        <f t="shared" si="8"/>
        <v>0</v>
      </c>
      <c r="AE16" s="31">
        <f t="shared" si="8"/>
        <v>296.42857142857144</v>
      </c>
      <c r="AF16" s="31">
        <f t="shared" si="8"/>
        <v>899.57142857142856</v>
      </c>
    </row>
    <row r="17" spans="2:32" ht="23.1" customHeight="1" x14ac:dyDescent="0.25">
      <c r="B17" s="23" t="s">
        <v>44</v>
      </c>
      <c r="C17" s="49">
        <f>AVERAGE('22.07 Ndeeba-Nateete'!C17,'23.07 Ndeeba-Nateete'!C17,'24.07 Ndeeba-Nateete'!C17,'25.07 Ndeeba-Nateete'!C17,'26.07 Ndeeba-Nateete-24h'!C17,'27.07 Ndeeba-Nateete-24h'!C17,'28.07 Ndeeba-Nateete'!C17)</f>
        <v>25.285714285714285</v>
      </c>
      <c r="D17" s="49">
        <f>AVERAGE('22.07 Ndeeba-Nateete'!D17,'23.07 Ndeeba-Nateete'!D17,'24.07 Ndeeba-Nateete'!D17,'25.07 Ndeeba-Nateete'!D17,'26.07 Ndeeba-Nateete-24h'!D17,'27.07 Ndeeba-Nateete-24h'!D17,'28.07 Ndeeba-Nateete'!D17)</f>
        <v>5.7142857142857144</v>
      </c>
      <c r="E17" s="49">
        <f>AVERAGE('22.07 Ndeeba-Nateete'!E17,'23.07 Ndeeba-Nateete'!E17,'24.07 Ndeeba-Nateete'!E17,'25.07 Ndeeba-Nateete'!E17,'26.07 Ndeeba-Nateete-24h'!E17,'27.07 Ndeeba-Nateete-24h'!E17,'28.07 Ndeeba-Nateete'!E17)</f>
        <v>3.1428571428571428</v>
      </c>
      <c r="F17" s="49">
        <f>AVERAGE('22.07 Ndeeba-Nateete'!F17,'23.07 Ndeeba-Nateete'!F17,'24.07 Ndeeba-Nateete'!F17,'25.07 Ndeeba-Nateete'!F17,'26.07 Ndeeba-Nateete-24h'!F17,'27.07 Ndeeba-Nateete-24h'!F17,'28.07 Ndeeba-Nateete'!F17)</f>
        <v>40.571428571428569</v>
      </c>
      <c r="G17" s="49">
        <f>AVERAGE('22.07 Ndeeba-Nateete'!G17,'23.07 Ndeeba-Nateete'!G17,'24.07 Ndeeba-Nateete'!G17,'25.07 Ndeeba-Nateete'!G17,'26.07 Ndeeba-Nateete-24h'!G17,'27.07 Ndeeba-Nateete-24h'!G17,'28.07 Ndeeba-Nateete'!G17)</f>
        <v>1.1428571428571428</v>
      </c>
      <c r="H17" s="49">
        <f>AVERAGE('22.07 Ndeeba-Nateete'!H17,'23.07 Ndeeba-Nateete'!H17,'24.07 Ndeeba-Nateete'!H17,'25.07 Ndeeba-Nateete'!H17,'26.07 Ndeeba-Nateete-24h'!H17,'27.07 Ndeeba-Nateete-24h'!H17,'28.07 Ndeeba-Nateete'!H17)</f>
        <v>0</v>
      </c>
      <c r="I17" s="49">
        <f>AVERAGE('22.07 Ndeeba-Nateete'!I17,'23.07 Ndeeba-Nateete'!I17,'24.07 Ndeeba-Nateete'!I17,'25.07 Ndeeba-Nateete'!I17,'26.07 Ndeeba-Nateete-24h'!I17,'27.07 Ndeeba-Nateete-24h'!I17,'28.07 Ndeeba-Nateete'!I17)</f>
        <v>11</v>
      </c>
      <c r="J17" s="49">
        <f>AVERAGE('22.07 Ndeeba-Nateete'!J17,'23.07 Ndeeba-Nateete'!J17,'24.07 Ndeeba-Nateete'!J17,'25.07 Ndeeba-Nateete'!J17,'26.07 Ndeeba-Nateete-24h'!J17,'27.07 Ndeeba-Nateete-24h'!J17,'28.07 Ndeeba-Nateete'!J17)</f>
        <v>4.8571428571428568</v>
      </c>
      <c r="K17" s="49">
        <f>AVERAGE('22.07 Ndeeba-Nateete'!K17,'23.07 Ndeeba-Nateete'!K17,'24.07 Ndeeba-Nateete'!K17,'25.07 Ndeeba-Nateete'!K17,'26.07 Ndeeba-Nateete-24h'!K17,'27.07 Ndeeba-Nateete-24h'!K17,'28.07 Ndeeba-Nateete'!K17)</f>
        <v>0.42857142857142855</v>
      </c>
      <c r="L17" s="49">
        <f>AVERAGE('22.07 Ndeeba-Nateete'!L17,'23.07 Ndeeba-Nateete'!L17,'24.07 Ndeeba-Nateete'!L17,'25.07 Ndeeba-Nateete'!L17,'26.07 Ndeeba-Nateete-24h'!L17,'27.07 Ndeeba-Nateete-24h'!L17,'28.07 Ndeeba-Nateete'!L17)</f>
        <v>0.14285714285714285</v>
      </c>
      <c r="M17" s="49">
        <f>AVERAGE('22.07 Ndeeba-Nateete'!M17,'23.07 Ndeeba-Nateete'!M17,'24.07 Ndeeba-Nateete'!M17,'25.07 Ndeeba-Nateete'!M17,'26.07 Ndeeba-Nateete-24h'!M17,'27.07 Ndeeba-Nateete-24h'!M17,'28.07 Ndeeba-Nateete'!M17)</f>
        <v>227.28571428571428</v>
      </c>
      <c r="N17" s="49">
        <f>AVERAGE('22.07 Ndeeba-Nateete'!N17,'23.07 Ndeeba-Nateete'!N17,'24.07 Ndeeba-Nateete'!N17,'25.07 Ndeeba-Nateete'!N17,'26.07 Ndeeba-Nateete-24h'!N17,'27.07 Ndeeba-Nateete-24h'!N17,'28.07 Ndeeba-Nateete'!N17)</f>
        <v>0</v>
      </c>
      <c r="O17" s="15">
        <f t="shared" si="0"/>
        <v>92.285714285714292</v>
      </c>
      <c r="P17" s="15">
        <f t="shared" si="1"/>
        <v>319.57142857142856</v>
      </c>
      <c r="R17" s="1" t="s">
        <v>13</v>
      </c>
      <c r="S17" s="17">
        <f t="shared" ref="S17:AF17" si="9">SUM(C38:C41)</f>
        <v>103.85714285714286</v>
      </c>
      <c r="T17" s="17">
        <f t="shared" si="9"/>
        <v>35.428571428571431</v>
      </c>
      <c r="U17" s="17">
        <f t="shared" si="9"/>
        <v>15.142857142857142</v>
      </c>
      <c r="V17" s="17">
        <f t="shared" si="9"/>
        <v>98.714285714285708</v>
      </c>
      <c r="W17" s="17">
        <f t="shared" si="9"/>
        <v>2.4285714285714284</v>
      </c>
      <c r="X17" s="17">
        <f t="shared" si="9"/>
        <v>0.14285714285714285</v>
      </c>
      <c r="Y17" s="17">
        <f t="shared" si="9"/>
        <v>46</v>
      </c>
      <c r="Z17" s="17">
        <f t="shared" si="9"/>
        <v>29.428571428571431</v>
      </c>
      <c r="AA17" s="17">
        <f t="shared" si="9"/>
        <v>6.1428571428571423</v>
      </c>
      <c r="AB17" s="17">
        <f t="shared" si="9"/>
        <v>2.8571428571428568</v>
      </c>
      <c r="AC17" s="17">
        <f t="shared" si="9"/>
        <v>532.28571428571422</v>
      </c>
      <c r="AD17" s="17">
        <f t="shared" si="9"/>
        <v>0</v>
      </c>
      <c r="AE17" s="31">
        <f t="shared" si="9"/>
        <v>340.14285714285722</v>
      </c>
      <c r="AF17" s="31">
        <f t="shared" si="9"/>
        <v>872.42857142857144</v>
      </c>
    </row>
    <row r="18" spans="2:32" ht="23.1" customHeight="1" x14ac:dyDescent="0.25">
      <c r="B18" s="23" t="s">
        <v>45</v>
      </c>
      <c r="C18" s="49">
        <f>AVERAGE('22.07 Ndeeba-Nateete'!C18,'23.07 Ndeeba-Nateete'!C18,'24.07 Ndeeba-Nateete'!C18,'25.07 Ndeeba-Nateete'!C18,'26.07 Ndeeba-Nateete-24h'!C18,'27.07 Ndeeba-Nateete-24h'!C18,'28.07 Ndeeba-Nateete'!C18)</f>
        <v>20.857142857142858</v>
      </c>
      <c r="D18" s="49">
        <f>AVERAGE('22.07 Ndeeba-Nateete'!D18,'23.07 Ndeeba-Nateete'!D18,'24.07 Ndeeba-Nateete'!D18,'25.07 Ndeeba-Nateete'!D18,'26.07 Ndeeba-Nateete-24h'!D18,'27.07 Ndeeba-Nateete-24h'!D18,'28.07 Ndeeba-Nateete'!D18)</f>
        <v>8.5714285714285712</v>
      </c>
      <c r="E18" s="49">
        <f>AVERAGE('22.07 Ndeeba-Nateete'!E18,'23.07 Ndeeba-Nateete'!E18,'24.07 Ndeeba-Nateete'!E18,'25.07 Ndeeba-Nateete'!E18,'26.07 Ndeeba-Nateete-24h'!E18,'27.07 Ndeeba-Nateete-24h'!E18,'28.07 Ndeeba-Nateete'!E18)</f>
        <v>2</v>
      </c>
      <c r="F18" s="49">
        <f>AVERAGE('22.07 Ndeeba-Nateete'!F18,'23.07 Ndeeba-Nateete'!F18,'24.07 Ndeeba-Nateete'!F18,'25.07 Ndeeba-Nateete'!F18,'26.07 Ndeeba-Nateete-24h'!F18,'27.07 Ndeeba-Nateete-24h'!F18,'28.07 Ndeeba-Nateete'!F18)</f>
        <v>49</v>
      </c>
      <c r="G18" s="49">
        <f>AVERAGE('22.07 Ndeeba-Nateete'!G18,'23.07 Ndeeba-Nateete'!G18,'24.07 Ndeeba-Nateete'!G18,'25.07 Ndeeba-Nateete'!G18,'26.07 Ndeeba-Nateete-24h'!G18,'27.07 Ndeeba-Nateete-24h'!G18,'28.07 Ndeeba-Nateete'!G18)</f>
        <v>0.5714285714285714</v>
      </c>
      <c r="H18" s="49">
        <f>AVERAGE('22.07 Ndeeba-Nateete'!H18,'23.07 Ndeeba-Nateete'!H18,'24.07 Ndeeba-Nateete'!H18,'25.07 Ndeeba-Nateete'!H18,'26.07 Ndeeba-Nateete-24h'!H18,'27.07 Ndeeba-Nateete-24h'!H18,'28.07 Ndeeba-Nateete'!H18)</f>
        <v>0</v>
      </c>
      <c r="I18" s="49">
        <f>AVERAGE('22.07 Ndeeba-Nateete'!I18,'23.07 Ndeeba-Nateete'!I18,'24.07 Ndeeba-Nateete'!I18,'25.07 Ndeeba-Nateete'!I18,'26.07 Ndeeba-Nateete-24h'!I18,'27.07 Ndeeba-Nateete-24h'!I18,'28.07 Ndeeba-Nateete'!I18)</f>
        <v>15.857142857142858</v>
      </c>
      <c r="J18" s="49">
        <f>AVERAGE('22.07 Ndeeba-Nateete'!J18,'23.07 Ndeeba-Nateete'!J18,'24.07 Ndeeba-Nateete'!J18,'25.07 Ndeeba-Nateete'!J18,'26.07 Ndeeba-Nateete-24h'!J18,'27.07 Ndeeba-Nateete-24h'!J18,'28.07 Ndeeba-Nateete'!J18)</f>
        <v>2.5714285714285716</v>
      </c>
      <c r="K18" s="49">
        <f>AVERAGE('22.07 Ndeeba-Nateete'!K18,'23.07 Ndeeba-Nateete'!K18,'24.07 Ndeeba-Nateete'!K18,'25.07 Ndeeba-Nateete'!K18,'26.07 Ndeeba-Nateete-24h'!K18,'27.07 Ndeeba-Nateete-24h'!K18,'28.07 Ndeeba-Nateete'!K18)</f>
        <v>0.14285714285714285</v>
      </c>
      <c r="L18" s="49">
        <f>AVERAGE('22.07 Ndeeba-Nateete'!L18,'23.07 Ndeeba-Nateete'!L18,'24.07 Ndeeba-Nateete'!L18,'25.07 Ndeeba-Nateete'!L18,'26.07 Ndeeba-Nateete-24h'!L18,'27.07 Ndeeba-Nateete-24h'!L18,'28.07 Ndeeba-Nateete'!L18)</f>
        <v>0.14285714285714285</v>
      </c>
      <c r="M18" s="49">
        <f>AVERAGE('22.07 Ndeeba-Nateete'!M18,'23.07 Ndeeba-Nateete'!M18,'24.07 Ndeeba-Nateete'!M18,'25.07 Ndeeba-Nateete'!M18,'26.07 Ndeeba-Nateete-24h'!M18,'27.07 Ndeeba-Nateete-24h'!M18,'28.07 Ndeeba-Nateete'!M18)</f>
        <v>220.57142857142858</v>
      </c>
      <c r="N18" s="49">
        <f>AVERAGE('22.07 Ndeeba-Nateete'!N18,'23.07 Ndeeba-Nateete'!N18,'24.07 Ndeeba-Nateete'!N18,'25.07 Ndeeba-Nateete'!N18,'26.07 Ndeeba-Nateete-24h'!N18,'27.07 Ndeeba-Nateete-24h'!N18,'28.07 Ndeeba-Nateete'!N18)</f>
        <v>0</v>
      </c>
      <c r="O18" s="15">
        <f t="shared" si="0"/>
        <v>99.714285714285708</v>
      </c>
      <c r="P18" s="15">
        <f t="shared" si="1"/>
        <v>320.28571428571428</v>
      </c>
      <c r="R18" s="1" t="s">
        <v>14</v>
      </c>
      <c r="S18" s="17">
        <f t="shared" ref="S18:AF18" si="10">SUM(C42:C45)</f>
        <v>83.142857142857139</v>
      </c>
      <c r="T18" s="17">
        <f t="shared" si="10"/>
        <v>26.714285714285715</v>
      </c>
      <c r="U18" s="17">
        <f t="shared" si="10"/>
        <v>12.428571428571431</v>
      </c>
      <c r="V18" s="17">
        <f t="shared" si="10"/>
        <v>79.857142857142861</v>
      </c>
      <c r="W18" s="17">
        <f t="shared" si="10"/>
        <v>1.9999999999999998</v>
      </c>
      <c r="X18" s="17">
        <f t="shared" si="10"/>
        <v>0.14285714285714285</v>
      </c>
      <c r="Y18" s="17">
        <f t="shared" si="10"/>
        <v>36.142857142857139</v>
      </c>
      <c r="Z18" s="17">
        <f t="shared" si="10"/>
        <v>25.571428571428573</v>
      </c>
      <c r="AA18" s="17">
        <f t="shared" si="10"/>
        <v>9.1428571428571423</v>
      </c>
      <c r="AB18" s="17">
        <f t="shared" si="10"/>
        <v>2.4285714285714284</v>
      </c>
      <c r="AC18" s="17">
        <f t="shared" si="10"/>
        <v>465.00000000000006</v>
      </c>
      <c r="AD18" s="17">
        <f t="shared" si="10"/>
        <v>0</v>
      </c>
      <c r="AE18" s="31">
        <f t="shared" si="10"/>
        <v>277.57142857142856</v>
      </c>
      <c r="AF18" s="31">
        <f t="shared" si="10"/>
        <v>742.57142857142844</v>
      </c>
    </row>
    <row r="19" spans="2:32" ht="23.1" customHeight="1" x14ac:dyDescent="0.25">
      <c r="B19" s="23" t="s">
        <v>46</v>
      </c>
      <c r="C19" s="49">
        <f>AVERAGE('22.07 Ndeeba-Nateete'!C19,'23.07 Ndeeba-Nateete'!C19,'24.07 Ndeeba-Nateete'!C19,'25.07 Ndeeba-Nateete'!C19,'26.07 Ndeeba-Nateete-24h'!C19,'27.07 Ndeeba-Nateete-24h'!C19,'28.07 Ndeeba-Nateete'!C19)</f>
        <v>26.428571428571427</v>
      </c>
      <c r="D19" s="49">
        <f>AVERAGE('22.07 Ndeeba-Nateete'!D19,'23.07 Ndeeba-Nateete'!D19,'24.07 Ndeeba-Nateete'!D19,'25.07 Ndeeba-Nateete'!D19,'26.07 Ndeeba-Nateete-24h'!D19,'27.07 Ndeeba-Nateete-24h'!D19,'28.07 Ndeeba-Nateete'!D19)</f>
        <v>7.2857142857142856</v>
      </c>
      <c r="E19" s="49">
        <f>AVERAGE('22.07 Ndeeba-Nateete'!E19,'23.07 Ndeeba-Nateete'!E19,'24.07 Ndeeba-Nateete'!E19,'25.07 Ndeeba-Nateete'!E19,'26.07 Ndeeba-Nateete-24h'!E19,'27.07 Ndeeba-Nateete-24h'!E19,'28.07 Ndeeba-Nateete'!E19)</f>
        <v>2.4285714285714284</v>
      </c>
      <c r="F19" s="49">
        <f>AVERAGE('22.07 Ndeeba-Nateete'!F19,'23.07 Ndeeba-Nateete'!F19,'24.07 Ndeeba-Nateete'!F19,'25.07 Ndeeba-Nateete'!F19,'26.07 Ndeeba-Nateete-24h'!F19,'27.07 Ndeeba-Nateete-24h'!F19,'28.07 Ndeeba-Nateete'!F19)</f>
        <v>40.428571428571431</v>
      </c>
      <c r="G19" s="49">
        <f>AVERAGE('22.07 Ndeeba-Nateete'!G19,'23.07 Ndeeba-Nateete'!G19,'24.07 Ndeeba-Nateete'!G19,'25.07 Ndeeba-Nateete'!G19,'26.07 Ndeeba-Nateete-24h'!G19,'27.07 Ndeeba-Nateete-24h'!G19,'28.07 Ndeeba-Nateete'!G19)</f>
        <v>3.2857142857142856</v>
      </c>
      <c r="H19" s="49">
        <f>AVERAGE('22.07 Ndeeba-Nateete'!H19,'23.07 Ndeeba-Nateete'!H19,'24.07 Ndeeba-Nateete'!H19,'25.07 Ndeeba-Nateete'!H19,'26.07 Ndeeba-Nateete-24h'!H19,'27.07 Ndeeba-Nateete-24h'!H19,'28.07 Ndeeba-Nateete'!H19)</f>
        <v>0.2857142857142857</v>
      </c>
      <c r="I19" s="49">
        <f>AVERAGE('22.07 Ndeeba-Nateete'!I19,'23.07 Ndeeba-Nateete'!I19,'24.07 Ndeeba-Nateete'!I19,'25.07 Ndeeba-Nateete'!I19,'26.07 Ndeeba-Nateete-24h'!I19,'27.07 Ndeeba-Nateete-24h'!I19,'28.07 Ndeeba-Nateete'!I19)</f>
        <v>13.428571428571429</v>
      </c>
      <c r="J19" s="49">
        <f>AVERAGE('22.07 Ndeeba-Nateete'!J19,'23.07 Ndeeba-Nateete'!J19,'24.07 Ndeeba-Nateete'!J19,'25.07 Ndeeba-Nateete'!J19,'26.07 Ndeeba-Nateete-24h'!J19,'27.07 Ndeeba-Nateete-24h'!J19,'28.07 Ndeeba-Nateete'!J19)</f>
        <v>3.7142857142857144</v>
      </c>
      <c r="K19" s="49">
        <f>AVERAGE('22.07 Ndeeba-Nateete'!K19,'23.07 Ndeeba-Nateete'!K19,'24.07 Ndeeba-Nateete'!K19,'25.07 Ndeeba-Nateete'!K19,'26.07 Ndeeba-Nateete-24h'!K19,'27.07 Ndeeba-Nateete-24h'!K19,'28.07 Ndeeba-Nateete'!K19)</f>
        <v>0.42857142857142855</v>
      </c>
      <c r="L19" s="49">
        <f>AVERAGE('22.07 Ndeeba-Nateete'!L19,'23.07 Ndeeba-Nateete'!L19,'24.07 Ndeeba-Nateete'!L19,'25.07 Ndeeba-Nateete'!L19,'26.07 Ndeeba-Nateete-24h'!L19,'27.07 Ndeeba-Nateete-24h'!L19,'28.07 Ndeeba-Nateete'!L19)</f>
        <v>0.42857142857142855</v>
      </c>
      <c r="M19" s="49">
        <f>AVERAGE('22.07 Ndeeba-Nateete'!M19,'23.07 Ndeeba-Nateete'!M19,'24.07 Ndeeba-Nateete'!M19,'25.07 Ndeeba-Nateete'!M19,'26.07 Ndeeba-Nateete-24h'!M19,'27.07 Ndeeba-Nateete-24h'!M19,'28.07 Ndeeba-Nateete'!M19)</f>
        <v>184</v>
      </c>
      <c r="N19" s="49">
        <f>AVERAGE('22.07 Ndeeba-Nateete'!N19,'23.07 Ndeeba-Nateete'!N19,'24.07 Ndeeba-Nateete'!N19,'25.07 Ndeeba-Nateete'!N19,'26.07 Ndeeba-Nateete-24h'!N19,'27.07 Ndeeba-Nateete-24h'!N19,'28.07 Ndeeba-Nateete'!N19)</f>
        <v>0</v>
      </c>
      <c r="O19" s="15">
        <f t="shared" si="0"/>
        <v>98.142857142857167</v>
      </c>
      <c r="P19" s="15">
        <f t="shared" si="1"/>
        <v>282.14285714285717</v>
      </c>
      <c r="R19" s="1" t="s">
        <v>15</v>
      </c>
      <c r="S19" s="17">
        <f t="shared" ref="S19:AF19" si="11">SUM(C46:C49)</f>
        <v>95.428571428571431</v>
      </c>
      <c r="T19" s="17">
        <f t="shared" si="11"/>
        <v>35.428571428571423</v>
      </c>
      <c r="U19" s="17">
        <f t="shared" si="11"/>
        <v>14.714285714285714</v>
      </c>
      <c r="V19" s="17">
        <f t="shared" si="11"/>
        <v>104.71428571428572</v>
      </c>
      <c r="W19" s="17">
        <f t="shared" si="11"/>
        <v>2.7142857142857144</v>
      </c>
      <c r="X19" s="17">
        <f t="shared" si="11"/>
        <v>1.4285714285714284</v>
      </c>
      <c r="Y19" s="17">
        <f t="shared" si="11"/>
        <v>41.285714285714285</v>
      </c>
      <c r="Z19" s="17">
        <f t="shared" si="11"/>
        <v>24.571428571428569</v>
      </c>
      <c r="AA19" s="17">
        <f t="shared" si="11"/>
        <v>5</v>
      </c>
      <c r="AB19" s="17">
        <f t="shared" si="11"/>
        <v>2.8571428571428568</v>
      </c>
      <c r="AC19" s="17">
        <f t="shared" si="11"/>
        <v>496.28571428571433</v>
      </c>
      <c r="AD19" s="17">
        <f t="shared" si="11"/>
        <v>0</v>
      </c>
      <c r="AE19" s="31">
        <f t="shared" si="11"/>
        <v>328.14285714285711</v>
      </c>
      <c r="AF19" s="31">
        <f t="shared" si="11"/>
        <v>824.42857142857144</v>
      </c>
    </row>
    <row r="20" spans="2:32" ht="23.1" customHeight="1" x14ac:dyDescent="0.25">
      <c r="B20" s="23" t="s">
        <v>47</v>
      </c>
      <c r="C20" s="49">
        <f>AVERAGE('22.07 Ndeeba-Nateete'!C20,'23.07 Ndeeba-Nateete'!C20,'24.07 Ndeeba-Nateete'!C20,'25.07 Ndeeba-Nateete'!C20,'26.07 Ndeeba-Nateete-24h'!C20,'27.07 Ndeeba-Nateete-24h'!C20,'28.07 Ndeeba-Nateete'!C20)</f>
        <v>25.571428571428573</v>
      </c>
      <c r="D20" s="49">
        <f>AVERAGE('22.07 Ndeeba-Nateete'!D20,'23.07 Ndeeba-Nateete'!D20,'24.07 Ndeeba-Nateete'!D20,'25.07 Ndeeba-Nateete'!D20,'26.07 Ndeeba-Nateete-24h'!D20,'27.07 Ndeeba-Nateete-24h'!D20,'28.07 Ndeeba-Nateete'!D20)</f>
        <v>9.8571428571428577</v>
      </c>
      <c r="E20" s="49">
        <f>AVERAGE('22.07 Ndeeba-Nateete'!E20,'23.07 Ndeeba-Nateete'!E20,'24.07 Ndeeba-Nateete'!E20,'25.07 Ndeeba-Nateete'!E20,'26.07 Ndeeba-Nateete-24h'!E20,'27.07 Ndeeba-Nateete-24h'!E20,'28.07 Ndeeba-Nateete'!E20)</f>
        <v>2.5714285714285716</v>
      </c>
      <c r="F20" s="49">
        <f>AVERAGE('22.07 Ndeeba-Nateete'!F20,'23.07 Ndeeba-Nateete'!F20,'24.07 Ndeeba-Nateete'!F20,'25.07 Ndeeba-Nateete'!F20,'26.07 Ndeeba-Nateete-24h'!F20,'27.07 Ndeeba-Nateete-24h'!F20,'28.07 Ndeeba-Nateete'!F20)</f>
        <v>42.714285714285715</v>
      </c>
      <c r="G20" s="49">
        <f>AVERAGE('22.07 Ndeeba-Nateete'!G20,'23.07 Ndeeba-Nateete'!G20,'24.07 Ndeeba-Nateete'!G20,'25.07 Ndeeba-Nateete'!G20,'26.07 Ndeeba-Nateete-24h'!G20,'27.07 Ndeeba-Nateete-24h'!G20,'28.07 Ndeeba-Nateete'!G20)</f>
        <v>1</v>
      </c>
      <c r="H20" s="49">
        <f>AVERAGE('22.07 Ndeeba-Nateete'!H20,'23.07 Ndeeba-Nateete'!H20,'24.07 Ndeeba-Nateete'!H20,'25.07 Ndeeba-Nateete'!H20,'26.07 Ndeeba-Nateete-24h'!H20,'27.07 Ndeeba-Nateete-24h'!H20,'28.07 Ndeeba-Nateete'!H20)</f>
        <v>0.14285714285714285</v>
      </c>
      <c r="I20" s="49">
        <f>AVERAGE('22.07 Ndeeba-Nateete'!I20,'23.07 Ndeeba-Nateete'!I20,'24.07 Ndeeba-Nateete'!I20,'25.07 Ndeeba-Nateete'!I20,'26.07 Ndeeba-Nateete-24h'!I20,'27.07 Ndeeba-Nateete-24h'!I20,'28.07 Ndeeba-Nateete'!I20)</f>
        <v>11.857142857142858</v>
      </c>
      <c r="J20" s="49">
        <f>AVERAGE('22.07 Ndeeba-Nateete'!J20,'23.07 Ndeeba-Nateete'!J20,'24.07 Ndeeba-Nateete'!J20,'25.07 Ndeeba-Nateete'!J20,'26.07 Ndeeba-Nateete-24h'!J20,'27.07 Ndeeba-Nateete-24h'!J20,'28.07 Ndeeba-Nateete'!J20)</f>
        <v>5.4285714285714288</v>
      </c>
      <c r="K20" s="49">
        <f>AVERAGE('22.07 Ndeeba-Nateete'!K20,'23.07 Ndeeba-Nateete'!K20,'24.07 Ndeeba-Nateete'!K20,'25.07 Ndeeba-Nateete'!K20,'26.07 Ndeeba-Nateete-24h'!K20,'27.07 Ndeeba-Nateete-24h'!K20,'28.07 Ndeeba-Nateete'!K20)</f>
        <v>0.5714285714285714</v>
      </c>
      <c r="L20" s="49">
        <f>AVERAGE('22.07 Ndeeba-Nateete'!L20,'23.07 Ndeeba-Nateete'!L20,'24.07 Ndeeba-Nateete'!L20,'25.07 Ndeeba-Nateete'!L20,'26.07 Ndeeba-Nateete-24h'!L20,'27.07 Ndeeba-Nateete-24h'!L20,'28.07 Ndeeba-Nateete'!L20)</f>
        <v>0.7142857142857143</v>
      </c>
      <c r="M20" s="49">
        <f>AVERAGE('22.07 Ndeeba-Nateete'!M20,'23.07 Ndeeba-Nateete'!M20,'24.07 Ndeeba-Nateete'!M20,'25.07 Ndeeba-Nateete'!M20,'26.07 Ndeeba-Nateete-24h'!M20,'27.07 Ndeeba-Nateete-24h'!M20,'28.07 Ndeeba-Nateete'!M20)</f>
        <v>180</v>
      </c>
      <c r="N20" s="49">
        <f>AVERAGE('22.07 Ndeeba-Nateete'!N20,'23.07 Ndeeba-Nateete'!N20,'24.07 Ndeeba-Nateete'!N20,'25.07 Ndeeba-Nateete'!N20,'26.07 Ndeeba-Nateete-24h'!N20,'27.07 Ndeeba-Nateete-24h'!N20,'28.07 Ndeeba-Nateete'!N20)</f>
        <v>0</v>
      </c>
      <c r="O20" s="15">
        <f t="shared" si="0"/>
        <v>100.42857142857143</v>
      </c>
      <c r="P20" s="15">
        <f t="shared" si="1"/>
        <v>280.42857142857144</v>
      </c>
      <c r="R20" s="1" t="s">
        <v>16</v>
      </c>
      <c r="S20" s="17">
        <f t="shared" ref="S20:AF20" si="12">SUM(C50:C53)</f>
        <v>95.142857142857139</v>
      </c>
      <c r="T20" s="17">
        <f t="shared" si="12"/>
        <v>40.142857142857146</v>
      </c>
      <c r="U20" s="17">
        <f t="shared" si="12"/>
        <v>18</v>
      </c>
      <c r="V20" s="17">
        <f t="shared" si="12"/>
        <v>101.57142857142858</v>
      </c>
      <c r="W20" s="17">
        <f t="shared" si="12"/>
        <v>1.857142857142857</v>
      </c>
      <c r="X20" s="17">
        <f t="shared" si="12"/>
        <v>2.9999999999999996</v>
      </c>
      <c r="Y20" s="17">
        <f t="shared" si="12"/>
        <v>43</v>
      </c>
      <c r="Z20" s="17">
        <f t="shared" si="12"/>
        <v>26</v>
      </c>
      <c r="AA20" s="17">
        <f t="shared" si="12"/>
        <v>6.8571428571428568</v>
      </c>
      <c r="AB20" s="17">
        <f t="shared" si="12"/>
        <v>3.5714285714285712</v>
      </c>
      <c r="AC20" s="17">
        <f t="shared" si="12"/>
        <v>602</v>
      </c>
      <c r="AD20" s="17">
        <f t="shared" si="12"/>
        <v>0</v>
      </c>
      <c r="AE20" s="31">
        <f t="shared" si="12"/>
        <v>339.14285714285717</v>
      </c>
      <c r="AF20" s="31">
        <f t="shared" si="12"/>
        <v>941.14285714285711</v>
      </c>
    </row>
    <row r="21" spans="2:32" ht="23.1" customHeight="1" x14ac:dyDescent="0.25">
      <c r="B21" s="23" t="s">
        <v>48</v>
      </c>
      <c r="C21" s="49">
        <f>AVERAGE('22.07 Ndeeba-Nateete'!C21,'23.07 Ndeeba-Nateete'!C21,'24.07 Ndeeba-Nateete'!C21,'25.07 Ndeeba-Nateete'!C21,'26.07 Ndeeba-Nateete-24h'!C21,'27.07 Ndeeba-Nateete-24h'!C21,'28.07 Ndeeba-Nateete'!C21)</f>
        <v>24.857142857142858</v>
      </c>
      <c r="D21" s="49">
        <f>AVERAGE('22.07 Ndeeba-Nateete'!D21,'23.07 Ndeeba-Nateete'!D21,'24.07 Ndeeba-Nateete'!D21,'25.07 Ndeeba-Nateete'!D21,'26.07 Ndeeba-Nateete-24h'!D21,'27.07 Ndeeba-Nateete-24h'!D21,'28.07 Ndeeba-Nateete'!D21)</f>
        <v>13.714285714285714</v>
      </c>
      <c r="E21" s="49">
        <f>AVERAGE('22.07 Ndeeba-Nateete'!E21,'23.07 Ndeeba-Nateete'!E21,'24.07 Ndeeba-Nateete'!E21,'25.07 Ndeeba-Nateete'!E21,'26.07 Ndeeba-Nateete-24h'!E21,'27.07 Ndeeba-Nateete-24h'!E21,'28.07 Ndeeba-Nateete'!E21)</f>
        <v>2.2857142857142856</v>
      </c>
      <c r="F21" s="49">
        <f>AVERAGE('22.07 Ndeeba-Nateete'!F21,'23.07 Ndeeba-Nateete'!F21,'24.07 Ndeeba-Nateete'!F21,'25.07 Ndeeba-Nateete'!F21,'26.07 Ndeeba-Nateete-24h'!F21,'27.07 Ndeeba-Nateete-24h'!F21,'28.07 Ndeeba-Nateete'!F21)</f>
        <v>35.571428571428569</v>
      </c>
      <c r="G21" s="49">
        <f>AVERAGE('22.07 Ndeeba-Nateete'!G21,'23.07 Ndeeba-Nateete'!G21,'24.07 Ndeeba-Nateete'!G21,'25.07 Ndeeba-Nateete'!G21,'26.07 Ndeeba-Nateete-24h'!G21,'27.07 Ndeeba-Nateete-24h'!G21,'28.07 Ndeeba-Nateete'!G21)</f>
        <v>0.8571428571428571</v>
      </c>
      <c r="H21" s="49">
        <f>AVERAGE('22.07 Ndeeba-Nateete'!H21,'23.07 Ndeeba-Nateete'!H21,'24.07 Ndeeba-Nateete'!H21,'25.07 Ndeeba-Nateete'!H21,'26.07 Ndeeba-Nateete-24h'!H21,'27.07 Ndeeba-Nateete-24h'!H21,'28.07 Ndeeba-Nateete'!H21)</f>
        <v>0.42857142857142855</v>
      </c>
      <c r="I21" s="49">
        <f>AVERAGE('22.07 Ndeeba-Nateete'!I21,'23.07 Ndeeba-Nateete'!I21,'24.07 Ndeeba-Nateete'!I21,'25.07 Ndeeba-Nateete'!I21,'26.07 Ndeeba-Nateete-24h'!I21,'27.07 Ndeeba-Nateete-24h'!I21,'28.07 Ndeeba-Nateete'!I21)</f>
        <v>11.857142857142858</v>
      </c>
      <c r="J21" s="49">
        <f>AVERAGE('22.07 Ndeeba-Nateete'!J21,'23.07 Ndeeba-Nateete'!J21,'24.07 Ndeeba-Nateete'!J21,'25.07 Ndeeba-Nateete'!J21,'26.07 Ndeeba-Nateete-24h'!J21,'27.07 Ndeeba-Nateete-24h'!J21,'28.07 Ndeeba-Nateete'!J21)</f>
        <v>5.2857142857142856</v>
      </c>
      <c r="K21" s="49">
        <f>AVERAGE('22.07 Ndeeba-Nateete'!K21,'23.07 Ndeeba-Nateete'!K21,'24.07 Ndeeba-Nateete'!K21,'25.07 Ndeeba-Nateete'!K21,'26.07 Ndeeba-Nateete-24h'!K21,'27.07 Ndeeba-Nateete-24h'!K21,'28.07 Ndeeba-Nateete'!K21)</f>
        <v>1</v>
      </c>
      <c r="L21" s="49">
        <f>AVERAGE('22.07 Ndeeba-Nateete'!L21,'23.07 Ndeeba-Nateete'!L21,'24.07 Ndeeba-Nateete'!L21,'25.07 Ndeeba-Nateete'!L21,'26.07 Ndeeba-Nateete-24h'!L21,'27.07 Ndeeba-Nateete-24h'!L21,'28.07 Ndeeba-Nateete'!L21)</f>
        <v>0.5714285714285714</v>
      </c>
      <c r="M21" s="49">
        <f>AVERAGE('22.07 Ndeeba-Nateete'!M21,'23.07 Ndeeba-Nateete'!M21,'24.07 Ndeeba-Nateete'!M21,'25.07 Ndeeba-Nateete'!M21,'26.07 Ndeeba-Nateete-24h'!M21,'27.07 Ndeeba-Nateete-24h'!M21,'28.07 Ndeeba-Nateete'!M21)</f>
        <v>208.14285714285714</v>
      </c>
      <c r="N21" s="49">
        <f>AVERAGE('22.07 Ndeeba-Nateete'!N21,'23.07 Ndeeba-Nateete'!N21,'24.07 Ndeeba-Nateete'!N21,'25.07 Ndeeba-Nateete'!N21,'26.07 Ndeeba-Nateete-24h'!N21,'27.07 Ndeeba-Nateete-24h'!N21,'28.07 Ndeeba-Nateete'!N21)</f>
        <v>0</v>
      </c>
      <c r="O21" s="15">
        <f t="shared" si="0"/>
        <v>96.428571428571431</v>
      </c>
      <c r="P21" s="15">
        <f t="shared" si="1"/>
        <v>304.57142857142856</v>
      </c>
      <c r="R21" s="36" t="s">
        <v>20</v>
      </c>
      <c r="S21" s="34">
        <f t="shared" ref="S21:AF33" si="13">SUM(C54:C57)</f>
        <v>106.14285714285714</v>
      </c>
      <c r="T21" s="17">
        <f t="shared" si="13"/>
        <v>42.428571428571431</v>
      </c>
      <c r="U21" s="17">
        <f t="shared" si="13"/>
        <v>13.714285714285714</v>
      </c>
      <c r="V21" s="17">
        <f t="shared" si="13"/>
        <v>161.28571428571431</v>
      </c>
      <c r="W21" s="17">
        <f t="shared" si="13"/>
        <v>6.8571428571428577</v>
      </c>
      <c r="X21" s="17">
        <f t="shared" si="13"/>
        <v>1.1428571428571428</v>
      </c>
      <c r="Y21" s="17">
        <f t="shared" si="13"/>
        <v>49.571428571428569</v>
      </c>
      <c r="Z21" s="17">
        <f t="shared" si="13"/>
        <v>34</v>
      </c>
      <c r="AA21" s="17">
        <f t="shared" si="13"/>
        <v>4.1428571428571432</v>
      </c>
      <c r="AB21" s="17">
        <f t="shared" si="13"/>
        <v>2.5714285714285712</v>
      </c>
      <c r="AC21" s="17">
        <f t="shared" si="13"/>
        <v>549.57142857142856</v>
      </c>
      <c r="AD21" s="17">
        <f t="shared" si="13"/>
        <v>0</v>
      </c>
      <c r="AE21" s="31">
        <f t="shared" si="13"/>
        <v>421.85714285714289</v>
      </c>
      <c r="AF21" s="31">
        <f t="shared" si="13"/>
        <v>971.42857142857133</v>
      </c>
    </row>
    <row r="22" spans="2:32" ht="23.1" customHeight="1" x14ac:dyDescent="0.25">
      <c r="B22" s="23" t="s">
        <v>49</v>
      </c>
      <c r="C22" s="49">
        <f>AVERAGE('22.07 Ndeeba-Nateete'!C22,'23.07 Ndeeba-Nateete'!C22,'24.07 Ndeeba-Nateete'!C22,'25.07 Ndeeba-Nateete'!C22,'26.07 Ndeeba-Nateete-24h'!C22,'27.07 Ndeeba-Nateete-24h'!C22,'28.07 Ndeeba-Nateete'!C22)</f>
        <v>25.714285714285715</v>
      </c>
      <c r="D22" s="49">
        <f>AVERAGE('22.07 Ndeeba-Nateete'!D22,'23.07 Ndeeba-Nateete'!D22,'24.07 Ndeeba-Nateete'!D22,'25.07 Ndeeba-Nateete'!D22,'26.07 Ndeeba-Nateete-24h'!D22,'27.07 Ndeeba-Nateete-24h'!D22,'28.07 Ndeeba-Nateete'!D22)</f>
        <v>8</v>
      </c>
      <c r="E22" s="49">
        <f>AVERAGE('22.07 Ndeeba-Nateete'!E22,'23.07 Ndeeba-Nateete'!E22,'24.07 Ndeeba-Nateete'!E22,'25.07 Ndeeba-Nateete'!E22,'26.07 Ndeeba-Nateete-24h'!E22,'27.07 Ndeeba-Nateete-24h'!E22,'28.07 Ndeeba-Nateete'!E22)</f>
        <v>6.5714285714285712</v>
      </c>
      <c r="F22" s="49">
        <f>AVERAGE('22.07 Ndeeba-Nateete'!F22,'23.07 Ndeeba-Nateete'!F22,'24.07 Ndeeba-Nateete'!F22,'25.07 Ndeeba-Nateete'!F22,'26.07 Ndeeba-Nateete-24h'!F22,'27.07 Ndeeba-Nateete-24h'!F22,'28.07 Ndeeba-Nateete'!F22)</f>
        <v>33.285714285714285</v>
      </c>
      <c r="G22" s="49">
        <f>AVERAGE('22.07 Ndeeba-Nateete'!G22,'23.07 Ndeeba-Nateete'!G22,'24.07 Ndeeba-Nateete'!G22,'25.07 Ndeeba-Nateete'!G22,'26.07 Ndeeba-Nateete-24h'!G22,'27.07 Ndeeba-Nateete-24h'!G22,'28.07 Ndeeba-Nateete'!G22)</f>
        <v>0.7142857142857143</v>
      </c>
      <c r="H22" s="49">
        <f>AVERAGE('22.07 Ndeeba-Nateete'!H22,'23.07 Ndeeba-Nateete'!H22,'24.07 Ndeeba-Nateete'!H22,'25.07 Ndeeba-Nateete'!H22,'26.07 Ndeeba-Nateete-24h'!H22,'27.07 Ndeeba-Nateete-24h'!H22,'28.07 Ndeeba-Nateete'!H22)</f>
        <v>0.42857142857142855</v>
      </c>
      <c r="I22" s="49">
        <f>AVERAGE('22.07 Ndeeba-Nateete'!I22,'23.07 Ndeeba-Nateete'!I22,'24.07 Ndeeba-Nateete'!I22,'25.07 Ndeeba-Nateete'!I22,'26.07 Ndeeba-Nateete-24h'!I22,'27.07 Ndeeba-Nateete-24h'!I22,'28.07 Ndeeba-Nateete'!I22)</f>
        <v>9.7142857142857135</v>
      </c>
      <c r="J22" s="49">
        <f>AVERAGE('22.07 Ndeeba-Nateete'!J22,'23.07 Ndeeba-Nateete'!J22,'24.07 Ndeeba-Nateete'!J22,'25.07 Ndeeba-Nateete'!J22,'26.07 Ndeeba-Nateete-24h'!J22,'27.07 Ndeeba-Nateete-24h'!J22,'28.07 Ndeeba-Nateete'!J22)</f>
        <v>3.5714285714285716</v>
      </c>
      <c r="K22" s="49">
        <f>AVERAGE('22.07 Ndeeba-Nateete'!K22,'23.07 Ndeeba-Nateete'!K22,'24.07 Ndeeba-Nateete'!K22,'25.07 Ndeeba-Nateete'!K22,'26.07 Ndeeba-Nateete-24h'!K22,'27.07 Ndeeba-Nateete-24h'!K22,'28.07 Ndeeba-Nateete'!K22)</f>
        <v>1.5714285714285714</v>
      </c>
      <c r="L22" s="49">
        <f>AVERAGE('22.07 Ndeeba-Nateete'!L22,'23.07 Ndeeba-Nateete'!L22,'24.07 Ndeeba-Nateete'!L22,'25.07 Ndeeba-Nateete'!L22,'26.07 Ndeeba-Nateete-24h'!L22,'27.07 Ndeeba-Nateete-24h'!L22,'28.07 Ndeeba-Nateete'!L22)</f>
        <v>0.7142857142857143</v>
      </c>
      <c r="M22" s="49">
        <f>AVERAGE('22.07 Ndeeba-Nateete'!M22,'23.07 Ndeeba-Nateete'!M22,'24.07 Ndeeba-Nateete'!M22,'25.07 Ndeeba-Nateete'!M22,'26.07 Ndeeba-Nateete-24h'!M22,'27.07 Ndeeba-Nateete-24h'!M22,'28.07 Ndeeba-Nateete'!M22)</f>
        <v>170</v>
      </c>
      <c r="N22" s="49">
        <f>AVERAGE('22.07 Ndeeba-Nateete'!N22,'23.07 Ndeeba-Nateete'!N22,'24.07 Ndeeba-Nateete'!N22,'25.07 Ndeeba-Nateete'!N22,'26.07 Ndeeba-Nateete-24h'!N22,'27.07 Ndeeba-Nateete-24h'!N22,'28.07 Ndeeba-Nateete'!N22)</f>
        <v>0</v>
      </c>
      <c r="O22" s="15">
        <f t="shared" si="0"/>
        <v>90.285714285714263</v>
      </c>
      <c r="P22" s="15">
        <f t="shared" si="1"/>
        <v>260.28571428571428</v>
      </c>
      <c r="R22" s="1" t="s">
        <v>146</v>
      </c>
      <c r="S22" s="34">
        <f>SUM(C58:C61)</f>
        <v>139.5</v>
      </c>
      <c r="T22" s="34">
        <f t="shared" ref="T22:AD22" si="14">SUM(D58:D61)</f>
        <v>9.5</v>
      </c>
      <c r="U22" s="34">
        <f t="shared" si="14"/>
        <v>13</v>
      </c>
      <c r="V22" s="34">
        <f t="shared" si="14"/>
        <v>73.5</v>
      </c>
      <c r="W22" s="34">
        <f t="shared" si="14"/>
        <v>0.5</v>
      </c>
      <c r="X22" s="34">
        <f t="shared" si="14"/>
        <v>1</v>
      </c>
      <c r="Y22" s="34">
        <f t="shared" si="14"/>
        <v>30</v>
      </c>
      <c r="Z22" s="34">
        <f t="shared" si="14"/>
        <v>22.5</v>
      </c>
      <c r="AA22" s="34">
        <f t="shared" si="14"/>
        <v>9</v>
      </c>
      <c r="AB22" s="34">
        <f t="shared" si="14"/>
        <v>8.5</v>
      </c>
      <c r="AC22" s="34">
        <f t="shared" si="14"/>
        <v>295</v>
      </c>
      <c r="AD22" s="34">
        <f t="shared" si="14"/>
        <v>0</v>
      </c>
      <c r="AE22" s="31">
        <f t="shared" si="13"/>
        <v>416.85714285714289</v>
      </c>
      <c r="AF22" s="31">
        <f t="shared" si="13"/>
        <v>892.64285714285711</v>
      </c>
    </row>
    <row r="23" spans="2:32" ht="23.1" customHeight="1" x14ac:dyDescent="0.25">
      <c r="B23" s="23" t="s">
        <v>50</v>
      </c>
      <c r="C23" s="49">
        <f>AVERAGE('22.07 Ndeeba-Nateete'!C23,'23.07 Ndeeba-Nateete'!C23,'24.07 Ndeeba-Nateete'!C23,'25.07 Ndeeba-Nateete'!C23,'26.07 Ndeeba-Nateete-24h'!C23,'27.07 Ndeeba-Nateete-24h'!C23,'28.07 Ndeeba-Nateete'!C23)</f>
        <v>24</v>
      </c>
      <c r="D23" s="49">
        <f>AVERAGE('22.07 Ndeeba-Nateete'!D23,'23.07 Ndeeba-Nateete'!D23,'24.07 Ndeeba-Nateete'!D23,'25.07 Ndeeba-Nateete'!D23,'26.07 Ndeeba-Nateete-24h'!D23,'27.07 Ndeeba-Nateete-24h'!D23,'28.07 Ndeeba-Nateete'!D23)</f>
        <v>4.5714285714285712</v>
      </c>
      <c r="E23" s="49">
        <f>AVERAGE('22.07 Ndeeba-Nateete'!E23,'23.07 Ndeeba-Nateete'!E23,'24.07 Ndeeba-Nateete'!E23,'25.07 Ndeeba-Nateete'!E23,'26.07 Ndeeba-Nateete-24h'!E23,'27.07 Ndeeba-Nateete-24h'!E23,'28.07 Ndeeba-Nateete'!E23)</f>
        <v>1.4285714285714286</v>
      </c>
      <c r="F23" s="49">
        <f>AVERAGE('22.07 Ndeeba-Nateete'!F23,'23.07 Ndeeba-Nateete'!F23,'24.07 Ndeeba-Nateete'!F23,'25.07 Ndeeba-Nateete'!F23,'26.07 Ndeeba-Nateete-24h'!F23,'27.07 Ndeeba-Nateete-24h'!F23,'28.07 Ndeeba-Nateete'!F23)</f>
        <v>37.142857142857146</v>
      </c>
      <c r="G23" s="49">
        <f>AVERAGE('22.07 Ndeeba-Nateete'!G23,'23.07 Ndeeba-Nateete'!G23,'24.07 Ndeeba-Nateete'!G23,'25.07 Ndeeba-Nateete'!G23,'26.07 Ndeeba-Nateete-24h'!G23,'27.07 Ndeeba-Nateete-24h'!G23,'28.07 Ndeeba-Nateete'!G23)</f>
        <v>0.14285714285714285</v>
      </c>
      <c r="H23" s="49">
        <f>AVERAGE('22.07 Ndeeba-Nateete'!H23,'23.07 Ndeeba-Nateete'!H23,'24.07 Ndeeba-Nateete'!H23,'25.07 Ndeeba-Nateete'!H23,'26.07 Ndeeba-Nateete-24h'!H23,'27.07 Ndeeba-Nateete-24h'!H23,'28.07 Ndeeba-Nateete'!H23)</f>
        <v>0.14285714285714285</v>
      </c>
      <c r="I23" s="49">
        <f>AVERAGE('22.07 Ndeeba-Nateete'!I23,'23.07 Ndeeba-Nateete'!I23,'24.07 Ndeeba-Nateete'!I23,'25.07 Ndeeba-Nateete'!I23,'26.07 Ndeeba-Nateete-24h'!I23,'27.07 Ndeeba-Nateete-24h'!I23,'28.07 Ndeeba-Nateete'!I23)</f>
        <v>12.142857142857142</v>
      </c>
      <c r="J23" s="49">
        <f>AVERAGE('22.07 Ndeeba-Nateete'!J23,'23.07 Ndeeba-Nateete'!J23,'24.07 Ndeeba-Nateete'!J23,'25.07 Ndeeba-Nateete'!J23,'26.07 Ndeeba-Nateete-24h'!J23,'27.07 Ndeeba-Nateete-24h'!J23,'28.07 Ndeeba-Nateete'!J23)</f>
        <v>7</v>
      </c>
      <c r="K23" s="49">
        <f>AVERAGE('22.07 Ndeeba-Nateete'!K23,'23.07 Ndeeba-Nateete'!K23,'24.07 Ndeeba-Nateete'!K23,'25.07 Ndeeba-Nateete'!K23,'26.07 Ndeeba-Nateete-24h'!K23,'27.07 Ndeeba-Nateete-24h'!K23,'28.07 Ndeeba-Nateete'!K23)</f>
        <v>0.42857142857142855</v>
      </c>
      <c r="L23" s="49">
        <f>AVERAGE('22.07 Ndeeba-Nateete'!L23,'23.07 Ndeeba-Nateete'!L23,'24.07 Ndeeba-Nateete'!L23,'25.07 Ndeeba-Nateete'!L23,'26.07 Ndeeba-Nateete-24h'!L23,'27.07 Ndeeba-Nateete-24h'!L23,'28.07 Ndeeba-Nateete'!L23)</f>
        <v>0.2857142857142857</v>
      </c>
      <c r="M23" s="49">
        <f>AVERAGE('22.07 Ndeeba-Nateete'!M23,'23.07 Ndeeba-Nateete'!M23,'24.07 Ndeeba-Nateete'!M23,'25.07 Ndeeba-Nateete'!M23,'26.07 Ndeeba-Nateete-24h'!M23,'27.07 Ndeeba-Nateete-24h'!M23,'28.07 Ndeeba-Nateete'!M23)</f>
        <v>156.42857142857142</v>
      </c>
      <c r="N23" s="49">
        <f>AVERAGE('22.07 Ndeeba-Nateete'!N23,'23.07 Ndeeba-Nateete'!N23,'24.07 Ndeeba-Nateete'!N23,'25.07 Ndeeba-Nateete'!N23,'26.07 Ndeeba-Nateete-24h'!N23,'27.07 Ndeeba-Nateete-24h'!N23,'28.07 Ndeeba-Nateete'!N23)</f>
        <v>0</v>
      </c>
      <c r="O23" s="15">
        <f t="shared" si="0"/>
        <v>87.285714285714278</v>
      </c>
      <c r="P23" s="15">
        <f t="shared" si="1"/>
        <v>243.71428571428569</v>
      </c>
      <c r="R23" s="1" t="s">
        <v>147</v>
      </c>
      <c r="S23" s="34">
        <f>SUM(C62:C65)</f>
        <v>120.5</v>
      </c>
      <c r="T23" s="34">
        <f t="shared" ref="T23:AD23" si="15">SUM(D62:D65)</f>
        <v>10.5</v>
      </c>
      <c r="U23" s="34">
        <f t="shared" si="15"/>
        <v>4</v>
      </c>
      <c r="V23" s="34">
        <f t="shared" si="15"/>
        <v>73</v>
      </c>
      <c r="W23" s="34">
        <f t="shared" si="15"/>
        <v>1</v>
      </c>
      <c r="X23" s="34">
        <f t="shared" si="15"/>
        <v>2</v>
      </c>
      <c r="Y23" s="34">
        <f t="shared" si="15"/>
        <v>20.5</v>
      </c>
      <c r="Z23" s="34">
        <f t="shared" si="15"/>
        <v>19</v>
      </c>
      <c r="AA23" s="34">
        <f t="shared" si="15"/>
        <v>4.5</v>
      </c>
      <c r="AB23" s="34">
        <f t="shared" si="15"/>
        <v>4</v>
      </c>
      <c r="AC23" s="34">
        <f t="shared" si="15"/>
        <v>276</v>
      </c>
      <c r="AD23" s="34">
        <f t="shared" si="15"/>
        <v>0</v>
      </c>
      <c r="AE23" s="31">
        <f t="shared" si="13"/>
        <v>347.85714285714283</v>
      </c>
      <c r="AF23" s="31">
        <f t="shared" si="13"/>
        <v>761.14285714285711</v>
      </c>
    </row>
    <row r="24" spans="2:32" ht="23.1" customHeight="1" x14ac:dyDescent="0.25">
      <c r="B24" s="23" t="s">
        <v>51</v>
      </c>
      <c r="C24" s="49">
        <f>AVERAGE('22.07 Ndeeba-Nateete'!C24,'23.07 Ndeeba-Nateete'!C24,'24.07 Ndeeba-Nateete'!C24,'25.07 Ndeeba-Nateete'!C24,'26.07 Ndeeba-Nateete-24h'!C24,'27.07 Ndeeba-Nateete-24h'!C24,'28.07 Ndeeba-Nateete'!C24)</f>
        <v>23.857142857142858</v>
      </c>
      <c r="D24" s="49">
        <f>AVERAGE('22.07 Ndeeba-Nateete'!D24,'23.07 Ndeeba-Nateete'!D24,'24.07 Ndeeba-Nateete'!D24,'25.07 Ndeeba-Nateete'!D24,'26.07 Ndeeba-Nateete-24h'!D24,'27.07 Ndeeba-Nateete-24h'!D24,'28.07 Ndeeba-Nateete'!D24)</f>
        <v>7.1428571428571432</v>
      </c>
      <c r="E24" s="49">
        <f>AVERAGE('22.07 Ndeeba-Nateete'!E24,'23.07 Ndeeba-Nateete'!E24,'24.07 Ndeeba-Nateete'!E24,'25.07 Ndeeba-Nateete'!E24,'26.07 Ndeeba-Nateete-24h'!E24,'27.07 Ndeeba-Nateete-24h'!E24,'28.07 Ndeeba-Nateete'!E24)</f>
        <v>3</v>
      </c>
      <c r="F24" s="49">
        <f>AVERAGE('22.07 Ndeeba-Nateete'!F24,'23.07 Ndeeba-Nateete'!F24,'24.07 Ndeeba-Nateete'!F24,'25.07 Ndeeba-Nateete'!F24,'26.07 Ndeeba-Nateete-24h'!F24,'27.07 Ndeeba-Nateete-24h'!F24,'28.07 Ndeeba-Nateete'!F24)</f>
        <v>22.857142857142858</v>
      </c>
      <c r="G24" s="49">
        <f>AVERAGE('22.07 Ndeeba-Nateete'!G24,'23.07 Ndeeba-Nateete'!G24,'24.07 Ndeeba-Nateete'!G24,'25.07 Ndeeba-Nateete'!G24,'26.07 Ndeeba-Nateete-24h'!G24,'27.07 Ndeeba-Nateete-24h'!G24,'28.07 Ndeeba-Nateete'!G24)</f>
        <v>2.5714285714285716</v>
      </c>
      <c r="H24" s="49">
        <f>AVERAGE('22.07 Ndeeba-Nateete'!H24,'23.07 Ndeeba-Nateete'!H24,'24.07 Ndeeba-Nateete'!H24,'25.07 Ndeeba-Nateete'!H24,'26.07 Ndeeba-Nateete-24h'!H24,'27.07 Ndeeba-Nateete-24h'!H24,'28.07 Ndeeba-Nateete'!H24)</f>
        <v>0.7142857142857143</v>
      </c>
      <c r="I24" s="49">
        <f>AVERAGE('22.07 Ndeeba-Nateete'!I24,'23.07 Ndeeba-Nateete'!I24,'24.07 Ndeeba-Nateete'!I24,'25.07 Ndeeba-Nateete'!I24,'26.07 Ndeeba-Nateete-24h'!I24,'27.07 Ndeeba-Nateete-24h'!I24,'28.07 Ndeeba-Nateete'!I24)</f>
        <v>11.142857142857142</v>
      </c>
      <c r="J24" s="49">
        <f>AVERAGE('22.07 Ndeeba-Nateete'!J24,'23.07 Ndeeba-Nateete'!J24,'24.07 Ndeeba-Nateete'!J24,'25.07 Ndeeba-Nateete'!J24,'26.07 Ndeeba-Nateete-24h'!J24,'27.07 Ndeeba-Nateete-24h'!J24,'28.07 Ndeeba-Nateete'!J24)</f>
        <v>6.1428571428571432</v>
      </c>
      <c r="K24" s="49">
        <f>AVERAGE('22.07 Ndeeba-Nateete'!K24,'23.07 Ndeeba-Nateete'!K24,'24.07 Ndeeba-Nateete'!K24,'25.07 Ndeeba-Nateete'!K24,'26.07 Ndeeba-Nateete-24h'!K24,'27.07 Ndeeba-Nateete-24h'!K24,'28.07 Ndeeba-Nateete'!K24)</f>
        <v>1.1428571428571428</v>
      </c>
      <c r="L24" s="49">
        <f>AVERAGE('22.07 Ndeeba-Nateete'!L24,'23.07 Ndeeba-Nateete'!L24,'24.07 Ndeeba-Nateete'!L24,'25.07 Ndeeba-Nateete'!L24,'26.07 Ndeeba-Nateete-24h'!L24,'27.07 Ndeeba-Nateete-24h'!L24,'28.07 Ndeeba-Nateete'!L24)</f>
        <v>1.1428571428571428</v>
      </c>
      <c r="M24" s="49">
        <f>AVERAGE('22.07 Ndeeba-Nateete'!M24,'23.07 Ndeeba-Nateete'!M24,'24.07 Ndeeba-Nateete'!M24,'25.07 Ndeeba-Nateete'!M24,'26.07 Ndeeba-Nateete-24h'!M24,'27.07 Ndeeba-Nateete-24h'!M24,'28.07 Ndeeba-Nateete'!M24)</f>
        <v>156.71428571428572</v>
      </c>
      <c r="N24" s="49">
        <f>AVERAGE('22.07 Ndeeba-Nateete'!N24,'23.07 Ndeeba-Nateete'!N24,'24.07 Ndeeba-Nateete'!N24,'25.07 Ndeeba-Nateete'!N24,'26.07 Ndeeba-Nateete-24h'!N24,'27.07 Ndeeba-Nateete-24h'!N24,'28.07 Ndeeba-Nateete'!N24)</f>
        <v>0</v>
      </c>
      <c r="O24" s="15">
        <f t="shared" si="0"/>
        <v>79.714285714285708</v>
      </c>
      <c r="P24" s="15">
        <f t="shared" si="1"/>
        <v>236.42857142857144</v>
      </c>
      <c r="R24" s="1" t="s">
        <v>148</v>
      </c>
      <c r="S24" s="34">
        <f>SUM(C66:C69)</f>
        <v>140.5</v>
      </c>
      <c r="T24" s="34">
        <f t="shared" ref="T24:AD24" si="16">SUM(D66:D69)</f>
        <v>20</v>
      </c>
      <c r="U24" s="34">
        <f t="shared" si="16"/>
        <v>9.5</v>
      </c>
      <c r="V24" s="34">
        <f t="shared" si="16"/>
        <v>70</v>
      </c>
      <c r="W24" s="34">
        <f t="shared" si="16"/>
        <v>3.5</v>
      </c>
      <c r="X24" s="34">
        <f t="shared" si="16"/>
        <v>1</v>
      </c>
      <c r="Y24" s="34">
        <f t="shared" si="16"/>
        <v>19.5</v>
      </c>
      <c r="Z24" s="34">
        <f t="shared" si="16"/>
        <v>19</v>
      </c>
      <c r="AA24" s="34">
        <f t="shared" si="16"/>
        <v>4.5</v>
      </c>
      <c r="AB24" s="34">
        <f t="shared" si="16"/>
        <v>4</v>
      </c>
      <c r="AC24" s="34">
        <f t="shared" si="16"/>
        <v>335</v>
      </c>
      <c r="AD24" s="34">
        <f t="shared" si="16"/>
        <v>0</v>
      </c>
      <c r="AE24" s="31">
        <f t="shared" si="13"/>
        <v>327.57142857142856</v>
      </c>
      <c r="AF24" s="31">
        <f t="shared" si="13"/>
        <v>660.07142857142856</v>
      </c>
    </row>
    <row r="25" spans="2:32" ht="23.1" customHeight="1" x14ac:dyDescent="0.25">
      <c r="B25" s="23" t="s">
        <v>52</v>
      </c>
      <c r="C25" s="49">
        <f>AVERAGE('22.07 Ndeeba-Nateete'!C25,'23.07 Ndeeba-Nateete'!C25,'24.07 Ndeeba-Nateete'!C25,'25.07 Ndeeba-Nateete'!C25,'26.07 Ndeeba-Nateete-24h'!C25,'27.07 Ndeeba-Nateete-24h'!C25,'28.07 Ndeeba-Nateete'!C25)</f>
        <v>18.428571428571427</v>
      </c>
      <c r="D25" s="49">
        <f>AVERAGE('22.07 Ndeeba-Nateete'!D25,'23.07 Ndeeba-Nateete'!D25,'24.07 Ndeeba-Nateete'!D25,'25.07 Ndeeba-Nateete'!D25,'26.07 Ndeeba-Nateete-24h'!D25,'27.07 Ndeeba-Nateete-24h'!D25,'28.07 Ndeeba-Nateete'!D25)</f>
        <v>8.2857142857142865</v>
      </c>
      <c r="E25" s="49">
        <f>AVERAGE('22.07 Ndeeba-Nateete'!E25,'23.07 Ndeeba-Nateete'!E25,'24.07 Ndeeba-Nateete'!E25,'25.07 Ndeeba-Nateete'!E25,'26.07 Ndeeba-Nateete-24h'!E25,'27.07 Ndeeba-Nateete-24h'!E25,'28.07 Ndeeba-Nateete'!E25)</f>
        <v>3.2857142857142856</v>
      </c>
      <c r="F25" s="49">
        <f>AVERAGE('22.07 Ndeeba-Nateete'!F25,'23.07 Ndeeba-Nateete'!F25,'24.07 Ndeeba-Nateete'!F25,'25.07 Ndeeba-Nateete'!F25,'26.07 Ndeeba-Nateete-24h'!F25,'27.07 Ndeeba-Nateete-24h'!F25,'28.07 Ndeeba-Nateete'!F25)</f>
        <v>36.428571428571431</v>
      </c>
      <c r="G25" s="49">
        <f>AVERAGE('22.07 Ndeeba-Nateete'!G25,'23.07 Ndeeba-Nateete'!G25,'24.07 Ndeeba-Nateete'!G25,'25.07 Ndeeba-Nateete'!G25,'26.07 Ndeeba-Nateete-24h'!G25,'27.07 Ndeeba-Nateete-24h'!G25,'28.07 Ndeeba-Nateete'!G25)</f>
        <v>0.42857142857142855</v>
      </c>
      <c r="H25" s="49">
        <f>AVERAGE('22.07 Ndeeba-Nateete'!H25,'23.07 Ndeeba-Nateete'!H25,'24.07 Ndeeba-Nateete'!H25,'25.07 Ndeeba-Nateete'!H25,'26.07 Ndeeba-Nateete-24h'!H25,'27.07 Ndeeba-Nateete-24h'!H25,'28.07 Ndeeba-Nateete'!H25)</f>
        <v>0</v>
      </c>
      <c r="I25" s="49">
        <f>AVERAGE('22.07 Ndeeba-Nateete'!I25,'23.07 Ndeeba-Nateete'!I25,'24.07 Ndeeba-Nateete'!I25,'25.07 Ndeeba-Nateete'!I25,'26.07 Ndeeba-Nateete-24h'!I25,'27.07 Ndeeba-Nateete-24h'!I25,'28.07 Ndeeba-Nateete'!I25)</f>
        <v>13.571428571428571</v>
      </c>
      <c r="J25" s="49">
        <f>AVERAGE('22.07 Ndeeba-Nateete'!J25,'23.07 Ndeeba-Nateete'!J25,'24.07 Ndeeba-Nateete'!J25,'25.07 Ndeeba-Nateete'!J25,'26.07 Ndeeba-Nateete-24h'!J25,'27.07 Ndeeba-Nateete-24h'!J25,'28.07 Ndeeba-Nateete'!J25)</f>
        <v>4</v>
      </c>
      <c r="K25" s="49">
        <f>AVERAGE('22.07 Ndeeba-Nateete'!K25,'23.07 Ndeeba-Nateete'!K25,'24.07 Ndeeba-Nateete'!K25,'25.07 Ndeeba-Nateete'!K25,'26.07 Ndeeba-Nateete-24h'!K25,'27.07 Ndeeba-Nateete-24h'!K25,'28.07 Ndeeba-Nateete'!K25)</f>
        <v>1.8571428571428572</v>
      </c>
      <c r="L25" s="49">
        <f>AVERAGE('22.07 Ndeeba-Nateete'!L25,'23.07 Ndeeba-Nateete'!L25,'24.07 Ndeeba-Nateete'!L25,'25.07 Ndeeba-Nateete'!L25,'26.07 Ndeeba-Nateete-24h'!L25,'27.07 Ndeeba-Nateete-24h'!L25,'28.07 Ndeeba-Nateete'!L25)</f>
        <v>0.42857142857142855</v>
      </c>
      <c r="M25" s="49">
        <f>AVERAGE('22.07 Ndeeba-Nateete'!M25,'23.07 Ndeeba-Nateete'!M25,'24.07 Ndeeba-Nateete'!M25,'25.07 Ndeeba-Nateete'!M25,'26.07 Ndeeba-Nateete-24h'!M25,'27.07 Ndeeba-Nateete-24h'!M25,'28.07 Ndeeba-Nateete'!M25)</f>
        <v>175</v>
      </c>
      <c r="N25" s="49">
        <f>AVERAGE('22.07 Ndeeba-Nateete'!N25,'23.07 Ndeeba-Nateete'!N25,'24.07 Ndeeba-Nateete'!N25,'25.07 Ndeeba-Nateete'!N25,'26.07 Ndeeba-Nateete-24h'!N25,'27.07 Ndeeba-Nateete-24h'!N25,'28.07 Ndeeba-Nateete'!N25)</f>
        <v>0</v>
      </c>
      <c r="O25" s="15">
        <f t="shared" si="0"/>
        <v>86.714285714285722</v>
      </c>
      <c r="P25" s="15">
        <f t="shared" si="1"/>
        <v>261.71428571428572</v>
      </c>
      <c r="R25" s="1" t="s">
        <v>149</v>
      </c>
      <c r="S25" s="34">
        <f>SUM(C70:C73)</f>
        <v>172</v>
      </c>
      <c r="T25" s="34">
        <f t="shared" ref="T25:AD25" si="17">SUM(D70:D73)</f>
        <v>12</v>
      </c>
      <c r="U25" s="34">
        <f t="shared" si="17"/>
        <v>7</v>
      </c>
      <c r="V25" s="34">
        <f t="shared" si="17"/>
        <v>122</v>
      </c>
      <c r="W25" s="34">
        <f t="shared" si="17"/>
        <v>0.5</v>
      </c>
      <c r="X25" s="34">
        <f t="shared" si="17"/>
        <v>0</v>
      </c>
      <c r="Y25" s="34">
        <f t="shared" si="17"/>
        <v>23</v>
      </c>
      <c r="Z25" s="34">
        <f t="shared" si="17"/>
        <v>10</v>
      </c>
      <c r="AA25" s="34">
        <f t="shared" si="17"/>
        <v>3.5</v>
      </c>
      <c r="AB25" s="34">
        <f t="shared" si="17"/>
        <v>4.5</v>
      </c>
      <c r="AC25" s="34">
        <f t="shared" si="17"/>
        <v>214.5</v>
      </c>
      <c r="AD25" s="34">
        <f t="shared" si="17"/>
        <v>0</v>
      </c>
      <c r="AE25" s="31">
        <f t="shared" si="13"/>
        <v>307</v>
      </c>
      <c r="AF25" s="31">
        <f t="shared" si="13"/>
        <v>602</v>
      </c>
    </row>
    <row r="26" spans="2:32" ht="23.1" customHeight="1" x14ac:dyDescent="0.25">
      <c r="B26" s="23" t="s">
        <v>53</v>
      </c>
      <c r="C26" s="49">
        <f>AVERAGE('22.07 Ndeeba-Nateete'!C26,'23.07 Ndeeba-Nateete'!C26,'24.07 Ndeeba-Nateete'!C26,'25.07 Ndeeba-Nateete'!C26,'26.07 Ndeeba-Nateete-24h'!C26,'27.07 Ndeeba-Nateete-24h'!C26,'28.07 Ndeeba-Nateete'!C26)</f>
        <v>17</v>
      </c>
      <c r="D26" s="49">
        <f>AVERAGE('22.07 Ndeeba-Nateete'!D26,'23.07 Ndeeba-Nateete'!D26,'24.07 Ndeeba-Nateete'!D26,'25.07 Ndeeba-Nateete'!D26,'26.07 Ndeeba-Nateete-24h'!D26,'27.07 Ndeeba-Nateete-24h'!D26,'28.07 Ndeeba-Nateete'!D26)</f>
        <v>6.4285714285714288</v>
      </c>
      <c r="E26" s="49">
        <f>AVERAGE('22.07 Ndeeba-Nateete'!E26,'23.07 Ndeeba-Nateete'!E26,'24.07 Ndeeba-Nateete'!E26,'25.07 Ndeeba-Nateete'!E26,'26.07 Ndeeba-Nateete-24h'!E26,'27.07 Ndeeba-Nateete-24h'!E26,'28.07 Ndeeba-Nateete'!E26)</f>
        <v>2.2857142857142856</v>
      </c>
      <c r="F26" s="49">
        <f>AVERAGE('22.07 Ndeeba-Nateete'!F26,'23.07 Ndeeba-Nateete'!F26,'24.07 Ndeeba-Nateete'!F26,'25.07 Ndeeba-Nateete'!F26,'26.07 Ndeeba-Nateete-24h'!F26,'27.07 Ndeeba-Nateete-24h'!F26,'28.07 Ndeeba-Nateete'!F26)</f>
        <v>21.857142857142858</v>
      </c>
      <c r="G26" s="49">
        <f>AVERAGE('22.07 Ndeeba-Nateete'!G26,'23.07 Ndeeba-Nateete'!G26,'24.07 Ndeeba-Nateete'!G26,'25.07 Ndeeba-Nateete'!G26,'26.07 Ndeeba-Nateete-24h'!G26,'27.07 Ndeeba-Nateete-24h'!G26,'28.07 Ndeeba-Nateete'!G26)</f>
        <v>0.8571428571428571</v>
      </c>
      <c r="H26" s="49">
        <f>AVERAGE('22.07 Ndeeba-Nateete'!H26,'23.07 Ndeeba-Nateete'!H26,'24.07 Ndeeba-Nateete'!H26,'25.07 Ndeeba-Nateete'!H26,'26.07 Ndeeba-Nateete-24h'!H26,'27.07 Ndeeba-Nateete-24h'!H26,'28.07 Ndeeba-Nateete'!H26)</f>
        <v>0.42857142857142855</v>
      </c>
      <c r="I26" s="49">
        <f>AVERAGE('22.07 Ndeeba-Nateete'!I26,'23.07 Ndeeba-Nateete'!I26,'24.07 Ndeeba-Nateete'!I26,'25.07 Ndeeba-Nateete'!I26,'26.07 Ndeeba-Nateete-24h'!I26,'27.07 Ndeeba-Nateete-24h'!I26,'28.07 Ndeeba-Nateete'!I26)</f>
        <v>12.571428571428571</v>
      </c>
      <c r="J26" s="49">
        <f>AVERAGE('22.07 Ndeeba-Nateete'!J26,'23.07 Ndeeba-Nateete'!J26,'24.07 Ndeeba-Nateete'!J26,'25.07 Ndeeba-Nateete'!J26,'26.07 Ndeeba-Nateete-24h'!J26,'27.07 Ndeeba-Nateete-24h'!J26,'28.07 Ndeeba-Nateete'!J26)</f>
        <v>4.2857142857142856</v>
      </c>
      <c r="K26" s="49">
        <f>AVERAGE('22.07 Ndeeba-Nateete'!K26,'23.07 Ndeeba-Nateete'!K26,'24.07 Ndeeba-Nateete'!K26,'25.07 Ndeeba-Nateete'!K26,'26.07 Ndeeba-Nateete-24h'!K26,'27.07 Ndeeba-Nateete-24h'!K26,'28.07 Ndeeba-Nateete'!K26)</f>
        <v>0.2857142857142857</v>
      </c>
      <c r="L26" s="49">
        <f>AVERAGE('22.07 Ndeeba-Nateete'!L26,'23.07 Ndeeba-Nateete'!L26,'24.07 Ndeeba-Nateete'!L26,'25.07 Ndeeba-Nateete'!L26,'26.07 Ndeeba-Nateete-24h'!L26,'27.07 Ndeeba-Nateete-24h'!L26,'28.07 Ndeeba-Nateete'!L26)</f>
        <v>1</v>
      </c>
      <c r="M26" s="49">
        <f>AVERAGE('22.07 Ndeeba-Nateete'!M26,'23.07 Ndeeba-Nateete'!M26,'24.07 Ndeeba-Nateete'!M26,'25.07 Ndeeba-Nateete'!M26,'26.07 Ndeeba-Nateete-24h'!M26,'27.07 Ndeeba-Nateete-24h'!M26,'28.07 Ndeeba-Nateete'!M26)</f>
        <v>140.42857142857142</v>
      </c>
      <c r="N26" s="49">
        <f>AVERAGE('22.07 Ndeeba-Nateete'!N26,'23.07 Ndeeba-Nateete'!N26,'24.07 Ndeeba-Nateete'!N26,'25.07 Ndeeba-Nateete'!N26,'26.07 Ndeeba-Nateete-24h'!N26,'27.07 Ndeeba-Nateete-24h'!N26,'28.07 Ndeeba-Nateete'!N26)</f>
        <v>0</v>
      </c>
      <c r="O26" s="15">
        <f t="shared" si="0"/>
        <v>67</v>
      </c>
      <c r="P26" s="15">
        <f t="shared" si="1"/>
        <v>207.42857142857142</v>
      </c>
      <c r="R26" s="1" t="s">
        <v>150</v>
      </c>
      <c r="S26" s="34">
        <f>SUM(C74:C77)</f>
        <v>132</v>
      </c>
      <c r="T26" s="34">
        <f t="shared" ref="T26:AD26" si="18">SUM(D74:D77)</f>
        <v>19.5</v>
      </c>
      <c r="U26" s="34">
        <f t="shared" si="18"/>
        <v>12</v>
      </c>
      <c r="V26" s="34">
        <f t="shared" si="18"/>
        <v>138</v>
      </c>
      <c r="W26" s="34">
        <f t="shared" si="18"/>
        <v>2</v>
      </c>
      <c r="X26" s="34">
        <f t="shared" si="18"/>
        <v>2</v>
      </c>
      <c r="Y26" s="34">
        <f t="shared" si="18"/>
        <v>22</v>
      </c>
      <c r="Z26" s="34">
        <f t="shared" si="18"/>
        <v>18</v>
      </c>
      <c r="AA26" s="34">
        <f t="shared" si="18"/>
        <v>6.5</v>
      </c>
      <c r="AB26" s="34">
        <f t="shared" si="18"/>
        <v>0.5</v>
      </c>
      <c r="AC26" s="34">
        <f t="shared" si="18"/>
        <v>567</v>
      </c>
      <c r="AD26" s="34">
        <f t="shared" si="18"/>
        <v>0</v>
      </c>
      <c r="AE26" s="31">
        <f t="shared" si="13"/>
        <v>297</v>
      </c>
      <c r="AF26" s="31">
        <f t="shared" si="13"/>
        <v>602</v>
      </c>
    </row>
    <row r="27" spans="2:32" ht="23.1" customHeight="1" x14ac:dyDescent="0.25">
      <c r="B27" s="23" t="s">
        <v>54</v>
      </c>
      <c r="C27" s="49">
        <f>AVERAGE('22.07 Ndeeba-Nateete'!C27,'23.07 Ndeeba-Nateete'!C27,'24.07 Ndeeba-Nateete'!C27,'25.07 Ndeeba-Nateete'!C27,'26.07 Ndeeba-Nateete-24h'!C27,'27.07 Ndeeba-Nateete-24h'!C27,'28.07 Ndeeba-Nateete'!C27)</f>
        <v>22</v>
      </c>
      <c r="D27" s="49">
        <f>AVERAGE('22.07 Ndeeba-Nateete'!D27,'23.07 Ndeeba-Nateete'!D27,'24.07 Ndeeba-Nateete'!D27,'25.07 Ndeeba-Nateete'!D27,'26.07 Ndeeba-Nateete-24h'!D27,'27.07 Ndeeba-Nateete-24h'!D27,'28.07 Ndeeba-Nateete'!D27)</f>
        <v>8.5714285714285712</v>
      </c>
      <c r="E27" s="49">
        <f>AVERAGE('22.07 Ndeeba-Nateete'!E27,'23.07 Ndeeba-Nateete'!E27,'24.07 Ndeeba-Nateete'!E27,'25.07 Ndeeba-Nateete'!E27,'26.07 Ndeeba-Nateete-24h'!E27,'27.07 Ndeeba-Nateete-24h'!E27,'28.07 Ndeeba-Nateete'!E27)</f>
        <v>4.5714285714285712</v>
      </c>
      <c r="F27" s="49">
        <f>AVERAGE('22.07 Ndeeba-Nateete'!F27,'23.07 Ndeeba-Nateete'!F27,'24.07 Ndeeba-Nateete'!F27,'25.07 Ndeeba-Nateete'!F27,'26.07 Ndeeba-Nateete-24h'!F27,'27.07 Ndeeba-Nateete-24h'!F27,'28.07 Ndeeba-Nateete'!F27)</f>
        <v>24.285714285714285</v>
      </c>
      <c r="G27" s="49">
        <f>AVERAGE('22.07 Ndeeba-Nateete'!G27,'23.07 Ndeeba-Nateete'!G27,'24.07 Ndeeba-Nateete'!G27,'25.07 Ndeeba-Nateete'!G27,'26.07 Ndeeba-Nateete-24h'!G27,'27.07 Ndeeba-Nateete-24h'!G27,'28.07 Ndeeba-Nateete'!G27)</f>
        <v>0.8571428571428571</v>
      </c>
      <c r="H27" s="49">
        <f>AVERAGE('22.07 Ndeeba-Nateete'!H27,'23.07 Ndeeba-Nateete'!H27,'24.07 Ndeeba-Nateete'!H27,'25.07 Ndeeba-Nateete'!H27,'26.07 Ndeeba-Nateete-24h'!H27,'27.07 Ndeeba-Nateete-24h'!H27,'28.07 Ndeeba-Nateete'!H27)</f>
        <v>0.2857142857142857</v>
      </c>
      <c r="I27" s="49">
        <f>AVERAGE('22.07 Ndeeba-Nateete'!I27,'23.07 Ndeeba-Nateete'!I27,'24.07 Ndeeba-Nateete'!I27,'25.07 Ndeeba-Nateete'!I27,'26.07 Ndeeba-Nateete-24h'!I27,'27.07 Ndeeba-Nateete-24h'!I27,'28.07 Ndeeba-Nateete'!I27)</f>
        <v>10.857142857142858</v>
      </c>
      <c r="J27" s="49">
        <f>AVERAGE('22.07 Ndeeba-Nateete'!J27,'23.07 Ndeeba-Nateete'!J27,'24.07 Ndeeba-Nateete'!J27,'25.07 Ndeeba-Nateete'!J27,'26.07 Ndeeba-Nateete-24h'!J27,'27.07 Ndeeba-Nateete-24h'!J27,'28.07 Ndeeba-Nateete'!J27)</f>
        <v>5.1428571428571432</v>
      </c>
      <c r="K27" s="49">
        <f>AVERAGE('22.07 Ndeeba-Nateete'!K27,'23.07 Ndeeba-Nateete'!K27,'24.07 Ndeeba-Nateete'!K27,'25.07 Ndeeba-Nateete'!K27,'26.07 Ndeeba-Nateete-24h'!K27,'27.07 Ndeeba-Nateete-24h'!K27,'28.07 Ndeeba-Nateete'!K27)</f>
        <v>2.2857142857142856</v>
      </c>
      <c r="L27" s="49">
        <f>AVERAGE('22.07 Ndeeba-Nateete'!L27,'23.07 Ndeeba-Nateete'!L27,'24.07 Ndeeba-Nateete'!L27,'25.07 Ndeeba-Nateete'!L27,'26.07 Ndeeba-Nateete-24h'!L27,'27.07 Ndeeba-Nateete-24h'!L27,'28.07 Ndeeba-Nateete'!L27)</f>
        <v>1</v>
      </c>
      <c r="M27" s="49">
        <f>AVERAGE('22.07 Ndeeba-Nateete'!M27,'23.07 Ndeeba-Nateete'!M27,'24.07 Ndeeba-Nateete'!M27,'25.07 Ndeeba-Nateete'!M27,'26.07 Ndeeba-Nateete-24h'!M27,'27.07 Ndeeba-Nateete-24h'!M27,'28.07 Ndeeba-Nateete'!M27)</f>
        <v>175.57142857142858</v>
      </c>
      <c r="N27" s="49">
        <f>AVERAGE('22.07 Ndeeba-Nateete'!N27,'23.07 Ndeeba-Nateete'!N27,'24.07 Ndeeba-Nateete'!N27,'25.07 Ndeeba-Nateete'!N27,'26.07 Ndeeba-Nateete-24h'!N27,'27.07 Ndeeba-Nateete-24h'!N27,'28.07 Ndeeba-Nateete'!N27)</f>
        <v>0</v>
      </c>
      <c r="O27" s="15">
        <f t="shared" si="0"/>
        <v>79.857142857142847</v>
      </c>
      <c r="P27" s="15">
        <f t="shared" si="1"/>
        <v>255.42857142857144</v>
      </c>
      <c r="R27" s="1" t="s">
        <v>151</v>
      </c>
      <c r="S27" s="34">
        <f>SUM(C78:C81)</f>
        <v>139</v>
      </c>
      <c r="T27" s="34">
        <f t="shared" ref="T27:AD27" si="19">SUM(D78:D81)</f>
        <v>11</v>
      </c>
      <c r="U27" s="34">
        <f t="shared" si="19"/>
        <v>8.5</v>
      </c>
      <c r="V27" s="34">
        <f t="shared" si="19"/>
        <v>83.5</v>
      </c>
      <c r="W27" s="34">
        <f t="shared" si="19"/>
        <v>0.5</v>
      </c>
      <c r="X27" s="34">
        <f t="shared" si="19"/>
        <v>2</v>
      </c>
      <c r="Y27" s="34">
        <f t="shared" si="19"/>
        <v>15</v>
      </c>
      <c r="Z27" s="34">
        <f t="shared" si="19"/>
        <v>11.5</v>
      </c>
      <c r="AA27" s="34">
        <f t="shared" si="19"/>
        <v>2</v>
      </c>
      <c r="AB27" s="34">
        <f t="shared" si="19"/>
        <v>3</v>
      </c>
      <c r="AC27" s="34">
        <f t="shared" si="19"/>
        <v>476.5</v>
      </c>
      <c r="AD27" s="34">
        <f t="shared" si="19"/>
        <v>0</v>
      </c>
      <c r="AE27" s="31">
        <f t="shared" si="13"/>
        <v>259.5</v>
      </c>
      <c r="AF27" s="31">
        <f t="shared" si="13"/>
        <v>538</v>
      </c>
    </row>
    <row r="28" spans="2:32" ht="23.1" customHeight="1" x14ac:dyDescent="0.25">
      <c r="B28" s="23" t="s">
        <v>55</v>
      </c>
      <c r="C28" s="49">
        <f>AVERAGE('22.07 Ndeeba-Nateete'!C28,'23.07 Ndeeba-Nateete'!C28,'24.07 Ndeeba-Nateete'!C28,'25.07 Ndeeba-Nateete'!C28,'26.07 Ndeeba-Nateete-24h'!C28,'27.07 Ndeeba-Nateete-24h'!C28,'28.07 Ndeeba-Nateete'!C28)</f>
        <v>17.857142857142858</v>
      </c>
      <c r="D28" s="49">
        <f>AVERAGE('22.07 Ndeeba-Nateete'!D28,'23.07 Ndeeba-Nateete'!D28,'24.07 Ndeeba-Nateete'!D28,'25.07 Ndeeba-Nateete'!D28,'26.07 Ndeeba-Nateete-24h'!D28,'27.07 Ndeeba-Nateete-24h'!D28,'28.07 Ndeeba-Nateete'!D28)</f>
        <v>9</v>
      </c>
      <c r="E28" s="49">
        <f>AVERAGE('22.07 Ndeeba-Nateete'!E28,'23.07 Ndeeba-Nateete'!E28,'24.07 Ndeeba-Nateete'!E28,'25.07 Ndeeba-Nateete'!E28,'26.07 Ndeeba-Nateete-24h'!E28,'27.07 Ndeeba-Nateete-24h'!E28,'28.07 Ndeeba-Nateete'!E28)</f>
        <v>3.4285714285714284</v>
      </c>
      <c r="F28" s="49">
        <f>AVERAGE('22.07 Ndeeba-Nateete'!F28,'23.07 Ndeeba-Nateete'!F28,'24.07 Ndeeba-Nateete'!F28,'25.07 Ndeeba-Nateete'!F28,'26.07 Ndeeba-Nateete-24h'!F28,'27.07 Ndeeba-Nateete-24h'!F28,'28.07 Ndeeba-Nateete'!F28)</f>
        <v>29.285714285714285</v>
      </c>
      <c r="G28" s="49">
        <f>AVERAGE('22.07 Ndeeba-Nateete'!G28,'23.07 Ndeeba-Nateete'!G28,'24.07 Ndeeba-Nateete'!G28,'25.07 Ndeeba-Nateete'!G28,'26.07 Ndeeba-Nateete-24h'!G28,'27.07 Ndeeba-Nateete-24h'!G28,'28.07 Ndeeba-Nateete'!G28)</f>
        <v>0.7142857142857143</v>
      </c>
      <c r="H28" s="49">
        <f>AVERAGE('22.07 Ndeeba-Nateete'!H28,'23.07 Ndeeba-Nateete'!H28,'24.07 Ndeeba-Nateete'!H28,'25.07 Ndeeba-Nateete'!H28,'26.07 Ndeeba-Nateete-24h'!H28,'27.07 Ndeeba-Nateete-24h'!H28,'28.07 Ndeeba-Nateete'!H28)</f>
        <v>0.14285714285714285</v>
      </c>
      <c r="I28" s="49">
        <f>AVERAGE('22.07 Ndeeba-Nateete'!I28,'23.07 Ndeeba-Nateete'!I28,'24.07 Ndeeba-Nateete'!I28,'25.07 Ndeeba-Nateete'!I28,'26.07 Ndeeba-Nateete-24h'!I28,'27.07 Ndeeba-Nateete-24h'!I28,'28.07 Ndeeba-Nateete'!I28)</f>
        <v>11.571428571428571</v>
      </c>
      <c r="J28" s="49">
        <f>AVERAGE('22.07 Ndeeba-Nateete'!J28,'23.07 Ndeeba-Nateete'!J28,'24.07 Ndeeba-Nateete'!J28,'25.07 Ndeeba-Nateete'!J28,'26.07 Ndeeba-Nateete-24h'!J28,'27.07 Ndeeba-Nateete-24h'!J28,'28.07 Ndeeba-Nateete'!J28)</f>
        <v>5</v>
      </c>
      <c r="K28" s="49">
        <f>AVERAGE('22.07 Ndeeba-Nateete'!K28,'23.07 Ndeeba-Nateete'!K28,'24.07 Ndeeba-Nateete'!K28,'25.07 Ndeeba-Nateete'!K28,'26.07 Ndeeba-Nateete-24h'!K28,'27.07 Ndeeba-Nateete-24h'!K28,'28.07 Ndeeba-Nateete'!K28)</f>
        <v>1.8571428571428572</v>
      </c>
      <c r="L28" s="49">
        <f>AVERAGE('22.07 Ndeeba-Nateete'!L28,'23.07 Ndeeba-Nateete'!L28,'24.07 Ndeeba-Nateete'!L28,'25.07 Ndeeba-Nateete'!L28,'26.07 Ndeeba-Nateete-24h'!L28,'27.07 Ndeeba-Nateete-24h'!L28,'28.07 Ndeeba-Nateete'!L28)</f>
        <v>1.4285714285714286</v>
      </c>
      <c r="M28" s="49">
        <f>AVERAGE('22.07 Ndeeba-Nateete'!M28,'23.07 Ndeeba-Nateete'!M28,'24.07 Ndeeba-Nateete'!M28,'25.07 Ndeeba-Nateete'!M28,'26.07 Ndeeba-Nateete-24h'!M28,'27.07 Ndeeba-Nateete-24h'!M28,'28.07 Ndeeba-Nateete'!M28)</f>
        <v>173.14285714285714</v>
      </c>
      <c r="N28" s="49">
        <f>AVERAGE('22.07 Ndeeba-Nateete'!N28,'23.07 Ndeeba-Nateete'!N28,'24.07 Ndeeba-Nateete'!N28,'25.07 Ndeeba-Nateete'!N28,'26.07 Ndeeba-Nateete-24h'!N28,'27.07 Ndeeba-Nateete-24h'!N28,'28.07 Ndeeba-Nateete'!N28)</f>
        <v>0</v>
      </c>
      <c r="O28" s="15">
        <f t="shared" si="0"/>
        <v>80.285714285714292</v>
      </c>
      <c r="P28" s="15">
        <f t="shared" si="1"/>
        <v>253.42857142857144</v>
      </c>
      <c r="R28" s="1" t="s">
        <v>152</v>
      </c>
      <c r="S28" s="34">
        <f>SUM(C82:C85)</f>
        <v>130</v>
      </c>
      <c r="T28" s="34">
        <f t="shared" ref="T28:AD28" si="20">SUM(D82:D85)</f>
        <v>10</v>
      </c>
      <c r="U28" s="34">
        <f t="shared" si="20"/>
        <v>5</v>
      </c>
      <c r="V28" s="34">
        <f t="shared" si="20"/>
        <v>67</v>
      </c>
      <c r="W28" s="34">
        <f t="shared" si="20"/>
        <v>0.5</v>
      </c>
      <c r="X28" s="34">
        <f t="shared" si="20"/>
        <v>0</v>
      </c>
      <c r="Y28" s="34">
        <f t="shared" si="20"/>
        <v>25.5</v>
      </c>
      <c r="Z28" s="34">
        <f t="shared" si="20"/>
        <v>13</v>
      </c>
      <c r="AA28" s="34">
        <f t="shared" si="20"/>
        <v>4</v>
      </c>
      <c r="AB28" s="34">
        <f t="shared" si="20"/>
        <v>4</v>
      </c>
      <c r="AC28" s="34">
        <f t="shared" si="20"/>
        <v>215</v>
      </c>
      <c r="AD28" s="34">
        <f t="shared" si="20"/>
        <v>0</v>
      </c>
      <c r="AE28" s="31">
        <f t="shared" si="13"/>
        <v>255.5</v>
      </c>
      <c r="AF28" s="31">
        <f t="shared" si="13"/>
        <v>511.5</v>
      </c>
    </row>
    <row r="29" spans="2:32" ht="23.1" customHeight="1" x14ac:dyDescent="0.25">
      <c r="B29" s="23" t="s">
        <v>56</v>
      </c>
      <c r="C29" s="49">
        <f>AVERAGE('22.07 Ndeeba-Nateete'!C29,'23.07 Ndeeba-Nateete'!C29,'24.07 Ndeeba-Nateete'!C29,'25.07 Ndeeba-Nateete'!C29,'26.07 Ndeeba-Nateete-24h'!C29,'27.07 Ndeeba-Nateete-24h'!C29,'28.07 Ndeeba-Nateete'!C29)</f>
        <v>25.571428571428573</v>
      </c>
      <c r="D29" s="49">
        <f>AVERAGE('22.07 Ndeeba-Nateete'!D29,'23.07 Ndeeba-Nateete'!D29,'24.07 Ndeeba-Nateete'!D29,'25.07 Ndeeba-Nateete'!D29,'26.07 Ndeeba-Nateete-24h'!D29,'27.07 Ndeeba-Nateete-24h'!D29,'28.07 Ndeeba-Nateete'!D29)</f>
        <v>10.571428571428571</v>
      </c>
      <c r="E29" s="49">
        <f>AVERAGE('22.07 Ndeeba-Nateete'!E29,'23.07 Ndeeba-Nateete'!E29,'24.07 Ndeeba-Nateete'!E29,'25.07 Ndeeba-Nateete'!E29,'26.07 Ndeeba-Nateete-24h'!E29,'27.07 Ndeeba-Nateete-24h'!E29,'28.07 Ndeeba-Nateete'!E29)</f>
        <v>4.1428571428571432</v>
      </c>
      <c r="F29" s="49">
        <f>AVERAGE('22.07 Ndeeba-Nateete'!F29,'23.07 Ndeeba-Nateete'!F29,'24.07 Ndeeba-Nateete'!F29,'25.07 Ndeeba-Nateete'!F29,'26.07 Ndeeba-Nateete-24h'!F29,'27.07 Ndeeba-Nateete-24h'!F29,'28.07 Ndeeba-Nateete'!F29)</f>
        <v>32.285714285714285</v>
      </c>
      <c r="G29" s="49">
        <f>AVERAGE('22.07 Ndeeba-Nateete'!G29,'23.07 Ndeeba-Nateete'!G29,'24.07 Ndeeba-Nateete'!G29,'25.07 Ndeeba-Nateete'!G29,'26.07 Ndeeba-Nateete-24h'!G29,'27.07 Ndeeba-Nateete-24h'!G29,'28.07 Ndeeba-Nateete'!G29)</f>
        <v>0.5714285714285714</v>
      </c>
      <c r="H29" s="49">
        <f>AVERAGE('22.07 Ndeeba-Nateete'!H29,'23.07 Ndeeba-Nateete'!H29,'24.07 Ndeeba-Nateete'!H29,'25.07 Ndeeba-Nateete'!H29,'26.07 Ndeeba-Nateete-24h'!H29,'27.07 Ndeeba-Nateete-24h'!H29,'28.07 Ndeeba-Nateete'!H29)</f>
        <v>0</v>
      </c>
      <c r="I29" s="49">
        <f>AVERAGE('22.07 Ndeeba-Nateete'!I29,'23.07 Ndeeba-Nateete'!I29,'24.07 Ndeeba-Nateete'!I29,'25.07 Ndeeba-Nateete'!I29,'26.07 Ndeeba-Nateete-24h'!I29,'27.07 Ndeeba-Nateete-24h'!I29,'28.07 Ndeeba-Nateete'!I29)</f>
        <v>9.8571428571428577</v>
      </c>
      <c r="J29" s="49">
        <f>AVERAGE('22.07 Ndeeba-Nateete'!J29,'23.07 Ndeeba-Nateete'!J29,'24.07 Ndeeba-Nateete'!J29,'25.07 Ndeeba-Nateete'!J29,'26.07 Ndeeba-Nateete-24h'!J29,'27.07 Ndeeba-Nateete-24h'!J29,'28.07 Ndeeba-Nateete'!J29)</f>
        <v>3</v>
      </c>
      <c r="K29" s="49">
        <f>AVERAGE('22.07 Ndeeba-Nateete'!K29,'23.07 Ndeeba-Nateete'!K29,'24.07 Ndeeba-Nateete'!K29,'25.07 Ndeeba-Nateete'!K29,'26.07 Ndeeba-Nateete-24h'!K29,'27.07 Ndeeba-Nateete-24h'!K29,'28.07 Ndeeba-Nateete'!K29)</f>
        <v>0.2857142857142857</v>
      </c>
      <c r="L29" s="49">
        <f>AVERAGE('22.07 Ndeeba-Nateete'!L29,'23.07 Ndeeba-Nateete'!L29,'24.07 Ndeeba-Nateete'!L29,'25.07 Ndeeba-Nateete'!L29,'26.07 Ndeeba-Nateete-24h'!L29,'27.07 Ndeeba-Nateete-24h'!L29,'28.07 Ndeeba-Nateete'!L29)</f>
        <v>0.2857142857142857</v>
      </c>
      <c r="M29" s="49">
        <f>AVERAGE('22.07 Ndeeba-Nateete'!M29,'23.07 Ndeeba-Nateete'!M29,'24.07 Ndeeba-Nateete'!M29,'25.07 Ndeeba-Nateete'!M29,'26.07 Ndeeba-Nateete-24h'!M29,'27.07 Ndeeba-Nateete-24h'!M29,'28.07 Ndeeba-Nateete'!M29)</f>
        <v>174.28571428571428</v>
      </c>
      <c r="N29" s="49">
        <f>AVERAGE('22.07 Ndeeba-Nateete'!N29,'23.07 Ndeeba-Nateete'!N29,'24.07 Ndeeba-Nateete'!N29,'25.07 Ndeeba-Nateete'!N29,'26.07 Ndeeba-Nateete-24h'!N29,'27.07 Ndeeba-Nateete-24h'!N29,'28.07 Ndeeba-Nateete'!N29)</f>
        <v>0</v>
      </c>
      <c r="O29" s="15">
        <f t="shared" si="0"/>
        <v>86.571428571428598</v>
      </c>
      <c r="P29" s="15">
        <f t="shared" si="1"/>
        <v>260.85714285714289</v>
      </c>
      <c r="R29" s="1" t="s">
        <v>153</v>
      </c>
      <c r="S29" s="34">
        <f>SUM(C86:C89)</f>
        <v>56.5</v>
      </c>
      <c r="T29" s="34">
        <f t="shared" ref="T29:AD29" si="21">SUM(D86:D89)</f>
        <v>4.5</v>
      </c>
      <c r="U29" s="34">
        <f t="shared" si="21"/>
        <v>3.5</v>
      </c>
      <c r="V29" s="34">
        <f t="shared" si="21"/>
        <v>14</v>
      </c>
      <c r="W29" s="34">
        <f t="shared" si="21"/>
        <v>0</v>
      </c>
      <c r="X29" s="34">
        <f t="shared" si="21"/>
        <v>1.5</v>
      </c>
      <c r="Y29" s="34">
        <f t="shared" si="21"/>
        <v>10</v>
      </c>
      <c r="Z29" s="34">
        <f t="shared" si="21"/>
        <v>14.5</v>
      </c>
      <c r="AA29" s="34">
        <f t="shared" si="21"/>
        <v>5.5</v>
      </c>
      <c r="AB29" s="34">
        <f>SUM(L86:L89)</f>
        <v>2.5</v>
      </c>
      <c r="AC29" s="34">
        <f t="shared" si="21"/>
        <v>276</v>
      </c>
      <c r="AD29" s="34">
        <f t="shared" si="21"/>
        <v>0</v>
      </c>
      <c r="AE29" s="31">
        <f t="shared" si="13"/>
        <v>259</v>
      </c>
      <c r="AF29" s="31">
        <f t="shared" si="13"/>
        <v>535</v>
      </c>
    </row>
    <row r="30" spans="2:32" ht="23.1" customHeight="1" x14ac:dyDescent="0.25">
      <c r="B30" s="23" t="s">
        <v>57</v>
      </c>
      <c r="C30" s="49">
        <f>AVERAGE('22.07 Ndeeba-Nateete'!C30,'23.07 Ndeeba-Nateete'!C30,'24.07 Ndeeba-Nateete'!C30,'25.07 Ndeeba-Nateete'!C30,'26.07 Ndeeba-Nateete-24h'!C30,'27.07 Ndeeba-Nateete-24h'!C30,'28.07 Ndeeba-Nateete'!C30)</f>
        <v>20.285714285714285</v>
      </c>
      <c r="D30" s="49">
        <f>AVERAGE('22.07 Ndeeba-Nateete'!D30,'23.07 Ndeeba-Nateete'!D30,'24.07 Ndeeba-Nateete'!D30,'25.07 Ndeeba-Nateete'!D30,'26.07 Ndeeba-Nateete-24h'!D30,'27.07 Ndeeba-Nateete-24h'!D30,'28.07 Ndeeba-Nateete'!D30)</f>
        <v>9.2857142857142865</v>
      </c>
      <c r="E30" s="49">
        <f>AVERAGE('22.07 Ndeeba-Nateete'!E30,'23.07 Ndeeba-Nateete'!E30,'24.07 Ndeeba-Nateete'!E30,'25.07 Ndeeba-Nateete'!E30,'26.07 Ndeeba-Nateete-24h'!E30,'27.07 Ndeeba-Nateete-24h'!E30,'28.07 Ndeeba-Nateete'!E30)</f>
        <v>3</v>
      </c>
      <c r="F30" s="49">
        <f>AVERAGE('22.07 Ndeeba-Nateete'!F30,'23.07 Ndeeba-Nateete'!F30,'24.07 Ndeeba-Nateete'!F30,'25.07 Ndeeba-Nateete'!F30,'26.07 Ndeeba-Nateete-24h'!F30,'27.07 Ndeeba-Nateete-24h'!F30,'28.07 Ndeeba-Nateete'!F30)</f>
        <v>21</v>
      </c>
      <c r="G30" s="49">
        <f>AVERAGE('22.07 Ndeeba-Nateete'!G30,'23.07 Ndeeba-Nateete'!G30,'24.07 Ndeeba-Nateete'!G30,'25.07 Ndeeba-Nateete'!G30,'26.07 Ndeeba-Nateete-24h'!G30,'27.07 Ndeeba-Nateete-24h'!G30,'28.07 Ndeeba-Nateete'!G30)</f>
        <v>0.2857142857142857</v>
      </c>
      <c r="H30" s="49">
        <f>AVERAGE('22.07 Ndeeba-Nateete'!H30,'23.07 Ndeeba-Nateete'!H30,'24.07 Ndeeba-Nateete'!H30,'25.07 Ndeeba-Nateete'!H30,'26.07 Ndeeba-Nateete-24h'!H30,'27.07 Ndeeba-Nateete-24h'!H30,'28.07 Ndeeba-Nateete'!H30)</f>
        <v>0.2857142857142857</v>
      </c>
      <c r="I30" s="49">
        <f>AVERAGE('22.07 Ndeeba-Nateete'!I30,'23.07 Ndeeba-Nateete'!I30,'24.07 Ndeeba-Nateete'!I30,'25.07 Ndeeba-Nateete'!I30,'26.07 Ndeeba-Nateete-24h'!I30,'27.07 Ndeeba-Nateete-24h'!I30,'28.07 Ndeeba-Nateete'!I30)</f>
        <v>9.8571428571428577</v>
      </c>
      <c r="J30" s="49">
        <f>AVERAGE('22.07 Ndeeba-Nateete'!J30,'23.07 Ndeeba-Nateete'!J30,'24.07 Ndeeba-Nateete'!J30,'25.07 Ndeeba-Nateete'!J30,'26.07 Ndeeba-Nateete-24h'!J30,'27.07 Ndeeba-Nateete-24h'!J30,'28.07 Ndeeba-Nateete'!J30)</f>
        <v>5.2857142857142856</v>
      </c>
      <c r="K30" s="49">
        <f>AVERAGE('22.07 Ndeeba-Nateete'!K30,'23.07 Ndeeba-Nateete'!K30,'24.07 Ndeeba-Nateete'!K30,'25.07 Ndeeba-Nateete'!K30,'26.07 Ndeeba-Nateete-24h'!K30,'27.07 Ndeeba-Nateete-24h'!K30,'28.07 Ndeeba-Nateete'!K30)</f>
        <v>1.8571428571428572</v>
      </c>
      <c r="L30" s="49">
        <f>AVERAGE('22.07 Ndeeba-Nateete'!L30,'23.07 Ndeeba-Nateete'!L30,'24.07 Ndeeba-Nateete'!L30,'25.07 Ndeeba-Nateete'!L30,'26.07 Ndeeba-Nateete-24h'!L30,'27.07 Ndeeba-Nateete-24h'!L30,'28.07 Ndeeba-Nateete'!L30)</f>
        <v>1</v>
      </c>
      <c r="M30" s="49">
        <f>AVERAGE('22.07 Ndeeba-Nateete'!M30,'23.07 Ndeeba-Nateete'!M30,'24.07 Ndeeba-Nateete'!M30,'25.07 Ndeeba-Nateete'!M30,'26.07 Ndeeba-Nateete-24h'!M30,'27.07 Ndeeba-Nateete-24h'!M30,'28.07 Ndeeba-Nateete'!M30)</f>
        <v>149.71428571428572</v>
      </c>
      <c r="N30" s="49">
        <f>AVERAGE('22.07 Ndeeba-Nateete'!N30,'23.07 Ndeeba-Nateete'!N30,'24.07 Ndeeba-Nateete'!N30,'25.07 Ndeeba-Nateete'!N30,'26.07 Ndeeba-Nateete-24h'!N30,'27.07 Ndeeba-Nateete-24h'!N30,'28.07 Ndeeba-Nateete'!N30)</f>
        <v>0.14285714285714285</v>
      </c>
      <c r="O30" s="15">
        <f t="shared" si="0"/>
        <v>72.285714285714292</v>
      </c>
      <c r="P30" s="15">
        <f t="shared" si="1"/>
        <v>222.00000000000003</v>
      </c>
      <c r="R30" s="1" t="s">
        <v>154</v>
      </c>
      <c r="S30" s="34">
        <f>SUM(C90:C93)</f>
        <v>65.5</v>
      </c>
      <c r="T30" s="34">
        <f t="shared" ref="T30:AD30" si="22">SUM(D90:D93)</f>
        <v>5</v>
      </c>
      <c r="U30" s="34">
        <f t="shared" si="22"/>
        <v>2</v>
      </c>
      <c r="V30" s="34">
        <f t="shared" si="22"/>
        <v>14</v>
      </c>
      <c r="W30" s="34">
        <f t="shared" si="22"/>
        <v>0</v>
      </c>
      <c r="X30" s="34">
        <f t="shared" si="22"/>
        <v>0.5</v>
      </c>
      <c r="Y30" s="34">
        <f t="shared" si="22"/>
        <v>12</v>
      </c>
      <c r="Z30" s="34">
        <f>SUM(J90:J93)</f>
        <v>9</v>
      </c>
      <c r="AA30" s="34">
        <f t="shared" si="22"/>
        <v>1.5</v>
      </c>
      <c r="AB30" s="34">
        <f t="shared" si="22"/>
        <v>1</v>
      </c>
      <c r="AC30" s="34">
        <f t="shared" si="22"/>
        <v>217</v>
      </c>
      <c r="AD30" s="34">
        <f t="shared" si="22"/>
        <v>0</v>
      </c>
      <c r="AE30" s="31">
        <f t="shared" si="13"/>
        <v>250.5</v>
      </c>
      <c r="AF30" s="31">
        <f t="shared" si="13"/>
        <v>500.5</v>
      </c>
    </row>
    <row r="31" spans="2:32" ht="23.1" customHeight="1" x14ac:dyDescent="0.25">
      <c r="B31" s="24" t="s">
        <v>58</v>
      </c>
      <c r="C31" s="49">
        <f>AVERAGE('22.07 Ndeeba-Nateete'!C31,'23.07 Ndeeba-Nateete'!C31,'24.07 Ndeeba-Nateete'!C31,'25.07 Ndeeba-Nateete'!C31,'26.07 Ndeeba-Nateete-24h'!C31,'27.07 Ndeeba-Nateete-24h'!C31,'28.07 Ndeeba-Nateete'!C31)</f>
        <v>30</v>
      </c>
      <c r="D31" s="49">
        <f>AVERAGE('22.07 Ndeeba-Nateete'!D31,'23.07 Ndeeba-Nateete'!D31,'24.07 Ndeeba-Nateete'!D31,'25.07 Ndeeba-Nateete'!D31,'26.07 Ndeeba-Nateete-24h'!D31,'27.07 Ndeeba-Nateete-24h'!D31,'28.07 Ndeeba-Nateete'!D31)</f>
        <v>7.7142857142857144</v>
      </c>
      <c r="E31" s="49">
        <f>AVERAGE('22.07 Ndeeba-Nateete'!E31,'23.07 Ndeeba-Nateete'!E31,'24.07 Ndeeba-Nateete'!E31,'25.07 Ndeeba-Nateete'!E31,'26.07 Ndeeba-Nateete-24h'!E31,'27.07 Ndeeba-Nateete-24h'!E31,'28.07 Ndeeba-Nateete'!E31)</f>
        <v>2.8571428571428572</v>
      </c>
      <c r="F31" s="49">
        <f>AVERAGE('22.07 Ndeeba-Nateete'!F31,'23.07 Ndeeba-Nateete'!F31,'24.07 Ndeeba-Nateete'!F31,'25.07 Ndeeba-Nateete'!F31,'26.07 Ndeeba-Nateete-24h'!F31,'27.07 Ndeeba-Nateete-24h'!F31,'28.07 Ndeeba-Nateete'!F31)</f>
        <v>26.142857142857142</v>
      </c>
      <c r="G31" s="49">
        <f>AVERAGE('22.07 Ndeeba-Nateete'!G31,'23.07 Ndeeba-Nateete'!G31,'24.07 Ndeeba-Nateete'!G31,'25.07 Ndeeba-Nateete'!G31,'26.07 Ndeeba-Nateete-24h'!G31,'27.07 Ndeeba-Nateete-24h'!G31,'28.07 Ndeeba-Nateete'!G31)</f>
        <v>0.5714285714285714</v>
      </c>
      <c r="H31" s="49">
        <f>AVERAGE('22.07 Ndeeba-Nateete'!H31,'23.07 Ndeeba-Nateete'!H31,'24.07 Ndeeba-Nateete'!H31,'25.07 Ndeeba-Nateete'!H31,'26.07 Ndeeba-Nateete-24h'!H31,'27.07 Ndeeba-Nateete-24h'!H31,'28.07 Ndeeba-Nateete'!H31)</f>
        <v>0</v>
      </c>
      <c r="I31" s="49">
        <f>AVERAGE('22.07 Ndeeba-Nateete'!I31,'23.07 Ndeeba-Nateete'!I31,'24.07 Ndeeba-Nateete'!I31,'25.07 Ndeeba-Nateete'!I31,'26.07 Ndeeba-Nateete-24h'!I31,'27.07 Ndeeba-Nateete-24h'!I31,'28.07 Ndeeba-Nateete'!I31)</f>
        <v>16</v>
      </c>
      <c r="J31" s="49">
        <f>AVERAGE('22.07 Ndeeba-Nateete'!J31,'23.07 Ndeeba-Nateete'!J31,'24.07 Ndeeba-Nateete'!J31,'25.07 Ndeeba-Nateete'!J31,'26.07 Ndeeba-Nateete-24h'!J31,'27.07 Ndeeba-Nateete-24h'!J31,'28.07 Ndeeba-Nateete'!J31)</f>
        <v>7.7142857142857144</v>
      </c>
      <c r="K31" s="49">
        <f>AVERAGE('22.07 Ndeeba-Nateete'!K31,'23.07 Ndeeba-Nateete'!K31,'24.07 Ndeeba-Nateete'!K31,'25.07 Ndeeba-Nateete'!K31,'26.07 Ndeeba-Nateete-24h'!K31,'27.07 Ndeeba-Nateete-24h'!K31,'28.07 Ndeeba-Nateete'!K31)</f>
        <v>2</v>
      </c>
      <c r="L31" s="49">
        <f>AVERAGE('22.07 Ndeeba-Nateete'!L31,'23.07 Ndeeba-Nateete'!L31,'24.07 Ndeeba-Nateete'!L31,'25.07 Ndeeba-Nateete'!L31,'26.07 Ndeeba-Nateete-24h'!L31,'27.07 Ndeeba-Nateete-24h'!L31,'28.07 Ndeeba-Nateete'!L31)</f>
        <v>1.7142857142857142</v>
      </c>
      <c r="M31" s="49">
        <f>AVERAGE('22.07 Ndeeba-Nateete'!M31,'23.07 Ndeeba-Nateete'!M31,'24.07 Ndeeba-Nateete'!M31,'25.07 Ndeeba-Nateete'!M31,'26.07 Ndeeba-Nateete-24h'!M31,'27.07 Ndeeba-Nateete-24h'!M31,'28.07 Ndeeba-Nateete'!M31)</f>
        <v>164.71428571428572</v>
      </c>
      <c r="N31" s="49">
        <f>AVERAGE('22.07 Ndeeba-Nateete'!N31,'23.07 Ndeeba-Nateete'!N31,'24.07 Ndeeba-Nateete'!N31,'25.07 Ndeeba-Nateete'!N31,'26.07 Ndeeba-Nateete-24h'!N31,'27.07 Ndeeba-Nateete-24h'!N31,'28.07 Ndeeba-Nateete'!N31)</f>
        <v>0</v>
      </c>
      <c r="O31" s="15">
        <f t="shared" si="0"/>
        <v>94.714285714285694</v>
      </c>
      <c r="P31" s="15">
        <f t="shared" si="1"/>
        <v>259.42857142857144</v>
      </c>
      <c r="R31" s="1" t="s">
        <v>155</v>
      </c>
      <c r="S31" s="34">
        <f>SUM(C94:C97)</f>
        <v>114</v>
      </c>
      <c r="T31" s="34">
        <f t="shared" ref="T31:AD31" si="23">SUM(D94:D97)</f>
        <v>6.5</v>
      </c>
      <c r="U31" s="34">
        <f t="shared" si="23"/>
        <v>5</v>
      </c>
      <c r="V31" s="34">
        <f t="shared" si="23"/>
        <v>18</v>
      </c>
      <c r="W31" s="34">
        <f t="shared" si="23"/>
        <v>0.5</v>
      </c>
      <c r="X31" s="34">
        <f t="shared" si="23"/>
        <v>0</v>
      </c>
      <c r="Y31" s="34">
        <f t="shared" si="23"/>
        <v>13</v>
      </c>
      <c r="Z31" s="34">
        <f t="shared" si="23"/>
        <v>6.5</v>
      </c>
      <c r="AA31" s="34">
        <f t="shared" si="23"/>
        <v>2</v>
      </c>
      <c r="AB31" s="34">
        <f t="shared" si="23"/>
        <v>1.5</v>
      </c>
      <c r="AC31" s="34">
        <f t="shared" si="23"/>
        <v>150.5</v>
      </c>
      <c r="AD31" s="34">
        <f t="shared" si="23"/>
        <v>45</v>
      </c>
      <c r="AE31" s="31">
        <f t="shared" si="13"/>
        <v>263.5</v>
      </c>
      <c r="AF31" s="31">
        <f t="shared" si="13"/>
        <v>551</v>
      </c>
    </row>
    <row r="32" spans="2:32" ht="23.1" customHeight="1" x14ac:dyDescent="0.25">
      <c r="B32" s="24" t="s">
        <v>59</v>
      </c>
      <c r="C32" s="49">
        <f>AVERAGE('22.07 Ndeeba-Nateete'!C32,'23.07 Ndeeba-Nateete'!C32,'24.07 Ndeeba-Nateete'!C32,'25.07 Ndeeba-Nateete'!C32,'26.07 Ndeeba-Nateete-24h'!C32,'27.07 Ndeeba-Nateete-24h'!C32,'28.07 Ndeeba-Nateete'!C32)</f>
        <v>22.142857142857142</v>
      </c>
      <c r="D32" s="49">
        <f>AVERAGE('22.07 Ndeeba-Nateete'!D32,'23.07 Ndeeba-Nateete'!D32,'24.07 Ndeeba-Nateete'!D32,'25.07 Ndeeba-Nateete'!D32,'26.07 Ndeeba-Nateete-24h'!D32,'27.07 Ndeeba-Nateete-24h'!D32,'28.07 Ndeeba-Nateete'!D32)</f>
        <v>11.142857142857142</v>
      </c>
      <c r="E32" s="49">
        <f>AVERAGE('22.07 Ndeeba-Nateete'!E32,'23.07 Ndeeba-Nateete'!E32,'24.07 Ndeeba-Nateete'!E32,'25.07 Ndeeba-Nateete'!E32,'26.07 Ndeeba-Nateete-24h'!E32,'27.07 Ndeeba-Nateete-24h'!E32,'28.07 Ndeeba-Nateete'!E32)</f>
        <v>3.8571428571428572</v>
      </c>
      <c r="F32" s="49">
        <f>AVERAGE('22.07 Ndeeba-Nateete'!F32,'23.07 Ndeeba-Nateete'!F32,'24.07 Ndeeba-Nateete'!F32,'25.07 Ndeeba-Nateete'!F32,'26.07 Ndeeba-Nateete-24h'!F32,'27.07 Ndeeba-Nateete-24h'!F32,'28.07 Ndeeba-Nateete'!F32)</f>
        <v>33.571428571428569</v>
      </c>
      <c r="G32" s="49">
        <f>AVERAGE('22.07 Ndeeba-Nateete'!G32,'23.07 Ndeeba-Nateete'!G32,'24.07 Ndeeba-Nateete'!G32,'25.07 Ndeeba-Nateete'!G32,'26.07 Ndeeba-Nateete-24h'!G32,'27.07 Ndeeba-Nateete-24h'!G32,'28.07 Ndeeba-Nateete'!G32)</f>
        <v>0.5714285714285714</v>
      </c>
      <c r="H32" s="49">
        <f>AVERAGE('22.07 Ndeeba-Nateete'!H32,'23.07 Ndeeba-Nateete'!H32,'24.07 Ndeeba-Nateete'!H32,'25.07 Ndeeba-Nateete'!H32,'26.07 Ndeeba-Nateete-24h'!H32,'27.07 Ndeeba-Nateete-24h'!H32,'28.07 Ndeeba-Nateete'!H32)</f>
        <v>0.14285714285714285</v>
      </c>
      <c r="I32" s="49">
        <f>AVERAGE('22.07 Ndeeba-Nateete'!I32,'23.07 Ndeeba-Nateete'!I32,'24.07 Ndeeba-Nateete'!I32,'25.07 Ndeeba-Nateete'!I32,'26.07 Ndeeba-Nateete-24h'!I32,'27.07 Ndeeba-Nateete-24h'!I32,'28.07 Ndeeba-Nateete'!I32)</f>
        <v>14.857142857142858</v>
      </c>
      <c r="J32" s="49">
        <f>AVERAGE('22.07 Ndeeba-Nateete'!J32,'23.07 Ndeeba-Nateete'!J32,'24.07 Ndeeba-Nateete'!J32,'25.07 Ndeeba-Nateete'!J32,'26.07 Ndeeba-Nateete-24h'!J32,'27.07 Ndeeba-Nateete-24h'!J32,'28.07 Ndeeba-Nateete'!J32)</f>
        <v>5.2857142857142856</v>
      </c>
      <c r="K32" s="49">
        <f>AVERAGE('22.07 Ndeeba-Nateete'!K32,'23.07 Ndeeba-Nateete'!K32,'24.07 Ndeeba-Nateete'!K32,'25.07 Ndeeba-Nateete'!K32,'26.07 Ndeeba-Nateete-24h'!K32,'27.07 Ndeeba-Nateete-24h'!K32,'28.07 Ndeeba-Nateete'!K32)</f>
        <v>2.4285714285714284</v>
      </c>
      <c r="L32" s="49">
        <f>AVERAGE('22.07 Ndeeba-Nateete'!L32,'23.07 Ndeeba-Nateete'!L32,'24.07 Ndeeba-Nateete'!L32,'25.07 Ndeeba-Nateete'!L32,'26.07 Ndeeba-Nateete-24h'!L32,'27.07 Ndeeba-Nateete-24h'!L32,'28.07 Ndeeba-Nateete'!L32)</f>
        <v>2.8571428571428572</v>
      </c>
      <c r="M32" s="49">
        <f>AVERAGE('22.07 Ndeeba-Nateete'!M32,'23.07 Ndeeba-Nateete'!M32,'24.07 Ndeeba-Nateete'!M32,'25.07 Ndeeba-Nateete'!M32,'26.07 Ndeeba-Nateete-24h'!M32,'27.07 Ndeeba-Nateete-24h'!M32,'28.07 Ndeeba-Nateete'!M32)</f>
        <v>160.57142857142858</v>
      </c>
      <c r="N32" s="49">
        <f>AVERAGE('22.07 Ndeeba-Nateete'!N32,'23.07 Ndeeba-Nateete'!N32,'24.07 Ndeeba-Nateete'!N32,'25.07 Ndeeba-Nateete'!N32,'26.07 Ndeeba-Nateete-24h'!N32,'27.07 Ndeeba-Nateete-24h'!N32,'28.07 Ndeeba-Nateete'!N32)</f>
        <v>0</v>
      </c>
      <c r="O32" s="15">
        <f t="shared" si="0"/>
        <v>96.857142857142861</v>
      </c>
      <c r="P32" s="15">
        <f t="shared" si="1"/>
        <v>257.42857142857144</v>
      </c>
      <c r="R32" s="1" t="s">
        <v>156</v>
      </c>
      <c r="S32" s="34">
        <f>SUM(C98:C101)</f>
        <v>107.5</v>
      </c>
      <c r="T32" s="34">
        <f t="shared" ref="T32:AD32" si="24">SUM(D98:D101)</f>
        <v>21.5</v>
      </c>
      <c r="U32" s="34">
        <f t="shared" si="24"/>
        <v>9.5</v>
      </c>
      <c r="V32" s="34">
        <f t="shared" si="24"/>
        <v>61.5</v>
      </c>
      <c r="W32" s="34">
        <f t="shared" si="24"/>
        <v>0.5</v>
      </c>
      <c r="X32" s="34">
        <f t="shared" si="24"/>
        <v>0.5</v>
      </c>
      <c r="Y32" s="34">
        <f t="shared" si="24"/>
        <v>24.5</v>
      </c>
      <c r="Z32" s="34">
        <f t="shared" si="24"/>
        <v>25.5</v>
      </c>
      <c r="AA32" s="34">
        <f t="shared" si="24"/>
        <v>7.5</v>
      </c>
      <c r="AB32" s="34">
        <f t="shared" si="24"/>
        <v>6.5</v>
      </c>
      <c r="AC32" s="34">
        <f t="shared" si="24"/>
        <v>212</v>
      </c>
      <c r="AD32" s="34">
        <f t="shared" si="24"/>
        <v>0</v>
      </c>
      <c r="AE32" s="31">
        <f t="shared" si="13"/>
        <v>272.5</v>
      </c>
      <c r="AF32" s="31">
        <f t="shared" si="13"/>
        <v>615</v>
      </c>
    </row>
    <row r="33" spans="2:32" ht="23.1" customHeight="1" x14ac:dyDescent="0.25">
      <c r="B33" s="23" t="s">
        <v>60</v>
      </c>
      <c r="C33" s="49">
        <f>AVERAGE('22.07 Ndeeba-Nateete'!C33,'23.07 Ndeeba-Nateete'!C33,'24.07 Ndeeba-Nateete'!C33,'25.07 Ndeeba-Nateete'!C33,'26.07 Ndeeba-Nateete-24h'!C33,'27.07 Ndeeba-Nateete-24h'!C33,'28.07 Ndeeba-Nateete'!C33)</f>
        <v>20.857142857142858</v>
      </c>
      <c r="D33" s="49">
        <f>AVERAGE('22.07 Ndeeba-Nateete'!D33,'23.07 Ndeeba-Nateete'!D33,'24.07 Ndeeba-Nateete'!D33,'25.07 Ndeeba-Nateete'!D33,'26.07 Ndeeba-Nateete-24h'!D33,'27.07 Ndeeba-Nateete-24h'!D33,'28.07 Ndeeba-Nateete'!D33)</f>
        <v>7.4285714285714288</v>
      </c>
      <c r="E33" s="49">
        <f>AVERAGE('22.07 Ndeeba-Nateete'!E33,'23.07 Ndeeba-Nateete'!E33,'24.07 Ndeeba-Nateete'!E33,'25.07 Ndeeba-Nateete'!E33,'26.07 Ndeeba-Nateete-24h'!E33,'27.07 Ndeeba-Nateete-24h'!E33,'28.07 Ndeeba-Nateete'!E33)</f>
        <v>3.4285714285714284</v>
      </c>
      <c r="F33" s="49">
        <f>AVERAGE('22.07 Ndeeba-Nateete'!F33,'23.07 Ndeeba-Nateete'!F33,'24.07 Ndeeba-Nateete'!F33,'25.07 Ndeeba-Nateete'!F33,'26.07 Ndeeba-Nateete-24h'!F33,'27.07 Ndeeba-Nateete-24h'!F33,'28.07 Ndeeba-Nateete'!F33)</f>
        <v>42.857142857142854</v>
      </c>
      <c r="G33" s="49">
        <f>AVERAGE('22.07 Ndeeba-Nateete'!G33,'23.07 Ndeeba-Nateete'!G33,'24.07 Ndeeba-Nateete'!G33,'25.07 Ndeeba-Nateete'!G33,'26.07 Ndeeba-Nateete-24h'!G33,'27.07 Ndeeba-Nateete-24h'!G33,'28.07 Ndeeba-Nateete'!G33)</f>
        <v>0.42857142857142855</v>
      </c>
      <c r="H33" s="49">
        <f>AVERAGE('22.07 Ndeeba-Nateete'!H33,'23.07 Ndeeba-Nateete'!H33,'24.07 Ndeeba-Nateete'!H33,'25.07 Ndeeba-Nateete'!H33,'26.07 Ndeeba-Nateete-24h'!H33,'27.07 Ndeeba-Nateete-24h'!H33,'28.07 Ndeeba-Nateete'!H33)</f>
        <v>0</v>
      </c>
      <c r="I33" s="49">
        <f>AVERAGE('22.07 Ndeeba-Nateete'!I33,'23.07 Ndeeba-Nateete'!I33,'24.07 Ndeeba-Nateete'!I33,'25.07 Ndeeba-Nateete'!I33,'26.07 Ndeeba-Nateete-24h'!I33,'27.07 Ndeeba-Nateete-24h'!I33,'28.07 Ndeeba-Nateete'!I33)</f>
        <v>13.142857142857142</v>
      </c>
      <c r="J33" s="49">
        <f>AVERAGE('22.07 Ndeeba-Nateete'!J33,'23.07 Ndeeba-Nateete'!J33,'24.07 Ndeeba-Nateete'!J33,'25.07 Ndeeba-Nateete'!J33,'26.07 Ndeeba-Nateete-24h'!J33,'27.07 Ndeeba-Nateete-24h'!J33,'28.07 Ndeeba-Nateete'!J33)</f>
        <v>6</v>
      </c>
      <c r="K33" s="49">
        <f>AVERAGE('22.07 Ndeeba-Nateete'!K33,'23.07 Ndeeba-Nateete'!K33,'24.07 Ndeeba-Nateete'!K33,'25.07 Ndeeba-Nateete'!K33,'26.07 Ndeeba-Nateete-24h'!K33,'27.07 Ndeeba-Nateete-24h'!K33,'28.07 Ndeeba-Nateete'!K33)</f>
        <v>1.4285714285714286</v>
      </c>
      <c r="L33" s="49">
        <f>AVERAGE('22.07 Ndeeba-Nateete'!L33,'23.07 Ndeeba-Nateete'!L33,'24.07 Ndeeba-Nateete'!L33,'25.07 Ndeeba-Nateete'!L33,'26.07 Ndeeba-Nateete-24h'!L33,'27.07 Ndeeba-Nateete-24h'!L33,'28.07 Ndeeba-Nateete'!L33)</f>
        <v>0.42857142857142855</v>
      </c>
      <c r="M33" s="49">
        <f>AVERAGE('22.07 Ndeeba-Nateete'!M33,'23.07 Ndeeba-Nateete'!M33,'24.07 Ndeeba-Nateete'!M33,'25.07 Ndeeba-Nateete'!M33,'26.07 Ndeeba-Nateete-24h'!M33,'27.07 Ndeeba-Nateete-24h'!M33,'28.07 Ndeeba-Nateete'!M33)</f>
        <v>162.42857142857142</v>
      </c>
      <c r="N33" s="49">
        <f>AVERAGE('22.07 Ndeeba-Nateete'!N33,'23.07 Ndeeba-Nateete'!N33,'24.07 Ndeeba-Nateete'!N33,'25.07 Ndeeba-Nateete'!N33,'26.07 Ndeeba-Nateete-24h'!N33,'27.07 Ndeeba-Nateete-24h'!N33,'28.07 Ndeeba-Nateete'!N33)</f>
        <v>0</v>
      </c>
      <c r="O33" s="15">
        <f t="shared" si="0"/>
        <v>96</v>
      </c>
      <c r="P33" s="15">
        <f t="shared" si="1"/>
        <v>258.42857142857144</v>
      </c>
      <c r="R33" s="1" t="s">
        <v>157</v>
      </c>
      <c r="S33" s="34">
        <f>SUM(C102:C105)</f>
        <v>86</v>
      </c>
      <c r="T33" s="34">
        <f t="shared" ref="T33:AD33" si="25">SUM(D102:D105)</f>
        <v>13.5</v>
      </c>
      <c r="U33" s="34">
        <f t="shared" si="25"/>
        <v>8</v>
      </c>
      <c r="V33" s="34">
        <f t="shared" si="25"/>
        <v>91.5</v>
      </c>
      <c r="W33" s="34">
        <f t="shared" si="25"/>
        <v>2</v>
      </c>
      <c r="X33" s="34">
        <f t="shared" si="25"/>
        <v>1</v>
      </c>
      <c r="Y33" s="34">
        <f t="shared" si="25"/>
        <v>19.5</v>
      </c>
      <c r="Z33" s="34">
        <f t="shared" si="25"/>
        <v>16</v>
      </c>
      <c r="AA33" s="34">
        <f t="shared" si="25"/>
        <v>6.5</v>
      </c>
      <c r="AB33" s="34">
        <f t="shared" si="25"/>
        <v>3.5</v>
      </c>
      <c r="AC33" s="34">
        <f t="shared" si="25"/>
        <v>458</v>
      </c>
      <c r="AD33" s="34">
        <f t="shared" si="25"/>
        <v>0</v>
      </c>
      <c r="AE33" s="31">
        <f t="shared" si="13"/>
        <v>291.5</v>
      </c>
      <c r="AF33" s="31">
        <f t="shared" si="13"/>
        <v>626.5</v>
      </c>
    </row>
    <row r="34" spans="2:32" ht="23.1" customHeight="1" x14ac:dyDescent="0.25">
      <c r="B34" s="24" t="s">
        <v>61</v>
      </c>
      <c r="C34" s="49">
        <f>AVERAGE('22.07 Ndeeba-Nateete'!C34,'23.07 Ndeeba-Nateete'!C34,'24.07 Ndeeba-Nateete'!C34,'25.07 Ndeeba-Nateete'!C34,'26.07 Ndeeba-Nateete-24h'!C34,'27.07 Ndeeba-Nateete-24h'!C34,'28.07 Ndeeba-Nateete'!C34)</f>
        <v>21.571428571428573</v>
      </c>
      <c r="D34" s="49">
        <f>AVERAGE('22.07 Ndeeba-Nateete'!D34,'23.07 Ndeeba-Nateete'!D34,'24.07 Ndeeba-Nateete'!D34,'25.07 Ndeeba-Nateete'!D34,'26.07 Ndeeba-Nateete-24h'!D34,'27.07 Ndeeba-Nateete-24h'!D34,'28.07 Ndeeba-Nateete'!D34)</f>
        <v>4.5714285714285712</v>
      </c>
      <c r="E34" s="49">
        <f>AVERAGE('22.07 Ndeeba-Nateete'!E34,'23.07 Ndeeba-Nateete'!E34,'24.07 Ndeeba-Nateete'!E34,'25.07 Ndeeba-Nateete'!E34,'26.07 Ndeeba-Nateete-24h'!E34,'27.07 Ndeeba-Nateete-24h'!E34,'28.07 Ndeeba-Nateete'!E34)</f>
        <v>2.7142857142857144</v>
      </c>
      <c r="F34" s="49">
        <f>AVERAGE('22.07 Ndeeba-Nateete'!F34,'23.07 Ndeeba-Nateete'!F34,'24.07 Ndeeba-Nateete'!F34,'25.07 Ndeeba-Nateete'!F34,'26.07 Ndeeba-Nateete-24h'!F34,'27.07 Ndeeba-Nateete-24h'!F34,'28.07 Ndeeba-Nateete'!F34)</f>
        <v>29.714285714285715</v>
      </c>
      <c r="G34" s="49">
        <f>AVERAGE('22.07 Ndeeba-Nateete'!G34,'23.07 Ndeeba-Nateete'!G34,'24.07 Ndeeba-Nateete'!G34,'25.07 Ndeeba-Nateete'!G34,'26.07 Ndeeba-Nateete-24h'!G34,'27.07 Ndeeba-Nateete-24h'!G34,'28.07 Ndeeba-Nateete'!G34)</f>
        <v>0.42857142857142855</v>
      </c>
      <c r="H34" s="49">
        <f>AVERAGE('22.07 Ndeeba-Nateete'!H34,'23.07 Ndeeba-Nateete'!H34,'24.07 Ndeeba-Nateete'!H34,'25.07 Ndeeba-Nateete'!H34,'26.07 Ndeeba-Nateete-24h'!H34,'27.07 Ndeeba-Nateete-24h'!H34,'28.07 Ndeeba-Nateete'!H34)</f>
        <v>0.42857142857142855</v>
      </c>
      <c r="I34" s="49">
        <f>AVERAGE('22.07 Ndeeba-Nateete'!I34,'23.07 Ndeeba-Nateete'!I34,'24.07 Ndeeba-Nateete'!I34,'25.07 Ndeeba-Nateete'!I34,'26.07 Ndeeba-Nateete-24h'!I34,'27.07 Ndeeba-Nateete-24h'!I34,'28.07 Ndeeba-Nateete'!I34)</f>
        <v>7.2857142857142856</v>
      </c>
      <c r="J34" s="49">
        <f>AVERAGE('22.07 Ndeeba-Nateete'!J34,'23.07 Ndeeba-Nateete'!J34,'24.07 Ndeeba-Nateete'!J34,'25.07 Ndeeba-Nateete'!J34,'26.07 Ndeeba-Nateete-24h'!J34,'27.07 Ndeeba-Nateete-24h'!J34,'28.07 Ndeeba-Nateete'!J34)</f>
        <v>4.1428571428571432</v>
      </c>
      <c r="K34" s="49">
        <f>AVERAGE('22.07 Ndeeba-Nateete'!K34,'23.07 Ndeeba-Nateete'!K34,'24.07 Ndeeba-Nateete'!K34,'25.07 Ndeeba-Nateete'!K34,'26.07 Ndeeba-Nateete-24h'!K34,'27.07 Ndeeba-Nateete-24h'!K34,'28.07 Ndeeba-Nateete'!K34)</f>
        <v>1.2857142857142858</v>
      </c>
      <c r="L34" s="49">
        <f>AVERAGE('22.07 Ndeeba-Nateete'!L34,'23.07 Ndeeba-Nateete'!L34,'24.07 Ndeeba-Nateete'!L34,'25.07 Ndeeba-Nateete'!L34,'26.07 Ndeeba-Nateete-24h'!L34,'27.07 Ndeeba-Nateete-24h'!L34,'28.07 Ndeeba-Nateete'!L34)</f>
        <v>0.42857142857142855</v>
      </c>
      <c r="M34" s="49">
        <f>AVERAGE('22.07 Ndeeba-Nateete'!M34,'23.07 Ndeeba-Nateete'!M34,'24.07 Ndeeba-Nateete'!M34,'25.07 Ndeeba-Nateete'!M34,'26.07 Ndeeba-Nateete-24h'!M34,'27.07 Ndeeba-Nateete-24h'!M34,'28.07 Ndeeba-Nateete'!M34)</f>
        <v>132</v>
      </c>
      <c r="N34" s="49">
        <f>AVERAGE('22.07 Ndeeba-Nateete'!N34,'23.07 Ndeeba-Nateete'!N34,'24.07 Ndeeba-Nateete'!N34,'25.07 Ndeeba-Nateete'!N34,'26.07 Ndeeba-Nateete-24h'!N34,'27.07 Ndeeba-Nateete-24h'!N34,'28.07 Ndeeba-Nateete'!N34)</f>
        <v>0</v>
      </c>
      <c r="O34" s="15">
        <f t="shared" si="0"/>
        <v>72.571428571428584</v>
      </c>
      <c r="P34" s="15">
        <f t="shared" si="1"/>
        <v>204.57142857142858</v>
      </c>
      <c r="R34" s="38" t="s">
        <v>90</v>
      </c>
      <c r="S34" s="39">
        <f t="shared" ref="S34:AF34" si="26">MAX(S10:S12)</f>
        <v>97.714285714285722</v>
      </c>
      <c r="T34" s="39">
        <f t="shared" si="26"/>
        <v>39.428571428571431</v>
      </c>
      <c r="U34" s="39">
        <f t="shared" si="26"/>
        <v>11.571428571428571</v>
      </c>
      <c r="V34" s="39">
        <f t="shared" si="26"/>
        <v>167.71428571428572</v>
      </c>
      <c r="W34" s="39">
        <f t="shared" si="26"/>
        <v>5.7142857142857135</v>
      </c>
      <c r="X34" s="39">
        <f t="shared" si="26"/>
        <v>5.4285714285714288</v>
      </c>
      <c r="Y34" s="39">
        <f t="shared" si="26"/>
        <v>53</v>
      </c>
      <c r="Z34" s="39">
        <f t="shared" si="26"/>
        <v>17</v>
      </c>
      <c r="AA34" s="39">
        <f t="shared" si="26"/>
        <v>4.1428571428571432</v>
      </c>
      <c r="AB34" s="39">
        <f t="shared" si="26"/>
        <v>3.4285714285714288</v>
      </c>
      <c r="AC34" s="39">
        <f t="shared" si="26"/>
        <v>792.71428571428567</v>
      </c>
      <c r="AD34" s="39">
        <f t="shared" si="26"/>
        <v>0</v>
      </c>
      <c r="AE34" s="40">
        <f t="shared" si="26"/>
        <v>394.71428571428578</v>
      </c>
      <c r="AF34" s="40">
        <f t="shared" si="26"/>
        <v>1187.4285714285716</v>
      </c>
    </row>
    <row r="35" spans="2:32" ht="23.1" customHeight="1" x14ac:dyDescent="0.25">
      <c r="B35" s="24" t="s">
        <v>62</v>
      </c>
      <c r="C35" s="49">
        <f>AVERAGE('22.07 Ndeeba-Nateete'!C35,'23.07 Ndeeba-Nateete'!C35,'24.07 Ndeeba-Nateete'!C35,'25.07 Ndeeba-Nateete'!C35,'26.07 Ndeeba-Nateete-24h'!C35,'27.07 Ndeeba-Nateete-24h'!C35,'28.07 Ndeeba-Nateete'!C35)</f>
        <v>20.285714285714285</v>
      </c>
      <c r="D35" s="49">
        <f>AVERAGE('22.07 Ndeeba-Nateete'!D35,'23.07 Ndeeba-Nateete'!D35,'24.07 Ndeeba-Nateete'!D35,'25.07 Ndeeba-Nateete'!D35,'26.07 Ndeeba-Nateete-24h'!D35,'27.07 Ndeeba-Nateete-24h'!D35,'28.07 Ndeeba-Nateete'!D35)</f>
        <v>4.2857142857142856</v>
      </c>
      <c r="E35" s="49">
        <f>AVERAGE('22.07 Ndeeba-Nateete'!E35,'23.07 Ndeeba-Nateete'!E35,'24.07 Ndeeba-Nateete'!E35,'25.07 Ndeeba-Nateete'!E35,'26.07 Ndeeba-Nateete-24h'!E35,'27.07 Ndeeba-Nateete-24h'!E35,'28.07 Ndeeba-Nateete'!E35)</f>
        <v>2.7142857142857144</v>
      </c>
      <c r="F35" s="49">
        <f>AVERAGE('22.07 Ndeeba-Nateete'!F35,'23.07 Ndeeba-Nateete'!F35,'24.07 Ndeeba-Nateete'!F35,'25.07 Ndeeba-Nateete'!F35,'26.07 Ndeeba-Nateete-24h'!F35,'27.07 Ndeeba-Nateete-24h'!F35,'28.07 Ndeeba-Nateete'!F35)</f>
        <v>22.571428571428573</v>
      </c>
      <c r="G35" s="49">
        <f>AVERAGE('22.07 Ndeeba-Nateete'!G35,'23.07 Ndeeba-Nateete'!G35,'24.07 Ndeeba-Nateete'!G35,'25.07 Ndeeba-Nateete'!G35,'26.07 Ndeeba-Nateete-24h'!G35,'27.07 Ndeeba-Nateete-24h'!G35,'28.07 Ndeeba-Nateete'!G35)</f>
        <v>0.7142857142857143</v>
      </c>
      <c r="H35" s="49">
        <f>AVERAGE('22.07 Ndeeba-Nateete'!H35,'23.07 Ndeeba-Nateete'!H35,'24.07 Ndeeba-Nateete'!H35,'25.07 Ndeeba-Nateete'!H35,'26.07 Ndeeba-Nateete-24h'!H35,'27.07 Ndeeba-Nateete-24h'!H35,'28.07 Ndeeba-Nateete'!H35)</f>
        <v>0</v>
      </c>
      <c r="I35" s="49">
        <f>AVERAGE('22.07 Ndeeba-Nateete'!I35,'23.07 Ndeeba-Nateete'!I35,'24.07 Ndeeba-Nateete'!I35,'25.07 Ndeeba-Nateete'!I35,'26.07 Ndeeba-Nateete-24h'!I35,'27.07 Ndeeba-Nateete-24h'!I35,'28.07 Ndeeba-Nateete'!I35)</f>
        <v>11.285714285714286</v>
      </c>
      <c r="J35" s="49">
        <f>AVERAGE('22.07 Ndeeba-Nateete'!J35,'23.07 Ndeeba-Nateete'!J35,'24.07 Ndeeba-Nateete'!J35,'25.07 Ndeeba-Nateete'!J35,'26.07 Ndeeba-Nateete-24h'!J35,'27.07 Ndeeba-Nateete-24h'!J35,'28.07 Ndeeba-Nateete'!J35)</f>
        <v>4.4285714285714288</v>
      </c>
      <c r="K35" s="49">
        <f>AVERAGE('22.07 Ndeeba-Nateete'!K35,'23.07 Ndeeba-Nateete'!K35,'24.07 Ndeeba-Nateete'!K35,'25.07 Ndeeba-Nateete'!K35,'26.07 Ndeeba-Nateete-24h'!K35,'27.07 Ndeeba-Nateete-24h'!K35,'28.07 Ndeeba-Nateete'!K35)</f>
        <v>1.7142857142857142</v>
      </c>
      <c r="L35" s="49">
        <f>AVERAGE('22.07 Ndeeba-Nateete'!L35,'23.07 Ndeeba-Nateete'!L35,'24.07 Ndeeba-Nateete'!L35,'25.07 Ndeeba-Nateete'!L35,'26.07 Ndeeba-Nateete-24h'!L35,'27.07 Ndeeba-Nateete-24h'!L35,'28.07 Ndeeba-Nateete'!L35)</f>
        <v>1</v>
      </c>
      <c r="M35" s="49">
        <f>AVERAGE('22.07 Ndeeba-Nateete'!M35,'23.07 Ndeeba-Nateete'!M35,'24.07 Ndeeba-Nateete'!M35,'25.07 Ndeeba-Nateete'!M35,'26.07 Ndeeba-Nateete-24h'!M35,'27.07 Ndeeba-Nateete-24h'!M35,'28.07 Ndeeba-Nateete'!M35)</f>
        <v>171</v>
      </c>
      <c r="N35" s="49">
        <f>AVERAGE('22.07 Ndeeba-Nateete'!N35,'23.07 Ndeeba-Nateete'!N35,'24.07 Ndeeba-Nateete'!N35,'25.07 Ndeeba-Nateete'!N35,'26.07 Ndeeba-Nateete-24h'!N35,'27.07 Ndeeba-Nateete-24h'!N35,'28.07 Ndeeba-Nateete'!N35)</f>
        <v>0</v>
      </c>
      <c r="O35" s="15">
        <f t="shared" si="0"/>
        <v>69</v>
      </c>
      <c r="P35" s="15">
        <f t="shared" si="1"/>
        <v>240</v>
      </c>
      <c r="R35" s="38" t="s">
        <v>91</v>
      </c>
      <c r="S35" s="39">
        <f t="shared" ref="S35:AF35" si="27">MAX(S13:S18)</f>
        <v>103.85714285714286</v>
      </c>
      <c r="T35" s="39">
        <f t="shared" si="27"/>
        <v>35.571428571428569</v>
      </c>
      <c r="U35" s="39">
        <f t="shared" si="27"/>
        <v>15.142857142857142</v>
      </c>
      <c r="V35" s="39">
        <f t="shared" si="27"/>
        <v>129.71428571428572</v>
      </c>
      <c r="W35" s="39">
        <f t="shared" si="27"/>
        <v>3.8571428571428572</v>
      </c>
      <c r="X35" s="39">
        <f t="shared" si="27"/>
        <v>1.2857142857142856</v>
      </c>
      <c r="Y35" s="39">
        <f t="shared" si="27"/>
        <v>53.857142857142861</v>
      </c>
      <c r="Z35" s="39">
        <f t="shared" si="27"/>
        <v>29.428571428571431</v>
      </c>
      <c r="AA35" s="39">
        <f t="shared" si="27"/>
        <v>9.1428571428571423</v>
      </c>
      <c r="AB35" s="39">
        <f t="shared" si="27"/>
        <v>6</v>
      </c>
      <c r="AC35" s="39">
        <f t="shared" si="27"/>
        <v>663.42857142857133</v>
      </c>
      <c r="AD35" s="39">
        <f t="shared" si="27"/>
        <v>0.14285714285714285</v>
      </c>
      <c r="AE35" s="40">
        <f t="shared" si="27"/>
        <v>359.85714285714289</v>
      </c>
      <c r="AF35" s="40">
        <f t="shared" si="27"/>
        <v>1002.1428571428571</v>
      </c>
    </row>
    <row r="36" spans="2:32" ht="23.1" customHeight="1" x14ac:dyDescent="0.25">
      <c r="B36" s="24" t="s">
        <v>63</v>
      </c>
      <c r="C36" s="49">
        <f>AVERAGE('22.07 Ndeeba-Nateete'!C36,'23.07 Ndeeba-Nateete'!C36,'24.07 Ndeeba-Nateete'!C36,'25.07 Ndeeba-Nateete'!C36,'26.07 Ndeeba-Nateete-24h'!C36,'27.07 Ndeeba-Nateete-24h'!C36,'28.07 Ndeeba-Nateete'!C36)</f>
        <v>16</v>
      </c>
      <c r="D36" s="49">
        <f>AVERAGE('22.07 Ndeeba-Nateete'!D36,'23.07 Ndeeba-Nateete'!D36,'24.07 Ndeeba-Nateete'!D36,'25.07 Ndeeba-Nateete'!D36,'26.07 Ndeeba-Nateete-24h'!D36,'27.07 Ndeeba-Nateete-24h'!D36,'28.07 Ndeeba-Nateete'!D36)</f>
        <v>7.8571428571428568</v>
      </c>
      <c r="E36" s="49">
        <f>AVERAGE('22.07 Ndeeba-Nateete'!E36,'23.07 Ndeeba-Nateete'!E36,'24.07 Ndeeba-Nateete'!E36,'25.07 Ndeeba-Nateete'!E36,'26.07 Ndeeba-Nateete-24h'!E36,'27.07 Ndeeba-Nateete-24h'!E36,'28.07 Ndeeba-Nateete'!E36)</f>
        <v>3.8571428571428572</v>
      </c>
      <c r="F36" s="49">
        <f>AVERAGE('22.07 Ndeeba-Nateete'!F36,'23.07 Ndeeba-Nateete'!F36,'24.07 Ndeeba-Nateete'!F36,'25.07 Ndeeba-Nateete'!F36,'26.07 Ndeeba-Nateete-24h'!F36,'27.07 Ndeeba-Nateete-24h'!F36,'28.07 Ndeeba-Nateete'!F36)</f>
        <v>30.571428571428573</v>
      </c>
      <c r="G36" s="49">
        <f>AVERAGE('22.07 Ndeeba-Nateete'!G36,'23.07 Ndeeba-Nateete'!G36,'24.07 Ndeeba-Nateete'!G36,'25.07 Ndeeba-Nateete'!G36,'26.07 Ndeeba-Nateete-24h'!G36,'27.07 Ndeeba-Nateete-24h'!G36,'28.07 Ndeeba-Nateete'!G36)</f>
        <v>0.2857142857142857</v>
      </c>
      <c r="H36" s="49">
        <f>AVERAGE('22.07 Ndeeba-Nateete'!H36,'23.07 Ndeeba-Nateete'!H36,'24.07 Ndeeba-Nateete'!H36,'25.07 Ndeeba-Nateete'!H36,'26.07 Ndeeba-Nateete-24h'!H36,'27.07 Ndeeba-Nateete-24h'!H36,'28.07 Ndeeba-Nateete'!H36)</f>
        <v>0.14285714285714285</v>
      </c>
      <c r="I36" s="49">
        <f>AVERAGE('22.07 Ndeeba-Nateete'!I36,'23.07 Ndeeba-Nateete'!I36,'24.07 Ndeeba-Nateete'!I36,'25.07 Ndeeba-Nateete'!I36,'26.07 Ndeeba-Nateete-24h'!I36,'27.07 Ndeeba-Nateete-24h'!I36,'28.07 Ndeeba-Nateete'!I36)</f>
        <v>13.428571428571429</v>
      </c>
      <c r="J36" s="49">
        <f>AVERAGE('22.07 Ndeeba-Nateete'!J36,'23.07 Ndeeba-Nateete'!J36,'24.07 Ndeeba-Nateete'!J36,'25.07 Ndeeba-Nateete'!J36,'26.07 Ndeeba-Nateete-24h'!J36,'27.07 Ndeeba-Nateete-24h'!J36,'28.07 Ndeeba-Nateete'!J36)</f>
        <v>3.8571428571428572</v>
      </c>
      <c r="K36" s="49">
        <f>AVERAGE('22.07 Ndeeba-Nateete'!K36,'23.07 Ndeeba-Nateete'!K36,'24.07 Ndeeba-Nateete'!K36,'25.07 Ndeeba-Nateete'!K36,'26.07 Ndeeba-Nateete-24h'!K36,'27.07 Ndeeba-Nateete-24h'!K36,'28.07 Ndeeba-Nateete'!K36)</f>
        <v>0.2857142857142857</v>
      </c>
      <c r="L36" s="49">
        <f>AVERAGE('22.07 Ndeeba-Nateete'!L36,'23.07 Ndeeba-Nateete'!L36,'24.07 Ndeeba-Nateete'!L36,'25.07 Ndeeba-Nateete'!L36,'26.07 Ndeeba-Nateete-24h'!L36,'27.07 Ndeeba-Nateete-24h'!L36,'28.07 Ndeeba-Nateete'!L36)</f>
        <v>0.14285714285714285</v>
      </c>
      <c r="M36" s="49">
        <f>AVERAGE('22.07 Ndeeba-Nateete'!M36,'23.07 Ndeeba-Nateete'!M36,'24.07 Ndeeba-Nateete'!M36,'25.07 Ndeeba-Nateete'!M36,'26.07 Ndeeba-Nateete-24h'!M36,'27.07 Ndeeba-Nateete-24h'!M36,'28.07 Ndeeba-Nateete'!M36)</f>
        <v>139.57142857142858</v>
      </c>
      <c r="N36" s="49">
        <f>AVERAGE('22.07 Ndeeba-Nateete'!N36,'23.07 Ndeeba-Nateete'!N36,'24.07 Ndeeba-Nateete'!N36,'25.07 Ndeeba-Nateete'!N36,'26.07 Ndeeba-Nateete-24h'!N36,'27.07 Ndeeba-Nateete-24h'!N36,'28.07 Ndeeba-Nateete'!N36)</f>
        <v>0</v>
      </c>
      <c r="O36" s="15">
        <f t="shared" si="0"/>
        <v>76.428571428571445</v>
      </c>
      <c r="P36" s="15">
        <f t="shared" si="1"/>
        <v>216.00000000000003</v>
      </c>
      <c r="R36" s="38" t="s">
        <v>92</v>
      </c>
      <c r="S36" s="39">
        <f t="shared" ref="S36:AF36" si="28">MAX(S19:S21)</f>
        <v>106.14285714285714</v>
      </c>
      <c r="T36" s="39">
        <f t="shared" si="28"/>
        <v>42.428571428571431</v>
      </c>
      <c r="U36" s="39">
        <f t="shared" si="28"/>
        <v>18</v>
      </c>
      <c r="V36" s="39">
        <f t="shared" si="28"/>
        <v>161.28571428571431</v>
      </c>
      <c r="W36" s="39">
        <f t="shared" si="28"/>
        <v>6.8571428571428577</v>
      </c>
      <c r="X36" s="39">
        <f t="shared" si="28"/>
        <v>2.9999999999999996</v>
      </c>
      <c r="Y36" s="39">
        <f t="shared" si="28"/>
        <v>49.571428571428569</v>
      </c>
      <c r="Z36" s="39">
        <f t="shared" si="28"/>
        <v>34</v>
      </c>
      <c r="AA36" s="39">
        <f t="shared" si="28"/>
        <v>6.8571428571428568</v>
      </c>
      <c r="AB36" s="39">
        <f t="shared" si="28"/>
        <v>3.5714285714285712</v>
      </c>
      <c r="AC36" s="39">
        <f t="shared" si="28"/>
        <v>602</v>
      </c>
      <c r="AD36" s="39">
        <f t="shared" si="28"/>
        <v>0</v>
      </c>
      <c r="AE36" s="40">
        <f t="shared" si="28"/>
        <v>421.85714285714289</v>
      </c>
      <c r="AF36" s="40">
        <f t="shared" si="28"/>
        <v>971.42857142857133</v>
      </c>
    </row>
    <row r="37" spans="2:32" ht="23.1" customHeight="1" x14ac:dyDescent="0.25">
      <c r="B37" s="23" t="s">
        <v>64</v>
      </c>
      <c r="C37" s="49">
        <f>AVERAGE('22.07 Ndeeba-Nateete'!C37,'23.07 Ndeeba-Nateete'!C37,'24.07 Ndeeba-Nateete'!C37,'25.07 Ndeeba-Nateete'!C37,'26.07 Ndeeba-Nateete-24h'!C37,'27.07 Ndeeba-Nateete-24h'!C37,'28.07 Ndeeba-Nateete'!C37)</f>
        <v>19.142857142857142</v>
      </c>
      <c r="D37" s="49">
        <f>AVERAGE('22.07 Ndeeba-Nateete'!D37,'23.07 Ndeeba-Nateete'!D37,'24.07 Ndeeba-Nateete'!D37,'25.07 Ndeeba-Nateete'!D37,'26.07 Ndeeba-Nateete-24h'!D37,'27.07 Ndeeba-Nateete-24h'!D37,'28.07 Ndeeba-Nateete'!D37)</f>
        <v>8</v>
      </c>
      <c r="E37" s="49">
        <f>AVERAGE('22.07 Ndeeba-Nateete'!E37,'23.07 Ndeeba-Nateete'!E37,'24.07 Ndeeba-Nateete'!E37,'25.07 Ndeeba-Nateete'!E37,'26.07 Ndeeba-Nateete-24h'!E37,'27.07 Ndeeba-Nateete-24h'!E37,'28.07 Ndeeba-Nateete'!E37)</f>
        <v>5.5714285714285712</v>
      </c>
      <c r="F37" s="49">
        <f>AVERAGE('22.07 Ndeeba-Nateete'!F37,'23.07 Ndeeba-Nateete'!F37,'24.07 Ndeeba-Nateete'!F37,'25.07 Ndeeba-Nateete'!F37,'26.07 Ndeeba-Nateete-24h'!F37,'27.07 Ndeeba-Nateete-24h'!F37,'28.07 Ndeeba-Nateete'!F37)</f>
        <v>26.142857142857142</v>
      </c>
      <c r="G37" s="49">
        <f>AVERAGE('22.07 Ndeeba-Nateete'!G37,'23.07 Ndeeba-Nateete'!G37,'24.07 Ndeeba-Nateete'!G37,'25.07 Ndeeba-Nateete'!G37,'26.07 Ndeeba-Nateete-24h'!G37,'27.07 Ndeeba-Nateete-24h'!G37,'28.07 Ndeeba-Nateete'!G37)</f>
        <v>0</v>
      </c>
      <c r="H37" s="49">
        <f>AVERAGE('22.07 Ndeeba-Nateete'!H37,'23.07 Ndeeba-Nateete'!H37,'24.07 Ndeeba-Nateete'!H37,'25.07 Ndeeba-Nateete'!H37,'26.07 Ndeeba-Nateete-24h'!H37,'27.07 Ndeeba-Nateete-24h'!H37,'28.07 Ndeeba-Nateete'!H37)</f>
        <v>0.42857142857142855</v>
      </c>
      <c r="I37" s="49">
        <f>AVERAGE('22.07 Ndeeba-Nateete'!I37,'23.07 Ndeeba-Nateete'!I37,'24.07 Ndeeba-Nateete'!I37,'25.07 Ndeeba-Nateete'!I37,'26.07 Ndeeba-Nateete-24h'!I37,'27.07 Ndeeba-Nateete-24h'!I37,'28.07 Ndeeba-Nateete'!I37)</f>
        <v>12.285714285714286</v>
      </c>
      <c r="J37" s="49">
        <f>AVERAGE('22.07 Ndeeba-Nateete'!J37,'23.07 Ndeeba-Nateete'!J37,'24.07 Ndeeba-Nateete'!J37,'25.07 Ndeeba-Nateete'!J37,'26.07 Ndeeba-Nateete-24h'!J37,'27.07 Ndeeba-Nateete-24h'!J37,'28.07 Ndeeba-Nateete'!J37)</f>
        <v>4.4285714285714288</v>
      </c>
      <c r="K37" s="49">
        <f>AVERAGE('22.07 Ndeeba-Nateete'!K37,'23.07 Ndeeba-Nateete'!K37,'24.07 Ndeeba-Nateete'!K37,'25.07 Ndeeba-Nateete'!K37,'26.07 Ndeeba-Nateete-24h'!K37,'27.07 Ndeeba-Nateete-24h'!K37,'28.07 Ndeeba-Nateete'!K37)</f>
        <v>1.5714285714285714</v>
      </c>
      <c r="L37" s="49">
        <f>AVERAGE('22.07 Ndeeba-Nateete'!L37,'23.07 Ndeeba-Nateete'!L37,'24.07 Ndeeba-Nateete'!L37,'25.07 Ndeeba-Nateete'!L37,'26.07 Ndeeba-Nateete-24h'!L37,'27.07 Ndeeba-Nateete-24h'!L37,'28.07 Ndeeba-Nateete'!L37)</f>
        <v>0.8571428571428571</v>
      </c>
      <c r="M37" s="49">
        <f>AVERAGE('22.07 Ndeeba-Nateete'!M37,'23.07 Ndeeba-Nateete'!M37,'24.07 Ndeeba-Nateete'!M37,'25.07 Ndeeba-Nateete'!M37,'26.07 Ndeeba-Nateete-24h'!M37,'27.07 Ndeeba-Nateete-24h'!M37,'28.07 Ndeeba-Nateete'!M37)</f>
        <v>160.57142857142858</v>
      </c>
      <c r="N37" s="49">
        <f>AVERAGE('22.07 Ndeeba-Nateete'!N37,'23.07 Ndeeba-Nateete'!N37,'24.07 Ndeeba-Nateete'!N37,'25.07 Ndeeba-Nateete'!N37,'26.07 Ndeeba-Nateete-24h'!N37,'27.07 Ndeeba-Nateete-24h'!N37,'28.07 Ndeeba-Nateete'!N37)</f>
        <v>0</v>
      </c>
      <c r="O37" s="15">
        <f t="shared" si="0"/>
        <v>78.428571428571445</v>
      </c>
      <c r="P37" s="15">
        <f t="shared" si="1"/>
        <v>239.00000000000003</v>
      </c>
      <c r="R37" s="37" t="s">
        <v>85</v>
      </c>
      <c r="S37" s="35">
        <f t="shared" ref="S37:AF37" si="29">SUM(S10:S12)</f>
        <v>264</v>
      </c>
      <c r="T37" s="16">
        <f t="shared" si="29"/>
        <v>91.428571428571431</v>
      </c>
      <c r="U37" s="16">
        <f t="shared" si="29"/>
        <v>31.571428571428569</v>
      </c>
      <c r="V37" s="16">
        <f t="shared" si="29"/>
        <v>421</v>
      </c>
      <c r="W37" s="16">
        <f t="shared" si="29"/>
        <v>12</v>
      </c>
      <c r="X37" s="16">
        <f t="shared" si="29"/>
        <v>6.5714285714285712</v>
      </c>
      <c r="Y37" s="16">
        <f t="shared" si="29"/>
        <v>117</v>
      </c>
      <c r="Z37" s="16">
        <f t="shared" si="29"/>
        <v>43.857142857142854</v>
      </c>
      <c r="AA37" s="16">
        <f t="shared" si="29"/>
        <v>9.7142857142857153</v>
      </c>
      <c r="AB37" s="16">
        <f t="shared" si="29"/>
        <v>6.7142857142857144</v>
      </c>
      <c r="AC37" s="16">
        <f t="shared" si="29"/>
        <v>2197.8571428571427</v>
      </c>
      <c r="AD37" s="16">
        <f t="shared" si="29"/>
        <v>0</v>
      </c>
      <c r="AE37" s="32">
        <f t="shared" si="29"/>
        <v>1003.8571428571429</v>
      </c>
      <c r="AF37" s="32">
        <f t="shared" si="29"/>
        <v>3201.7142857142858</v>
      </c>
    </row>
    <row r="38" spans="2:32" ht="23.1" customHeight="1" x14ac:dyDescent="0.25">
      <c r="B38" s="24" t="s">
        <v>65</v>
      </c>
      <c r="C38" s="49">
        <f>AVERAGE('22.07 Ndeeba-Nateete'!C38,'23.07 Ndeeba-Nateete'!C38,'24.07 Ndeeba-Nateete'!C38,'25.07 Ndeeba-Nateete'!C38,'26.07 Ndeeba-Nateete-24h'!C38,'27.07 Ndeeba-Nateete-24h'!C38,'28.07 Ndeeba-Nateete'!C38)</f>
        <v>25.714285714285715</v>
      </c>
      <c r="D38" s="49">
        <f>AVERAGE('22.07 Ndeeba-Nateete'!D38,'23.07 Ndeeba-Nateete'!D38,'24.07 Ndeeba-Nateete'!D38,'25.07 Ndeeba-Nateete'!D38,'26.07 Ndeeba-Nateete-24h'!D38,'27.07 Ndeeba-Nateete-24h'!D38,'28.07 Ndeeba-Nateete'!D38)</f>
        <v>7.2857142857142856</v>
      </c>
      <c r="E38" s="49">
        <f>AVERAGE('22.07 Ndeeba-Nateete'!E38,'23.07 Ndeeba-Nateete'!E38,'24.07 Ndeeba-Nateete'!E38,'25.07 Ndeeba-Nateete'!E38,'26.07 Ndeeba-Nateete-24h'!E38,'27.07 Ndeeba-Nateete-24h'!E38,'28.07 Ndeeba-Nateete'!E38)</f>
        <v>3.5714285714285716</v>
      </c>
      <c r="F38" s="49">
        <f>AVERAGE('22.07 Ndeeba-Nateete'!F38,'23.07 Ndeeba-Nateete'!F38,'24.07 Ndeeba-Nateete'!F38,'25.07 Ndeeba-Nateete'!F38,'26.07 Ndeeba-Nateete-24h'!F38,'27.07 Ndeeba-Nateete-24h'!F38,'28.07 Ndeeba-Nateete'!F38)</f>
        <v>25</v>
      </c>
      <c r="G38" s="49">
        <f>AVERAGE('22.07 Ndeeba-Nateete'!G38,'23.07 Ndeeba-Nateete'!G38,'24.07 Ndeeba-Nateete'!G38,'25.07 Ndeeba-Nateete'!G38,'26.07 Ndeeba-Nateete-24h'!G38,'27.07 Ndeeba-Nateete-24h'!G38,'28.07 Ndeeba-Nateete'!G38)</f>
        <v>0.2857142857142857</v>
      </c>
      <c r="H38" s="49">
        <f>AVERAGE('22.07 Ndeeba-Nateete'!H38,'23.07 Ndeeba-Nateete'!H38,'24.07 Ndeeba-Nateete'!H38,'25.07 Ndeeba-Nateete'!H38,'26.07 Ndeeba-Nateete-24h'!H38,'27.07 Ndeeba-Nateete-24h'!H38,'28.07 Ndeeba-Nateete'!H38)</f>
        <v>0</v>
      </c>
      <c r="I38" s="49">
        <f>AVERAGE('22.07 Ndeeba-Nateete'!I38,'23.07 Ndeeba-Nateete'!I38,'24.07 Ndeeba-Nateete'!I38,'25.07 Ndeeba-Nateete'!I38,'26.07 Ndeeba-Nateete-24h'!I38,'27.07 Ndeeba-Nateete-24h'!I38,'28.07 Ndeeba-Nateete'!I38)</f>
        <v>9</v>
      </c>
      <c r="J38" s="49">
        <f>AVERAGE('22.07 Ndeeba-Nateete'!J38,'23.07 Ndeeba-Nateete'!J38,'24.07 Ndeeba-Nateete'!J38,'25.07 Ndeeba-Nateete'!J38,'26.07 Ndeeba-Nateete-24h'!J38,'27.07 Ndeeba-Nateete-24h'!J38,'28.07 Ndeeba-Nateete'!J38)</f>
        <v>7.8571428571428568</v>
      </c>
      <c r="K38" s="49">
        <f>AVERAGE('22.07 Ndeeba-Nateete'!K38,'23.07 Ndeeba-Nateete'!K38,'24.07 Ndeeba-Nateete'!K38,'25.07 Ndeeba-Nateete'!K38,'26.07 Ndeeba-Nateete-24h'!K38,'27.07 Ndeeba-Nateete-24h'!K38,'28.07 Ndeeba-Nateete'!K38)</f>
        <v>1.1428571428571428</v>
      </c>
      <c r="L38" s="49">
        <f>AVERAGE('22.07 Ndeeba-Nateete'!L38,'23.07 Ndeeba-Nateete'!L38,'24.07 Ndeeba-Nateete'!L38,'25.07 Ndeeba-Nateete'!L38,'26.07 Ndeeba-Nateete-24h'!L38,'27.07 Ndeeba-Nateete-24h'!L38,'28.07 Ndeeba-Nateete'!L38)</f>
        <v>0.8571428571428571</v>
      </c>
      <c r="M38" s="49">
        <f>AVERAGE('22.07 Ndeeba-Nateete'!M38,'23.07 Ndeeba-Nateete'!M38,'24.07 Ndeeba-Nateete'!M38,'25.07 Ndeeba-Nateete'!M38,'26.07 Ndeeba-Nateete-24h'!M38,'27.07 Ndeeba-Nateete-24h'!M38,'28.07 Ndeeba-Nateete'!M38)</f>
        <v>139.42857142857142</v>
      </c>
      <c r="N38" s="49">
        <f>AVERAGE('22.07 Ndeeba-Nateete'!N38,'23.07 Ndeeba-Nateete'!N38,'24.07 Ndeeba-Nateete'!N38,'25.07 Ndeeba-Nateete'!N38,'26.07 Ndeeba-Nateete-24h'!N38,'27.07 Ndeeba-Nateete-24h'!N38,'28.07 Ndeeba-Nateete'!N38)</f>
        <v>0</v>
      </c>
      <c r="O38" s="15">
        <f t="shared" si="0"/>
        <v>80.714285714285722</v>
      </c>
      <c r="P38" s="15">
        <f t="shared" si="1"/>
        <v>220.14285714285714</v>
      </c>
      <c r="R38" s="28" t="s">
        <v>86</v>
      </c>
      <c r="S38" s="16">
        <f t="shared" ref="S38:AF38" si="30">SUM(S13:S18)</f>
        <v>531.71428571428567</v>
      </c>
      <c r="T38" s="16">
        <f t="shared" si="30"/>
        <v>185</v>
      </c>
      <c r="U38" s="16">
        <f t="shared" si="30"/>
        <v>84.285714285714278</v>
      </c>
      <c r="V38" s="16">
        <f t="shared" si="30"/>
        <v>648.57142857142856</v>
      </c>
      <c r="W38" s="16">
        <f t="shared" si="30"/>
        <v>14.571428571428573</v>
      </c>
      <c r="X38" s="16">
        <f t="shared" si="30"/>
        <v>3.8571428571428563</v>
      </c>
      <c r="Y38" s="16">
        <f t="shared" si="30"/>
        <v>271.71428571428567</v>
      </c>
      <c r="Z38" s="16">
        <f t="shared" si="30"/>
        <v>134.28571428571431</v>
      </c>
      <c r="AA38" s="16">
        <f t="shared" si="30"/>
        <v>37.571428571428569</v>
      </c>
      <c r="AB38" s="16">
        <f t="shared" si="30"/>
        <v>19.999999999999996</v>
      </c>
      <c r="AC38" s="16">
        <f t="shared" si="30"/>
        <v>3559.4285714285711</v>
      </c>
      <c r="AD38" s="16">
        <f t="shared" si="30"/>
        <v>0.14285714285714285</v>
      </c>
      <c r="AE38" s="32">
        <f t="shared" si="30"/>
        <v>1931.7142857142858</v>
      </c>
      <c r="AF38" s="32">
        <f t="shared" si="30"/>
        <v>5491.1428571428569</v>
      </c>
    </row>
    <row r="39" spans="2:32" ht="23.1" customHeight="1" x14ac:dyDescent="0.25">
      <c r="B39" s="24" t="s">
        <v>66</v>
      </c>
      <c r="C39" s="49">
        <f>AVERAGE('22.07 Ndeeba-Nateete'!C39,'23.07 Ndeeba-Nateete'!C39,'24.07 Ndeeba-Nateete'!C39,'25.07 Ndeeba-Nateete'!C39,'26.07 Ndeeba-Nateete-24h'!C39,'27.07 Ndeeba-Nateete-24h'!C39,'28.07 Ndeeba-Nateete'!C39)</f>
        <v>27.714285714285715</v>
      </c>
      <c r="D39" s="49">
        <f>AVERAGE('22.07 Ndeeba-Nateete'!D39,'23.07 Ndeeba-Nateete'!D39,'24.07 Ndeeba-Nateete'!D39,'25.07 Ndeeba-Nateete'!D39,'26.07 Ndeeba-Nateete-24h'!D39,'27.07 Ndeeba-Nateete-24h'!D39,'28.07 Ndeeba-Nateete'!D39)</f>
        <v>10</v>
      </c>
      <c r="E39" s="49">
        <f>AVERAGE('22.07 Ndeeba-Nateete'!E39,'23.07 Ndeeba-Nateete'!E39,'24.07 Ndeeba-Nateete'!E39,'25.07 Ndeeba-Nateete'!E39,'26.07 Ndeeba-Nateete-24h'!E39,'27.07 Ndeeba-Nateete-24h'!E39,'28.07 Ndeeba-Nateete'!E39)</f>
        <v>1.4285714285714286</v>
      </c>
      <c r="F39" s="49">
        <f>AVERAGE('22.07 Ndeeba-Nateete'!F39,'23.07 Ndeeba-Nateete'!F39,'24.07 Ndeeba-Nateete'!F39,'25.07 Ndeeba-Nateete'!F39,'26.07 Ndeeba-Nateete-24h'!F39,'27.07 Ndeeba-Nateete-24h'!F39,'28.07 Ndeeba-Nateete'!F39)</f>
        <v>25.142857142857142</v>
      </c>
      <c r="G39" s="49">
        <f>AVERAGE('22.07 Ndeeba-Nateete'!G39,'23.07 Ndeeba-Nateete'!G39,'24.07 Ndeeba-Nateete'!G39,'25.07 Ndeeba-Nateete'!G39,'26.07 Ndeeba-Nateete-24h'!G39,'27.07 Ndeeba-Nateete-24h'!G39,'28.07 Ndeeba-Nateete'!G39)</f>
        <v>0.42857142857142855</v>
      </c>
      <c r="H39" s="49">
        <f>AVERAGE('22.07 Ndeeba-Nateete'!H39,'23.07 Ndeeba-Nateete'!H39,'24.07 Ndeeba-Nateete'!H39,'25.07 Ndeeba-Nateete'!H39,'26.07 Ndeeba-Nateete-24h'!H39,'27.07 Ndeeba-Nateete-24h'!H39,'28.07 Ndeeba-Nateete'!H39)</f>
        <v>0</v>
      </c>
      <c r="I39" s="49">
        <f>AVERAGE('22.07 Ndeeba-Nateete'!I39,'23.07 Ndeeba-Nateete'!I39,'24.07 Ndeeba-Nateete'!I39,'25.07 Ndeeba-Nateete'!I39,'26.07 Ndeeba-Nateete-24h'!I39,'27.07 Ndeeba-Nateete-24h'!I39,'28.07 Ndeeba-Nateete'!I39)</f>
        <v>12.285714285714286</v>
      </c>
      <c r="J39" s="49">
        <f>AVERAGE('22.07 Ndeeba-Nateete'!J39,'23.07 Ndeeba-Nateete'!J39,'24.07 Ndeeba-Nateete'!J39,'25.07 Ndeeba-Nateete'!J39,'26.07 Ndeeba-Nateete-24h'!J39,'27.07 Ndeeba-Nateete-24h'!J39,'28.07 Ndeeba-Nateete'!J39)</f>
        <v>4.7142857142857144</v>
      </c>
      <c r="K39" s="49">
        <f>AVERAGE('22.07 Ndeeba-Nateete'!K39,'23.07 Ndeeba-Nateete'!K39,'24.07 Ndeeba-Nateete'!K39,'25.07 Ndeeba-Nateete'!K39,'26.07 Ndeeba-Nateete-24h'!K39,'27.07 Ndeeba-Nateete-24h'!K39,'28.07 Ndeeba-Nateete'!K39)</f>
        <v>1.5714285714285714</v>
      </c>
      <c r="L39" s="49">
        <f>AVERAGE('22.07 Ndeeba-Nateete'!L39,'23.07 Ndeeba-Nateete'!L39,'24.07 Ndeeba-Nateete'!L39,'25.07 Ndeeba-Nateete'!L39,'26.07 Ndeeba-Nateete-24h'!L39,'27.07 Ndeeba-Nateete-24h'!L39,'28.07 Ndeeba-Nateete'!L39)</f>
        <v>1.1428571428571428</v>
      </c>
      <c r="M39" s="49">
        <f>AVERAGE('22.07 Ndeeba-Nateete'!M39,'23.07 Ndeeba-Nateete'!M39,'24.07 Ndeeba-Nateete'!M39,'25.07 Ndeeba-Nateete'!M39,'26.07 Ndeeba-Nateete-24h'!M39,'27.07 Ndeeba-Nateete-24h'!M39,'28.07 Ndeeba-Nateete'!M39)</f>
        <v>130.85714285714286</v>
      </c>
      <c r="N39" s="49">
        <f>AVERAGE('22.07 Ndeeba-Nateete'!N39,'23.07 Ndeeba-Nateete'!N39,'24.07 Ndeeba-Nateete'!N39,'25.07 Ndeeba-Nateete'!N39,'26.07 Ndeeba-Nateete-24h'!N39,'27.07 Ndeeba-Nateete-24h'!N39,'28.07 Ndeeba-Nateete'!N39)</f>
        <v>0</v>
      </c>
      <c r="O39" s="15">
        <f t="shared" si="0"/>
        <v>84.428571428571431</v>
      </c>
      <c r="P39" s="15">
        <f t="shared" si="1"/>
        <v>215.28571428571428</v>
      </c>
      <c r="R39" s="29" t="s">
        <v>87</v>
      </c>
      <c r="S39" s="16">
        <f t="shared" ref="S39:AF39" si="31">SUM(S19:S21)</f>
        <v>296.71428571428567</v>
      </c>
      <c r="T39" s="16">
        <f t="shared" si="31"/>
        <v>118</v>
      </c>
      <c r="U39" s="16">
        <f t="shared" si="31"/>
        <v>46.428571428571431</v>
      </c>
      <c r="V39" s="16">
        <f t="shared" si="31"/>
        <v>367.57142857142861</v>
      </c>
      <c r="W39" s="16">
        <f t="shared" si="31"/>
        <v>11.428571428571429</v>
      </c>
      <c r="X39" s="16">
        <f t="shared" si="31"/>
        <v>5.5714285714285712</v>
      </c>
      <c r="Y39" s="16">
        <f t="shared" si="31"/>
        <v>133.85714285714283</v>
      </c>
      <c r="Z39" s="16">
        <f t="shared" si="31"/>
        <v>84.571428571428569</v>
      </c>
      <c r="AA39" s="16">
        <f t="shared" si="31"/>
        <v>16</v>
      </c>
      <c r="AB39" s="16">
        <f t="shared" si="31"/>
        <v>9</v>
      </c>
      <c r="AC39" s="16">
        <f t="shared" si="31"/>
        <v>1647.8571428571427</v>
      </c>
      <c r="AD39" s="16">
        <f t="shared" si="31"/>
        <v>0</v>
      </c>
      <c r="AE39" s="32">
        <f t="shared" si="31"/>
        <v>1089.1428571428571</v>
      </c>
      <c r="AF39" s="32">
        <f t="shared" si="31"/>
        <v>2737</v>
      </c>
    </row>
    <row r="40" spans="2:32" ht="23.1" customHeight="1" x14ac:dyDescent="0.25">
      <c r="B40" s="24" t="s">
        <v>67</v>
      </c>
      <c r="C40" s="49">
        <f>AVERAGE('22.07 Ndeeba-Nateete'!C40,'23.07 Ndeeba-Nateete'!C40,'24.07 Ndeeba-Nateete'!C40,'25.07 Ndeeba-Nateete'!C40,'26.07 Ndeeba-Nateete-24h'!C40,'27.07 Ndeeba-Nateete-24h'!C40,'28.07 Ndeeba-Nateete'!C40)</f>
        <v>29.714285714285715</v>
      </c>
      <c r="D40" s="49">
        <f>AVERAGE('22.07 Ndeeba-Nateete'!D40,'23.07 Ndeeba-Nateete'!D40,'24.07 Ndeeba-Nateete'!D40,'25.07 Ndeeba-Nateete'!D40,'26.07 Ndeeba-Nateete-24h'!D40,'27.07 Ndeeba-Nateete-24h'!D40,'28.07 Ndeeba-Nateete'!D40)</f>
        <v>9.7142857142857135</v>
      </c>
      <c r="E40" s="49">
        <f>AVERAGE('22.07 Ndeeba-Nateete'!E40,'23.07 Ndeeba-Nateete'!E40,'24.07 Ndeeba-Nateete'!E40,'25.07 Ndeeba-Nateete'!E40,'26.07 Ndeeba-Nateete-24h'!E40,'27.07 Ndeeba-Nateete-24h'!E40,'28.07 Ndeeba-Nateete'!E40)</f>
        <v>4.4285714285714288</v>
      </c>
      <c r="F40" s="49">
        <f>AVERAGE('22.07 Ndeeba-Nateete'!F40,'23.07 Ndeeba-Nateete'!F40,'24.07 Ndeeba-Nateete'!F40,'25.07 Ndeeba-Nateete'!F40,'26.07 Ndeeba-Nateete-24h'!F40,'27.07 Ndeeba-Nateete-24h'!F40,'28.07 Ndeeba-Nateete'!F40)</f>
        <v>29.142857142857142</v>
      </c>
      <c r="G40" s="49">
        <f>AVERAGE('22.07 Ndeeba-Nateete'!G40,'23.07 Ndeeba-Nateete'!G40,'24.07 Ndeeba-Nateete'!G40,'25.07 Ndeeba-Nateete'!G40,'26.07 Ndeeba-Nateete-24h'!G40,'27.07 Ndeeba-Nateete-24h'!G40,'28.07 Ndeeba-Nateete'!G40)</f>
        <v>1.5714285714285714</v>
      </c>
      <c r="H40" s="49">
        <f>AVERAGE('22.07 Ndeeba-Nateete'!H40,'23.07 Ndeeba-Nateete'!H40,'24.07 Ndeeba-Nateete'!H40,'25.07 Ndeeba-Nateete'!H40,'26.07 Ndeeba-Nateete-24h'!H40,'27.07 Ndeeba-Nateete-24h'!H40,'28.07 Ndeeba-Nateete'!H40)</f>
        <v>0</v>
      </c>
      <c r="I40" s="49">
        <f>AVERAGE('22.07 Ndeeba-Nateete'!I40,'23.07 Ndeeba-Nateete'!I40,'24.07 Ndeeba-Nateete'!I40,'25.07 Ndeeba-Nateete'!I40,'26.07 Ndeeba-Nateete-24h'!I40,'27.07 Ndeeba-Nateete-24h'!I40,'28.07 Ndeeba-Nateete'!I40)</f>
        <v>13.857142857142858</v>
      </c>
      <c r="J40" s="49">
        <f>AVERAGE('22.07 Ndeeba-Nateete'!J40,'23.07 Ndeeba-Nateete'!J40,'24.07 Ndeeba-Nateete'!J40,'25.07 Ndeeba-Nateete'!J40,'26.07 Ndeeba-Nateete-24h'!J40,'27.07 Ndeeba-Nateete-24h'!J40,'28.07 Ndeeba-Nateete'!J40)</f>
        <v>11.857142857142858</v>
      </c>
      <c r="K40" s="49">
        <f>AVERAGE('22.07 Ndeeba-Nateete'!K40,'23.07 Ndeeba-Nateete'!K40,'24.07 Ndeeba-Nateete'!K40,'25.07 Ndeeba-Nateete'!K40,'26.07 Ndeeba-Nateete-24h'!K40,'27.07 Ndeeba-Nateete-24h'!K40,'28.07 Ndeeba-Nateete'!K40)</f>
        <v>1.5714285714285714</v>
      </c>
      <c r="L40" s="49">
        <f>AVERAGE('22.07 Ndeeba-Nateete'!L40,'23.07 Ndeeba-Nateete'!L40,'24.07 Ndeeba-Nateete'!L40,'25.07 Ndeeba-Nateete'!L40,'26.07 Ndeeba-Nateete-24h'!L40,'27.07 Ndeeba-Nateete-24h'!L40,'28.07 Ndeeba-Nateete'!L40)</f>
        <v>0.2857142857142857</v>
      </c>
      <c r="M40" s="49">
        <f>AVERAGE('22.07 Ndeeba-Nateete'!M40,'23.07 Ndeeba-Nateete'!M40,'24.07 Ndeeba-Nateete'!M40,'25.07 Ndeeba-Nateete'!M40,'26.07 Ndeeba-Nateete-24h'!M40,'27.07 Ndeeba-Nateete-24h'!M40,'28.07 Ndeeba-Nateete'!M40)</f>
        <v>131.42857142857142</v>
      </c>
      <c r="N40" s="49">
        <f>AVERAGE('22.07 Ndeeba-Nateete'!N40,'23.07 Ndeeba-Nateete'!N40,'24.07 Ndeeba-Nateete'!N40,'25.07 Ndeeba-Nateete'!N40,'26.07 Ndeeba-Nateete-24h'!N40,'27.07 Ndeeba-Nateete-24h'!N40,'28.07 Ndeeba-Nateete'!N40)</f>
        <v>0</v>
      </c>
      <c r="O40" s="15">
        <f t="shared" si="0"/>
        <v>102.14285714285715</v>
      </c>
      <c r="P40" s="15">
        <f t="shared" si="1"/>
        <v>233.57142857142856</v>
      </c>
      <c r="R40" s="5" t="s">
        <v>17</v>
      </c>
      <c r="S40" s="16">
        <f t="shared" ref="S40:AF40" si="32">SUM(S10:S21)</f>
        <v>1092.4285714285716</v>
      </c>
      <c r="T40" s="16">
        <f t="shared" si="32"/>
        <v>394.4285714285715</v>
      </c>
      <c r="U40" s="16">
        <f t="shared" si="32"/>
        <v>162.28571428571428</v>
      </c>
      <c r="V40" s="16">
        <f t="shared" si="32"/>
        <v>1437.1428571428571</v>
      </c>
      <c r="W40" s="16">
        <f t="shared" si="32"/>
        <v>38</v>
      </c>
      <c r="X40" s="16">
        <f t="shared" si="32"/>
        <v>15.999999999999998</v>
      </c>
      <c r="Y40" s="16">
        <f t="shared" si="32"/>
        <v>522.57142857142856</v>
      </c>
      <c r="Z40" s="16">
        <f t="shared" si="32"/>
        <v>262.71428571428572</v>
      </c>
      <c r="AA40" s="16">
        <f t="shared" si="32"/>
        <v>63.285714285714278</v>
      </c>
      <c r="AB40" s="16">
        <f t="shared" si="32"/>
        <v>35.714285714285708</v>
      </c>
      <c r="AC40" s="16">
        <f t="shared" si="32"/>
        <v>7405.1428571428569</v>
      </c>
      <c r="AD40" s="16">
        <f t="shared" si="32"/>
        <v>0.14285714285714285</v>
      </c>
      <c r="AE40" s="32">
        <f t="shared" si="32"/>
        <v>4024.7142857142862</v>
      </c>
      <c r="AF40" s="32">
        <f t="shared" si="32"/>
        <v>11429.857142857141</v>
      </c>
    </row>
    <row r="41" spans="2:32" ht="23.1" customHeight="1" x14ac:dyDescent="0.25">
      <c r="B41" s="23" t="s">
        <v>68</v>
      </c>
      <c r="C41" s="49">
        <f>AVERAGE('22.07 Ndeeba-Nateete'!C41,'23.07 Ndeeba-Nateete'!C41,'24.07 Ndeeba-Nateete'!C41,'25.07 Ndeeba-Nateete'!C41,'26.07 Ndeeba-Nateete-24h'!C41,'27.07 Ndeeba-Nateete-24h'!C41,'28.07 Ndeeba-Nateete'!C41)</f>
        <v>20.714285714285715</v>
      </c>
      <c r="D41" s="49">
        <f>AVERAGE('22.07 Ndeeba-Nateete'!D41,'23.07 Ndeeba-Nateete'!D41,'24.07 Ndeeba-Nateete'!D41,'25.07 Ndeeba-Nateete'!D41,'26.07 Ndeeba-Nateete-24h'!D41,'27.07 Ndeeba-Nateete-24h'!D41,'28.07 Ndeeba-Nateete'!D41)</f>
        <v>8.4285714285714288</v>
      </c>
      <c r="E41" s="49">
        <f>AVERAGE('22.07 Ndeeba-Nateete'!E41,'23.07 Ndeeba-Nateete'!E41,'24.07 Ndeeba-Nateete'!E41,'25.07 Ndeeba-Nateete'!E41,'26.07 Ndeeba-Nateete-24h'!E41,'27.07 Ndeeba-Nateete-24h'!E41,'28.07 Ndeeba-Nateete'!E41)</f>
        <v>5.7142857142857144</v>
      </c>
      <c r="F41" s="49">
        <f>AVERAGE('22.07 Ndeeba-Nateete'!F41,'23.07 Ndeeba-Nateete'!F41,'24.07 Ndeeba-Nateete'!F41,'25.07 Ndeeba-Nateete'!F41,'26.07 Ndeeba-Nateete-24h'!F41,'27.07 Ndeeba-Nateete-24h'!F41,'28.07 Ndeeba-Nateete'!F41)</f>
        <v>19.428571428571427</v>
      </c>
      <c r="G41" s="49">
        <f>AVERAGE('22.07 Ndeeba-Nateete'!G41,'23.07 Ndeeba-Nateete'!G41,'24.07 Ndeeba-Nateete'!G41,'25.07 Ndeeba-Nateete'!G41,'26.07 Ndeeba-Nateete-24h'!G41,'27.07 Ndeeba-Nateete-24h'!G41,'28.07 Ndeeba-Nateete'!G41)</f>
        <v>0.14285714285714285</v>
      </c>
      <c r="H41" s="49">
        <f>AVERAGE('22.07 Ndeeba-Nateete'!H41,'23.07 Ndeeba-Nateete'!H41,'24.07 Ndeeba-Nateete'!H41,'25.07 Ndeeba-Nateete'!H41,'26.07 Ndeeba-Nateete-24h'!H41,'27.07 Ndeeba-Nateete-24h'!H41,'28.07 Ndeeba-Nateete'!H41)</f>
        <v>0.14285714285714285</v>
      </c>
      <c r="I41" s="49">
        <f>AVERAGE('22.07 Ndeeba-Nateete'!I41,'23.07 Ndeeba-Nateete'!I41,'24.07 Ndeeba-Nateete'!I41,'25.07 Ndeeba-Nateete'!I41,'26.07 Ndeeba-Nateete-24h'!I41,'27.07 Ndeeba-Nateete-24h'!I41,'28.07 Ndeeba-Nateete'!I41)</f>
        <v>10.857142857142858</v>
      </c>
      <c r="J41" s="49">
        <f>AVERAGE('22.07 Ndeeba-Nateete'!J41,'23.07 Ndeeba-Nateete'!J41,'24.07 Ndeeba-Nateete'!J41,'25.07 Ndeeba-Nateete'!J41,'26.07 Ndeeba-Nateete-24h'!J41,'27.07 Ndeeba-Nateete-24h'!J41,'28.07 Ndeeba-Nateete'!J41)</f>
        <v>5</v>
      </c>
      <c r="K41" s="49">
        <f>AVERAGE('22.07 Ndeeba-Nateete'!K41,'23.07 Ndeeba-Nateete'!K41,'24.07 Ndeeba-Nateete'!K41,'25.07 Ndeeba-Nateete'!K41,'26.07 Ndeeba-Nateete-24h'!K41,'27.07 Ndeeba-Nateete-24h'!K41,'28.07 Ndeeba-Nateete'!K41)</f>
        <v>1.8571428571428572</v>
      </c>
      <c r="L41" s="49">
        <f>AVERAGE('22.07 Ndeeba-Nateete'!L41,'23.07 Ndeeba-Nateete'!L41,'24.07 Ndeeba-Nateete'!L41,'25.07 Ndeeba-Nateete'!L41,'26.07 Ndeeba-Nateete-24h'!L41,'27.07 Ndeeba-Nateete-24h'!L41,'28.07 Ndeeba-Nateete'!L41)</f>
        <v>0.5714285714285714</v>
      </c>
      <c r="M41" s="49">
        <f>AVERAGE('22.07 Ndeeba-Nateete'!M41,'23.07 Ndeeba-Nateete'!M41,'24.07 Ndeeba-Nateete'!M41,'25.07 Ndeeba-Nateete'!M41,'26.07 Ndeeba-Nateete-24h'!M41,'27.07 Ndeeba-Nateete-24h'!M41,'28.07 Ndeeba-Nateete'!M41)</f>
        <v>130.57142857142858</v>
      </c>
      <c r="N41" s="49">
        <f>AVERAGE('22.07 Ndeeba-Nateete'!N41,'23.07 Ndeeba-Nateete'!N41,'24.07 Ndeeba-Nateete'!N41,'25.07 Ndeeba-Nateete'!N41,'26.07 Ndeeba-Nateete-24h'!N41,'27.07 Ndeeba-Nateete-24h'!N41,'28.07 Ndeeba-Nateete'!N41)</f>
        <v>0</v>
      </c>
      <c r="O41" s="15">
        <f t="shared" si="0"/>
        <v>72.857142857142875</v>
      </c>
      <c r="P41" s="15">
        <f t="shared" si="1"/>
        <v>203.42857142857144</v>
      </c>
      <c r="R41" s="5" t="s">
        <v>184</v>
      </c>
      <c r="S41" s="52">
        <f>SUM(S10:S33)</f>
        <v>2495.4285714285716</v>
      </c>
      <c r="T41" s="52">
        <f t="shared" ref="T41:AD41" si="33">SUM(T10:T33)</f>
        <v>537.92857142857156</v>
      </c>
      <c r="U41" s="52">
        <f t="shared" si="33"/>
        <v>249.28571428571428</v>
      </c>
      <c r="V41" s="52">
        <f t="shared" si="33"/>
        <v>2263.1428571428569</v>
      </c>
      <c r="W41" s="52">
        <f t="shared" si="33"/>
        <v>49.5</v>
      </c>
      <c r="X41" s="52">
        <f t="shared" si="33"/>
        <v>27.5</v>
      </c>
      <c r="Y41" s="52">
        <f t="shared" si="33"/>
        <v>757.07142857142856</v>
      </c>
      <c r="Z41" s="52">
        <f t="shared" si="33"/>
        <v>447.21428571428572</v>
      </c>
      <c r="AA41" s="52">
        <f t="shared" si="33"/>
        <v>120.28571428571428</v>
      </c>
      <c r="AB41" s="52">
        <f t="shared" si="33"/>
        <v>79.214285714285708</v>
      </c>
      <c r="AC41" s="52">
        <f t="shared" si="33"/>
        <v>11097.642857142857</v>
      </c>
      <c r="AD41" s="52">
        <f t="shared" si="33"/>
        <v>45.142857142857146</v>
      </c>
      <c r="AE41" s="53">
        <f>SUM(AE10:AE33)</f>
        <v>7573.0000000000009</v>
      </c>
      <c r="AF41" s="53">
        <f>SUM(AF10:AF33)</f>
        <v>18825.214285714283</v>
      </c>
    </row>
    <row r="42" spans="2:32" ht="23.1" customHeight="1" x14ac:dyDescent="0.25">
      <c r="B42" s="24" t="s">
        <v>69</v>
      </c>
      <c r="C42" s="49">
        <f>AVERAGE('22.07 Ndeeba-Nateete'!C42,'23.07 Ndeeba-Nateete'!C42,'24.07 Ndeeba-Nateete'!C42,'25.07 Ndeeba-Nateete'!C42,'26.07 Ndeeba-Nateete-24h'!C42,'27.07 Ndeeba-Nateete-24h'!C42,'28.07 Ndeeba-Nateete'!C42)</f>
        <v>16.428571428571427</v>
      </c>
      <c r="D42" s="49">
        <f>AVERAGE('22.07 Ndeeba-Nateete'!D42,'23.07 Ndeeba-Nateete'!D42,'24.07 Ndeeba-Nateete'!D42,'25.07 Ndeeba-Nateete'!D42,'26.07 Ndeeba-Nateete-24h'!D42,'27.07 Ndeeba-Nateete-24h'!D42,'28.07 Ndeeba-Nateete'!D42)</f>
        <v>4.8571428571428568</v>
      </c>
      <c r="E42" s="49">
        <f>AVERAGE('22.07 Ndeeba-Nateete'!E42,'23.07 Ndeeba-Nateete'!E42,'24.07 Ndeeba-Nateete'!E42,'25.07 Ndeeba-Nateete'!E42,'26.07 Ndeeba-Nateete-24h'!E42,'27.07 Ndeeba-Nateete-24h'!E42,'28.07 Ndeeba-Nateete'!E42)</f>
        <v>3.7142857142857144</v>
      </c>
      <c r="F42" s="49">
        <f>AVERAGE('22.07 Ndeeba-Nateete'!F42,'23.07 Ndeeba-Nateete'!F42,'24.07 Ndeeba-Nateete'!F42,'25.07 Ndeeba-Nateete'!F42,'26.07 Ndeeba-Nateete-24h'!F42,'27.07 Ndeeba-Nateete-24h'!F42,'28.07 Ndeeba-Nateete'!F42)</f>
        <v>15.142857142857142</v>
      </c>
      <c r="G42" s="49">
        <f>AVERAGE('22.07 Ndeeba-Nateete'!G42,'23.07 Ndeeba-Nateete'!G42,'24.07 Ndeeba-Nateete'!G42,'25.07 Ndeeba-Nateete'!G42,'26.07 Ndeeba-Nateete-24h'!G42,'27.07 Ndeeba-Nateete-24h'!G42,'28.07 Ndeeba-Nateete'!G42)</f>
        <v>1.1428571428571428</v>
      </c>
      <c r="H42" s="49">
        <f>AVERAGE('22.07 Ndeeba-Nateete'!H42,'23.07 Ndeeba-Nateete'!H42,'24.07 Ndeeba-Nateete'!H42,'25.07 Ndeeba-Nateete'!H42,'26.07 Ndeeba-Nateete-24h'!H42,'27.07 Ndeeba-Nateete-24h'!H42,'28.07 Ndeeba-Nateete'!H42)</f>
        <v>0.14285714285714285</v>
      </c>
      <c r="I42" s="49">
        <f>AVERAGE('22.07 Ndeeba-Nateete'!I42,'23.07 Ndeeba-Nateete'!I42,'24.07 Ndeeba-Nateete'!I42,'25.07 Ndeeba-Nateete'!I42,'26.07 Ndeeba-Nateete-24h'!I42,'27.07 Ndeeba-Nateete-24h'!I42,'28.07 Ndeeba-Nateete'!I42)</f>
        <v>10</v>
      </c>
      <c r="J42" s="49">
        <f>AVERAGE('22.07 Ndeeba-Nateete'!J42,'23.07 Ndeeba-Nateete'!J42,'24.07 Ndeeba-Nateete'!J42,'25.07 Ndeeba-Nateete'!J42,'26.07 Ndeeba-Nateete-24h'!J42,'27.07 Ndeeba-Nateete-24h'!J42,'28.07 Ndeeba-Nateete'!J42)</f>
        <v>5.2857142857142856</v>
      </c>
      <c r="K42" s="49">
        <f>AVERAGE('22.07 Ndeeba-Nateete'!K42,'23.07 Ndeeba-Nateete'!K42,'24.07 Ndeeba-Nateete'!K42,'25.07 Ndeeba-Nateete'!K42,'26.07 Ndeeba-Nateete-24h'!K42,'27.07 Ndeeba-Nateete-24h'!K42,'28.07 Ndeeba-Nateete'!K42)</f>
        <v>0.8571428571428571</v>
      </c>
      <c r="L42" s="49">
        <f>AVERAGE('22.07 Ndeeba-Nateete'!L42,'23.07 Ndeeba-Nateete'!L42,'24.07 Ndeeba-Nateete'!L42,'25.07 Ndeeba-Nateete'!L42,'26.07 Ndeeba-Nateete-24h'!L42,'27.07 Ndeeba-Nateete-24h'!L42,'28.07 Ndeeba-Nateete'!L42)</f>
        <v>0.2857142857142857</v>
      </c>
      <c r="M42" s="49">
        <f>AVERAGE('22.07 Ndeeba-Nateete'!M42,'23.07 Ndeeba-Nateete'!M42,'24.07 Ndeeba-Nateete'!M42,'25.07 Ndeeba-Nateete'!M42,'26.07 Ndeeba-Nateete-24h'!M42,'27.07 Ndeeba-Nateete-24h'!M42,'28.07 Ndeeba-Nateete'!M42)</f>
        <v>118.28571428571429</v>
      </c>
      <c r="N42" s="49">
        <f>AVERAGE('22.07 Ndeeba-Nateete'!N42,'23.07 Ndeeba-Nateete'!N42,'24.07 Ndeeba-Nateete'!N42,'25.07 Ndeeba-Nateete'!N42,'26.07 Ndeeba-Nateete-24h'!N42,'27.07 Ndeeba-Nateete-24h'!N42,'28.07 Ndeeba-Nateete'!N42)</f>
        <v>0</v>
      </c>
      <c r="O42" s="15">
        <f t="shared" si="0"/>
        <v>57.857142857142854</v>
      </c>
      <c r="P42" s="15">
        <f t="shared" si="1"/>
        <v>176.14285714285714</v>
      </c>
      <c r="R42" s="5" t="s">
        <v>160</v>
      </c>
      <c r="S42" s="48">
        <f>S41/S40</f>
        <v>2.284294494573035</v>
      </c>
      <c r="T42" s="48">
        <f t="shared" ref="T42:AF42" si="34">T41/T40</f>
        <v>1.3638174574429556</v>
      </c>
      <c r="U42" s="48">
        <f t="shared" si="34"/>
        <v>1.5360915492957747</v>
      </c>
      <c r="V42" s="48">
        <f t="shared" si="34"/>
        <v>1.5747514910536777</v>
      </c>
      <c r="W42" s="48">
        <f t="shared" si="34"/>
        <v>1.3026315789473684</v>
      </c>
      <c r="X42" s="48">
        <f t="shared" si="34"/>
        <v>1.7187500000000002</v>
      </c>
      <c r="Y42" s="48">
        <f t="shared" si="34"/>
        <v>1.4487424822307271</v>
      </c>
      <c r="Z42" s="48">
        <f t="shared" si="34"/>
        <v>1.7022838499184338</v>
      </c>
      <c r="AA42" s="48">
        <f t="shared" si="34"/>
        <v>1.9006772009029347</v>
      </c>
      <c r="AB42" s="48">
        <f t="shared" si="34"/>
        <v>2.2180000000000004</v>
      </c>
      <c r="AC42" s="48">
        <f t="shared" si="34"/>
        <v>1.4986399413534994</v>
      </c>
      <c r="AD42" s="48">
        <f t="shared" si="34"/>
        <v>316.00000000000006</v>
      </c>
      <c r="AE42" s="54">
        <f t="shared" si="34"/>
        <v>1.8816242501686011</v>
      </c>
      <c r="AF42" s="54">
        <f t="shared" si="34"/>
        <v>1.6470209601419841</v>
      </c>
    </row>
    <row r="43" spans="2:32" ht="23.1" customHeight="1" x14ac:dyDescent="0.25">
      <c r="B43" s="23" t="s">
        <v>70</v>
      </c>
      <c r="C43" s="49">
        <f>AVERAGE('22.07 Ndeeba-Nateete'!C43,'23.07 Ndeeba-Nateete'!C43,'24.07 Ndeeba-Nateete'!C43,'25.07 Ndeeba-Nateete'!C43,'26.07 Ndeeba-Nateete-24h'!C43,'27.07 Ndeeba-Nateete-24h'!C43,'28.07 Ndeeba-Nateete'!C43)</f>
        <v>18.571428571428573</v>
      </c>
      <c r="D43" s="49">
        <f>AVERAGE('22.07 Ndeeba-Nateete'!D43,'23.07 Ndeeba-Nateete'!D43,'24.07 Ndeeba-Nateete'!D43,'25.07 Ndeeba-Nateete'!D43,'26.07 Ndeeba-Nateete-24h'!D43,'27.07 Ndeeba-Nateete-24h'!D43,'28.07 Ndeeba-Nateete'!D43)</f>
        <v>7.2857142857142856</v>
      </c>
      <c r="E43" s="49">
        <f>AVERAGE('22.07 Ndeeba-Nateete'!E43,'23.07 Ndeeba-Nateete'!E43,'24.07 Ndeeba-Nateete'!E43,'25.07 Ndeeba-Nateete'!E43,'26.07 Ndeeba-Nateete-24h'!E43,'27.07 Ndeeba-Nateete-24h'!E43,'28.07 Ndeeba-Nateete'!E43)</f>
        <v>2.1428571428571428</v>
      </c>
      <c r="F43" s="49">
        <f>AVERAGE('22.07 Ndeeba-Nateete'!F43,'23.07 Ndeeba-Nateete'!F43,'24.07 Ndeeba-Nateete'!F43,'25.07 Ndeeba-Nateete'!F43,'26.07 Ndeeba-Nateete-24h'!F43,'27.07 Ndeeba-Nateete-24h'!F43,'28.07 Ndeeba-Nateete'!F43)</f>
        <v>20.857142857142858</v>
      </c>
      <c r="G43" s="49">
        <f>AVERAGE('22.07 Ndeeba-Nateete'!G43,'23.07 Ndeeba-Nateete'!G43,'24.07 Ndeeba-Nateete'!G43,'25.07 Ndeeba-Nateete'!G43,'26.07 Ndeeba-Nateete-24h'!G43,'27.07 Ndeeba-Nateete-24h'!G43,'28.07 Ndeeba-Nateete'!G43)</f>
        <v>0.2857142857142857</v>
      </c>
      <c r="H43" s="49">
        <f>AVERAGE('22.07 Ndeeba-Nateete'!H43,'23.07 Ndeeba-Nateete'!H43,'24.07 Ndeeba-Nateete'!H43,'25.07 Ndeeba-Nateete'!H43,'26.07 Ndeeba-Nateete-24h'!H43,'27.07 Ndeeba-Nateete-24h'!H43,'28.07 Ndeeba-Nateete'!H43)</f>
        <v>0</v>
      </c>
      <c r="I43" s="49">
        <f>AVERAGE('22.07 Ndeeba-Nateete'!I43,'23.07 Ndeeba-Nateete'!I43,'24.07 Ndeeba-Nateete'!I43,'25.07 Ndeeba-Nateete'!I43,'26.07 Ndeeba-Nateete-24h'!I43,'27.07 Ndeeba-Nateete-24h'!I43,'28.07 Ndeeba-Nateete'!I43)</f>
        <v>7</v>
      </c>
      <c r="J43" s="49">
        <f>AVERAGE('22.07 Ndeeba-Nateete'!J43,'23.07 Ndeeba-Nateete'!J43,'24.07 Ndeeba-Nateete'!J43,'25.07 Ndeeba-Nateete'!J43,'26.07 Ndeeba-Nateete-24h'!J43,'27.07 Ndeeba-Nateete-24h'!J43,'28.07 Ndeeba-Nateete'!J43)</f>
        <v>10.714285714285714</v>
      </c>
      <c r="K43" s="49">
        <f>AVERAGE('22.07 Ndeeba-Nateete'!K43,'23.07 Ndeeba-Nateete'!K43,'24.07 Ndeeba-Nateete'!K43,'25.07 Ndeeba-Nateete'!K43,'26.07 Ndeeba-Nateete-24h'!K43,'27.07 Ndeeba-Nateete-24h'!K43,'28.07 Ndeeba-Nateete'!K43)</f>
        <v>1.8571428571428572</v>
      </c>
      <c r="L43" s="49">
        <f>AVERAGE('22.07 Ndeeba-Nateete'!L43,'23.07 Ndeeba-Nateete'!L43,'24.07 Ndeeba-Nateete'!L43,'25.07 Ndeeba-Nateete'!L43,'26.07 Ndeeba-Nateete-24h'!L43,'27.07 Ndeeba-Nateete-24h'!L43,'28.07 Ndeeba-Nateete'!L43)</f>
        <v>0.7142857142857143</v>
      </c>
      <c r="M43" s="49">
        <f>AVERAGE('22.07 Ndeeba-Nateete'!M43,'23.07 Ndeeba-Nateete'!M43,'24.07 Ndeeba-Nateete'!M43,'25.07 Ndeeba-Nateete'!M43,'26.07 Ndeeba-Nateete-24h'!M43,'27.07 Ndeeba-Nateete-24h'!M43,'28.07 Ndeeba-Nateete'!M43)</f>
        <v>113.14285714285714</v>
      </c>
      <c r="N43" s="49">
        <f>AVERAGE('22.07 Ndeeba-Nateete'!N43,'23.07 Ndeeba-Nateete'!N43,'24.07 Ndeeba-Nateete'!N43,'25.07 Ndeeba-Nateete'!N43,'26.07 Ndeeba-Nateete-24h'!N43,'27.07 Ndeeba-Nateete-24h'!N43,'28.07 Ndeeba-Nateete'!N43)</f>
        <v>0</v>
      </c>
      <c r="O43" s="15">
        <f t="shared" si="0"/>
        <v>69.428571428571431</v>
      </c>
      <c r="P43" s="15">
        <f t="shared" si="1"/>
        <v>182.57142857142856</v>
      </c>
    </row>
    <row r="44" spans="2:32" ht="23.1" customHeight="1" x14ac:dyDescent="0.25">
      <c r="B44" s="25" t="s">
        <v>71</v>
      </c>
      <c r="C44" s="49">
        <f>AVERAGE('22.07 Ndeeba-Nateete'!C44,'23.07 Ndeeba-Nateete'!C44,'24.07 Ndeeba-Nateete'!C44,'25.07 Ndeeba-Nateete'!C44,'26.07 Ndeeba-Nateete-24h'!C44,'27.07 Ndeeba-Nateete-24h'!C44,'28.07 Ndeeba-Nateete'!C44)</f>
        <v>25.142857142857142</v>
      </c>
      <c r="D44" s="49">
        <f>AVERAGE('22.07 Ndeeba-Nateete'!D44,'23.07 Ndeeba-Nateete'!D44,'24.07 Ndeeba-Nateete'!D44,'25.07 Ndeeba-Nateete'!D44,'26.07 Ndeeba-Nateete-24h'!D44,'27.07 Ndeeba-Nateete-24h'!D44,'28.07 Ndeeba-Nateete'!D44)</f>
        <v>5.1428571428571432</v>
      </c>
      <c r="E44" s="49">
        <f>AVERAGE('22.07 Ndeeba-Nateete'!E44,'23.07 Ndeeba-Nateete'!E44,'24.07 Ndeeba-Nateete'!E44,'25.07 Ndeeba-Nateete'!E44,'26.07 Ndeeba-Nateete-24h'!E44,'27.07 Ndeeba-Nateete-24h'!E44,'28.07 Ndeeba-Nateete'!E44)</f>
        <v>2.8571428571428572</v>
      </c>
      <c r="F44" s="49">
        <f>AVERAGE('22.07 Ndeeba-Nateete'!F44,'23.07 Ndeeba-Nateete'!F44,'24.07 Ndeeba-Nateete'!F44,'25.07 Ndeeba-Nateete'!F44,'26.07 Ndeeba-Nateete-24h'!F44,'27.07 Ndeeba-Nateete-24h'!F44,'28.07 Ndeeba-Nateete'!F44)</f>
        <v>22.857142857142858</v>
      </c>
      <c r="G44" s="49">
        <f>AVERAGE('22.07 Ndeeba-Nateete'!G44,'23.07 Ndeeba-Nateete'!G44,'24.07 Ndeeba-Nateete'!G44,'25.07 Ndeeba-Nateete'!G44,'26.07 Ndeeba-Nateete-24h'!G44,'27.07 Ndeeba-Nateete-24h'!G44,'28.07 Ndeeba-Nateete'!G44)</f>
        <v>0.14285714285714285</v>
      </c>
      <c r="H44" s="49">
        <f>AVERAGE('22.07 Ndeeba-Nateete'!H44,'23.07 Ndeeba-Nateete'!H44,'24.07 Ndeeba-Nateete'!H44,'25.07 Ndeeba-Nateete'!H44,'26.07 Ndeeba-Nateete-24h'!H44,'27.07 Ndeeba-Nateete-24h'!H44,'28.07 Ndeeba-Nateete'!H44)</f>
        <v>0</v>
      </c>
      <c r="I44" s="49">
        <f>AVERAGE('22.07 Ndeeba-Nateete'!I44,'23.07 Ndeeba-Nateete'!I44,'24.07 Ndeeba-Nateete'!I44,'25.07 Ndeeba-Nateete'!I44,'26.07 Ndeeba-Nateete-24h'!I44,'27.07 Ndeeba-Nateete-24h'!I44,'28.07 Ndeeba-Nateete'!I44)</f>
        <v>9.2857142857142865</v>
      </c>
      <c r="J44" s="49">
        <f>AVERAGE('22.07 Ndeeba-Nateete'!J44,'23.07 Ndeeba-Nateete'!J44,'24.07 Ndeeba-Nateete'!J44,'25.07 Ndeeba-Nateete'!J44,'26.07 Ndeeba-Nateete-24h'!J44,'27.07 Ndeeba-Nateete-24h'!J44,'28.07 Ndeeba-Nateete'!J44)</f>
        <v>5.7142857142857144</v>
      </c>
      <c r="K44" s="49">
        <f>AVERAGE('22.07 Ndeeba-Nateete'!K44,'23.07 Ndeeba-Nateete'!K44,'24.07 Ndeeba-Nateete'!K44,'25.07 Ndeeba-Nateete'!K44,'26.07 Ndeeba-Nateete-24h'!K44,'27.07 Ndeeba-Nateete-24h'!K44,'28.07 Ndeeba-Nateete'!K44)</f>
        <v>5.5714285714285712</v>
      </c>
      <c r="L44" s="49">
        <f>AVERAGE('22.07 Ndeeba-Nateete'!L44,'23.07 Ndeeba-Nateete'!L44,'24.07 Ndeeba-Nateete'!L44,'25.07 Ndeeba-Nateete'!L44,'26.07 Ndeeba-Nateete-24h'!L44,'27.07 Ndeeba-Nateete-24h'!L44,'28.07 Ndeeba-Nateete'!L44)</f>
        <v>0.5714285714285714</v>
      </c>
      <c r="M44" s="49">
        <f>AVERAGE('22.07 Ndeeba-Nateete'!M44,'23.07 Ndeeba-Nateete'!M44,'24.07 Ndeeba-Nateete'!M44,'25.07 Ndeeba-Nateete'!M44,'26.07 Ndeeba-Nateete-24h'!M44,'27.07 Ndeeba-Nateete-24h'!M44,'28.07 Ndeeba-Nateete'!M44)</f>
        <v>104.85714285714286</v>
      </c>
      <c r="N44" s="49">
        <f>AVERAGE('22.07 Ndeeba-Nateete'!N44,'23.07 Ndeeba-Nateete'!N44,'24.07 Ndeeba-Nateete'!N44,'25.07 Ndeeba-Nateete'!N44,'26.07 Ndeeba-Nateete-24h'!N44,'27.07 Ndeeba-Nateete-24h'!N44,'28.07 Ndeeba-Nateete'!N44)</f>
        <v>0</v>
      </c>
      <c r="O44" s="15">
        <f t="shared" si="0"/>
        <v>77.285714285714278</v>
      </c>
      <c r="P44" s="15">
        <f t="shared" si="1"/>
        <v>182.14285714285714</v>
      </c>
    </row>
    <row r="45" spans="2:32" ht="23.1" customHeight="1" x14ac:dyDescent="0.25">
      <c r="B45" s="23" t="s">
        <v>72</v>
      </c>
      <c r="C45" s="49">
        <f>AVERAGE('22.07 Ndeeba-Nateete'!C45,'23.07 Ndeeba-Nateete'!C45,'24.07 Ndeeba-Nateete'!C45,'25.07 Ndeeba-Nateete'!C45,'26.07 Ndeeba-Nateete-24h'!C45,'27.07 Ndeeba-Nateete-24h'!C45,'28.07 Ndeeba-Nateete'!C45)</f>
        <v>23</v>
      </c>
      <c r="D45" s="49">
        <f>AVERAGE('22.07 Ndeeba-Nateete'!D45,'23.07 Ndeeba-Nateete'!D45,'24.07 Ndeeba-Nateete'!D45,'25.07 Ndeeba-Nateete'!D45,'26.07 Ndeeba-Nateete-24h'!D45,'27.07 Ndeeba-Nateete-24h'!D45,'28.07 Ndeeba-Nateete'!D45)</f>
        <v>9.4285714285714288</v>
      </c>
      <c r="E45" s="49">
        <f>AVERAGE('22.07 Ndeeba-Nateete'!E45,'23.07 Ndeeba-Nateete'!E45,'24.07 Ndeeba-Nateete'!E45,'25.07 Ndeeba-Nateete'!E45,'26.07 Ndeeba-Nateete-24h'!E45,'27.07 Ndeeba-Nateete-24h'!E45,'28.07 Ndeeba-Nateete'!E45)</f>
        <v>3.7142857142857144</v>
      </c>
      <c r="F45" s="49">
        <f>AVERAGE('22.07 Ndeeba-Nateete'!F45,'23.07 Ndeeba-Nateete'!F45,'24.07 Ndeeba-Nateete'!F45,'25.07 Ndeeba-Nateete'!F45,'26.07 Ndeeba-Nateete-24h'!F45,'27.07 Ndeeba-Nateete-24h'!F45,'28.07 Ndeeba-Nateete'!F45)</f>
        <v>21</v>
      </c>
      <c r="G45" s="49">
        <f>AVERAGE('22.07 Ndeeba-Nateete'!G45,'23.07 Ndeeba-Nateete'!G45,'24.07 Ndeeba-Nateete'!G45,'25.07 Ndeeba-Nateete'!G45,'26.07 Ndeeba-Nateete-24h'!G45,'27.07 Ndeeba-Nateete-24h'!G45,'28.07 Ndeeba-Nateete'!G45)</f>
        <v>0.42857142857142855</v>
      </c>
      <c r="H45" s="49">
        <f>AVERAGE('22.07 Ndeeba-Nateete'!H45,'23.07 Ndeeba-Nateete'!H45,'24.07 Ndeeba-Nateete'!H45,'25.07 Ndeeba-Nateete'!H45,'26.07 Ndeeba-Nateete-24h'!H45,'27.07 Ndeeba-Nateete-24h'!H45,'28.07 Ndeeba-Nateete'!H45)</f>
        <v>0</v>
      </c>
      <c r="I45" s="49">
        <f>AVERAGE('22.07 Ndeeba-Nateete'!I45,'23.07 Ndeeba-Nateete'!I45,'24.07 Ndeeba-Nateete'!I45,'25.07 Ndeeba-Nateete'!I45,'26.07 Ndeeba-Nateete-24h'!I45,'27.07 Ndeeba-Nateete-24h'!I45,'28.07 Ndeeba-Nateete'!I45)</f>
        <v>9.8571428571428577</v>
      </c>
      <c r="J45" s="49">
        <f>AVERAGE('22.07 Ndeeba-Nateete'!J45,'23.07 Ndeeba-Nateete'!J45,'24.07 Ndeeba-Nateete'!J45,'25.07 Ndeeba-Nateete'!J45,'26.07 Ndeeba-Nateete-24h'!J45,'27.07 Ndeeba-Nateete-24h'!J45,'28.07 Ndeeba-Nateete'!J45)</f>
        <v>3.8571428571428572</v>
      </c>
      <c r="K45" s="49">
        <f>AVERAGE('22.07 Ndeeba-Nateete'!K45,'23.07 Ndeeba-Nateete'!K45,'24.07 Ndeeba-Nateete'!K45,'25.07 Ndeeba-Nateete'!K45,'26.07 Ndeeba-Nateete-24h'!K45,'27.07 Ndeeba-Nateete-24h'!K45,'28.07 Ndeeba-Nateete'!K45)</f>
        <v>0.8571428571428571</v>
      </c>
      <c r="L45" s="49">
        <f>AVERAGE('22.07 Ndeeba-Nateete'!L45,'23.07 Ndeeba-Nateete'!L45,'24.07 Ndeeba-Nateete'!L45,'25.07 Ndeeba-Nateete'!L45,'26.07 Ndeeba-Nateete-24h'!L45,'27.07 Ndeeba-Nateete-24h'!L45,'28.07 Ndeeba-Nateete'!L45)</f>
        <v>0.8571428571428571</v>
      </c>
      <c r="M45" s="49">
        <f>AVERAGE('22.07 Ndeeba-Nateete'!M45,'23.07 Ndeeba-Nateete'!M45,'24.07 Ndeeba-Nateete'!M45,'25.07 Ndeeba-Nateete'!M45,'26.07 Ndeeba-Nateete-24h'!M45,'27.07 Ndeeba-Nateete-24h'!M45,'28.07 Ndeeba-Nateete'!M45)</f>
        <v>128.71428571428572</v>
      </c>
      <c r="N45" s="49">
        <f>AVERAGE('22.07 Ndeeba-Nateete'!N45,'23.07 Ndeeba-Nateete'!N45,'24.07 Ndeeba-Nateete'!N45,'25.07 Ndeeba-Nateete'!N45,'26.07 Ndeeba-Nateete-24h'!N45,'27.07 Ndeeba-Nateete-24h'!N45,'28.07 Ndeeba-Nateete'!N45)</f>
        <v>0</v>
      </c>
      <c r="O45" s="15">
        <f t="shared" si="0"/>
        <v>73.000000000000014</v>
      </c>
      <c r="P45" s="15">
        <f t="shared" si="1"/>
        <v>201.71428571428572</v>
      </c>
    </row>
    <row r="46" spans="2:32" ht="23.1" customHeight="1" x14ac:dyDescent="0.25">
      <c r="B46" s="24" t="s">
        <v>73</v>
      </c>
      <c r="C46" s="49">
        <f>AVERAGE('22.07 Ndeeba-Nateete'!C46,'23.07 Ndeeba-Nateete'!C46,'24.07 Ndeeba-Nateete'!C46,'25.07 Ndeeba-Nateete'!C46,'26.07 Ndeeba-Nateete-24h'!C46,'27.07 Ndeeba-Nateete-24h'!C46,'28.07 Ndeeba-Nateete'!C46)</f>
        <v>19.142857142857142</v>
      </c>
      <c r="D46" s="49">
        <f>AVERAGE('22.07 Ndeeba-Nateete'!D46,'23.07 Ndeeba-Nateete'!D46,'24.07 Ndeeba-Nateete'!D46,'25.07 Ndeeba-Nateete'!D46,'26.07 Ndeeba-Nateete-24h'!D46,'27.07 Ndeeba-Nateete-24h'!D46,'28.07 Ndeeba-Nateete'!D46)</f>
        <v>7.5714285714285712</v>
      </c>
      <c r="E46" s="49">
        <f>AVERAGE('22.07 Ndeeba-Nateete'!E46,'23.07 Ndeeba-Nateete'!E46,'24.07 Ndeeba-Nateete'!E46,'25.07 Ndeeba-Nateete'!E46,'26.07 Ndeeba-Nateete-24h'!E46,'27.07 Ndeeba-Nateete-24h'!E46,'28.07 Ndeeba-Nateete'!E46)</f>
        <v>4.1428571428571432</v>
      </c>
      <c r="F46" s="49">
        <f>AVERAGE('22.07 Ndeeba-Nateete'!F46,'23.07 Ndeeba-Nateete'!F46,'24.07 Ndeeba-Nateete'!F46,'25.07 Ndeeba-Nateete'!F46,'26.07 Ndeeba-Nateete-24h'!F46,'27.07 Ndeeba-Nateete-24h'!F46,'28.07 Ndeeba-Nateete'!F46)</f>
        <v>19.714285714285715</v>
      </c>
      <c r="G46" s="49">
        <f>AVERAGE('22.07 Ndeeba-Nateete'!G46,'23.07 Ndeeba-Nateete'!G46,'24.07 Ndeeba-Nateete'!G46,'25.07 Ndeeba-Nateete'!G46,'26.07 Ndeeba-Nateete-24h'!G46,'27.07 Ndeeba-Nateete-24h'!G46,'28.07 Ndeeba-Nateete'!G46)</f>
        <v>0.42857142857142855</v>
      </c>
      <c r="H46" s="49">
        <f>AVERAGE('22.07 Ndeeba-Nateete'!H46,'23.07 Ndeeba-Nateete'!H46,'24.07 Ndeeba-Nateete'!H46,'25.07 Ndeeba-Nateete'!H46,'26.07 Ndeeba-Nateete-24h'!H46,'27.07 Ndeeba-Nateete-24h'!H46,'28.07 Ndeeba-Nateete'!H46)</f>
        <v>0.2857142857142857</v>
      </c>
      <c r="I46" s="49">
        <f>AVERAGE('22.07 Ndeeba-Nateete'!I46,'23.07 Ndeeba-Nateete'!I46,'24.07 Ndeeba-Nateete'!I46,'25.07 Ndeeba-Nateete'!I46,'26.07 Ndeeba-Nateete-24h'!I46,'27.07 Ndeeba-Nateete-24h'!I46,'28.07 Ndeeba-Nateete'!I46)</f>
        <v>10.857142857142858</v>
      </c>
      <c r="J46" s="49">
        <f>AVERAGE('22.07 Ndeeba-Nateete'!J46,'23.07 Ndeeba-Nateete'!J46,'24.07 Ndeeba-Nateete'!J46,'25.07 Ndeeba-Nateete'!J46,'26.07 Ndeeba-Nateete-24h'!J46,'27.07 Ndeeba-Nateete-24h'!J46,'28.07 Ndeeba-Nateete'!J46)</f>
        <v>6.8571428571428568</v>
      </c>
      <c r="K46" s="49">
        <f>AVERAGE('22.07 Ndeeba-Nateete'!K46,'23.07 Ndeeba-Nateete'!K46,'24.07 Ndeeba-Nateete'!K46,'25.07 Ndeeba-Nateete'!K46,'26.07 Ndeeba-Nateete-24h'!K46,'27.07 Ndeeba-Nateete-24h'!K46,'28.07 Ndeeba-Nateete'!K46)</f>
        <v>0.8571428571428571</v>
      </c>
      <c r="L46" s="49">
        <f>AVERAGE('22.07 Ndeeba-Nateete'!L46,'23.07 Ndeeba-Nateete'!L46,'24.07 Ndeeba-Nateete'!L46,'25.07 Ndeeba-Nateete'!L46,'26.07 Ndeeba-Nateete-24h'!L46,'27.07 Ndeeba-Nateete-24h'!L46,'28.07 Ndeeba-Nateete'!L46)</f>
        <v>0.8571428571428571</v>
      </c>
      <c r="M46" s="49">
        <f>AVERAGE('22.07 Ndeeba-Nateete'!M46,'23.07 Ndeeba-Nateete'!M46,'24.07 Ndeeba-Nateete'!M46,'25.07 Ndeeba-Nateete'!M46,'26.07 Ndeeba-Nateete-24h'!M46,'27.07 Ndeeba-Nateete-24h'!M46,'28.07 Ndeeba-Nateete'!M46)</f>
        <v>104.85714285714286</v>
      </c>
      <c r="N46" s="49">
        <f>AVERAGE('22.07 Ndeeba-Nateete'!N46,'23.07 Ndeeba-Nateete'!N46,'24.07 Ndeeba-Nateete'!N46,'25.07 Ndeeba-Nateete'!N46,'26.07 Ndeeba-Nateete-24h'!N46,'27.07 Ndeeba-Nateete-24h'!N46,'28.07 Ndeeba-Nateete'!N46)</f>
        <v>0</v>
      </c>
      <c r="O46" s="15">
        <f t="shared" si="0"/>
        <v>70.714285714285722</v>
      </c>
      <c r="P46" s="15">
        <f t="shared" si="1"/>
        <v>175.57142857142858</v>
      </c>
      <c r="R46" s="8"/>
      <c r="T46"/>
    </row>
    <row r="47" spans="2:32" ht="23.1" customHeight="1" x14ac:dyDescent="0.25">
      <c r="B47" s="24" t="s">
        <v>74</v>
      </c>
      <c r="C47" s="49">
        <f>AVERAGE('22.07 Ndeeba-Nateete'!C47,'23.07 Ndeeba-Nateete'!C47,'24.07 Ndeeba-Nateete'!C47,'25.07 Ndeeba-Nateete'!C47,'26.07 Ndeeba-Nateete-24h'!C47,'27.07 Ndeeba-Nateete-24h'!C47,'28.07 Ndeeba-Nateete'!C47)</f>
        <v>25.857142857142858</v>
      </c>
      <c r="D47" s="49">
        <f>AVERAGE('22.07 Ndeeba-Nateete'!D47,'23.07 Ndeeba-Nateete'!D47,'24.07 Ndeeba-Nateete'!D47,'25.07 Ndeeba-Nateete'!D47,'26.07 Ndeeba-Nateete-24h'!D47,'27.07 Ndeeba-Nateete-24h'!D47,'28.07 Ndeeba-Nateete'!D47)</f>
        <v>7.4285714285714288</v>
      </c>
      <c r="E47" s="49">
        <f>AVERAGE('22.07 Ndeeba-Nateete'!E47,'23.07 Ndeeba-Nateete'!E47,'24.07 Ndeeba-Nateete'!E47,'25.07 Ndeeba-Nateete'!E47,'26.07 Ndeeba-Nateete-24h'!E47,'27.07 Ndeeba-Nateete-24h'!E47,'28.07 Ndeeba-Nateete'!E47)</f>
        <v>3.2857142857142856</v>
      </c>
      <c r="F47" s="49">
        <f>AVERAGE('22.07 Ndeeba-Nateete'!F47,'23.07 Ndeeba-Nateete'!F47,'24.07 Ndeeba-Nateete'!F47,'25.07 Ndeeba-Nateete'!F47,'26.07 Ndeeba-Nateete-24h'!F47,'27.07 Ndeeba-Nateete-24h'!F47,'28.07 Ndeeba-Nateete'!F47)</f>
        <v>28</v>
      </c>
      <c r="G47" s="49">
        <f>AVERAGE('22.07 Ndeeba-Nateete'!G47,'23.07 Ndeeba-Nateete'!G47,'24.07 Ndeeba-Nateete'!G47,'25.07 Ndeeba-Nateete'!G47,'26.07 Ndeeba-Nateete-24h'!G47,'27.07 Ndeeba-Nateete-24h'!G47,'28.07 Ndeeba-Nateete'!G47)</f>
        <v>0.8571428571428571</v>
      </c>
      <c r="H47" s="49">
        <f>AVERAGE('22.07 Ndeeba-Nateete'!H47,'23.07 Ndeeba-Nateete'!H47,'24.07 Ndeeba-Nateete'!H47,'25.07 Ndeeba-Nateete'!H47,'26.07 Ndeeba-Nateete-24h'!H47,'27.07 Ndeeba-Nateete-24h'!H47,'28.07 Ndeeba-Nateete'!H47)</f>
        <v>0.42857142857142855</v>
      </c>
      <c r="I47" s="49">
        <f>AVERAGE('22.07 Ndeeba-Nateete'!I47,'23.07 Ndeeba-Nateete'!I47,'24.07 Ndeeba-Nateete'!I47,'25.07 Ndeeba-Nateete'!I47,'26.07 Ndeeba-Nateete-24h'!I47,'27.07 Ndeeba-Nateete-24h'!I47,'28.07 Ndeeba-Nateete'!I47)</f>
        <v>11.428571428571429</v>
      </c>
      <c r="J47" s="49">
        <f>AVERAGE('22.07 Ndeeba-Nateete'!J47,'23.07 Ndeeba-Nateete'!J47,'24.07 Ndeeba-Nateete'!J47,'25.07 Ndeeba-Nateete'!J47,'26.07 Ndeeba-Nateete-24h'!J47,'27.07 Ndeeba-Nateete-24h'!J47,'28.07 Ndeeba-Nateete'!J47)</f>
        <v>5.1428571428571432</v>
      </c>
      <c r="K47" s="49">
        <f>AVERAGE('22.07 Ndeeba-Nateete'!K47,'23.07 Ndeeba-Nateete'!K47,'24.07 Ndeeba-Nateete'!K47,'25.07 Ndeeba-Nateete'!K47,'26.07 Ndeeba-Nateete-24h'!K47,'27.07 Ndeeba-Nateete-24h'!K47,'28.07 Ndeeba-Nateete'!K47)</f>
        <v>1</v>
      </c>
      <c r="L47" s="49">
        <f>AVERAGE('22.07 Ndeeba-Nateete'!L47,'23.07 Ndeeba-Nateete'!L47,'24.07 Ndeeba-Nateete'!L47,'25.07 Ndeeba-Nateete'!L47,'26.07 Ndeeba-Nateete-24h'!L47,'27.07 Ndeeba-Nateete-24h'!L47,'28.07 Ndeeba-Nateete'!L47)</f>
        <v>1.1428571428571428</v>
      </c>
      <c r="M47" s="49">
        <f>AVERAGE('22.07 Ndeeba-Nateete'!M47,'23.07 Ndeeba-Nateete'!M47,'24.07 Ndeeba-Nateete'!M47,'25.07 Ndeeba-Nateete'!M47,'26.07 Ndeeba-Nateete-24h'!M47,'27.07 Ndeeba-Nateete-24h'!M47,'28.07 Ndeeba-Nateete'!M47)</f>
        <v>122.85714285714286</v>
      </c>
      <c r="N47" s="49">
        <f>AVERAGE('22.07 Ndeeba-Nateete'!N47,'23.07 Ndeeba-Nateete'!N47,'24.07 Ndeeba-Nateete'!N47,'25.07 Ndeeba-Nateete'!N47,'26.07 Ndeeba-Nateete-24h'!N47,'27.07 Ndeeba-Nateete-24h'!N47,'28.07 Ndeeba-Nateete'!N47)</f>
        <v>0</v>
      </c>
      <c r="O47" s="15">
        <f t="shared" si="0"/>
        <v>84.571428571428569</v>
      </c>
      <c r="P47" s="15">
        <f t="shared" si="1"/>
        <v>207.42857142857144</v>
      </c>
      <c r="R47" s="8"/>
      <c r="T47"/>
    </row>
    <row r="48" spans="2:32" ht="23.1" customHeight="1" x14ac:dyDescent="0.25">
      <c r="B48" s="24" t="s">
        <v>75</v>
      </c>
      <c r="C48" s="49">
        <f>AVERAGE('22.07 Ndeeba-Nateete'!C48,'23.07 Ndeeba-Nateete'!C48,'24.07 Ndeeba-Nateete'!C48,'25.07 Ndeeba-Nateete'!C48,'26.07 Ndeeba-Nateete-24h'!C48,'27.07 Ndeeba-Nateete-24h'!C48,'28.07 Ndeeba-Nateete'!C48)</f>
        <v>23.857142857142858</v>
      </c>
      <c r="D48" s="49">
        <f>AVERAGE('22.07 Ndeeba-Nateete'!D48,'23.07 Ndeeba-Nateete'!D48,'24.07 Ndeeba-Nateete'!D48,'25.07 Ndeeba-Nateete'!D48,'26.07 Ndeeba-Nateete-24h'!D48,'27.07 Ndeeba-Nateete-24h'!D48,'28.07 Ndeeba-Nateete'!D48)</f>
        <v>13.571428571428571</v>
      </c>
      <c r="E48" s="49">
        <f>AVERAGE('22.07 Ndeeba-Nateete'!E48,'23.07 Ndeeba-Nateete'!E48,'24.07 Ndeeba-Nateete'!E48,'25.07 Ndeeba-Nateete'!E48,'26.07 Ndeeba-Nateete-24h'!E48,'27.07 Ndeeba-Nateete-24h'!E48,'28.07 Ndeeba-Nateete'!E48)</f>
        <v>3.7142857142857144</v>
      </c>
      <c r="F48" s="49">
        <f>AVERAGE('22.07 Ndeeba-Nateete'!F48,'23.07 Ndeeba-Nateete'!F48,'24.07 Ndeeba-Nateete'!F48,'25.07 Ndeeba-Nateete'!F48,'26.07 Ndeeba-Nateete-24h'!F48,'27.07 Ndeeba-Nateete-24h'!F48,'28.07 Ndeeba-Nateete'!F48)</f>
        <v>29.571428571428573</v>
      </c>
      <c r="G48" s="49">
        <f>AVERAGE('22.07 Ndeeba-Nateete'!G48,'23.07 Ndeeba-Nateete'!G48,'24.07 Ndeeba-Nateete'!G48,'25.07 Ndeeba-Nateete'!G48,'26.07 Ndeeba-Nateete-24h'!G48,'27.07 Ndeeba-Nateete-24h'!G48,'28.07 Ndeeba-Nateete'!G48)</f>
        <v>0.7142857142857143</v>
      </c>
      <c r="H48" s="49">
        <f>AVERAGE('22.07 Ndeeba-Nateete'!H48,'23.07 Ndeeba-Nateete'!H48,'24.07 Ndeeba-Nateete'!H48,'25.07 Ndeeba-Nateete'!H48,'26.07 Ndeeba-Nateete-24h'!H48,'27.07 Ndeeba-Nateete-24h'!H48,'28.07 Ndeeba-Nateete'!H48)</f>
        <v>0.14285714285714285</v>
      </c>
      <c r="I48" s="49">
        <f>AVERAGE('22.07 Ndeeba-Nateete'!I48,'23.07 Ndeeba-Nateete'!I48,'24.07 Ndeeba-Nateete'!I48,'25.07 Ndeeba-Nateete'!I48,'26.07 Ndeeba-Nateete-24h'!I48,'27.07 Ndeeba-Nateete-24h'!I48,'28.07 Ndeeba-Nateete'!I48)</f>
        <v>9.2857142857142865</v>
      </c>
      <c r="J48" s="49">
        <f>AVERAGE('22.07 Ndeeba-Nateete'!J48,'23.07 Ndeeba-Nateete'!J48,'24.07 Ndeeba-Nateete'!J48,'25.07 Ndeeba-Nateete'!J48,'26.07 Ndeeba-Nateete-24h'!J48,'27.07 Ndeeba-Nateete-24h'!J48,'28.07 Ndeeba-Nateete'!J48)</f>
        <v>6</v>
      </c>
      <c r="K48" s="49">
        <f>AVERAGE('22.07 Ndeeba-Nateete'!K48,'23.07 Ndeeba-Nateete'!K48,'24.07 Ndeeba-Nateete'!K48,'25.07 Ndeeba-Nateete'!K48,'26.07 Ndeeba-Nateete-24h'!K48,'27.07 Ndeeba-Nateete-24h'!K48,'28.07 Ndeeba-Nateete'!K48)</f>
        <v>2</v>
      </c>
      <c r="L48" s="49">
        <f>AVERAGE('22.07 Ndeeba-Nateete'!L48,'23.07 Ndeeba-Nateete'!L48,'24.07 Ndeeba-Nateete'!L48,'25.07 Ndeeba-Nateete'!L48,'26.07 Ndeeba-Nateete-24h'!L48,'27.07 Ndeeba-Nateete-24h'!L48,'28.07 Ndeeba-Nateete'!L48)</f>
        <v>0.42857142857142855</v>
      </c>
      <c r="M48" s="49">
        <f>AVERAGE('22.07 Ndeeba-Nateete'!M48,'23.07 Ndeeba-Nateete'!M48,'24.07 Ndeeba-Nateete'!M48,'25.07 Ndeeba-Nateete'!M48,'26.07 Ndeeba-Nateete-24h'!M48,'27.07 Ndeeba-Nateete-24h'!M48,'28.07 Ndeeba-Nateete'!M48)</f>
        <v>133.57142857142858</v>
      </c>
      <c r="N48" s="49">
        <f>AVERAGE('22.07 Ndeeba-Nateete'!N48,'23.07 Ndeeba-Nateete'!N48,'24.07 Ndeeba-Nateete'!N48,'25.07 Ndeeba-Nateete'!N48,'26.07 Ndeeba-Nateete-24h'!N48,'27.07 Ndeeba-Nateete-24h'!N48,'28.07 Ndeeba-Nateete'!N48)</f>
        <v>0</v>
      </c>
      <c r="O48" s="15">
        <f t="shared" si="0"/>
        <v>89.285714285714292</v>
      </c>
      <c r="P48" s="15">
        <f t="shared" si="1"/>
        <v>222.85714285714289</v>
      </c>
      <c r="R48" s="8"/>
      <c r="T48"/>
    </row>
    <row r="49" spans="2:20" ht="23.1" customHeight="1" x14ac:dyDescent="0.25">
      <c r="B49" s="23" t="s">
        <v>76</v>
      </c>
      <c r="C49" s="49">
        <f>AVERAGE('22.07 Ndeeba-Nateete'!C49,'23.07 Ndeeba-Nateete'!C49,'24.07 Ndeeba-Nateete'!C49,'25.07 Ndeeba-Nateete'!C49,'26.07 Ndeeba-Nateete-24h'!C49,'27.07 Ndeeba-Nateete-24h'!C49,'28.07 Ndeeba-Nateete'!C49)</f>
        <v>26.571428571428573</v>
      </c>
      <c r="D49" s="49">
        <f>AVERAGE('22.07 Ndeeba-Nateete'!D49,'23.07 Ndeeba-Nateete'!D49,'24.07 Ndeeba-Nateete'!D49,'25.07 Ndeeba-Nateete'!D49,'26.07 Ndeeba-Nateete-24h'!D49,'27.07 Ndeeba-Nateete-24h'!D49,'28.07 Ndeeba-Nateete'!D49)</f>
        <v>6.8571428571428568</v>
      </c>
      <c r="E49" s="49">
        <f>AVERAGE('22.07 Ndeeba-Nateete'!E49,'23.07 Ndeeba-Nateete'!E49,'24.07 Ndeeba-Nateete'!E49,'25.07 Ndeeba-Nateete'!E49,'26.07 Ndeeba-Nateete-24h'!E49,'27.07 Ndeeba-Nateete-24h'!E49,'28.07 Ndeeba-Nateete'!E49)</f>
        <v>3.5714285714285716</v>
      </c>
      <c r="F49" s="49">
        <f>AVERAGE('22.07 Ndeeba-Nateete'!F49,'23.07 Ndeeba-Nateete'!F49,'24.07 Ndeeba-Nateete'!F49,'25.07 Ndeeba-Nateete'!F49,'26.07 Ndeeba-Nateete-24h'!F49,'27.07 Ndeeba-Nateete-24h'!F49,'28.07 Ndeeba-Nateete'!F49)</f>
        <v>27.428571428571427</v>
      </c>
      <c r="G49" s="49">
        <f>AVERAGE('22.07 Ndeeba-Nateete'!G49,'23.07 Ndeeba-Nateete'!G49,'24.07 Ndeeba-Nateete'!G49,'25.07 Ndeeba-Nateete'!G49,'26.07 Ndeeba-Nateete-24h'!G49,'27.07 Ndeeba-Nateete-24h'!G49,'28.07 Ndeeba-Nateete'!G49)</f>
        <v>0.7142857142857143</v>
      </c>
      <c r="H49" s="49">
        <f>AVERAGE('22.07 Ndeeba-Nateete'!H49,'23.07 Ndeeba-Nateete'!H49,'24.07 Ndeeba-Nateete'!H49,'25.07 Ndeeba-Nateete'!H49,'26.07 Ndeeba-Nateete-24h'!H49,'27.07 Ndeeba-Nateete-24h'!H49,'28.07 Ndeeba-Nateete'!H49)</f>
        <v>0.5714285714285714</v>
      </c>
      <c r="I49" s="49">
        <f>AVERAGE('22.07 Ndeeba-Nateete'!I49,'23.07 Ndeeba-Nateete'!I49,'24.07 Ndeeba-Nateete'!I49,'25.07 Ndeeba-Nateete'!I49,'26.07 Ndeeba-Nateete-24h'!I49,'27.07 Ndeeba-Nateete-24h'!I49,'28.07 Ndeeba-Nateete'!I49)</f>
        <v>9.7142857142857135</v>
      </c>
      <c r="J49" s="49">
        <f>AVERAGE('22.07 Ndeeba-Nateete'!J49,'23.07 Ndeeba-Nateete'!J49,'24.07 Ndeeba-Nateete'!J49,'25.07 Ndeeba-Nateete'!J49,'26.07 Ndeeba-Nateete-24h'!J49,'27.07 Ndeeba-Nateete-24h'!J49,'28.07 Ndeeba-Nateete'!J49)</f>
        <v>6.5714285714285712</v>
      </c>
      <c r="K49" s="49">
        <f>AVERAGE('22.07 Ndeeba-Nateete'!K49,'23.07 Ndeeba-Nateete'!K49,'24.07 Ndeeba-Nateete'!K49,'25.07 Ndeeba-Nateete'!K49,'26.07 Ndeeba-Nateete-24h'!K49,'27.07 Ndeeba-Nateete-24h'!K49,'28.07 Ndeeba-Nateete'!K49)</f>
        <v>1.1428571428571428</v>
      </c>
      <c r="L49" s="49">
        <f>AVERAGE('22.07 Ndeeba-Nateete'!L49,'23.07 Ndeeba-Nateete'!L49,'24.07 Ndeeba-Nateete'!L49,'25.07 Ndeeba-Nateete'!L49,'26.07 Ndeeba-Nateete-24h'!L49,'27.07 Ndeeba-Nateete-24h'!L49,'28.07 Ndeeba-Nateete'!L49)</f>
        <v>0.42857142857142855</v>
      </c>
      <c r="M49" s="49">
        <f>AVERAGE('22.07 Ndeeba-Nateete'!M49,'23.07 Ndeeba-Nateete'!M49,'24.07 Ndeeba-Nateete'!M49,'25.07 Ndeeba-Nateete'!M49,'26.07 Ndeeba-Nateete-24h'!M49,'27.07 Ndeeba-Nateete-24h'!M49,'28.07 Ndeeba-Nateete'!M49)</f>
        <v>135</v>
      </c>
      <c r="N49" s="49">
        <f>AVERAGE('22.07 Ndeeba-Nateete'!N49,'23.07 Ndeeba-Nateete'!N49,'24.07 Ndeeba-Nateete'!N49,'25.07 Ndeeba-Nateete'!N49,'26.07 Ndeeba-Nateete-24h'!N49,'27.07 Ndeeba-Nateete-24h'!N49,'28.07 Ndeeba-Nateete'!N49)</f>
        <v>0</v>
      </c>
      <c r="O49" s="15">
        <f t="shared" si="0"/>
        <v>83.571428571428555</v>
      </c>
      <c r="P49" s="15">
        <f t="shared" si="1"/>
        <v>218.57142857142856</v>
      </c>
      <c r="R49" s="8"/>
      <c r="T49"/>
    </row>
    <row r="50" spans="2:20" ht="23.1" customHeight="1" x14ac:dyDescent="0.25">
      <c r="B50" s="24" t="s">
        <v>77</v>
      </c>
      <c r="C50" s="49">
        <f>AVERAGE('22.07 Ndeeba-Nateete'!C50,'23.07 Ndeeba-Nateete'!C50,'24.07 Ndeeba-Nateete'!C50,'25.07 Ndeeba-Nateete'!C50,'26.07 Ndeeba-Nateete-24h'!C50,'27.07 Ndeeba-Nateete-24h'!C50,'28.07 Ndeeba-Nateete'!C50)</f>
        <v>20.714285714285715</v>
      </c>
      <c r="D50" s="49">
        <f>AVERAGE('22.07 Ndeeba-Nateete'!D50,'23.07 Ndeeba-Nateete'!D50,'24.07 Ndeeba-Nateete'!D50,'25.07 Ndeeba-Nateete'!D50,'26.07 Ndeeba-Nateete-24h'!D50,'27.07 Ndeeba-Nateete-24h'!D50,'28.07 Ndeeba-Nateete'!D50)</f>
        <v>17.571428571428573</v>
      </c>
      <c r="E50" s="49">
        <f>AVERAGE('22.07 Ndeeba-Nateete'!E50,'23.07 Ndeeba-Nateete'!E50,'24.07 Ndeeba-Nateete'!E50,'25.07 Ndeeba-Nateete'!E50,'26.07 Ndeeba-Nateete-24h'!E50,'27.07 Ndeeba-Nateete-24h'!E50,'28.07 Ndeeba-Nateete'!E50)</f>
        <v>3.1428571428571428</v>
      </c>
      <c r="F50" s="49">
        <f>AVERAGE('22.07 Ndeeba-Nateete'!F50,'23.07 Ndeeba-Nateete'!F50,'24.07 Ndeeba-Nateete'!F50,'25.07 Ndeeba-Nateete'!F50,'26.07 Ndeeba-Nateete-24h'!F50,'27.07 Ndeeba-Nateete-24h'!F50,'28.07 Ndeeba-Nateete'!F50)</f>
        <v>20.285714285714285</v>
      </c>
      <c r="G50" s="49">
        <f>AVERAGE('22.07 Ndeeba-Nateete'!G50,'23.07 Ndeeba-Nateete'!G50,'24.07 Ndeeba-Nateete'!G50,'25.07 Ndeeba-Nateete'!G50,'26.07 Ndeeba-Nateete-24h'!G50,'27.07 Ndeeba-Nateete-24h'!G50,'28.07 Ndeeba-Nateete'!G50)</f>
        <v>0</v>
      </c>
      <c r="H50" s="49">
        <f>AVERAGE('22.07 Ndeeba-Nateete'!H50,'23.07 Ndeeba-Nateete'!H50,'24.07 Ndeeba-Nateete'!H50,'25.07 Ndeeba-Nateete'!H50,'26.07 Ndeeba-Nateete-24h'!H50,'27.07 Ndeeba-Nateete-24h'!H50,'28.07 Ndeeba-Nateete'!H50)</f>
        <v>1.5714285714285714</v>
      </c>
      <c r="I50" s="49">
        <f>AVERAGE('22.07 Ndeeba-Nateete'!I50,'23.07 Ndeeba-Nateete'!I50,'24.07 Ndeeba-Nateete'!I50,'25.07 Ndeeba-Nateete'!I50,'26.07 Ndeeba-Nateete-24h'!I50,'27.07 Ndeeba-Nateete-24h'!I50,'28.07 Ndeeba-Nateete'!I50)</f>
        <v>8.5714285714285712</v>
      </c>
      <c r="J50" s="49">
        <f>AVERAGE('22.07 Ndeeba-Nateete'!J50,'23.07 Ndeeba-Nateete'!J50,'24.07 Ndeeba-Nateete'!J50,'25.07 Ndeeba-Nateete'!J50,'26.07 Ndeeba-Nateete-24h'!J50,'27.07 Ndeeba-Nateete-24h'!J50,'28.07 Ndeeba-Nateete'!J50)</f>
        <v>4</v>
      </c>
      <c r="K50" s="49">
        <f>AVERAGE('22.07 Ndeeba-Nateete'!K50,'23.07 Ndeeba-Nateete'!K50,'24.07 Ndeeba-Nateete'!K50,'25.07 Ndeeba-Nateete'!K50,'26.07 Ndeeba-Nateete-24h'!K50,'27.07 Ndeeba-Nateete-24h'!K50,'28.07 Ndeeba-Nateete'!K50)</f>
        <v>1.1428571428571428</v>
      </c>
      <c r="L50" s="49">
        <f>AVERAGE('22.07 Ndeeba-Nateete'!L50,'23.07 Ndeeba-Nateete'!L50,'24.07 Ndeeba-Nateete'!L50,'25.07 Ndeeba-Nateete'!L50,'26.07 Ndeeba-Nateete-24h'!L50,'27.07 Ndeeba-Nateete-24h'!L50,'28.07 Ndeeba-Nateete'!L50)</f>
        <v>1</v>
      </c>
      <c r="M50" s="49">
        <f>AVERAGE('22.07 Ndeeba-Nateete'!M50,'23.07 Ndeeba-Nateete'!M50,'24.07 Ndeeba-Nateete'!M50,'25.07 Ndeeba-Nateete'!M50,'26.07 Ndeeba-Nateete-24h'!M50,'27.07 Ndeeba-Nateete-24h'!M50,'28.07 Ndeeba-Nateete'!M50)</f>
        <v>128.71428571428572</v>
      </c>
      <c r="N50" s="49">
        <f>AVERAGE('22.07 Ndeeba-Nateete'!N50,'23.07 Ndeeba-Nateete'!N50,'24.07 Ndeeba-Nateete'!N50,'25.07 Ndeeba-Nateete'!N50,'26.07 Ndeeba-Nateete-24h'!N50,'27.07 Ndeeba-Nateete-24h'!N50,'28.07 Ndeeba-Nateete'!N50)</f>
        <v>0</v>
      </c>
      <c r="O50" s="15">
        <f t="shared" si="0"/>
        <v>78</v>
      </c>
      <c r="P50" s="15">
        <f t="shared" si="1"/>
        <v>206.71428571428572</v>
      </c>
      <c r="R50" s="8"/>
      <c r="T50"/>
    </row>
    <row r="51" spans="2:20" ht="23.1" customHeight="1" x14ac:dyDescent="0.25">
      <c r="B51" s="24" t="s">
        <v>78</v>
      </c>
      <c r="C51" s="49">
        <f>AVERAGE('22.07 Ndeeba-Nateete'!C51,'23.07 Ndeeba-Nateete'!C51,'24.07 Ndeeba-Nateete'!C51,'25.07 Ndeeba-Nateete'!C51,'26.07 Ndeeba-Nateete-24h'!C51,'27.07 Ndeeba-Nateete-24h'!C51,'28.07 Ndeeba-Nateete'!C51)</f>
        <v>24.142857142857142</v>
      </c>
      <c r="D51" s="49">
        <f>AVERAGE('22.07 Ndeeba-Nateete'!D51,'23.07 Ndeeba-Nateete'!D51,'24.07 Ndeeba-Nateete'!D51,'25.07 Ndeeba-Nateete'!D51,'26.07 Ndeeba-Nateete-24h'!D51,'27.07 Ndeeba-Nateete-24h'!D51,'28.07 Ndeeba-Nateete'!D51)</f>
        <v>6.7142857142857144</v>
      </c>
      <c r="E51" s="49">
        <f>AVERAGE('22.07 Ndeeba-Nateete'!E51,'23.07 Ndeeba-Nateete'!E51,'24.07 Ndeeba-Nateete'!E51,'25.07 Ndeeba-Nateete'!E51,'26.07 Ndeeba-Nateete-24h'!E51,'27.07 Ndeeba-Nateete-24h'!E51,'28.07 Ndeeba-Nateete'!E51)</f>
        <v>6.4285714285714288</v>
      </c>
      <c r="F51" s="49">
        <f>AVERAGE('22.07 Ndeeba-Nateete'!F51,'23.07 Ndeeba-Nateete'!F51,'24.07 Ndeeba-Nateete'!F51,'25.07 Ndeeba-Nateete'!F51,'26.07 Ndeeba-Nateete-24h'!F51,'27.07 Ndeeba-Nateete-24h'!F51,'28.07 Ndeeba-Nateete'!F51)</f>
        <v>19.571428571428573</v>
      </c>
      <c r="G51" s="49">
        <f>AVERAGE('22.07 Ndeeba-Nateete'!G51,'23.07 Ndeeba-Nateete'!G51,'24.07 Ndeeba-Nateete'!G51,'25.07 Ndeeba-Nateete'!G51,'26.07 Ndeeba-Nateete-24h'!G51,'27.07 Ndeeba-Nateete-24h'!G51,'28.07 Ndeeba-Nateete'!G51)</f>
        <v>0.5714285714285714</v>
      </c>
      <c r="H51" s="49">
        <f>AVERAGE('22.07 Ndeeba-Nateete'!H51,'23.07 Ndeeba-Nateete'!H51,'24.07 Ndeeba-Nateete'!H51,'25.07 Ndeeba-Nateete'!H51,'26.07 Ndeeba-Nateete-24h'!H51,'27.07 Ndeeba-Nateete-24h'!H51,'28.07 Ndeeba-Nateete'!H51)</f>
        <v>0.7142857142857143</v>
      </c>
      <c r="I51" s="49">
        <f>AVERAGE('22.07 Ndeeba-Nateete'!I51,'23.07 Ndeeba-Nateete'!I51,'24.07 Ndeeba-Nateete'!I51,'25.07 Ndeeba-Nateete'!I51,'26.07 Ndeeba-Nateete-24h'!I51,'27.07 Ndeeba-Nateete-24h'!I51,'28.07 Ndeeba-Nateete'!I51)</f>
        <v>11.857142857142858</v>
      </c>
      <c r="J51" s="49">
        <f>AVERAGE('22.07 Ndeeba-Nateete'!J51,'23.07 Ndeeba-Nateete'!J51,'24.07 Ndeeba-Nateete'!J51,'25.07 Ndeeba-Nateete'!J51,'26.07 Ndeeba-Nateete-24h'!J51,'27.07 Ndeeba-Nateete-24h'!J51,'28.07 Ndeeba-Nateete'!J51)</f>
        <v>7.2857142857142856</v>
      </c>
      <c r="K51" s="49">
        <f>AVERAGE('22.07 Ndeeba-Nateete'!K51,'23.07 Ndeeba-Nateete'!K51,'24.07 Ndeeba-Nateete'!K51,'25.07 Ndeeba-Nateete'!K51,'26.07 Ndeeba-Nateete-24h'!K51,'27.07 Ndeeba-Nateete-24h'!K51,'28.07 Ndeeba-Nateete'!K51)</f>
        <v>1.8571428571428572</v>
      </c>
      <c r="L51" s="49">
        <f>AVERAGE('22.07 Ndeeba-Nateete'!L51,'23.07 Ndeeba-Nateete'!L51,'24.07 Ndeeba-Nateete'!L51,'25.07 Ndeeba-Nateete'!L51,'26.07 Ndeeba-Nateete-24h'!L51,'27.07 Ndeeba-Nateete-24h'!L51,'28.07 Ndeeba-Nateete'!L51)</f>
        <v>1</v>
      </c>
      <c r="M51" s="49">
        <f>AVERAGE('22.07 Ndeeba-Nateete'!M51,'23.07 Ndeeba-Nateete'!M51,'24.07 Ndeeba-Nateete'!M51,'25.07 Ndeeba-Nateete'!M51,'26.07 Ndeeba-Nateete-24h'!M51,'27.07 Ndeeba-Nateete-24h'!M51,'28.07 Ndeeba-Nateete'!M51)</f>
        <v>140.71428571428572</v>
      </c>
      <c r="N51" s="49">
        <f>AVERAGE('22.07 Ndeeba-Nateete'!N51,'23.07 Ndeeba-Nateete'!N51,'24.07 Ndeeba-Nateete'!N51,'25.07 Ndeeba-Nateete'!N51,'26.07 Ndeeba-Nateete-24h'!N51,'27.07 Ndeeba-Nateete-24h'!N51,'28.07 Ndeeba-Nateete'!N51)</f>
        <v>0</v>
      </c>
      <c r="O51" s="15">
        <f t="shared" si="0"/>
        <v>80.142857142857153</v>
      </c>
      <c r="P51" s="15">
        <f t="shared" si="1"/>
        <v>220.85714285714289</v>
      </c>
      <c r="R51" s="8"/>
      <c r="T51"/>
    </row>
    <row r="52" spans="2:20" ht="23.1" customHeight="1" x14ac:dyDescent="0.25">
      <c r="B52" s="24" t="s">
        <v>79</v>
      </c>
      <c r="C52" s="49">
        <f>AVERAGE('22.07 Ndeeba-Nateete'!C52,'23.07 Ndeeba-Nateete'!C52,'24.07 Ndeeba-Nateete'!C52,'25.07 Ndeeba-Nateete'!C52,'26.07 Ndeeba-Nateete-24h'!C52,'27.07 Ndeeba-Nateete-24h'!C52,'28.07 Ndeeba-Nateete'!C52)</f>
        <v>24.285714285714285</v>
      </c>
      <c r="D52" s="49">
        <f>AVERAGE('22.07 Ndeeba-Nateete'!D52,'23.07 Ndeeba-Nateete'!D52,'24.07 Ndeeba-Nateete'!D52,'25.07 Ndeeba-Nateete'!D52,'26.07 Ndeeba-Nateete-24h'!D52,'27.07 Ndeeba-Nateete-24h'!D52,'28.07 Ndeeba-Nateete'!D52)</f>
        <v>7.5714285714285712</v>
      </c>
      <c r="E52" s="49">
        <f>AVERAGE('22.07 Ndeeba-Nateete'!E52,'23.07 Ndeeba-Nateete'!E52,'24.07 Ndeeba-Nateete'!E52,'25.07 Ndeeba-Nateete'!E52,'26.07 Ndeeba-Nateete-24h'!E52,'27.07 Ndeeba-Nateete-24h'!E52,'28.07 Ndeeba-Nateete'!E52)</f>
        <v>4</v>
      </c>
      <c r="F52" s="49">
        <f>AVERAGE('22.07 Ndeeba-Nateete'!F52,'23.07 Ndeeba-Nateete'!F52,'24.07 Ndeeba-Nateete'!F52,'25.07 Ndeeba-Nateete'!F52,'26.07 Ndeeba-Nateete-24h'!F52,'27.07 Ndeeba-Nateete-24h'!F52,'28.07 Ndeeba-Nateete'!F52)</f>
        <v>25</v>
      </c>
      <c r="G52" s="49">
        <f>AVERAGE('22.07 Ndeeba-Nateete'!G52,'23.07 Ndeeba-Nateete'!G52,'24.07 Ndeeba-Nateete'!G52,'25.07 Ndeeba-Nateete'!G52,'26.07 Ndeeba-Nateete-24h'!G52,'27.07 Ndeeba-Nateete-24h'!G52,'28.07 Ndeeba-Nateete'!G52)</f>
        <v>0.7142857142857143</v>
      </c>
      <c r="H52" s="49">
        <f>AVERAGE('22.07 Ndeeba-Nateete'!H52,'23.07 Ndeeba-Nateete'!H52,'24.07 Ndeeba-Nateete'!H52,'25.07 Ndeeba-Nateete'!H52,'26.07 Ndeeba-Nateete-24h'!H52,'27.07 Ndeeba-Nateete-24h'!H52,'28.07 Ndeeba-Nateete'!H52)</f>
        <v>0.42857142857142855</v>
      </c>
      <c r="I52" s="49">
        <f>AVERAGE('22.07 Ndeeba-Nateete'!I52,'23.07 Ndeeba-Nateete'!I52,'24.07 Ndeeba-Nateete'!I52,'25.07 Ndeeba-Nateete'!I52,'26.07 Ndeeba-Nateete-24h'!I52,'27.07 Ndeeba-Nateete-24h'!I52,'28.07 Ndeeba-Nateete'!I52)</f>
        <v>8</v>
      </c>
      <c r="J52" s="49">
        <f>AVERAGE('22.07 Ndeeba-Nateete'!J52,'23.07 Ndeeba-Nateete'!J52,'24.07 Ndeeba-Nateete'!J52,'25.07 Ndeeba-Nateete'!J52,'26.07 Ndeeba-Nateete-24h'!J52,'27.07 Ndeeba-Nateete-24h'!J52,'28.07 Ndeeba-Nateete'!J52)</f>
        <v>7.4285714285714288</v>
      </c>
      <c r="K52" s="49">
        <f>AVERAGE('22.07 Ndeeba-Nateete'!K52,'23.07 Ndeeba-Nateete'!K52,'24.07 Ndeeba-Nateete'!K52,'25.07 Ndeeba-Nateete'!K52,'26.07 Ndeeba-Nateete-24h'!K52,'27.07 Ndeeba-Nateete-24h'!K52,'28.07 Ndeeba-Nateete'!K52)</f>
        <v>2.1428571428571428</v>
      </c>
      <c r="L52" s="49">
        <f>AVERAGE('22.07 Ndeeba-Nateete'!L52,'23.07 Ndeeba-Nateete'!L52,'24.07 Ndeeba-Nateete'!L52,'25.07 Ndeeba-Nateete'!L52,'26.07 Ndeeba-Nateete-24h'!L52,'27.07 Ndeeba-Nateete-24h'!L52,'28.07 Ndeeba-Nateete'!L52)</f>
        <v>0.5714285714285714</v>
      </c>
      <c r="M52" s="49">
        <f>AVERAGE('22.07 Ndeeba-Nateete'!M52,'23.07 Ndeeba-Nateete'!M52,'24.07 Ndeeba-Nateete'!M52,'25.07 Ndeeba-Nateete'!M52,'26.07 Ndeeba-Nateete-24h'!M52,'27.07 Ndeeba-Nateete-24h'!M52,'28.07 Ndeeba-Nateete'!M52)</f>
        <v>156.71428571428572</v>
      </c>
      <c r="N52" s="49">
        <f>AVERAGE('22.07 Ndeeba-Nateete'!N52,'23.07 Ndeeba-Nateete'!N52,'24.07 Ndeeba-Nateete'!N52,'25.07 Ndeeba-Nateete'!N52,'26.07 Ndeeba-Nateete-24h'!N52,'27.07 Ndeeba-Nateete-24h'!N52,'28.07 Ndeeba-Nateete'!N52)</f>
        <v>0</v>
      </c>
      <c r="O52" s="15">
        <f t="shared" si="0"/>
        <v>80.142857142857139</v>
      </c>
      <c r="P52" s="15">
        <f t="shared" si="1"/>
        <v>236.85714285714286</v>
      </c>
      <c r="R52" s="8"/>
      <c r="T52"/>
    </row>
    <row r="53" spans="2:20" ht="23.1" customHeight="1" x14ac:dyDescent="0.25">
      <c r="B53" s="23" t="s">
        <v>80</v>
      </c>
      <c r="C53" s="49">
        <f>AVERAGE('22.07 Ndeeba-Nateete'!C53,'23.07 Ndeeba-Nateete'!C53,'24.07 Ndeeba-Nateete'!C53,'25.07 Ndeeba-Nateete'!C53,'26.07 Ndeeba-Nateete-24h'!C53,'27.07 Ndeeba-Nateete-24h'!C53,'28.07 Ndeeba-Nateete'!C53)</f>
        <v>26</v>
      </c>
      <c r="D53" s="49">
        <f>AVERAGE('22.07 Ndeeba-Nateete'!D53,'23.07 Ndeeba-Nateete'!D53,'24.07 Ndeeba-Nateete'!D53,'25.07 Ndeeba-Nateete'!D53,'26.07 Ndeeba-Nateete-24h'!D53,'27.07 Ndeeba-Nateete-24h'!D53,'28.07 Ndeeba-Nateete'!D53)</f>
        <v>8.2857142857142865</v>
      </c>
      <c r="E53" s="49">
        <f>AVERAGE('22.07 Ndeeba-Nateete'!E53,'23.07 Ndeeba-Nateete'!E53,'24.07 Ndeeba-Nateete'!E53,'25.07 Ndeeba-Nateete'!E53,'26.07 Ndeeba-Nateete-24h'!E53,'27.07 Ndeeba-Nateete-24h'!E53,'28.07 Ndeeba-Nateete'!E53)</f>
        <v>4.4285714285714288</v>
      </c>
      <c r="F53" s="49">
        <f>AVERAGE('22.07 Ndeeba-Nateete'!F53,'23.07 Ndeeba-Nateete'!F53,'24.07 Ndeeba-Nateete'!F53,'25.07 Ndeeba-Nateete'!F53,'26.07 Ndeeba-Nateete-24h'!F53,'27.07 Ndeeba-Nateete-24h'!F53,'28.07 Ndeeba-Nateete'!F53)</f>
        <v>36.714285714285715</v>
      </c>
      <c r="G53" s="49">
        <f>AVERAGE('22.07 Ndeeba-Nateete'!G53,'23.07 Ndeeba-Nateete'!G53,'24.07 Ndeeba-Nateete'!G53,'25.07 Ndeeba-Nateete'!G53,'26.07 Ndeeba-Nateete-24h'!G53,'27.07 Ndeeba-Nateete-24h'!G53,'28.07 Ndeeba-Nateete'!G53)</f>
        <v>0.5714285714285714</v>
      </c>
      <c r="H53" s="49">
        <f>AVERAGE('22.07 Ndeeba-Nateete'!H53,'23.07 Ndeeba-Nateete'!H53,'24.07 Ndeeba-Nateete'!H53,'25.07 Ndeeba-Nateete'!H53,'26.07 Ndeeba-Nateete-24h'!H53,'27.07 Ndeeba-Nateete-24h'!H53,'28.07 Ndeeba-Nateete'!H53)</f>
        <v>0.2857142857142857</v>
      </c>
      <c r="I53" s="49">
        <f>AVERAGE('22.07 Ndeeba-Nateete'!I53,'23.07 Ndeeba-Nateete'!I53,'24.07 Ndeeba-Nateete'!I53,'25.07 Ndeeba-Nateete'!I53,'26.07 Ndeeba-Nateete-24h'!I53,'27.07 Ndeeba-Nateete-24h'!I53,'28.07 Ndeeba-Nateete'!I53)</f>
        <v>14.571428571428571</v>
      </c>
      <c r="J53" s="49">
        <f>AVERAGE('22.07 Ndeeba-Nateete'!J53,'23.07 Ndeeba-Nateete'!J53,'24.07 Ndeeba-Nateete'!J53,'25.07 Ndeeba-Nateete'!J53,'26.07 Ndeeba-Nateete-24h'!J53,'27.07 Ndeeba-Nateete-24h'!J53,'28.07 Ndeeba-Nateete'!J53)</f>
        <v>7.2857142857142856</v>
      </c>
      <c r="K53" s="49">
        <f>AVERAGE('22.07 Ndeeba-Nateete'!K53,'23.07 Ndeeba-Nateete'!K53,'24.07 Ndeeba-Nateete'!K53,'25.07 Ndeeba-Nateete'!K53,'26.07 Ndeeba-Nateete-24h'!K53,'27.07 Ndeeba-Nateete-24h'!K53,'28.07 Ndeeba-Nateete'!K53)</f>
        <v>1.7142857142857142</v>
      </c>
      <c r="L53" s="49">
        <f>AVERAGE('22.07 Ndeeba-Nateete'!L53,'23.07 Ndeeba-Nateete'!L53,'24.07 Ndeeba-Nateete'!L53,'25.07 Ndeeba-Nateete'!L53,'26.07 Ndeeba-Nateete-24h'!L53,'27.07 Ndeeba-Nateete-24h'!L53,'28.07 Ndeeba-Nateete'!L53)</f>
        <v>1</v>
      </c>
      <c r="M53" s="49">
        <f>AVERAGE('22.07 Ndeeba-Nateete'!M53,'23.07 Ndeeba-Nateete'!M53,'24.07 Ndeeba-Nateete'!M53,'25.07 Ndeeba-Nateete'!M53,'26.07 Ndeeba-Nateete-24h'!M53,'27.07 Ndeeba-Nateete-24h'!M53,'28.07 Ndeeba-Nateete'!M53)</f>
        <v>175.85714285714286</v>
      </c>
      <c r="N53" s="49">
        <f>AVERAGE('22.07 Ndeeba-Nateete'!N53,'23.07 Ndeeba-Nateete'!N53,'24.07 Ndeeba-Nateete'!N53,'25.07 Ndeeba-Nateete'!N53,'26.07 Ndeeba-Nateete-24h'!N53,'27.07 Ndeeba-Nateete-24h'!N53,'28.07 Ndeeba-Nateete'!N53)</f>
        <v>0</v>
      </c>
      <c r="O53" s="15">
        <f t="shared" si="0"/>
        <v>100.85714285714286</v>
      </c>
      <c r="P53" s="15">
        <f t="shared" si="1"/>
        <v>276.71428571428572</v>
      </c>
      <c r="R53" s="8"/>
      <c r="T53"/>
    </row>
    <row r="54" spans="2:20" ht="23.1" customHeight="1" x14ac:dyDescent="0.25">
      <c r="B54" s="23" t="s">
        <v>81</v>
      </c>
      <c r="C54" s="49">
        <f>AVERAGE('22.07 Ndeeba-Nateete'!C54,'23.07 Ndeeba-Nateete'!C54,'24.07 Ndeeba-Nateete'!C54,'25.07 Ndeeba-Nateete'!C54,'26.07 Ndeeba-Nateete-24h'!C54,'27.07 Ndeeba-Nateete-24h'!C54,'28.07 Ndeeba-Nateete'!C54)</f>
        <v>27.714285714285715</v>
      </c>
      <c r="D54" s="49">
        <f>AVERAGE('22.07 Ndeeba-Nateete'!D54,'23.07 Ndeeba-Nateete'!D54,'24.07 Ndeeba-Nateete'!D54,'25.07 Ndeeba-Nateete'!D54,'26.07 Ndeeba-Nateete-24h'!D54,'27.07 Ndeeba-Nateete-24h'!D54,'28.07 Ndeeba-Nateete'!D54)</f>
        <v>11</v>
      </c>
      <c r="E54" s="49">
        <f>AVERAGE('22.07 Ndeeba-Nateete'!E54,'23.07 Ndeeba-Nateete'!E54,'24.07 Ndeeba-Nateete'!E54,'25.07 Ndeeba-Nateete'!E54,'26.07 Ndeeba-Nateete-24h'!E54,'27.07 Ndeeba-Nateete-24h'!E54,'28.07 Ndeeba-Nateete'!E54)</f>
        <v>3.1428571428571428</v>
      </c>
      <c r="F54" s="49">
        <f>AVERAGE('22.07 Ndeeba-Nateete'!F54,'23.07 Ndeeba-Nateete'!F54,'24.07 Ndeeba-Nateete'!F54,'25.07 Ndeeba-Nateete'!F54,'26.07 Ndeeba-Nateete-24h'!F54,'27.07 Ndeeba-Nateete-24h'!F54,'28.07 Ndeeba-Nateete'!F54)</f>
        <v>24.285714285714285</v>
      </c>
      <c r="G54" s="49">
        <f>AVERAGE('22.07 Ndeeba-Nateete'!G54,'23.07 Ndeeba-Nateete'!G54,'24.07 Ndeeba-Nateete'!G54,'25.07 Ndeeba-Nateete'!G54,'26.07 Ndeeba-Nateete-24h'!G54,'27.07 Ndeeba-Nateete-24h'!G54,'28.07 Ndeeba-Nateete'!G54)</f>
        <v>0.42857142857142855</v>
      </c>
      <c r="H54" s="49">
        <f>AVERAGE('22.07 Ndeeba-Nateete'!H54,'23.07 Ndeeba-Nateete'!H54,'24.07 Ndeeba-Nateete'!H54,'25.07 Ndeeba-Nateete'!H54,'26.07 Ndeeba-Nateete-24h'!H54,'27.07 Ndeeba-Nateete-24h'!H54,'28.07 Ndeeba-Nateete'!H54)</f>
        <v>0.5714285714285714</v>
      </c>
      <c r="I54" s="49">
        <f>AVERAGE('22.07 Ndeeba-Nateete'!I54,'23.07 Ndeeba-Nateete'!I54,'24.07 Ndeeba-Nateete'!I54,'25.07 Ndeeba-Nateete'!I54,'26.07 Ndeeba-Nateete-24h'!I54,'27.07 Ndeeba-Nateete-24h'!I54,'28.07 Ndeeba-Nateete'!I54)</f>
        <v>10.285714285714286</v>
      </c>
      <c r="J54" s="49">
        <f>AVERAGE('22.07 Ndeeba-Nateete'!J54,'23.07 Ndeeba-Nateete'!J54,'24.07 Ndeeba-Nateete'!J54,'25.07 Ndeeba-Nateete'!J54,'26.07 Ndeeba-Nateete-24h'!J54,'27.07 Ndeeba-Nateete-24h'!J54,'28.07 Ndeeba-Nateete'!J54)</f>
        <v>6.8571428571428568</v>
      </c>
      <c r="K54" s="49">
        <f>AVERAGE('22.07 Ndeeba-Nateete'!K54,'23.07 Ndeeba-Nateete'!K54,'24.07 Ndeeba-Nateete'!K54,'25.07 Ndeeba-Nateete'!K54,'26.07 Ndeeba-Nateete-24h'!K54,'27.07 Ndeeba-Nateete-24h'!K54,'28.07 Ndeeba-Nateete'!K54)</f>
        <v>1.4285714285714286</v>
      </c>
      <c r="L54" s="49">
        <f>AVERAGE('22.07 Ndeeba-Nateete'!L54,'23.07 Ndeeba-Nateete'!L54,'24.07 Ndeeba-Nateete'!L54,'25.07 Ndeeba-Nateete'!L54,'26.07 Ndeeba-Nateete-24h'!L54,'27.07 Ndeeba-Nateete-24h'!L54,'28.07 Ndeeba-Nateete'!L54)</f>
        <v>0.2857142857142857</v>
      </c>
      <c r="M54" s="49">
        <f>AVERAGE('22.07 Ndeeba-Nateete'!M54,'23.07 Ndeeba-Nateete'!M54,'24.07 Ndeeba-Nateete'!M54,'25.07 Ndeeba-Nateete'!M54,'26.07 Ndeeba-Nateete-24h'!M54,'27.07 Ndeeba-Nateete-24h'!M54,'28.07 Ndeeba-Nateete'!M54)</f>
        <v>142.28571428571428</v>
      </c>
      <c r="N54" s="49">
        <f>AVERAGE('22.07 Ndeeba-Nateete'!N54,'23.07 Ndeeba-Nateete'!N54,'24.07 Ndeeba-Nateete'!N54,'25.07 Ndeeba-Nateete'!N54,'26.07 Ndeeba-Nateete-24h'!N54,'27.07 Ndeeba-Nateete-24h'!N54,'28.07 Ndeeba-Nateete'!N54)</f>
        <v>0</v>
      </c>
      <c r="O54" s="15">
        <f t="shared" si="0"/>
        <v>86.000000000000014</v>
      </c>
      <c r="P54" s="15">
        <f t="shared" si="1"/>
        <v>228.28571428571428</v>
      </c>
      <c r="R54" s="8"/>
      <c r="T54"/>
    </row>
    <row r="55" spans="2:20" ht="23.1" customHeight="1" x14ac:dyDescent="0.25">
      <c r="B55" s="23" t="s">
        <v>82</v>
      </c>
      <c r="C55" s="49">
        <f>AVERAGE('22.07 Ndeeba-Nateete'!C55,'23.07 Ndeeba-Nateete'!C55,'24.07 Ndeeba-Nateete'!C55,'25.07 Ndeeba-Nateete'!C55,'26.07 Ndeeba-Nateete-24h'!C55,'27.07 Ndeeba-Nateete-24h'!C55,'28.07 Ndeeba-Nateete'!C55)</f>
        <v>29.285714285714285</v>
      </c>
      <c r="D55" s="49">
        <f>AVERAGE('22.07 Ndeeba-Nateete'!D55,'23.07 Ndeeba-Nateete'!D55,'24.07 Ndeeba-Nateete'!D55,'25.07 Ndeeba-Nateete'!D55,'26.07 Ndeeba-Nateete-24h'!D55,'27.07 Ndeeba-Nateete-24h'!D55,'28.07 Ndeeba-Nateete'!D55)</f>
        <v>8.4285714285714288</v>
      </c>
      <c r="E55" s="49">
        <f>AVERAGE('22.07 Ndeeba-Nateete'!E55,'23.07 Ndeeba-Nateete'!E55,'24.07 Ndeeba-Nateete'!E55,'25.07 Ndeeba-Nateete'!E55,'26.07 Ndeeba-Nateete-24h'!E55,'27.07 Ndeeba-Nateete-24h'!E55,'28.07 Ndeeba-Nateete'!E55)</f>
        <v>3.1428571428571428</v>
      </c>
      <c r="F55" s="49">
        <f>AVERAGE('22.07 Ndeeba-Nateete'!F55,'23.07 Ndeeba-Nateete'!F55,'24.07 Ndeeba-Nateete'!F55,'25.07 Ndeeba-Nateete'!F55,'26.07 Ndeeba-Nateete-24h'!F55,'27.07 Ndeeba-Nateete-24h'!F55,'28.07 Ndeeba-Nateete'!F55)</f>
        <v>91.285714285714292</v>
      </c>
      <c r="G55" s="49">
        <f>AVERAGE('22.07 Ndeeba-Nateete'!G55,'23.07 Ndeeba-Nateete'!G55,'24.07 Ndeeba-Nateete'!G55,'25.07 Ndeeba-Nateete'!G55,'26.07 Ndeeba-Nateete-24h'!G55,'27.07 Ndeeba-Nateete-24h'!G55,'28.07 Ndeeba-Nateete'!G55)</f>
        <v>0</v>
      </c>
      <c r="H55" s="49">
        <f>AVERAGE('22.07 Ndeeba-Nateete'!H55,'23.07 Ndeeba-Nateete'!H55,'24.07 Ndeeba-Nateete'!H55,'25.07 Ndeeba-Nateete'!H55,'26.07 Ndeeba-Nateete-24h'!H55,'27.07 Ndeeba-Nateete-24h'!H55,'28.07 Ndeeba-Nateete'!H55)</f>
        <v>0</v>
      </c>
      <c r="I55" s="49">
        <f>AVERAGE('22.07 Ndeeba-Nateete'!I55,'23.07 Ndeeba-Nateete'!I55,'24.07 Ndeeba-Nateete'!I55,'25.07 Ndeeba-Nateete'!I55,'26.07 Ndeeba-Nateete-24h'!I55,'27.07 Ndeeba-Nateete-24h'!I55,'28.07 Ndeeba-Nateete'!I55)</f>
        <v>13.714285714285714</v>
      </c>
      <c r="J55" s="49">
        <f>AVERAGE('22.07 Ndeeba-Nateete'!J55,'23.07 Ndeeba-Nateete'!J55,'24.07 Ndeeba-Nateete'!J55,'25.07 Ndeeba-Nateete'!J55,'26.07 Ndeeba-Nateete-24h'!J55,'27.07 Ndeeba-Nateete-24h'!J55,'28.07 Ndeeba-Nateete'!J55)</f>
        <v>10.285714285714286</v>
      </c>
      <c r="K55" s="49">
        <f>AVERAGE('22.07 Ndeeba-Nateete'!K55,'23.07 Ndeeba-Nateete'!K55,'24.07 Ndeeba-Nateete'!K55,'25.07 Ndeeba-Nateete'!K55,'26.07 Ndeeba-Nateete-24h'!K55,'27.07 Ndeeba-Nateete-24h'!K55,'28.07 Ndeeba-Nateete'!K55)</f>
        <v>1</v>
      </c>
      <c r="L55" s="49">
        <f>AVERAGE('22.07 Ndeeba-Nateete'!L55,'23.07 Ndeeba-Nateete'!L55,'24.07 Ndeeba-Nateete'!L55,'25.07 Ndeeba-Nateete'!L55,'26.07 Ndeeba-Nateete-24h'!L55,'27.07 Ndeeba-Nateete-24h'!L55,'28.07 Ndeeba-Nateete'!L55)</f>
        <v>0.8571428571428571</v>
      </c>
      <c r="M55" s="49">
        <f>AVERAGE('22.07 Ndeeba-Nateete'!M55,'23.07 Ndeeba-Nateete'!M55,'24.07 Ndeeba-Nateete'!M55,'25.07 Ndeeba-Nateete'!M55,'26.07 Ndeeba-Nateete-24h'!M55,'27.07 Ndeeba-Nateete-24h'!M55,'28.07 Ndeeba-Nateete'!M55)</f>
        <v>134</v>
      </c>
      <c r="N55" s="49">
        <f>AVERAGE('22.07 Ndeeba-Nateete'!N55,'23.07 Ndeeba-Nateete'!N55,'24.07 Ndeeba-Nateete'!N55,'25.07 Ndeeba-Nateete'!N55,'26.07 Ndeeba-Nateete-24h'!N55,'27.07 Ndeeba-Nateete-24h'!N55,'28.07 Ndeeba-Nateete'!N55)</f>
        <v>0</v>
      </c>
      <c r="O55" s="15">
        <f t="shared" si="0"/>
        <v>158.00000000000003</v>
      </c>
      <c r="P55" s="15">
        <f t="shared" si="1"/>
        <v>292</v>
      </c>
      <c r="R55" s="8"/>
      <c r="T55"/>
    </row>
    <row r="56" spans="2:20" ht="23.1" customHeight="1" x14ac:dyDescent="0.25">
      <c r="B56" s="23" t="s">
        <v>83</v>
      </c>
      <c r="C56" s="49">
        <f>AVERAGE('22.07 Ndeeba-Nateete'!C56,'23.07 Ndeeba-Nateete'!C56,'24.07 Ndeeba-Nateete'!C56,'25.07 Ndeeba-Nateete'!C56,'26.07 Ndeeba-Nateete-24h'!C56,'27.07 Ndeeba-Nateete-24h'!C56,'28.07 Ndeeba-Nateete'!C56)</f>
        <v>32</v>
      </c>
      <c r="D56" s="49">
        <f>AVERAGE('22.07 Ndeeba-Nateete'!D56,'23.07 Ndeeba-Nateete'!D56,'24.07 Ndeeba-Nateete'!D56,'25.07 Ndeeba-Nateete'!D56,'26.07 Ndeeba-Nateete-24h'!D56,'27.07 Ndeeba-Nateete-24h'!D56,'28.07 Ndeeba-Nateete'!D56)</f>
        <v>8.2857142857142865</v>
      </c>
      <c r="E56" s="49">
        <f>AVERAGE('22.07 Ndeeba-Nateete'!E56,'23.07 Ndeeba-Nateete'!E56,'24.07 Ndeeba-Nateete'!E56,'25.07 Ndeeba-Nateete'!E56,'26.07 Ndeeba-Nateete-24h'!E56,'27.07 Ndeeba-Nateete-24h'!E56,'28.07 Ndeeba-Nateete'!E56)</f>
        <v>2.8571428571428572</v>
      </c>
      <c r="F56" s="49">
        <f>AVERAGE('22.07 Ndeeba-Nateete'!F56,'23.07 Ndeeba-Nateete'!F56,'24.07 Ndeeba-Nateete'!F56,'25.07 Ndeeba-Nateete'!F56,'26.07 Ndeeba-Nateete-24h'!F56,'27.07 Ndeeba-Nateete-24h'!F56,'28.07 Ndeeba-Nateete'!F56)</f>
        <v>24.142857142857142</v>
      </c>
      <c r="G56" s="49">
        <f>AVERAGE('22.07 Ndeeba-Nateete'!G56,'23.07 Ndeeba-Nateete'!G56,'24.07 Ndeeba-Nateete'!G56,'25.07 Ndeeba-Nateete'!G56,'26.07 Ndeeba-Nateete-24h'!G56,'27.07 Ndeeba-Nateete-24h'!G56,'28.07 Ndeeba-Nateete'!G56)</f>
        <v>1</v>
      </c>
      <c r="H56" s="49">
        <f>AVERAGE('22.07 Ndeeba-Nateete'!H56,'23.07 Ndeeba-Nateete'!H56,'24.07 Ndeeba-Nateete'!H56,'25.07 Ndeeba-Nateete'!H56,'26.07 Ndeeba-Nateete-24h'!H56,'27.07 Ndeeba-Nateete-24h'!H56,'28.07 Ndeeba-Nateete'!H56)</f>
        <v>0.42857142857142855</v>
      </c>
      <c r="I56" s="49">
        <f>AVERAGE('22.07 Ndeeba-Nateete'!I56,'23.07 Ndeeba-Nateete'!I56,'24.07 Ndeeba-Nateete'!I56,'25.07 Ndeeba-Nateete'!I56,'26.07 Ndeeba-Nateete-24h'!I56,'27.07 Ndeeba-Nateete-24h'!I56,'28.07 Ndeeba-Nateete'!I56)</f>
        <v>13.142857142857142</v>
      </c>
      <c r="J56" s="49">
        <f>AVERAGE('22.07 Ndeeba-Nateete'!J56,'23.07 Ndeeba-Nateete'!J56,'24.07 Ndeeba-Nateete'!J56,'25.07 Ndeeba-Nateete'!J56,'26.07 Ndeeba-Nateete-24h'!J56,'27.07 Ndeeba-Nateete-24h'!J56,'28.07 Ndeeba-Nateete'!J56)</f>
        <v>9.7142857142857135</v>
      </c>
      <c r="K56" s="49">
        <f>AVERAGE('22.07 Ndeeba-Nateete'!K56,'23.07 Ndeeba-Nateete'!K56,'24.07 Ndeeba-Nateete'!K56,'25.07 Ndeeba-Nateete'!K56,'26.07 Ndeeba-Nateete-24h'!K56,'27.07 Ndeeba-Nateete-24h'!K56,'28.07 Ndeeba-Nateete'!K56)</f>
        <v>0.2857142857142857</v>
      </c>
      <c r="L56" s="49">
        <f>AVERAGE('22.07 Ndeeba-Nateete'!L56,'23.07 Ndeeba-Nateete'!L56,'24.07 Ndeeba-Nateete'!L56,'25.07 Ndeeba-Nateete'!L56,'26.07 Ndeeba-Nateete-24h'!L56,'27.07 Ndeeba-Nateete-24h'!L56,'28.07 Ndeeba-Nateete'!L56)</f>
        <v>0.42857142857142855</v>
      </c>
      <c r="M56" s="49">
        <f>AVERAGE('22.07 Ndeeba-Nateete'!M56,'23.07 Ndeeba-Nateete'!M56,'24.07 Ndeeba-Nateete'!M56,'25.07 Ndeeba-Nateete'!M56,'26.07 Ndeeba-Nateete-24h'!M56,'27.07 Ndeeba-Nateete-24h'!M56,'28.07 Ndeeba-Nateete'!M56)</f>
        <v>148.28571428571428</v>
      </c>
      <c r="N56" s="49">
        <f>AVERAGE('22.07 Ndeeba-Nateete'!N56,'23.07 Ndeeba-Nateete'!N56,'24.07 Ndeeba-Nateete'!N56,'25.07 Ndeeba-Nateete'!N56,'26.07 Ndeeba-Nateete-24h'!N56,'27.07 Ndeeba-Nateete-24h'!N56,'28.07 Ndeeba-Nateete'!N56)</f>
        <v>0</v>
      </c>
      <c r="O56" s="15">
        <f t="shared" si="0"/>
        <v>92.285714285714278</v>
      </c>
      <c r="P56" s="15">
        <f t="shared" si="1"/>
        <v>240.57142857142856</v>
      </c>
      <c r="R56" s="8"/>
      <c r="T56"/>
    </row>
    <row r="57" spans="2:20" ht="23.1" customHeight="1" x14ac:dyDescent="0.25">
      <c r="B57" s="23" t="s">
        <v>84</v>
      </c>
      <c r="C57" s="49">
        <f>AVERAGE('22.07 Ndeeba-Nateete'!C57,'23.07 Ndeeba-Nateete'!C57,'24.07 Ndeeba-Nateete'!C57,'25.07 Ndeeba-Nateete'!C57,'26.07 Ndeeba-Nateete-24h'!C57,'27.07 Ndeeba-Nateete-24h'!C57,'28.07 Ndeeba-Nateete'!C57)</f>
        <v>17.142857142857142</v>
      </c>
      <c r="D57" s="49">
        <f>AVERAGE('22.07 Ndeeba-Nateete'!D57,'23.07 Ndeeba-Nateete'!D57,'24.07 Ndeeba-Nateete'!D57,'25.07 Ndeeba-Nateete'!D57,'26.07 Ndeeba-Nateete-24h'!D57,'27.07 Ndeeba-Nateete-24h'!D57,'28.07 Ndeeba-Nateete'!D57)</f>
        <v>14.714285714285714</v>
      </c>
      <c r="E57" s="49">
        <f>AVERAGE('22.07 Ndeeba-Nateete'!E57,'23.07 Ndeeba-Nateete'!E57,'24.07 Ndeeba-Nateete'!E57,'25.07 Ndeeba-Nateete'!E57,'26.07 Ndeeba-Nateete-24h'!E57,'27.07 Ndeeba-Nateete-24h'!E57,'28.07 Ndeeba-Nateete'!E57)</f>
        <v>4.5714285714285712</v>
      </c>
      <c r="F57" s="49">
        <f>AVERAGE('22.07 Ndeeba-Nateete'!F57,'23.07 Ndeeba-Nateete'!F57,'24.07 Ndeeba-Nateete'!F57,'25.07 Ndeeba-Nateete'!F57,'26.07 Ndeeba-Nateete-24h'!F57,'27.07 Ndeeba-Nateete-24h'!F57,'28.07 Ndeeba-Nateete'!F57)</f>
        <v>21.571428571428573</v>
      </c>
      <c r="G57" s="49">
        <f>AVERAGE('22.07 Ndeeba-Nateete'!G57,'23.07 Ndeeba-Nateete'!G57,'24.07 Ndeeba-Nateete'!G57,'25.07 Ndeeba-Nateete'!G57,'26.07 Ndeeba-Nateete-24h'!G57,'27.07 Ndeeba-Nateete-24h'!G57,'28.07 Ndeeba-Nateete'!G57)</f>
        <v>5.4285714285714288</v>
      </c>
      <c r="H57" s="49">
        <f>AVERAGE('22.07 Ndeeba-Nateete'!H57,'23.07 Ndeeba-Nateete'!H57,'24.07 Ndeeba-Nateete'!H57,'25.07 Ndeeba-Nateete'!H57,'26.07 Ndeeba-Nateete-24h'!H57,'27.07 Ndeeba-Nateete-24h'!H57,'28.07 Ndeeba-Nateete'!H57)</f>
        <v>0.14285714285714285</v>
      </c>
      <c r="I57" s="49">
        <f>AVERAGE('22.07 Ndeeba-Nateete'!I57,'23.07 Ndeeba-Nateete'!I57,'24.07 Ndeeba-Nateete'!I57,'25.07 Ndeeba-Nateete'!I57,'26.07 Ndeeba-Nateete-24h'!I57,'27.07 Ndeeba-Nateete-24h'!I57,'28.07 Ndeeba-Nateete'!I57)</f>
        <v>12.428571428571429</v>
      </c>
      <c r="J57" s="49">
        <f>AVERAGE('22.07 Ndeeba-Nateete'!J57,'23.07 Ndeeba-Nateete'!J57,'24.07 Ndeeba-Nateete'!J57,'25.07 Ndeeba-Nateete'!J57,'26.07 Ndeeba-Nateete-24h'!J57,'27.07 Ndeeba-Nateete-24h'!J57,'28.07 Ndeeba-Nateete'!J57)</f>
        <v>7.1428571428571432</v>
      </c>
      <c r="K57" s="49">
        <f>AVERAGE('22.07 Ndeeba-Nateete'!K57,'23.07 Ndeeba-Nateete'!K57,'24.07 Ndeeba-Nateete'!K57,'25.07 Ndeeba-Nateete'!K57,'26.07 Ndeeba-Nateete-24h'!K57,'27.07 Ndeeba-Nateete-24h'!K57,'28.07 Ndeeba-Nateete'!K57)</f>
        <v>1.4285714285714286</v>
      </c>
      <c r="L57" s="49">
        <f>AVERAGE('22.07 Ndeeba-Nateete'!L57,'23.07 Ndeeba-Nateete'!L57,'24.07 Ndeeba-Nateete'!L57,'25.07 Ndeeba-Nateete'!L57,'26.07 Ndeeba-Nateete-24h'!L57,'27.07 Ndeeba-Nateete-24h'!L57,'28.07 Ndeeba-Nateete'!L57)</f>
        <v>1</v>
      </c>
      <c r="M57" s="49">
        <f>AVERAGE('22.07 Ndeeba-Nateete'!M57,'23.07 Ndeeba-Nateete'!M57,'24.07 Ndeeba-Nateete'!M57,'25.07 Ndeeba-Nateete'!M57,'26.07 Ndeeba-Nateete-24h'!M57,'27.07 Ndeeba-Nateete-24h'!M57,'28.07 Ndeeba-Nateete'!M57)</f>
        <v>125</v>
      </c>
      <c r="N57" s="49">
        <f>AVERAGE('22.07 Ndeeba-Nateete'!N57,'23.07 Ndeeba-Nateete'!N57,'24.07 Ndeeba-Nateete'!N57,'25.07 Ndeeba-Nateete'!N57,'26.07 Ndeeba-Nateete-24h'!N57,'27.07 Ndeeba-Nateete-24h'!N57,'28.07 Ndeeba-Nateete'!N57)</f>
        <v>0</v>
      </c>
      <c r="O57" s="15">
        <f t="shared" si="0"/>
        <v>85.571428571428569</v>
      </c>
      <c r="P57" s="15">
        <f>SUM(C57:N57)</f>
        <v>210.57142857142856</v>
      </c>
      <c r="R57" s="8"/>
      <c r="T57"/>
    </row>
    <row r="58" spans="2:20" ht="23.1" customHeight="1" x14ac:dyDescent="0.25">
      <c r="B58" s="23" t="s">
        <v>99</v>
      </c>
      <c r="C58" s="49">
        <f>AVERAGE('26.07 Ndeeba-Nateete-24h'!C58,'27.07 Ndeeba-Nateete-24h'!C58)</f>
        <v>38</v>
      </c>
      <c r="D58" s="49">
        <f>AVERAGE('26.07 Ndeeba-Nateete-24h'!D58,'27.07 Ndeeba-Nateete-24h'!D58)</f>
        <v>4</v>
      </c>
      <c r="E58" s="49">
        <f>AVERAGE('26.07 Ndeeba-Nateete-24h'!E58,'27.07 Ndeeba-Nateete-24h'!E58)</f>
        <v>3</v>
      </c>
      <c r="F58" s="49">
        <f>AVERAGE('26.07 Ndeeba-Nateete-24h'!F58,'27.07 Ndeeba-Nateete-24h'!F58)</f>
        <v>16</v>
      </c>
      <c r="G58" s="49">
        <f>AVERAGE('26.07 Ndeeba-Nateete-24h'!G58,'27.07 Ndeeba-Nateete-24h'!G58)</f>
        <v>0.5</v>
      </c>
      <c r="H58" s="49">
        <f>AVERAGE('26.07 Ndeeba-Nateete-24h'!H58,'27.07 Ndeeba-Nateete-24h'!H58)</f>
        <v>0</v>
      </c>
      <c r="I58" s="49">
        <f>AVERAGE('26.07 Ndeeba-Nateete-24h'!I58,'27.07 Ndeeba-Nateete-24h'!I58)</f>
        <v>8</v>
      </c>
      <c r="J58" s="49">
        <f>AVERAGE('26.07 Ndeeba-Nateete-24h'!J58,'27.07 Ndeeba-Nateete-24h'!J58)</f>
        <v>9</v>
      </c>
      <c r="K58" s="49">
        <f>AVERAGE('26.07 Ndeeba-Nateete-24h'!K58,'27.07 Ndeeba-Nateete-24h'!K58)</f>
        <v>0.5</v>
      </c>
      <c r="L58" s="49">
        <f>AVERAGE('26.07 Ndeeba-Nateete-24h'!L58,'27.07 Ndeeba-Nateete-24h'!L58)</f>
        <v>2</v>
      </c>
      <c r="M58" s="49">
        <f>AVERAGE('26.07 Ndeeba-Nateete-24h'!M58,'27.07 Ndeeba-Nateete-24h'!M58)</f>
        <v>68.5</v>
      </c>
      <c r="N58" s="49">
        <f>AVERAGE('26.07 Ndeeba-Nateete-24h'!N58,'27.07 Ndeeba-Nateete-24h'!N58)</f>
        <v>0</v>
      </c>
      <c r="O58" s="15">
        <f t="shared" si="0"/>
        <v>81</v>
      </c>
      <c r="P58" s="15">
        <f t="shared" ref="P58:P105" si="35">SUM(C58:N58)</f>
        <v>149.5</v>
      </c>
      <c r="R58" s="8"/>
      <c r="T58"/>
    </row>
    <row r="59" spans="2:20" ht="23.1" customHeight="1" x14ac:dyDescent="0.25">
      <c r="B59" s="23" t="s">
        <v>100</v>
      </c>
      <c r="C59" s="49">
        <f>AVERAGE('26.07 Ndeeba-Nateete-24h'!C59,'27.07 Ndeeba-Nateete-24h'!C59)</f>
        <v>36</v>
      </c>
      <c r="D59" s="49">
        <f>AVERAGE('26.07 Ndeeba-Nateete-24h'!D59,'27.07 Ndeeba-Nateete-24h'!D59)</f>
        <v>2</v>
      </c>
      <c r="E59" s="49">
        <f>AVERAGE('26.07 Ndeeba-Nateete-24h'!E59,'27.07 Ndeeba-Nateete-24h'!E59)</f>
        <v>3.5</v>
      </c>
      <c r="F59" s="49">
        <f>AVERAGE('26.07 Ndeeba-Nateete-24h'!F59,'27.07 Ndeeba-Nateete-24h'!F59)</f>
        <v>23</v>
      </c>
      <c r="G59" s="49">
        <f>AVERAGE('26.07 Ndeeba-Nateete-24h'!G59,'27.07 Ndeeba-Nateete-24h'!G59)</f>
        <v>0</v>
      </c>
      <c r="H59" s="49">
        <f>AVERAGE('26.07 Ndeeba-Nateete-24h'!H59,'27.07 Ndeeba-Nateete-24h'!H59)</f>
        <v>1</v>
      </c>
      <c r="I59" s="49">
        <f>AVERAGE('26.07 Ndeeba-Nateete-24h'!I59,'27.07 Ndeeba-Nateete-24h'!I59)</f>
        <v>10.5</v>
      </c>
      <c r="J59" s="49">
        <f>AVERAGE('26.07 Ndeeba-Nateete-24h'!J59,'27.07 Ndeeba-Nateete-24h'!J59)</f>
        <v>6.5</v>
      </c>
      <c r="K59" s="49">
        <f>AVERAGE('26.07 Ndeeba-Nateete-24h'!K59,'27.07 Ndeeba-Nateete-24h'!K59)</f>
        <v>2.5</v>
      </c>
      <c r="L59" s="49">
        <f>AVERAGE('26.07 Ndeeba-Nateete-24h'!L59,'27.07 Ndeeba-Nateete-24h'!L59)</f>
        <v>4</v>
      </c>
      <c r="M59" s="49">
        <f>AVERAGE('26.07 Ndeeba-Nateete-24h'!M59,'27.07 Ndeeba-Nateete-24h'!M59)</f>
        <v>71.5</v>
      </c>
      <c r="N59" s="49">
        <f>AVERAGE('26.07 Ndeeba-Nateete-24h'!N59,'27.07 Ndeeba-Nateete-24h'!N59)</f>
        <v>0</v>
      </c>
      <c r="O59" s="15">
        <f t="shared" ref="O59:O105" si="36">SUM(C59:L59,N59)</f>
        <v>89</v>
      </c>
      <c r="P59" s="15">
        <f t="shared" si="35"/>
        <v>160.5</v>
      </c>
      <c r="R59" s="8"/>
      <c r="T59"/>
    </row>
    <row r="60" spans="2:20" ht="23.1" customHeight="1" x14ac:dyDescent="0.25">
      <c r="B60" s="23" t="s">
        <v>101</v>
      </c>
      <c r="C60" s="49">
        <f>AVERAGE('26.07 Ndeeba-Nateete-24h'!C60,'27.07 Ndeeba-Nateete-24h'!C60)</f>
        <v>33</v>
      </c>
      <c r="D60" s="49">
        <f>AVERAGE('26.07 Ndeeba-Nateete-24h'!D60,'27.07 Ndeeba-Nateete-24h'!D60)</f>
        <v>1.5</v>
      </c>
      <c r="E60" s="49">
        <f>AVERAGE('26.07 Ndeeba-Nateete-24h'!E60,'27.07 Ndeeba-Nateete-24h'!E60)</f>
        <v>2.5</v>
      </c>
      <c r="F60" s="49">
        <f>AVERAGE('26.07 Ndeeba-Nateete-24h'!F60,'27.07 Ndeeba-Nateete-24h'!F60)</f>
        <v>15.5</v>
      </c>
      <c r="G60" s="49">
        <f>AVERAGE('26.07 Ndeeba-Nateete-24h'!G60,'27.07 Ndeeba-Nateete-24h'!G60)</f>
        <v>0</v>
      </c>
      <c r="H60" s="49">
        <f>AVERAGE('26.07 Ndeeba-Nateete-24h'!H60,'27.07 Ndeeba-Nateete-24h'!H60)</f>
        <v>0</v>
      </c>
      <c r="I60" s="49">
        <f>AVERAGE('26.07 Ndeeba-Nateete-24h'!I60,'27.07 Ndeeba-Nateete-24h'!I60)</f>
        <v>8</v>
      </c>
      <c r="J60" s="49">
        <f>AVERAGE('26.07 Ndeeba-Nateete-24h'!J60,'27.07 Ndeeba-Nateete-24h'!J60)</f>
        <v>5</v>
      </c>
      <c r="K60" s="49">
        <f>AVERAGE('26.07 Ndeeba-Nateete-24h'!K60,'27.07 Ndeeba-Nateete-24h'!K60)</f>
        <v>4.5</v>
      </c>
      <c r="L60" s="49">
        <f>AVERAGE('26.07 Ndeeba-Nateete-24h'!L60,'27.07 Ndeeba-Nateete-24h'!L60)</f>
        <v>2</v>
      </c>
      <c r="M60" s="49">
        <f>AVERAGE('26.07 Ndeeba-Nateete-24h'!M60,'27.07 Ndeeba-Nateete-24h'!M60)</f>
        <v>67.5</v>
      </c>
      <c r="N60" s="49">
        <f>AVERAGE('26.07 Ndeeba-Nateete-24h'!N60,'27.07 Ndeeba-Nateete-24h'!N60)</f>
        <v>0</v>
      </c>
      <c r="O60" s="15">
        <f t="shared" si="36"/>
        <v>72</v>
      </c>
      <c r="P60" s="15">
        <f t="shared" si="35"/>
        <v>139.5</v>
      </c>
      <c r="R60" s="8"/>
      <c r="T60"/>
    </row>
    <row r="61" spans="2:20" ht="23.1" customHeight="1" x14ac:dyDescent="0.25">
      <c r="B61" s="23" t="s">
        <v>102</v>
      </c>
      <c r="C61" s="49">
        <f>AVERAGE('26.07 Ndeeba-Nateete-24h'!C61,'27.07 Ndeeba-Nateete-24h'!C61)</f>
        <v>32.5</v>
      </c>
      <c r="D61" s="49">
        <f>AVERAGE('26.07 Ndeeba-Nateete-24h'!D61,'27.07 Ndeeba-Nateete-24h'!D61)</f>
        <v>2</v>
      </c>
      <c r="E61" s="49">
        <f>AVERAGE('26.07 Ndeeba-Nateete-24h'!E61,'27.07 Ndeeba-Nateete-24h'!E61)</f>
        <v>4</v>
      </c>
      <c r="F61" s="49">
        <f>AVERAGE('26.07 Ndeeba-Nateete-24h'!F61,'27.07 Ndeeba-Nateete-24h'!F61)</f>
        <v>19</v>
      </c>
      <c r="G61" s="49">
        <f>AVERAGE('26.07 Ndeeba-Nateete-24h'!G61,'27.07 Ndeeba-Nateete-24h'!G61)</f>
        <v>0</v>
      </c>
      <c r="H61" s="49">
        <f>AVERAGE('26.07 Ndeeba-Nateete-24h'!H61,'27.07 Ndeeba-Nateete-24h'!H61)</f>
        <v>0</v>
      </c>
      <c r="I61" s="49">
        <f>AVERAGE('26.07 Ndeeba-Nateete-24h'!I61,'27.07 Ndeeba-Nateete-24h'!I61)</f>
        <v>3.5</v>
      </c>
      <c r="J61" s="49">
        <f>AVERAGE('26.07 Ndeeba-Nateete-24h'!J61,'27.07 Ndeeba-Nateete-24h'!J61)</f>
        <v>2</v>
      </c>
      <c r="K61" s="49">
        <f>AVERAGE('26.07 Ndeeba-Nateete-24h'!K61,'27.07 Ndeeba-Nateete-24h'!K61)</f>
        <v>1.5</v>
      </c>
      <c r="L61" s="49">
        <f>AVERAGE('26.07 Ndeeba-Nateete-24h'!L61,'27.07 Ndeeba-Nateete-24h'!L61)</f>
        <v>0.5</v>
      </c>
      <c r="M61" s="49">
        <f>AVERAGE('26.07 Ndeeba-Nateete-24h'!M61,'27.07 Ndeeba-Nateete-24h'!M61)</f>
        <v>87.5</v>
      </c>
      <c r="N61" s="49">
        <f>AVERAGE('26.07 Ndeeba-Nateete-24h'!N61,'27.07 Ndeeba-Nateete-24h'!N61)</f>
        <v>0</v>
      </c>
      <c r="O61" s="15">
        <f t="shared" si="36"/>
        <v>65</v>
      </c>
      <c r="P61" s="15">
        <f t="shared" si="35"/>
        <v>152.5</v>
      </c>
      <c r="R61" s="8"/>
      <c r="T61"/>
    </row>
    <row r="62" spans="2:20" ht="23.1" customHeight="1" x14ac:dyDescent="0.25">
      <c r="B62" s="23" t="s">
        <v>107</v>
      </c>
      <c r="C62" s="49">
        <f>AVERAGE('26.07 Ndeeba-Nateete-24h'!C62,'27.07 Ndeeba-Nateete-24h'!C62)</f>
        <v>35.5</v>
      </c>
      <c r="D62" s="49">
        <f>AVERAGE('26.07 Ndeeba-Nateete-24h'!D62,'27.07 Ndeeba-Nateete-24h'!D62)</f>
        <v>3</v>
      </c>
      <c r="E62" s="49">
        <f>AVERAGE('26.07 Ndeeba-Nateete-24h'!E62,'27.07 Ndeeba-Nateete-24h'!E62)</f>
        <v>1</v>
      </c>
      <c r="F62" s="49">
        <f>AVERAGE('26.07 Ndeeba-Nateete-24h'!F62,'27.07 Ndeeba-Nateete-24h'!F62)</f>
        <v>19</v>
      </c>
      <c r="G62" s="49">
        <f>AVERAGE('26.07 Ndeeba-Nateete-24h'!G62,'27.07 Ndeeba-Nateete-24h'!G62)</f>
        <v>0.5</v>
      </c>
      <c r="H62" s="49">
        <f>AVERAGE('26.07 Ndeeba-Nateete-24h'!H62,'27.07 Ndeeba-Nateete-24h'!H62)</f>
        <v>0</v>
      </c>
      <c r="I62" s="49">
        <f>AVERAGE('26.07 Ndeeba-Nateete-24h'!I62,'27.07 Ndeeba-Nateete-24h'!I62)</f>
        <v>5</v>
      </c>
      <c r="J62" s="49">
        <f>AVERAGE('26.07 Ndeeba-Nateete-24h'!J62,'27.07 Ndeeba-Nateete-24h'!J62)</f>
        <v>5.5</v>
      </c>
      <c r="K62" s="49">
        <f>AVERAGE('26.07 Ndeeba-Nateete-24h'!K62,'27.07 Ndeeba-Nateete-24h'!K62)</f>
        <v>1.5</v>
      </c>
      <c r="L62" s="49">
        <f>AVERAGE('26.07 Ndeeba-Nateete-24h'!L62,'27.07 Ndeeba-Nateete-24h'!L62)</f>
        <v>0</v>
      </c>
      <c r="M62" s="49">
        <f>AVERAGE('26.07 Ndeeba-Nateete-24h'!M62,'27.07 Ndeeba-Nateete-24h'!M62)</f>
        <v>78.5</v>
      </c>
      <c r="N62" s="49">
        <f>AVERAGE('26.07 Ndeeba-Nateete-24h'!N62,'27.07 Ndeeba-Nateete-24h'!N62)</f>
        <v>0</v>
      </c>
      <c r="O62" s="15">
        <f t="shared" si="36"/>
        <v>71</v>
      </c>
      <c r="P62" s="15">
        <f t="shared" si="35"/>
        <v>149.5</v>
      </c>
      <c r="R62" s="8"/>
      <c r="T62"/>
    </row>
    <row r="63" spans="2:20" ht="23.1" customHeight="1" x14ac:dyDescent="0.25">
      <c r="B63" s="23" t="s">
        <v>108</v>
      </c>
      <c r="C63" s="49">
        <f>AVERAGE('26.07 Ndeeba-Nateete-24h'!C63,'27.07 Ndeeba-Nateete-24h'!C63)</f>
        <v>21.5</v>
      </c>
      <c r="D63" s="49">
        <f>AVERAGE('26.07 Ndeeba-Nateete-24h'!D63,'27.07 Ndeeba-Nateete-24h'!D63)</f>
        <v>3.5</v>
      </c>
      <c r="E63" s="49">
        <f>AVERAGE('26.07 Ndeeba-Nateete-24h'!E63,'27.07 Ndeeba-Nateete-24h'!E63)</f>
        <v>1</v>
      </c>
      <c r="F63" s="49">
        <f>AVERAGE('26.07 Ndeeba-Nateete-24h'!F63,'27.07 Ndeeba-Nateete-24h'!F63)</f>
        <v>17</v>
      </c>
      <c r="G63" s="49">
        <f>AVERAGE('26.07 Ndeeba-Nateete-24h'!G63,'27.07 Ndeeba-Nateete-24h'!G63)</f>
        <v>0</v>
      </c>
      <c r="H63" s="49">
        <f>AVERAGE('26.07 Ndeeba-Nateete-24h'!H63,'27.07 Ndeeba-Nateete-24h'!H63)</f>
        <v>0</v>
      </c>
      <c r="I63" s="49">
        <f>AVERAGE('26.07 Ndeeba-Nateete-24h'!I63,'27.07 Ndeeba-Nateete-24h'!I63)</f>
        <v>4</v>
      </c>
      <c r="J63" s="49">
        <f>AVERAGE('26.07 Ndeeba-Nateete-24h'!J63,'27.07 Ndeeba-Nateete-24h'!J63)</f>
        <v>2.5</v>
      </c>
      <c r="K63" s="49">
        <f>AVERAGE('26.07 Ndeeba-Nateete-24h'!K63,'27.07 Ndeeba-Nateete-24h'!K63)</f>
        <v>1</v>
      </c>
      <c r="L63" s="49">
        <f>AVERAGE('26.07 Ndeeba-Nateete-24h'!L63,'27.07 Ndeeba-Nateete-24h'!L63)</f>
        <v>1</v>
      </c>
      <c r="M63" s="49">
        <f>AVERAGE('26.07 Ndeeba-Nateete-24h'!M63,'27.07 Ndeeba-Nateete-24h'!M63)</f>
        <v>45</v>
      </c>
      <c r="N63" s="49">
        <f>AVERAGE('26.07 Ndeeba-Nateete-24h'!N63,'27.07 Ndeeba-Nateete-24h'!N63)</f>
        <v>0</v>
      </c>
      <c r="O63" s="15">
        <f t="shared" si="36"/>
        <v>51.5</v>
      </c>
      <c r="P63" s="15">
        <f t="shared" si="35"/>
        <v>96.5</v>
      </c>
      <c r="R63" s="8"/>
      <c r="T63"/>
    </row>
    <row r="64" spans="2:20" ht="23.1" customHeight="1" x14ac:dyDescent="0.25">
      <c r="B64" s="23" t="s">
        <v>109</v>
      </c>
      <c r="C64" s="49">
        <f>AVERAGE('26.07 Ndeeba-Nateete-24h'!C64,'27.07 Ndeeba-Nateete-24h'!C64)</f>
        <v>33</v>
      </c>
      <c r="D64" s="49">
        <f>AVERAGE('26.07 Ndeeba-Nateete-24h'!D64,'27.07 Ndeeba-Nateete-24h'!D64)</f>
        <v>3</v>
      </c>
      <c r="E64" s="49">
        <f>AVERAGE('26.07 Ndeeba-Nateete-24h'!E64,'27.07 Ndeeba-Nateete-24h'!E64)</f>
        <v>1</v>
      </c>
      <c r="F64" s="49">
        <f>AVERAGE('26.07 Ndeeba-Nateete-24h'!F64,'27.07 Ndeeba-Nateete-24h'!F64)</f>
        <v>17.5</v>
      </c>
      <c r="G64" s="49">
        <f>AVERAGE('26.07 Ndeeba-Nateete-24h'!G64,'27.07 Ndeeba-Nateete-24h'!G64)</f>
        <v>0</v>
      </c>
      <c r="H64" s="49">
        <f>AVERAGE('26.07 Ndeeba-Nateete-24h'!H64,'27.07 Ndeeba-Nateete-24h'!H64)</f>
        <v>0.5</v>
      </c>
      <c r="I64" s="49">
        <f>AVERAGE('26.07 Ndeeba-Nateete-24h'!I64,'27.07 Ndeeba-Nateete-24h'!I64)</f>
        <v>6.5</v>
      </c>
      <c r="J64" s="49">
        <f>AVERAGE('26.07 Ndeeba-Nateete-24h'!J64,'27.07 Ndeeba-Nateete-24h'!J64)</f>
        <v>5</v>
      </c>
      <c r="K64" s="49">
        <f>AVERAGE('26.07 Ndeeba-Nateete-24h'!K64,'27.07 Ndeeba-Nateete-24h'!K64)</f>
        <v>0.5</v>
      </c>
      <c r="L64" s="49">
        <f>AVERAGE('26.07 Ndeeba-Nateete-24h'!L64,'27.07 Ndeeba-Nateete-24h'!L64)</f>
        <v>1</v>
      </c>
      <c r="M64" s="49">
        <f>AVERAGE('26.07 Ndeeba-Nateete-24h'!M64,'27.07 Ndeeba-Nateete-24h'!M64)</f>
        <v>45</v>
      </c>
      <c r="N64" s="49">
        <f>AVERAGE('26.07 Ndeeba-Nateete-24h'!N64,'27.07 Ndeeba-Nateete-24h'!N64)</f>
        <v>0</v>
      </c>
      <c r="O64" s="15">
        <f t="shared" si="36"/>
        <v>68</v>
      </c>
      <c r="P64" s="15">
        <f t="shared" si="35"/>
        <v>113</v>
      </c>
      <c r="R64" s="8"/>
      <c r="T64"/>
    </row>
    <row r="65" spans="2:20" ht="23.1" customHeight="1" x14ac:dyDescent="0.25">
      <c r="B65" s="23" t="s">
        <v>158</v>
      </c>
      <c r="C65" s="49">
        <f>AVERAGE('26.07 Ndeeba-Nateete-24h'!C65,'27.07 Ndeeba-Nateete-24h'!C65)</f>
        <v>30.5</v>
      </c>
      <c r="D65" s="49">
        <f>AVERAGE('26.07 Ndeeba-Nateete-24h'!D65,'27.07 Ndeeba-Nateete-24h'!D65)</f>
        <v>1</v>
      </c>
      <c r="E65" s="49">
        <f>AVERAGE('26.07 Ndeeba-Nateete-24h'!E65,'27.07 Ndeeba-Nateete-24h'!E65)</f>
        <v>1</v>
      </c>
      <c r="F65" s="49">
        <f>AVERAGE('26.07 Ndeeba-Nateete-24h'!F65,'27.07 Ndeeba-Nateete-24h'!F65)</f>
        <v>19.5</v>
      </c>
      <c r="G65" s="49">
        <f>AVERAGE('26.07 Ndeeba-Nateete-24h'!G65,'27.07 Ndeeba-Nateete-24h'!G65)</f>
        <v>0.5</v>
      </c>
      <c r="H65" s="49">
        <f>AVERAGE('26.07 Ndeeba-Nateete-24h'!H65,'27.07 Ndeeba-Nateete-24h'!H65)</f>
        <v>1.5</v>
      </c>
      <c r="I65" s="49">
        <f>AVERAGE('26.07 Ndeeba-Nateete-24h'!I65,'27.07 Ndeeba-Nateete-24h'!I65)</f>
        <v>5</v>
      </c>
      <c r="J65" s="49">
        <f>AVERAGE('26.07 Ndeeba-Nateete-24h'!J65,'27.07 Ndeeba-Nateete-24h'!J65)</f>
        <v>6</v>
      </c>
      <c r="K65" s="49">
        <f>AVERAGE('26.07 Ndeeba-Nateete-24h'!K65,'27.07 Ndeeba-Nateete-24h'!K65)</f>
        <v>1.5</v>
      </c>
      <c r="L65" s="49">
        <f>AVERAGE('26.07 Ndeeba-Nateete-24h'!L65,'27.07 Ndeeba-Nateete-24h'!L65)</f>
        <v>2</v>
      </c>
      <c r="M65" s="49">
        <f>AVERAGE('26.07 Ndeeba-Nateete-24h'!M65,'27.07 Ndeeba-Nateete-24h'!M65)</f>
        <v>107.5</v>
      </c>
      <c r="N65" s="49">
        <f>AVERAGE('26.07 Ndeeba-Nateete-24h'!N65,'27.07 Ndeeba-Nateete-24h'!N65)</f>
        <v>0</v>
      </c>
      <c r="O65" s="15">
        <f t="shared" si="36"/>
        <v>68.5</v>
      </c>
      <c r="P65" s="15">
        <f t="shared" si="35"/>
        <v>176</v>
      </c>
      <c r="R65" s="8"/>
      <c r="T65"/>
    </row>
    <row r="66" spans="2:20" ht="23.1" customHeight="1" x14ac:dyDescent="0.25">
      <c r="B66" s="23" t="s">
        <v>103</v>
      </c>
      <c r="C66" s="49">
        <f>AVERAGE('26.07 Ndeeba-Nateete-24h'!C66,'27.07 Ndeeba-Nateete-24h'!C66)</f>
        <v>26.5</v>
      </c>
      <c r="D66" s="49">
        <f>AVERAGE('26.07 Ndeeba-Nateete-24h'!D66,'27.07 Ndeeba-Nateete-24h'!D66)</f>
        <v>7</v>
      </c>
      <c r="E66" s="49">
        <f>AVERAGE('26.07 Ndeeba-Nateete-24h'!E66,'27.07 Ndeeba-Nateete-24h'!E66)</f>
        <v>2.5</v>
      </c>
      <c r="F66" s="49">
        <f>AVERAGE('26.07 Ndeeba-Nateete-24h'!F66,'27.07 Ndeeba-Nateete-24h'!F66)</f>
        <v>15</v>
      </c>
      <c r="G66" s="49">
        <f>AVERAGE('26.07 Ndeeba-Nateete-24h'!G66,'27.07 Ndeeba-Nateete-24h'!G66)</f>
        <v>1</v>
      </c>
      <c r="H66" s="49">
        <f>AVERAGE('26.07 Ndeeba-Nateete-24h'!H66,'27.07 Ndeeba-Nateete-24h'!H66)</f>
        <v>0</v>
      </c>
      <c r="I66" s="49">
        <f>AVERAGE('26.07 Ndeeba-Nateete-24h'!I66,'27.07 Ndeeba-Nateete-24h'!I66)</f>
        <v>4.5</v>
      </c>
      <c r="J66" s="49">
        <f>AVERAGE('26.07 Ndeeba-Nateete-24h'!J66,'27.07 Ndeeba-Nateete-24h'!J66)</f>
        <v>4.5</v>
      </c>
      <c r="K66" s="49">
        <f>AVERAGE('26.07 Ndeeba-Nateete-24h'!K66,'27.07 Ndeeba-Nateete-24h'!K66)</f>
        <v>1</v>
      </c>
      <c r="L66" s="49">
        <f>AVERAGE('26.07 Ndeeba-Nateete-24h'!L66,'27.07 Ndeeba-Nateete-24h'!L66)</f>
        <v>0.5</v>
      </c>
      <c r="M66" s="49">
        <f>AVERAGE('26.07 Ndeeba-Nateete-24h'!M66,'27.07 Ndeeba-Nateete-24h'!M66)</f>
        <v>52.5</v>
      </c>
      <c r="N66" s="49">
        <f>AVERAGE('26.07 Ndeeba-Nateete-24h'!N66,'27.07 Ndeeba-Nateete-24h'!N66)</f>
        <v>0</v>
      </c>
      <c r="O66" s="15">
        <f t="shared" si="36"/>
        <v>62.5</v>
      </c>
      <c r="P66" s="15">
        <f t="shared" si="35"/>
        <v>115</v>
      </c>
      <c r="R66" s="8"/>
      <c r="T66"/>
    </row>
    <row r="67" spans="2:20" ht="23.1" customHeight="1" x14ac:dyDescent="0.25">
      <c r="B67" s="23" t="s">
        <v>104</v>
      </c>
      <c r="C67" s="49">
        <f>AVERAGE('26.07 Ndeeba-Nateete-24h'!C67,'27.07 Ndeeba-Nateete-24h'!C67)</f>
        <v>27.5</v>
      </c>
      <c r="D67" s="49">
        <f>AVERAGE('26.07 Ndeeba-Nateete-24h'!D67,'27.07 Ndeeba-Nateete-24h'!D67)</f>
        <v>4</v>
      </c>
      <c r="E67" s="49">
        <f>AVERAGE('26.07 Ndeeba-Nateete-24h'!E67,'27.07 Ndeeba-Nateete-24h'!E67)</f>
        <v>3</v>
      </c>
      <c r="F67" s="49">
        <f>AVERAGE('26.07 Ndeeba-Nateete-24h'!F67,'27.07 Ndeeba-Nateete-24h'!F67)</f>
        <v>14.5</v>
      </c>
      <c r="G67" s="49">
        <f>AVERAGE('26.07 Ndeeba-Nateete-24h'!G67,'27.07 Ndeeba-Nateete-24h'!G67)</f>
        <v>1</v>
      </c>
      <c r="H67" s="49">
        <f>AVERAGE('26.07 Ndeeba-Nateete-24h'!H67,'27.07 Ndeeba-Nateete-24h'!H67)</f>
        <v>0.5</v>
      </c>
      <c r="I67" s="49">
        <f>AVERAGE('26.07 Ndeeba-Nateete-24h'!I67,'27.07 Ndeeba-Nateete-24h'!I67)</f>
        <v>5.5</v>
      </c>
      <c r="J67" s="49">
        <f>AVERAGE('26.07 Ndeeba-Nateete-24h'!J67,'27.07 Ndeeba-Nateete-24h'!J67)</f>
        <v>6.5</v>
      </c>
      <c r="K67" s="49">
        <f>AVERAGE('26.07 Ndeeba-Nateete-24h'!K67,'27.07 Ndeeba-Nateete-24h'!K67)</f>
        <v>0.5</v>
      </c>
      <c r="L67" s="49">
        <f>AVERAGE('26.07 Ndeeba-Nateete-24h'!L67,'27.07 Ndeeba-Nateete-24h'!L67)</f>
        <v>1.5</v>
      </c>
      <c r="M67" s="49">
        <f>AVERAGE('26.07 Ndeeba-Nateete-24h'!M67,'27.07 Ndeeba-Nateete-24h'!M67)</f>
        <v>82.5</v>
      </c>
      <c r="N67" s="49">
        <f>AVERAGE('26.07 Ndeeba-Nateete-24h'!N67,'27.07 Ndeeba-Nateete-24h'!N67)</f>
        <v>0</v>
      </c>
      <c r="O67" s="15">
        <f t="shared" si="36"/>
        <v>64.5</v>
      </c>
      <c r="P67" s="15">
        <f t="shared" si="35"/>
        <v>147</v>
      </c>
      <c r="R67" s="8"/>
      <c r="T67"/>
    </row>
    <row r="68" spans="2:20" ht="23.1" customHeight="1" x14ac:dyDescent="0.25">
      <c r="B68" s="23" t="s">
        <v>105</v>
      </c>
      <c r="C68" s="49">
        <f>AVERAGE('26.07 Ndeeba-Nateete-24h'!C68,'27.07 Ndeeba-Nateete-24h'!C68)</f>
        <v>45</v>
      </c>
      <c r="D68" s="49">
        <f>AVERAGE('26.07 Ndeeba-Nateete-24h'!D68,'27.07 Ndeeba-Nateete-24h'!D68)</f>
        <v>2.5</v>
      </c>
      <c r="E68" s="49">
        <f>AVERAGE('26.07 Ndeeba-Nateete-24h'!E68,'27.07 Ndeeba-Nateete-24h'!E68)</f>
        <v>1.5</v>
      </c>
      <c r="F68" s="49">
        <f>AVERAGE('26.07 Ndeeba-Nateete-24h'!F68,'27.07 Ndeeba-Nateete-24h'!F68)</f>
        <v>19</v>
      </c>
      <c r="G68" s="49">
        <f>AVERAGE('26.07 Ndeeba-Nateete-24h'!G68,'27.07 Ndeeba-Nateete-24h'!G68)</f>
        <v>1</v>
      </c>
      <c r="H68" s="49">
        <f>AVERAGE('26.07 Ndeeba-Nateete-24h'!H68,'27.07 Ndeeba-Nateete-24h'!H68)</f>
        <v>0</v>
      </c>
      <c r="I68" s="49">
        <f>AVERAGE('26.07 Ndeeba-Nateete-24h'!I68,'27.07 Ndeeba-Nateete-24h'!I68)</f>
        <v>2</v>
      </c>
      <c r="J68" s="49">
        <f>AVERAGE('26.07 Ndeeba-Nateete-24h'!J68,'27.07 Ndeeba-Nateete-24h'!J68)</f>
        <v>3.5</v>
      </c>
      <c r="K68" s="49">
        <f>AVERAGE('26.07 Ndeeba-Nateete-24h'!K68,'27.07 Ndeeba-Nateete-24h'!K68)</f>
        <v>2</v>
      </c>
      <c r="L68" s="49">
        <f>AVERAGE('26.07 Ndeeba-Nateete-24h'!L68,'27.07 Ndeeba-Nateete-24h'!L68)</f>
        <v>0.5</v>
      </c>
      <c r="M68" s="49">
        <f>AVERAGE('26.07 Ndeeba-Nateete-24h'!M68,'27.07 Ndeeba-Nateete-24h'!M68)</f>
        <v>100</v>
      </c>
      <c r="N68" s="49">
        <f>AVERAGE('26.07 Ndeeba-Nateete-24h'!N68,'27.07 Ndeeba-Nateete-24h'!N68)</f>
        <v>0</v>
      </c>
      <c r="O68" s="15">
        <f t="shared" si="36"/>
        <v>77</v>
      </c>
      <c r="P68" s="15">
        <f t="shared" si="35"/>
        <v>177</v>
      </c>
      <c r="R68" s="8"/>
      <c r="T68"/>
    </row>
    <row r="69" spans="2:20" ht="23.1" customHeight="1" x14ac:dyDescent="0.25">
      <c r="B69" s="23" t="s">
        <v>106</v>
      </c>
      <c r="C69" s="49">
        <f>AVERAGE('26.07 Ndeeba-Nateete-24h'!C69,'27.07 Ndeeba-Nateete-24h'!C69)</f>
        <v>41.5</v>
      </c>
      <c r="D69" s="49">
        <f>AVERAGE('26.07 Ndeeba-Nateete-24h'!D69,'27.07 Ndeeba-Nateete-24h'!D69)</f>
        <v>6.5</v>
      </c>
      <c r="E69" s="49">
        <f>AVERAGE('26.07 Ndeeba-Nateete-24h'!E69,'27.07 Ndeeba-Nateete-24h'!E69)</f>
        <v>2.5</v>
      </c>
      <c r="F69" s="49">
        <f>AVERAGE('26.07 Ndeeba-Nateete-24h'!F69,'27.07 Ndeeba-Nateete-24h'!F69)</f>
        <v>21.5</v>
      </c>
      <c r="G69" s="49">
        <f>AVERAGE('26.07 Ndeeba-Nateete-24h'!G69,'27.07 Ndeeba-Nateete-24h'!G69)</f>
        <v>0.5</v>
      </c>
      <c r="H69" s="49">
        <f>AVERAGE('26.07 Ndeeba-Nateete-24h'!H69,'27.07 Ndeeba-Nateete-24h'!H69)</f>
        <v>0.5</v>
      </c>
      <c r="I69" s="49">
        <f>AVERAGE('26.07 Ndeeba-Nateete-24h'!I69,'27.07 Ndeeba-Nateete-24h'!I69)</f>
        <v>7.5</v>
      </c>
      <c r="J69" s="49">
        <f>AVERAGE('26.07 Ndeeba-Nateete-24h'!J69,'27.07 Ndeeba-Nateete-24h'!J69)</f>
        <v>4.5</v>
      </c>
      <c r="K69" s="49">
        <f>AVERAGE('26.07 Ndeeba-Nateete-24h'!K69,'27.07 Ndeeba-Nateete-24h'!K69)</f>
        <v>1</v>
      </c>
      <c r="L69" s="49">
        <f>AVERAGE('26.07 Ndeeba-Nateete-24h'!L69,'27.07 Ndeeba-Nateete-24h'!L69)</f>
        <v>1.5</v>
      </c>
      <c r="M69" s="49">
        <f>AVERAGE('26.07 Ndeeba-Nateete-24h'!M69,'27.07 Ndeeba-Nateete-24h'!M69)</f>
        <v>100</v>
      </c>
      <c r="N69" s="49">
        <f>AVERAGE('26.07 Ndeeba-Nateete-24h'!N69,'27.07 Ndeeba-Nateete-24h'!N69)</f>
        <v>0</v>
      </c>
      <c r="O69" s="15">
        <f t="shared" si="36"/>
        <v>87.5</v>
      </c>
      <c r="P69" s="15">
        <f t="shared" si="35"/>
        <v>187.5</v>
      </c>
      <c r="R69" s="8"/>
      <c r="T69"/>
    </row>
    <row r="70" spans="2:20" ht="23.1" customHeight="1" x14ac:dyDescent="0.25">
      <c r="B70" s="23" t="s">
        <v>110</v>
      </c>
      <c r="C70" s="49">
        <f>AVERAGE('26.07 Ndeeba-Nateete-24h'!C70,'27.07 Ndeeba-Nateete-24h'!C70)</f>
        <v>50</v>
      </c>
      <c r="D70" s="49">
        <f>AVERAGE('26.07 Ndeeba-Nateete-24h'!D70,'27.07 Ndeeba-Nateete-24h'!D70)</f>
        <v>6</v>
      </c>
      <c r="E70" s="49">
        <f>AVERAGE('26.07 Ndeeba-Nateete-24h'!E70,'27.07 Ndeeba-Nateete-24h'!E70)</f>
        <v>3</v>
      </c>
      <c r="F70" s="49">
        <f>AVERAGE('26.07 Ndeeba-Nateete-24h'!F70,'27.07 Ndeeba-Nateete-24h'!F70)</f>
        <v>15.5</v>
      </c>
      <c r="G70" s="49">
        <f>AVERAGE('26.07 Ndeeba-Nateete-24h'!G70,'27.07 Ndeeba-Nateete-24h'!G70)</f>
        <v>0.5</v>
      </c>
      <c r="H70" s="49">
        <f>AVERAGE('26.07 Ndeeba-Nateete-24h'!H70,'27.07 Ndeeba-Nateete-24h'!H70)</f>
        <v>0</v>
      </c>
      <c r="I70" s="49">
        <f>AVERAGE('26.07 Ndeeba-Nateete-24h'!I70,'27.07 Ndeeba-Nateete-24h'!I70)</f>
        <v>6.5</v>
      </c>
      <c r="J70" s="49">
        <f>AVERAGE('26.07 Ndeeba-Nateete-24h'!J70,'27.07 Ndeeba-Nateete-24h'!J70)</f>
        <v>2.5</v>
      </c>
      <c r="K70" s="49">
        <f>AVERAGE('26.07 Ndeeba-Nateete-24h'!K70,'27.07 Ndeeba-Nateete-24h'!K70)</f>
        <v>1</v>
      </c>
      <c r="L70" s="49">
        <f>AVERAGE('26.07 Ndeeba-Nateete-24h'!L70,'27.07 Ndeeba-Nateete-24h'!L70)</f>
        <v>2</v>
      </c>
      <c r="M70" s="49">
        <f>AVERAGE('26.07 Ndeeba-Nateete-24h'!M70,'27.07 Ndeeba-Nateete-24h'!M70)</f>
        <v>60.5</v>
      </c>
      <c r="N70" s="49">
        <f>AVERAGE('26.07 Ndeeba-Nateete-24h'!N70,'27.07 Ndeeba-Nateete-24h'!N70)</f>
        <v>0</v>
      </c>
      <c r="O70" s="15">
        <f t="shared" si="36"/>
        <v>87</v>
      </c>
      <c r="P70" s="15">
        <f t="shared" si="35"/>
        <v>147.5</v>
      </c>
      <c r="R70" s="8"/>
      <c r="T70"/>
    </row>
    <row r="71" spans="2:20" ht="23.1" customHeight="1" x14ac:dyDescent="0.25">
      <c r="B71" s="23" t="s">
        <v>111</v>
      </c>
      <c r="C71" s="49">
        <f>AVERAGE('26.07 Ndeeba-Nateete-24h'!C71,'27.07 Ndeeba-Nateete-24h'!C71)</f>
        <v>28.5</v>
      </c>
      <c r="D71" s="49">
        <f>AVERAGE('26.07 Ndeeba-Nateete-24h'!D71,'27.07 Ndeeba-Nateete-24h'!D71)</f>
        <v>3</v>
      </c>
      <c r="E71" s="49">
        <f>AVERAGE('26.07 Ndeeba-Nateete-24h'!E71,'27.07 Ndeeba-Nateete-24h'!E71)</f>
        <v>0.5</v>
      </c>
      <c r="F71" s="49">
        <f>AVERAGE('26.07 Ndeeba-Nateete-24h'!F71,'27.07 Ndeeba-Nateete-24h'!F71)</f>
        <v>32.5</v>
      </c>
      <c r="G71" s="49">
        <f>AVERAGE('26.07 Ndeeba-Nateete-24h'!G71,'27.07 Ndeeba-Nateete-24h'!G71)</f>
        <v>0</v>
      </c>
      <c r="H71" s="49">
        <f>AVERAGE('26.07 Ndeeba-Nateete-24h'!H71,'27.07 Ndeeba-Nateete-24h'!H71)</f>
        <v>0</v>
      </c>
      <c r="I71" s="49">
        <f>AVERAGE('26.07 Ndeeba-Nateete-24h'!I71,'27.07 Ndeeba-Nateete-24h'!I71)</f>
        <v>5</v>
      </c>
      <c r="J71" s="49">
        <f>AVERAGE('26.07 Ndeeba-Nateete-24h'!J71,'27.07 Ndeeba-Nateete-24h'!J71)</f>
        <v>3</v>
      </c>
      <c r="K71" s="49">
        <f>AVERAGE('26.07 Ndeeba-Nateete-24h'!K71,'27.07 Ndeeba-Nateete-24h'!K71)</f>
        <v>0.5</v>
      </c>
      <c r="L71" s="49">
        <f>AVERAGE('26.07 Ndeeba-Nateete-24h'!L71,'27.07 Ndeeba-Nateete-24h'!L71)</f>
        <v>1.5</v>
      </c>
      <c r="M71" s="49">
        <f>AVERAGE('26.07 Ndeeba-Nateete-24h'!M71,'27.07 Ndeeba-Nateete-24h'!M71)</f>
        <v>51.5</v>
      </c>
      <c r="N71" s="49">
        <f>AVERAGE('26.07 Ndeeba-Nateete-24h'!N71,'27.07 Ndeeba-Nateete-24h'!N71)</f>
        <v>0</v>
      </c>
      <c r="O71" s="15">
        <f t="shared" si="36"/>
        <v>74.5</v>
      </c>
      <c r="P71" s="15">
        <f t="shared" si="35"/>
        <v>126</v>
      </c>
      <c r="R71" s="8"/>
      <c r="T71"/>
    </row>
    <row r="72" spans="2:20" ht="23.1" customHeight="1" x14ac:dyDescent="0.25">
      <c r="B72" s="23" t="s">
        <v>112</v>
      </c>
      <c r="C72" s="49">
        <f>AVERAGE('26.07 Ndeeba-Nateete-24h'!C72,'27.07 Ndeeba-Nateete-24h'!C72)</f>
        <v>39.5</v>
      </c>
      <c r="D72" s="49">
        <f>AVERAGE('26.07 Ndeeba-Nateete-24h'!D72,'27.07 Ndeeba-Nateete-24h'!D72)</f>
        <v>1</v>
      </c>
      <c r="E72" s="49">
        <f>AVERAGE('26.07 Ndeeba-Nateete-24h'!E72,'27.07 Ndeeba-Nateete-24h'!E72)</f>
        <v>2.5</v>
      </c>
      <c r="F72" s="49">
        <f>AVERAGE('26.07 Ndeeba-Nateete-24h'!F72,'27.07 Ndeeba-Nateete-24h'!F72)</f>
        <v>35.5</v>
      </c>
      <c r="G72" s="49">
        <f>AVERAGE('26.07 Ndeeba-Nateete-24h'!G72,'27.07 Ndeeba-Nateete-24h'!G72)</f>
        <v>0</v>
      </c>
      <c r="H72" s="49">
        <f>AVERAGE('26.07 Ndeeba-Nateete-24h'!H72,'27.07 Ndeeba-Nateete-24h'!H72)</f>
        <v>0</v>
      </c>
      <c r="I72" s="49">
        <f>AVERAGE('26.07 Ndeeba-Nateete-24h'!I72,'27.07 Ndeeba-Nateete-24h'!I72)</f>
        <v>4</v>
      </c>
      <c r="J72" s="49">
        <f>AVERAGE('26.07 Ndeeba-Nateete-24h'!J72,'27.07 Ndeeba-Nateete-24h'!J72)</f>
        <v>2</v>
      </c>
      <c r="K72" s="49">
        <f>AVERAGE('26.07 Ndeeba-Nateete-24h'!K72,'27.07 Ndeeba-Nateete-24h'!K72)</f>
        <v>1</v>
      </c>
      <c r="L72" s="49">
        <f>AVERAGE('26.07 Ndeeba-Nateete-24h'!L72,'27.07 Ndeeba-Nateete-24h'!L72)</f>
        <v>0</v>
      </c>
      <c r="M72" s="49">
        <f>AVERAGE('26.07 Ndeeba-Nateete-24h'!M72,'27.07 Ndeeba-Nateete-24h'!M72)</f>
        <v>44.5</v>
      </c>
      <c r="N72" s="49">
        <f>AVERAGE('26.07 Ndeeba-Nateete-24h'!N72,'27.07 Ndeeba-Nateete-24h'!N72)</f>
        <v>0</v>
      </c>
      <c r="O72" s="15">
        <f t="shared" si="36"/>
        <v>85.5</v>
      </c>
      <c r="P72" s="15">
        <f t="shared" si="35"/>
        <v>130</v>
      </c>
      <c r="R72" s="8"/>
      <c r="T72"/>
    </row>
    <row r="73" spans="2:20" ht="23.1" customHeight="1" x14ac:dyDescent="0.25">
      <c r="B73" s="23" t="s">
        <v>113</v>
      </c>
      <c r="C73" s="49">
        <f>AVERAGE('26.07 Ndeeba-Nateete-24h'!C73,'27.07 Ndeeba-Nateete-24h'!C73)</f>
        <v>54</v>
      </c>
      <c r="D73" s="49">
        <f>AVERAGE('26.07 Ndeeba-Nateete-24h'!D73,'27.07 Ndeeba-Nateete-24h'!D73)</f>
        <v>2</v>
      </c>
      <c r="E73" s="49">
        <f>AVERAGE('26.07 Ndeeba-Nateete-24h'!E73,'27.07 Ndeeba-Nateete-24h'!E73)</f>
        <v>1</v>
      </c>
      <c r="F73" s="49">
        <f>AVERAGE('26.07 Ndeeba-Nateete-24h'!F73,'27.07 Ndeeba-Nateete-24h'!F73)</f>
        <v>38.5</v>
      </c>
      <c r="G73" s="49">
        <f>AVERAGE('26.07 Ndeeba-Nateete-24h'!G73,'27.07 Ndeeba-Nateete-24h'!G73)</f>
        <v>0</v>
      </c>
      <c r="H73" s="49">
        <f>AVERAGE('26.07 Ndeeba-Nateete-24h'!H73,'27.07 Ndeeba-Nateete-24h'!H73)</f>
        <v>0</v>
      </c>
      <c r="I73" s="49">
        <f>AVERAGE('26.07 Ndeeba-Nateete-24h'!I73,'27.07 Ndeeba-Nateete-24h'!I73)</f>
        <v>7.5</v>
      </c>
      <c r="J73" s="49">
        <f>AVERAGE('26.07 Ndeeba-Nateete-24h'!J73,'27.07 Ndeeba-Nateete-24h'!J73)</f>
        <v>2.5</v>
      </c>
      <c r="K73" s="49">
        <f>AVERAGE('26.07 Ndeeba-Nateete-24h'!K73,'27.07 Ndeeba-Nateete-24h'!K73)</f>
        <v>1</v>
      </c>
      <c r="L73" s="49">
        <f>AVERAGE('26.07 Ndeeba-Nateete-24h'!L73,'27.07 Ndeeba-Nateete-24h'!L73)</f>
        <v>1</v>
      </c>
      <c r="M73" s="49">
        <f>AVERAGE('26.07 Ndeeba-Nateete-24h'!M73,'27.07 Ndeeba-Nateete-24h'!M73)</f>
        <v>58</v>
      </c>
      <c r="N73" s="49">
        <f>AVERAGE('26.07 Ndeeba-Nateete-24h'!N73,'27.07 Ndeeba-Nateete-24h'!N73)</f>
        <v>0</v>
      </c>
      <c r="O73" s="15">
        <f t="shared" si="36"/>
        <v>107.5</v>
      </c>
      <c r="P73" s="15">
        <f t="shared" si="35"/>
        <v>165.5</v>
      </c>
      <c r="R73" s="8"/>
      <c r="T73"/>
    </row>
    <row r="74" spans="2:20" ht="23.1" customHeight="1" x14ac:dyDescent="0.25">
      <c r="B74" s="23" t="s">
        <v>114</v>
      </c>
      <c r="C74" s="49">
        <f>AVERAGE('26.07 Ndeeba-Nateete-24h'!C74,'27.07 Ndeeba-Nateete-24h'!C74)</f>
        <v>34</v>
      </c>
      <c r="D74" s="49">
        <f>AVERAGE('26.07 Ndeeba-Nateete-24h'!D74,'27.07 Ndeeba-Nateete-24h'!D74)</f>
        <v>3.5</v>
      </c>
      <c r="E74" s="49">
        <f>AVERAGE('26.07 Ndeeba-Nateete-24h'!E74,'27.07 Ndeeba-Nateete-24h'!E74)</f>
        <v>4</v>
      </c>
      <c r="F74" s="49">
        <f>AVERAGE('26.07 Ndeeba-Nateete-24h'!F74,'27.07 Ndeeba-Nateete-24h'!F74)</f>
        <v>41.5</v>
      </c>
      <c r="G74" s="49">
        <f>AVERAGE('26.07 Ndeeba-Nateete-24h'!G74,'27.07 Ndeeba-Nateete-24h'!G74)</f>
        <v>0</v>
      </c>
      <c r="H74" s="49">
        <f>AVERAGE('26.07 Ndeeba-Nateete-24h'!H74,'27.07 Ndeeba-Nateete-24h'!H74)</f>
        <v>1</v>
      </c>
      <c r="I74" s="49">
        <f>AVERAGE('26.07 Ndeeba-Nateete-24h'!I74,'27.07 Ndeeba-Nateete-24h'!I74)</f>
        <v>3.5</v>
      </c>
      <c r="J74" s="49">
        <f>AVERAGE('26.07 Ndeeba-Nateete-24h'!J74,'27.07 Ndeeba-Nateete-24h'!J74)</f>
        <v>2.5</v>
      </c>
      <c r="K74" s="49">
        <f>AVERAGE('26.07 Ndeeba-Nateete-24h'!K74,'27.07 Ndeeba-Nateete-24h'!K74)</f>
        <v>0.5</v>
      </c>
      <c r="L74" s="49">
        <f>AVERAGE('26.07 Ndeeba-Nateete-24h'!L74,'27.07 Ndeeba-Nateete-24h'!L74)</f>
        <v>0.5</v>
      </c>
      <c r="M74" s="49">
        <f>AVERAGE('26.07 Ndeeba-Nateete-24h'!M74,'27.07 Ndeeba-Nateete-24h'!M74)</f>
        <v>176.5</v>
      </c>
      <c r="N74" s="49">
        <f>AVERAGE('26.07 Ndeeba-Nateete-24h'!N74,'27.07 Ndeeba-Nateete-24h'!N74)</f>
        <v>0</v>
      </c>
      <c r="O74" s="15">
        <f t="shared" si="36"/>
        <v>91</v>
      </c>
      <c r="P74" s="15">
        <f t="shared" si="35"/>
        <v>267.5</v>
      </c>
      <c r="R74" s="8"/>
      <c r="T74"/>
    </row>
    <row r="75" spans="2:20" ht="23.1" customHeight="1" x14ac:dyDescent="0.25">
      <c r="B75" s="23" t="s">
        <v>115</v>
      </c>
      <c r="C75" s="49">
        <f>AVERAGE('26.07 Ndeeba-Nateete-24h'!C75,'27.07 Ndeeba-Nateete-24h'!C75)</f>
        <v>26.5</v>
      </c>
      <c r="D75" s="49">
        <f>AVERAGE('26.07 Ndeeba-Nateete-24h'!D75,'27.07 Ndeeba-Nateete-24h'!D75)</f>
        <v>7.5</v>
      </c>
      <c r="E75" s="49">
        <f>AVERAGE('26.07 Ndeeba-Nateete-24h'!E75,'27.07 Ndeeba-Nateete-24h'!E75)</f>
        <v>5</v>
      </c>
      <c r="F75" s="49">
        <f>AVERAGE('26.07 Ndeeba-Nateete-24h'!F75,'27.07 Ndeeba-Nateete-24h'!F75)</f>
        <v>48.5</v>
      </c>
      <c r="G75" s="49">
        <f>AVERAGE('26.07 Ndeeba-Nateete-24h'!G75,'27.07 Ndeeba-Nateete-24h'!G75)</f>
        <v>0.5</v>
      </c>
      <c r="H75" s="49">
        <f>AVERAGE('26.07 Ndeeba-Nateete-24h'!H75,'27.07 Ndeeba-Nateete-24h'!H75)</f>
        <v>1</v>
      </c>
      <c r="I75" s="49">
        <f>AVERAGE('26.07 Ndeeba-Nateete-24h'!I75,'27.07 Ndeeba-Nateete-24h'!I75)</f>
        <v>3</v>
      </c>
      <c r="J75" s="49">
        <f>AVERAGE('26.07 Ndeeba-Nateete-24h'!J75,'27.07 Ndeeba-Nateete-24h'!J75)</f>
        <v>4.5</v>
      </c>
      <c r="K75" s="49">
        <f>AVERAGE('26.07 Ndeeba-Nateete-24h'!K75,'27.07 Ndeeba-Nateete-24h'!K75)</f>
        <v>1.5</v>
      </c>
      <c r="L75" s="49">
        <f>AVERAGE('26.07 Ndeeba-Nateete-24h'!L75,'27.07 Ndeeba-Nateete-24h'!L75)</f>
        <v>0</v>
      </c>
      <c r="M75" s="49">
        <f>AVERAGE('26.07 Ndeeba-Nateete-24h'!M75,'27.07 Ndeeba-Nateete-24h'!M75)</f>
        <v>145</v>
      </c>
      <c r="N75" s="49">
        <f>AVERAGE('26.07 Ndeeba-Nateete-24h'!N75,'27.07 Ndeeba-Nateete-24h'!N75)</f>
        <v>0</v>
      </c>
      <c r="O75" s="15">
        <f t="shared" si="36"/>
        <v>98</v>
      </c>
      <c r="P75" s="15">
        <f t="shared" si="35"/>
        <v>243</v>
      </c>
      <c r="R75" s="8"/>
      <c r="T75"/>
    </row>
    <row r="76" spans="2:20" ht="23.1" customHeight="1" x14ac:dyDescent="0.25">
      <c r="B76" s="23" t="s">
        <v>116</v>
      </c>
      <c r="C76" s="49">
        <f>AVERAGE('26.07 Ndeeba-Nateete-24h'!C76,'27.07 Ndeeba-Nateete-24h'!C76)</f>
        <v>30.5</v>
      </c>
      <c r="D76" s="49">
        <f>AVERAGE('26.07 Ndeeba-Nateete-24h'!D76,'27.07 Ndeeba-Nateete-24h'!D76)</f>
        <v>6</v>
      </c>
      <c r="E76" s="49">
        <f>AVERAGE('26.07 Ndeeba-Nateete-24h'!E76,'27.07 Ndeeba-Nateete-24h'!E76)</f>
        <v>1.5</v>
      </c>
      <c r="F76" s="49">
        <f>AVERAGE('26.07 Ndeeba-Nateete-24h'!F76,'27.07 Ndeeba-Nateete-24h'!F76)</f>
        <v>29.5</v>
      </c>
      <c r="G76" s="49">
        <f>AVERAGE('26.07 Ndeeba-Nateete-24h'!G76,'27.07 Ndeeba-Nateete-24h'!G76)</f>
        <v>0.5</v>
      </c>
      <c r="H76" s="49">
        <f>AVERAGE('26.07 Ndeeba-Nateete-24h'!H76,'27.07 Ndeeba-Nateete-24h'!H76)</f>
        <v>0</v>
      </c>
      <c r="I76" s="49">
        <f>AVERAGE('26.07 Ndeeba-Nateete-24h'!I76,'27.07 Ndeeba-Nateete-24h'!I76)</f>
        <v>8.5</v>
      </c>
      <c r="J76" s="49">
        <f>AVERAGE('26.07 Ndeeba-Nateete-24h'!J76,'27.07 Ndeeba-Nateete-24h'!J76)</f>
        <v>2.5</v>
      </c>
      <c r="K76" s="49">
        <f>AVERAGE('26.07 Ndeeba-Nateete-24h'!K76,'27.07 Ndeeba-Nateete-24h'!K76)</f>
        <v>2.5</v>
      </c>
      <c r="L76" s="49">
        <f>AVERAGE('26.07 Ndeeba-Nateete-24h'!L76,'27.07 Ndeeba-Nateete-24h'!L76)</f>
        <v>0</v>
      </c>
      <c r="M76" s="49">
        <f>AVERAGE('26.07 Ndeeba-Nateete-24h'!M76,'27.07 Ndeeba-Nateete-24h'!M76)</f>
        <v>132.5</v>
      </c>
      <c r="N76" s="49">
        <f>AVERAGE('26.07 Ndeeba-Nateete-24h'!N76,'27.07 Ndeeba-Nateete-24h'!N76)</f>
        <v>0</v>
      </c>
      <c r="O76" s="15">
        <f t="shared" si="36"/>
        <v>81.5</v>
      </c>
      <c r="P76" s="15">
        <f t="shared" si="35"/>
        <v>214</v>
      </c>
      <c r="R76" s="8"/>
      <c r="T76"/>
    </row>
    <row r="77" spans="2:20" ht="23.1" customHeight="1" x14ac:dyDescent="0.25">
      <c r="B77" s="23" t="s">
        <v>117</v>
      </c>
      <c r="C77" s="49">
        <f>AVERAGE('26.07 Ndeeba-Nateete-24h'!C77,'27.07 Ndeeba-Nateete-24h'!C77)</f>
        <v>41</v>
      </c>
      <c r="D77" s="49">
        <f>AVERAGE('26.07 Ndeeba-Nateete-24h'!D77,'27.07 Ndeeba-Nateete-24h'!D77)</f>
        <v>2.5</v>
      </c>
      <c r="E77" s="49">
        <f>AVERAGE('26.07 Ndeeba-Nateete-24h'!E77,'27.07 Ndeeba-Nateete-24h'!E77)</f>
        <v>1.5</v>
      </c>
      <c r="F77" s="49">
        <f>AVERAGE('26.07 Ndeeba-Nateete-24h'!F77,'27.07 Ndeeba-Nateete-24h'!F77)</f>
        <v>18.5</v>
      </c>
      <c r="G77" s="49">
        <f>AVERAGE('26.07 Ndeeba-Nateete-24h'!G77,'27.07 Ndeeba-Nateete-24h'!G77)</f>
        <v>1</v>
      </c>
      <c r="H77" s="49">
        <f>AVERAGE('26.07 Ndeeba-Nateete-24h'!H77,'27.07 Ndeeba-Nateete-24h'!H77)</f>
        <v>0</v>
      </c>
      <c r="I77" s="49">
        <f>AVERAGE('26.07 Ndeeba-Nateete-24h'!I77,'27.07 Ndeeba-Nateete-24h'!I77)</f>
        <v>7</v>
      </c>
      <c r="J77" s="49">
        <f>AVERAGE('26.07 Ndeeba-Nateete-24h'!J77,'27.07 Ndeeba-Nateete-24h'!J77)</f>
        <v>8.5</v>
      </c>
      <c r="K77" s="49">
        <f>AVERAGE('26.07 Ndeeba-Nateete-24h'!K77,'27.07 Ndeeba-Nateete-24h'!K77)</f>
        <v>2</v>
      </c>
      <c r="L77" s="49">
        <f>AVERAGE('26.07 Ndeeba-Nateete-24h'!L77,'27.07 Ndeeba-Nateete-24h'!L77)</f>
        <v>0</v>
      </c>
      <c r="M77" s="49">
        <f>AVERAGE('26.07 Ndeeba-Nateete-24h'!M77,'27.07 Ndeeba-Nateete-24h'!M77)</f>
        <v>113</v>
      </c>
      <c r="N77" s="49">
        <f>AVERAGE('26.07 Ndeeba-Nateete-24h'!N77,'27.07 Ndeeba-Nateete-24h'!N77)</f>
        <v>0</v>
      </c>
      <c r="O77" s="15">
        <f t="shared" si="36"/>
        <v>82</v>
      </c>
      <c r="P77" s="15">
        <f t="shared" si="35"/>
        <v>195</v>
      </c>
      <c r="R77" s="8"/>
      <c r="T77"/>
    </row>
    <row r="78" spans="2:20" ht="23.1" customHeight="1" x14ac:dyDescent="0.25">
      <c r="B78" s="24" t="s">
        <v>118</v>
      </c>
      <c r="C78" s="49">
        <f>AVERAGE('26.07 Ndeeba-Nateete-24h'!C78,'27.07 Ndeeba-Nateete-24h'!C78)</f>
        <v>36</v>
      </c>
      <c r="D78" s="49">
        <f>AVERAGE('26.07 Ndeeba-Nateete-24h'!D78,'27.07 Ndeeba-Nateete-24h'!D78)</f>
        <v>3.5</v>
      </c>
      <c r="E78" s="49">
        <f>AVERAGE('26.07 Ndeeba-Nateete-24h'!E78,'27.07 Ndeeba-Nateete-24h'!E78)</f>
        <v>2</v>
      </c>
      <c r="F78" s="49">
        <f>AVERAGE('26.07 Ndeeba-Nateete-24h'!F78,'27.07 Ndeeba-Nateete-24h'!F78)</f>
        <v>25</v>
      </c>
      <c r="G78" s="49">
        <f>AVERAGE('26.07 Ndeeba-Nateete-24h'!G78,'27.07 Ndeeba-Nateete-24h'!G78)</f>
        <v>0</v>
      </c>
      <c r="H78" s="49">
        <f>AVERAGE('26.07 Ndeeba-Nateete-24h'!H78,'27.07 Ndeeba-Nateete-24h'!H78)</f>
        <v>1.5</v>
      </c>
      <c r="I78" s="49">
        <f>AVERAGE('26.07 Ndeeba-Nateete-24h'!I78,'27.07 Ndeeba-Nateete-24h'!I78)</f>
        <v>3.5</v>
      </c>
      <c r="J78" s="49">
        <f>AVERAGE('26.07 Ndeeba-Nateete-24h'!J78,'27.07 Ndeeba-Nateete-24h'!J78)</f>
        <v>2.5</v>
      </c>
      <c r="K78" s="49">
        <f>AVERAGE('26.07 Ndeeba-Nateete-24h'!K78,'27.07 Ndeeba-Nateete-24h'!K78)</f>
        <v>1</v>
      </c>
      <c r="L78" s="49">
        <f>AVERAGE('26.07 Ndeeba-Nateete-24h'!L78,'27.07 Ndeeba-Nateete-24h'!L78)</f>
        <v>0.5</v>
      </c>
      <c r="M78" s="49">
        <f>AVERAGE('26.07 Ndeeba-Nateete-24h'!M78,'27.07 Ndeeba-Nateete-24h'!M78)</f>
        <v>189</v>
      </c>
      <c r="N78" s="49">
        <f>AVERAGE('26.07 Ndeeba-Nateete-24h'!N78,'27.07 Ndeeba-Nateete-24h'!N78)</f>
        <v>0</v>
      </c>
      <c r="O78" s="15">
        <f t="shared" si="36"/>
        <v>75.5</v>
      </c>
      <c r="P78" s="15">
        <f t="shared" si="35"/>
        <v>264.5</v>
      </c>
      <c r="R78" s="8"/>
      <c r="T78"/>
    </row>
    <row r="79" spans="2:20" ht="23.1" customHeight="1" x14ac:dyDescent="0.25">
      <c r="B79" s="23" t="s">
        <v>119</v>
      </c>
      <c r="C79" s="49">
        <f>AVERAGE('26.07 Ndeeba-Nateete-24h'!C79,'27.07 Ndeeba-Nateete-24h'!C79)</f>
        <v>44.5</v>
      </c>
      <c r="D79" s="49">
        <f>AVERAGE('26.07 Ndeeba-Nateete-24h'!D79,'27.07 Ndeeba-Nateete-24h'!D79)</f>
        <v>2</v>
      </c>
      <c r="E79" s="49">
        <f>AVERAGE('26.07 Ndeeba-Nateete-24h'!E79,'27.07 Ndeeba-Nateete-24h'!E79)</f>
        <v>0</v>
      </c>
      <c r="F79" s="49">
        <f>AVERAGE('26.07 Ndeeba-Nateete-24h'!F79,'27.07 Ndeeba-Nateete-24h'!F79)</f>
        <v>29.5</v>
      </c>
      <c r="G79" s="49">
        <f>AVERAGE('26.07 Ndeeba-Nateete-24h'!G79,'27.07 Ndeeba-Nateete-24h'!G79)</f>
        <v>0</v>
      </c>
      <c r="H79" s="49">
        <f>AVERAGE('26.07 Ndeeba-Nateete-24h'!H79,'27.07 Ndeeba-Nateete-24h'!H79)</f>
        <v>0</v>
      </c>
      <c r="I79" s="49">
        <f>AVERAGE('26.07 Ndeeba-Nateete-24h'!I79,'27.07 Ndeeba-Nateete-24h'!I79)</f>
        <v>3.5</v>
      </c>
      <c r="J79" s="49">
        <f>AVERAGE('26.07 Ndeeba-Nateete-24h'!J79,'27.07 Ndeeba-Nateete-24h'!J79)</f>
        <v>4</v>
      </c>
      <c r="K79" s="49">
        <f>AVERAGE('26.07 Ndeeba-Nateete-24h'!K79,'27.07 Ndeeba-Nateete-24h'!K79)</f>
        <v>0</v>
      </c>
      <c r="L79" s="49">
        <f>AVERAGE('26.07 Ndeeba-Nateete-24h'!L79,'27.07 Ndeeba-Nateete-24h'!L79)</f>
        <v>0.5</v>
      </c>
      <c r="M79" s="49">
        <f>AVERAGE('26.07 Ndeeba-Nateete-24h'!M79,'27.07 Ndeeba-Nateete-24h'!M79)</f>
        <v>126</v>
      </c>
      <c r="N79" s="49">
        <f>AVERAGE('26.07 Ndeeba-Nateete-24h'!N79,'27.07 Ndeeba-Nateete-24h'!N79)</f>
        <v>0</v>
      </c>
      <c r="O79" s="15">
        <f t="shared" si="36"/>
        <v>84</v>
      </c>
      <c r="P79" s="15">
        <f t="shared" si="35"/>
        <v>210</v>
      </c>
      <c r="R79" s="8"/>
      <c r="T79"/>
    </row>
    <row r="80" spans="2:20" ht="23.1" customHeight="1" x14ac:dyDescent="0.25">
      <c r="B80" s="25" t="s">
        <v>120</v>
      </c>
      <c r="C80" s="49">
        <f>AVERAGE('26.07 Ndeeba-Nateete-24h'!C80,'27.07 Ndeeba-Nateete-24h'!C80)</f>
        <v>27</v>
      </c>
      <c r="D80" s="49">
        <f>AVERAGE('26.07 Ndeeba-Nateete-24h'!D80,'27.07 Ndeeba-Nateete-24h'!D80)</f>
        <v>1.5</v>
      </c>
      <c r="E80" s="49">
        <f>AVERAGE('26.07 Ndeeba-Nateete-24h'!E80,'27.07 Ndeeba-Nateete-24h'!E80)</f>
        <v>4</v>
      </c>
      <c r="F80" s="49">
        <f>AVERAGE('26.07 Ndeeba-Nateete-24h'!F80,'27.07 Ndeeba-Nateete-24h'!F80)</f>
        <v>4.5</v>
      </c>
      <c r="G80" s="49">
        <f>AVERAGE('26.07 Ndeeba-Nateete-24h'!G80,'27.07 Ndeeba-Nateete-24h'!G80)</f>
        <v>0</v>
      </c>
      <c r="H80" s="49">
        <f>AVERAGE('26.07 Ndeeba-Nateete-24h'!H80,'27.07 Ndeeba-Nateete-24h'!H80)</f>
        <v>0.5</v>
      </c>
      <c r="I80" s="49">
        <f>AVERAGE('26.07 Ndeeba-Nateete-24h'!I80,'27.07 Ndeeba-Nateete-24h'!I80)</f>
        <v>4.5</v>
      </c>
      <c r="J80" s="49">
        <f>AVERAGE('26.07 Ndeeba-Nateete-24h'!J80,'27.07 Ndeeba-Nateete-24h'!J80)</f>
        <v>2</v>
      </c>
      <c r="K80" s="49">
        <f>AVERAGE('26.07 Ndeeba-Nateete-24h'!K80,'27.07 Ndeeba-Nateete-24h'!K80)</f>
        <v>0.5</v>
      </c>
      <c r="L80" s="49">
        <f>AVERAGE('26.07 Ndeeba-Nateete-24h'!L80,'27.07 Ndeeba-Nateete-24h'!L80)</f>
        <v>1</v>
      </c>
      <c r="M80" s="49">
        <f>AVERAGE('26.07 Ndeeba-Nateete-24h'!M80,'27.07 Ndeeba-Nateete-24h'!M80)</f>
        <v>100</v>
      </c>
      <c r="N80" s="49">
        <f>AVERAGE('26.07 Ndeeba-Nateete-24h'!N80,'27.07 Ndeeba-Nateete-24h'!N80)</f>
        <v>0</v>
      </c>
      <c r="O80" s="15">
        <f t="shared" si="36"/>
        <v>45.5</v>
      </c>
      <c r="P80" s="15">
        <f t="shared" si="35"/>
        <v>145.5</v>
      </c>
      <c r="R80" s="8"/>
      <c r="T80"/>
    </row>
    <row r="81" spans="2:20" ht="23.1" customHeight="1" x14ac:dyDescent="0.25">
      <c r="B81" s="23" t="s">
        <v>121</v>
      </c>
      <c r="C81" s="49">
        <f>AVERAGE('26.07 Ndeeba-Nateete-24h'!C81,'27.07 Ndeeba-Nateete-24h'!C81)</f>
        <v>31.5</v>
      </c>
      <c r="D81" s="49">
        <f>AVERAGE('26.07 Ndeeba-Nateete-24h'!D81,'27.07 Ndeeba-Nateete-24h'!D81)</f>
        <v>4</v>
      </c>
      <c r="E81" s="49">
        <f>AVERAGE('26.07 Ndeeba-Nateete-24h'!E81,'27.07 Ndeeba-Nateete-24h'!E81)</f>
        <v>2.5</v>
      </c>
      <c r="F81" s="49">
        <f>AVERAGE('26.07 Ndeeba-Nateete-24h'!F81,'27.07 Ndeeba-Nateete-24h'!F81)</f>
        <v>24.5</v>
      </c>
      <c r="G81" s="49">
        <f>AVERAGE('26.07 Ndeeba-Nateete-24h'!G81,'27.07 Ndeeba-Nateete-24h'!G81)</f>
        <v>0.5</v>
      </c>
      <c r="H81" s="49">
        <f>AVERAGE('26.07 Ndeeba-Nateete-24h'!H81,'27.07 Ndeeba-Nateete-24h'!H81)</f>
        <v>0</v>
      </c>
      <c r="I81" s="49">
        <f>AVERAGE('26.07 Ndeeba-Nateete-24h'!I81,'27.07 Ndeeba-Nateete-24h'!I81)</f>
        <v>3.5</v>
      </c>
      <c r="J81" s="49">
        <f>AVERAGE('26.07 Ndeeba-Nateete-24h'!J81,'27.07 Ndeeba-Nateete-24h'!J81)</f>
        <v>3</v>
      </c>
      <c r="K81" s="49">
        <f>AVERAGE('26.07 Ndeeba-Nateete-24h'!K81,'27.07 Ndeeba-Nateete-24h'!K81)</f>
        <v>0.5</v>
      </c>
      <c r="L81" s="49">
        <f>AVERAGE('26.07 Ndeeba-Nateete-24h'!L81,'27.07 Ndeeba-Nateete-24h'!L81)</f>
        <v>1</v>
      </c>
      <c r="M81" s="49">
        <f>AVERAGE('26.07 Ndeeba-Nateete-24h'!M81,'27.07 Ndeeba-Nateete-24h'!M81)</f>
        <v>61.5</v>
      </c>
      <c r="N81" s="49">
        <f>AVERAGE('26.07 Ndeeba-Nateete-24h'!N81,'27.07 Ndeeba-Nateete-24h'!N81)</f>
        <v>0</v>
      </c>
      <c r="O81" s="15">
        <f t="shared" si="36"/>
        <v>71</v>
      </c>
      <c r="P81" s="15">
        <f t="shared" si="35"/>
        <v>132.5</v>
      </c>
      <c r="R81" s="8"/>
      <c r="T81"/>
    </row>
    <row r="82" spans="2:20" ht="23.1" customHeight="1" x14ac:dyDescent="0.25">
      <c r="B82" s="24" t="s">
        <v>122</v>
      </c>
      <c r="C82" s="49">
        <f>AVERAGE('26.07 Ndeeba-Nateete-24h'!C82,'27.07 Ndeeba-Nateete-24h'!C82)</f>
        <v>21</v>
      </c>
      <c r="D82" s="49">
        <f>AVERAGE('26.07 Ndeeba-Nateete-24h'!D82,'27.07 Ndeeba-Nateete-24h'!D82)</f>
        <v>1</v>
      </c>
      <c r="E82" s="49">
        <f>AVERAGE('26.07 Ndeeba-Nateete-24h'!E82,'27.07 Ndeeba-Nateete-24h'!E82)</f>
        <v>1.5</v>
      </c>
      <c r="F82" s="49">
        <f>AVERAGE('26.07 Ndeeba-Nateete-24h'!F82,'27.07 Ndeeba-Nateete-24h'!F82)</f>
        <v>23.5</v>
      </c>
      <c r="G82" s="49">
        <f>AVERAGE('26.07 Ndeeba-Nateete-24h'!G82,'27.07 Ndeeba-Nateete-24h'!G82)</f>
        <v>0</v>
      </c>
      <c r="H82" s="49">
        <f>AVERAGE('26.07 Ndeeba-Nateete-24h'!H82,'27.07 Ndeeba-Nateete-24h'!H82)</f>
        <v>0</v>
      </c>
      <c r="I82" s="49">
        <f>AVERAGE('26.07 Ndeeba-Nateete-24h'!I82,'27.07 Ndeeba-Nateete-24h'!I82)</f>
        <v>5.5</v>
      </c>
      <c r="J82" s="49">
        <f>AVERAGE('26.07 Ndeeba-Nateete-24h'!J82,'27.07 Ndeeba-Nateete-24h'!J82)</f>
        <v>1.5</v>
      </c>
      <c r="K82" s="49">
        <f>AVERAGE('26.07 Ndeeba-Nateete-24h'!K82,'27.07 Ndeeba-Nateete-24h'!K82)</f>
        <v>0.5</v>
      </c>
      <c r="L82" s="49">
        <f>AVERAGE('26.07 Ndeeba-Nateete-24h'!L82,'27.07 Ndeeba-Nateete-24h'!L82)</f>
        <v>0</v>
      </c>
      <c r="M82" s="49">
        <f>AVERAGE('26.07 Ndeeba-Nateete-24h'!M82,'27.07 Ndeeba-Nateete-24h'!M82)</f>
        <v>72.5</v>
      </c>
      <c r="N82" s="49">
        <f>AVERAGE('26.07 Ndeeba-Nateete-24h'!N82,'27.07 Ndeeba-Nateete-24h'!N82)</f>
        <v>0</v>
      </c>
      <c r="O82" s="15">
        <f t="shared" si="36"/>
        <v>54.5</v>
      </c>
      <c r="P82" s="15">
        <f t="shared" si="35"/>
        <v>127</v>
      </c>
      <c r="R82" s="8"/>
      <c r="T82"/>
    </row>
    <row r="83" spans="2:20" ht="23.1" customHeight="1" x14ac:dyDescent="0.25">
      <c r="B83" s="23" t="s">
        <v>123</v>
      </c>
      <c r="C83" s="49">
        <f>AVERAGE('26.07 Ndeeba-Nateete-24h'!C83,'27.07 Ndeeba-Nateete-24h'!C83)</f>
        <v>26.5</v>
      </c>
      <c r="D83" s="49">
        <f>AVERAGE('26.07 Ndeeba-Nateete-24h'!D83,'27.07 Ndeeba-Nateete-24h'!D83)</f>
        <v>2.5</v>
      </c>
      <c r="E83" s="49">
        <f>AVERAGE('26.07 Ndeeba-Nateete-24h'!E83,'27.07 Ndeeba-Nateete-24h'!E83)</f>
        <v>0</v>
      </c>
      <c r="F83" s="49">
        <f>AVERAGE('26.07 Ndeeba-Nateete-24h'!F83,'27.07 Ndeeba-Nateete-24h'!F83)</f>
        <v>17</v>
      </c>
      <c r="G83" s="49">
        <f>AVERAGE('26.07 Ndeeba-Nateete-24h'!G83,'27.07 Ndeeba-Nateete-24h'!G83)</f>
        <v>0</v>
      </c>
      <c r="H83" s="49">
        <f>AVERAGE('26.07 Ndeeba-Nateete-24h'!H83,'27.07 Ndeeba-Nateete-24h'!H83)</f>
        <v>0</v>
      </c>
      <c r="I83" s="49">
        <f>AVERAGE('26.07 Ndeeba-Nateete-24h'!I83,'27.07 Ndeeba-Nateete-24h'!I83)</f>
        <v>9</v>
      </c>
      <c r="J83" s="49">
        <f>AVERAGE('26.07 Ndeeba-Nateete-24h'!J83,'27.07 Ndeeba-Nateete-24h'!J83)</f>
        <v>5</v>
      </c>
      <c r="K83" s="49">
        <f>AVERAGE('26.07 Ndeeba-Nateete-24h'!K83,'27.07 Ndeeba-Nateete-24h'!K83)</f>
        <v>2</v>
      </c>
      <c r="L83" s="49">
        <f>AVERAGE('26.07 Ndeeba-Nateete-24h'!L83,'27.07 Ndeeba-Nateete-24h'!L83)</f>
        <v>1</v>
      </c>
      <c r="M83" s="49">
        <f>AVERAGE('26.07 Ndeeba-Nateete-24h'!M83,'27.07 Ndeeba-Nateete-24h'!M83)</f>
        <v>58</v>
      </c>
      <c r="N83" s="49">
        <f>AVERAGE('26.07 Ndeeba-Nateete-24h'!N83,'27.07 Ndeeba-Nateete-24h'!N83)</f>
        <v>0</v>
      </c>
      <c r="O83" s="15">
        <f t="shared" si="36"/>
        <v>63</v>
      </c>
      <c r="P83" s="15">
        <f t="shared" si="35"/>
        <v>121</v>
      </c>
      <c r="R83" s="8"/>
      <c r="T83"/>
    </row>
    <row r="84" spans="2:20" ht="23.1" customHeight="1" x14ac:dyDescent="0.25">
      <c r="B84" s="25" t="s">
        <v>124</v>
      </c>
      <c r="C84" s="49">
        <f>AVERAGE('26.07 Ndeeba-Nateete-24h'!C84,'27.07 Ndeeba-Nateete-24h'!C84)</f>
        <v>35</v>
      </c>
      <c r="D84" s="49">
        <f>AVERAGE('26.07 Ndeeba-Nateete-24h'!D84,'27.07 Ndeeba-Nateete-24h'!D84)</f>
        <v>4.5</v>
      </c>
      <c r="E84" s="49">
        <f>AVERAGE('26.07 Ndeeba-Nateete-24h'!E84,'27.07 Ndeeba-Nateete-24h'!E84)</f>
        <v>1.5</v>
      </c>
      <c r="F84" s="49">
        <f>AVERAGE('26.07 Ndeeba-Nateete-24h'!F84,'27.07 Ndeeba-Nateete-24h'!F84)</f>
        <v>17</v>
      </c>
      <c r="G84" s="49">
        <f>AVERAGE('26.07 Ndeeba-Nateete-24h'!G84,'27.07 Ndeeba-Nateete-24h'!G84)</f>
        <v>0.5</v>
      </c>
      <c r="H84" s="49">
        <f>AVERAGE('26.07 Ndeeba-Nateete-24h'!H84,'27.07 Ndeeba-Nateete-24h'!H84)</f>
        <v>0</v>
      </c>
      <c r="I84" s="49">
        <f>AVERAGE('26.07 Ndeeba-Nateete-24h'!I84,'27.07 Ndeeba-Nateete-24h'!I84)</f>
        <v>7</v>
      </c>
      <c r="J84" s="49">
        <f>AVERAGE('26.07 Ndeeba-Nateete-24h'!J84,'27.07 Ndeeba-Nateete-24h'!J84)</f>
        <v>3</v>
      </c>
      <c r="K84" s="49">
        <f>AVERAGE('26.07 Ndeeba-Nateete-24h'!K84,'27.07 Ndeeba-Nateete-24h'!K84)</f>
        <v>1</v>
      </c>
      <c r="L84" s="49">
        <f>AVERAGE('26.07 Ndeeba-Nateete-24h'!L84,'27.07 Ndeeba-Nateete-24h'!L84)</f>
        <v>0.5</v>
      </c>
      <c r="M84" s="49">
        <f>AVERAGE('26.07 Ndeeba-Nateete-24h'!M84,'27.07 Ndeeba-Nateete-24h'!M84)</f>
        <v>40.5</v>
      </c>
      <c r="N84" s="49">
        <f>AVERAGE('26.07 Ndeeba-Nateete-24h'!N84,'27.07 Ndeeba-Nateete-24h'!N84)</f>
        <v>0</v>
      </c>
      <c r="O84" s="15">
        <f t="shared" si="36"/>
        <v>70</v>
      </c>
      <c r="P84" s="15">
        <f t="shared" si="35"/>
        <v>110.5</v>
      </c>
      <c r="R84" s="8"/>
      <c r="T84"/>
    </row>
    <row r="85" spans="2:20" ht="23.1" customHeight="1" x14ac:dyDescent="0.25">
      <c r="B85" s="23" t="s">
        <v>125</v>
      </c>
      <c r="C85" s="49">
        <f>AVERAGE('26.07 Ndeeba-Nateete-24h'!C85,'27.07 Ndeeba-Nateete-24h'!C85)</f>
        <v>47.5</v>
      </c>
      <c r="D85" s="49">
        <f>AVERAGE('26.07 Ndeeba-Nateete-24h'!D85,'27.07 Ndeeba-Nateete-24h'!D85)</f>
        <v>2</v>
      </c>
      <c r="E85" s="49">
        <f>AVERAGE('26.07 Ndeeba-Nateete-24h'!E85,'27.07 Ndeeba-Nateete-24h'!E85)</f>
        <v>2</v>
      </c>
      <c r="F85" s="49">
        <f>AVERAGE('26.07 Ndeeba-Nateete-24h'!F85,'27.07 Ndeeba-Nateete-24h'!F85)</f>
        <v>9.5</v>
      </c>
      <c r="G85" s="49">
        <f>AVERAGE('26.07 Ndeeba-Nateete-24h'!G85,'27.07 Ndeeba-Nateete-24h'!G85)</f>
        <v>0</v>
      </c>
      <c r="H85" s="49">
        <f>AVERAGE('26.07 Ndeeba-Nateete-24h'!H85,'27.07 Ndeeba-Nateete-24h'!H85)</f>
        <v>0</v>
      </c>
      <c r="I85" s="49">
        <f>AVERAGE('26.07 Ndeeba-Nateete-24h'!I85,'27.07 Ndeeba-Nateete-24h'!I85)</f>
        <v>4</v>
      </c>
      <c r="J85" s="49">
        <f>AVERAGE('26.07 Ndeeba-Nateete-24h'!J85,'27.07 Ndeeba-Nateete-24h'!J85)</f>
        <v>3.5</v>
      </c>
      <c r="K85" s="49">
        <f>AVERAGE('26.07 Ndeeba-Nateete-24h'!K85,'27.07 Ndeeba-Nateete-24h'!K85)</f>
        <v>0.5</v>
      </c>
      <c r="L85" s="49">
        <f>AVERAGE('26.07 Ndeeba-Nateete-24h'!L85,'27.07 Ndeeba-Nateete-24h'!L85)</f>
        <v>2.5</v>
      </c>
      <c r="M85" s="49">
        <f>AVERAGE('26.07 Ndeeba-Nateete-24h'!M85,'27.07 Ndeeba-Nateete-24h'!M85)</f>
        <v>44</v>
      </c>
      <c r="N85" s="49">
        <f>AVERAGE('26.07 Ndeeba-Nateete-24h'!N85,'27.07 Ndeeba-Nateete-24h'!N85)</f>
        <v>0</v>
      </c>
      <c r="O85" s="15">
        <f t="shared" si="36"/>
        <v>71.5</v>
      </c>
      <c r="P85" s="15">
        <f t="shared" si="35"/>
        <v>115.5</v>
      </c>
      <c r="R85" s="8"/>
      <c r="T85"/>
    </row>
    <row r="86" spans="2:20" ht="23.1" customHeight="1" x14ac:dyDescent="0.25">
      <c r="B86" s="24" t="s">
        <v>126</v>
      </c>
      <c r="C86" s="49">
        <f>AVERAGE('26.07 Ndeeba-Nateete-24h'!C86,'27.07 Ndeeba-Nateete-24h'!C86)</f>
        <v>31.5</v>
      </c>
      <c r="D86" s="49">
        <f>AVERAGE('26.07 Ndeeba-Nateete-24h'!D86,'27.07 Ndeeba-Nateete-24h'!D86)</f>
        <v>2.5</v>
      </c>
      <c r="E86" s="49">
        <f>AVERAGE('26.07 Ndeeba-Nateete-24h'!E86,'27.07 Ndeeba-Nateete-24h'!E86)</f>
        <v>1.5</v>
      </c>
      <c r="F86" s="49">
        <f>AVERAGE('26.07 Ndeeba-Nateete-24h'!F86,'27.07 Ndeeba-Nateete-24h'!F86)</f>
        <v>9</v>
      </c>
      <c r="G86" s="49">
        <f>AVERAGE('26.07 Ndeeba-Nateete-24h'!G86,'27.07 Ndeeba-Nateete-24h'!G86)</f>
        <v>0</v>
      </c>
      <c r="H86" s="49">
        <f>AVERAGE('26.07 Ndeeba-Nateete-24h'!H86,'27.07 Ndeeba-Nateete-24h'!H86)</f>
        <v>1.5</v>
      </c>
      <c r="I86" s="49">
        <f>AVERAGE('26.07 Ndeeba-Nateete-24h'!I86,'27.07 Ndeeba-Nateete-24h'!I86)</f>
        <v>5</v>
      </c>
      <c r="J86" s="49">
        <f>AVERAGE('26.07 Ndeeba-Nateete-24h'!J86,'27.07 Ndeeba-Nateete-24h'!J86)</f>
        <v>8</v>
      </c>
      <c r="K86" s="49">
        <f>AVERAGE('26.07 Ndeeba-Nateete-24h'!K86,'27.07 Ndeeba-Nateete-24h'!K86)</f>
        <v>0</v>
      </c>
      <c r="L86" s="49">
        <f>AVERAGE('26.07 Ndeeba-Nateete-24h'!L86,'27.07 Ndeeba-Nateete-24h'!L86)</f>
        <v>1</v>
      </c>
      <c r="M86" s="49">
        <f>AVERAGE('26.07 Ndeeba-Nateete-24h'!M86,'27.07 Ndeeba-Nateete-24h'!M86)</f>
        <v>80.5</v>
      </c>
      <c r="N86" s="49">
        <f>AVERAGE('26.07 Ndeeba-Nateete-24h'!N86,'27.07 Ndeeba-Nateete-24h'!N86)</f>
        <v>0</v>
      </c>
      <c r="O86" s="15">
        <f t="shared" si="36"/>
        <v>60</v>
      </c>
      <c r="P86" s="15">
        <f t="shared" si="35"/>
        <v>140.5</v>
      </c>
      <c r="R86" s="8"/>
      <c r="T86"/>
    </row>
    <row r="87" spans="2:20" ht="23.1" customHeight="1" x14ac:dyDescent="0.25">
      <c r="B87" s="23" t="s">
        <v>127</v>
      </c>
      <c r="C87" s="49">
        <f>AVERAGE('26.07 Ndeeba-Nateete-24h'!C87,'27.07 Ndeeba-Nateete-24h'!C87)</f>
        <v>9.5</v>
      </c>
      <c r="D87" s="49">
        <f>AVERAGE('26.07 Ndeeba-Nateete-24h'!D87,'27.07 Ndeeba-Nateete-24h'!D87)</f>
        <v>0.5</v>
      </c>
      <c r="E87" s="49">
        <f>AVERAGE('26.07 Ndeeba-Nateete-24h'!E87,'27.07 Ndeeba-Nateete-24h'!E87)</f>
        <v>0.5</v>
      </c>
      <c r="F87" s="49">
        <f>AVERAGE('26.07 Ndeeba-Nateete-24h'!F87,'27.07 Ndeeba-Nateete-24h'!F87)</f>
        <v>3.5</v>
      </c>
      <c r="G87" s="49">
        <f>AVERAGE('26.07 Ndeeba-Nateete-24h'!G87,'27.07 Ndeeba-Nateete-24h'!G87)</f>
        <v>0</v>
      </c>
      <c r="H87" s="49">
        <f>AVERAGE('26.07 Ndeeba-Nateete-24h'!H87,'27.07 Ndeeba-Nateete-24h'!H87)</f>
        <v>0</v>
      </c>
      <c r="I87" s="49">
        <f>AVERAGE('26.07 Ndeeba-Nateete-24h'!I87,'27.07 Ndeeba-Nateete-24h'!I87)</f>
        <v>2</v>
      </c>
      <c r="J87" s="49">
        <f>AVERAGE('26.07 Ndeeba-Nateete-24h'!J87,'27.07 Ndeeba-Nateete-24h'!J87)</f>
        <v>1.5</v>
      </c>
      <c r="K87" s="49">
        <f>AVERAGE('26.07 Ndeeba-Nateete-24h'!K87,'27.07 Ndeeba-Nateete-24h'!K87)</f>
        <v>1.5</v>
      </c>
      <c r="L87" s="49">
        <f>AVERAGE('26.07 Ndeeba-Nateete-24h'!L87,'27.07 Ndeeba-Nateete-24h'!L87)</f>
        <v>0</v>
      </c>
      <c r="M87" s="49">
        <f>AVERAGE('26.07 Ndeeba-Nateete-24h'!M87,'27.07 Ndeeba-Nateete-24h'!M87)</f>
        <v>53</v>
      </c>
      <c r="N87" s="49">
        <f>AVERAGE('26.07 Ndeeba-Nateete-24h'!N87,'27.07 Ndeeba-Nateete-24h'!N87)</f>
        <v>0</v>
      </c>
      <c r="O87" s="15">
        <f t="shared" si="36"/>
        <v>19</v>
      </c>
      <c r="P87" s="15">
        <f t="shared" si="35"/>
        <v>72</v>
      </c>
      <c r="R87" s="8"/>
      <c r="T87"/>
    </row>
    <row r="88" spans="2:20" ht="23.1" customHeight="1" x14ac:dyDescent="0.25">
      <c r="B88" s="25" t="s">
        <v>128</v>
      </c>
      <c r="C88" s="49">
        <f>AVERAGE('26.07 Ndeeba-Nateete-24h'!C88,'27.07 Ndeeba-Nateete-24h'!C88)</f>
        <v>11.5</v>
      </c>
      <c r="D88" s="49">
        <f>AVERAGE('26.07 Ndeeba-Nateete-24h'!D88,'27.07 Ndeeba-Nateete-24h'!D88)</f>
        <v>1.5</v>
      </c>
      <c r="E88" s="49">
        <f>AVERAGE('26.07 Ndeeba-Nateete-24h'!E88,'27.07 Ndeeba-Nateete-24h'!E88)</f>
        <v>0</v>
      </c>
      <c r="F88" s="49">
        <f>AVERAGE('26.07 Ndeeba-Nateete-24h'!F88,'27.07 Ndeeba-Nateete-24h'!F88)</f>
        <v>1</v>
      </c>
      <c r="G88" s="49">
        <f>AVERAGE('26.07 Ndeeba-Nateete-24h'!G88,'27.07 Ndeeba-Nateete-24h'!G88)</f>
        <v>0</v>
      </c>
      <c r="H88" s="49">
        <f>AVERAGE('26.07 Ndeeba-Nateete-24h'!H88,'27.07 Ndeeba-Nateete-24h'!H88)</f>
        <v>0</v>
      </c>
      <c r="I88" s="49">
        <f>AVERAGE('26.07 Ndeeba-Nateete-24h'!I88,'27.07 Ndeeba-Nateete-24h'!I88)</f>
        <v>1</v>
      </c>
      <c r="J88" s="49">
        <f>AVERAGE('26.07 Ndeeba-Nateete-24h'!J88,'27.07 Ndeeba-Nateete-24h'!J88)</f>
        <v>1.5</v>
      </c>
      <c r="K88" s="49">
        <f>AVERAGE('26.07 Ndeeba-Nateete-24h'!K88,'27.07 Ndeeba-Nateete-24h'!K88)</f>
        <v>2</v>
      </c>
      <c r="L88" s="49">
        <f>AVERAGE('26.07 Ndeeba-Nateete-24h'!L88,'27.07 Ndeeba-Nateete-24h'!L88)</f>
        <v>0.5</v>
      </c>
      <c r="M88" s="49">
        <f>AVERAGE('26.07 Ndeeba-Nateete-24h'!M88,'27.07 Ndeeba-Nateete-24h'!M88)</f>
        <v>75.5</v>
      </c>
      <c r="N88" s="49">
        <f>AVERAGE('26.07 Ndeeba-Nateete-24h'!N88,'27.07 Ndeeba-Nateete-24h'!N88)</f>
        <v>0</v>
      </c>
      <c r="O88" s="15">
        <f t="shared" si="36"/>
        <v>19</v>
      </c>
      <c r="P88" s="15">
        <f t="shared" si="35"/>
        <v>94.5</v>
      </c>
      <c r="R88" s="8"/>
      <c r="T88"/>
    </row>
    <row r="89" spans="2:20" ht="23.1" customHeight="1" x14ac:dyDescent="0.25">
      <c r="B89" s="23" t="s">
        <v>129</v>
      </c>
      <c r="C89" s="49">
        <f>AVERAGE('26.07 Ndeeba-Nateete-24h'!C89,'27.07 Ndeeba-Nateete-24h'!C89)</f>
        <v>4</v>
      </c>
      <c r="D89" s="49">
        <f>AVERAGE('26.07 Ndeeba-Nateete-24h'!D89,'27.07 Ndeeba-Nateete-24h'!D89)</f>
        <v>0</v>
      </c>
      <c r="E89" s="49">
        <f>AVERAGE('26.07 Ndeeba-Nateete-24h'!E89,'27.07 Ndeeba-Nateete-24h'!E89)</f>
        <v>1.5</v>
      </c>
      <c r="F89" s="49">
        <f>AVERAGE('26.07 Ndeeba-Nateete-24h'!F89,'27.07 Ndeeba-Nateete-24h'!F89)</f>
        <v>0.5</v>
      </c>
      <c r="G89" s="49">
        <f>AVERAGE('26.07 Ndeeba-Nateete-24h'!G89,'27.07 Ndeeba-Nateete-24h'!G89)</f>
        <v>0</v>
      </c>
      <c r="H89" s="49">
        <f>AVERAGE('26.07 Ndeeba-Nateete-24h'!H89,'27.07 Ndeeba-Nateete-24h'!H89)</f>
        <v>0</v>
      </c>
      <c r="I89" s="49">
        <f>AVERAGE('26.07 Ndeeba-Nateete-24h'!I89,'27.07 Ndeeba-Nateete-24h'!I89)</f>
        <v>2</v>
      </c>
      <c r="J89" s="49">
        <f>AVERAGE('26.07 Ndeeba-Nateete-24h'!J89,'27.07 Ndeeba-Nateete-24h'!J89)</f>
        <v>3.5</v>
      </c>
      <c r="K89" s="49">
        <f>AVERAGE('26.07 Ndeeba-Nateete-24h'!K89,'27.07 Ndeeba-Nateete-24h'!K89)</f>
        <v>2</v>
      </c>
      <c r="L89" s="49">
        <f>AVERAGE('26.07 Ndeeba-Nateete-24h'!L89,'27.07 Ndeeba-Nateete-24h'!L89)</f>
        <v>1</v>
      </c>
      <c r="M89" s="49">
        <f>AVERAGE('26.07 Ndeeba-Nateete-24h'!M89,'27.07 Ndeeba-Nateete-24h'!M89)</f>
        <v>67</v>
      </c>
      <c r="N89" s="49">
        <f>AVERAGE('26.07 Ndeeba-Nateete-24h'!N89,'27.07 Ndeeba-Nateete-24h'!N89)</f>
        <v>0</v>
      </c>
      <c r="O89" s="15">
        <f t="shared" si="36"/>
        <v>14.5</v>
      </c>
      <c r="P89" s="15">
        <f t="shared" si="35"/>
        <v>81.5</v>
      </c>
      <c r="R89" s="8"/>
      <c r="T89"/>
    </row>
    <row r="90" spans="2:20" ht="23.1" customHeight="1" x14ac:dyDescent="0.25">
      <c r="B90" s="24" t="s">
        <v>130</v>
      </c>
      <c r="C90" s="49">
        <f>AVERAGE('26.07 Ndeeba-Nateete-24h'!C90,'27.07 Ndeeba-Nateete-24h'!C90)</f>
        <v>7</v>
      </c>
      <c r="D90" s="49">
        <f>AVERAGE('26.07 Ndeeba-Nateete-24h'!D90,'27.07 Ndeeba-Nateete-24h'!D90)</f>
        <v>0.5</v>
      </c>
      <c r="E90" s="49">
        <f>AVERAGE('26.07 Ndeeba-Nateete-24h'!E90,'27.07 Ndeeba-Nateete-24h'!E90)</f>
        <v>0.5</v>
      </c>
      <c r="F90" s="49">
        <f>AVERAGE('26.07 Ndeeba-Nateete-24h'!F90,'27.07 Ndeeba-Nateete-24h'!F90)</f>
        <v>0.5</v>
      </c>
      <c r="G90" s="49">
        <f>AVERAGE('26.07 Ndeeba-Nateete-24h'!G90,'27.07 Ndeeba-Nateete-24h'!G90)</f>
        <v>0</v>
      </c>
      <c r="H90" s="49">
        <f>AVERAGE('26.07 Ndeeba-Nateete-24h'!H90,'27.07 Ndeeba-Nateete-24h'!H90)</f>
        <v>0.5</v>
      </c>
      <c r="I90" s="49">
        <f>AVERAGE('26.07 Ndeeba-Nateete-24h'!I90,'27.07 Ndeeba-Nateete-24h'!I90)</f>
        <v>2</v>
      </c>
      <c r="J90" s="49">
        <f>AVERAGE('26.07 Ndeeba-Nateete-24h'!J90,'27.07 Ndeeba-Nateete-24h'!J90)</f>
        <v>1</v>
      </c>
      <c r="K90" s="49">
        <f>AVERAGE('26.07 Ndeeba-Nateete-24h'!K90,'27.07 Ndeeba-Nateete-24h'!K90)</f>
        <v>0.5</v>
      </c>
      <c r="L90" s="49">
        <f>AVERAGE('26.07 Ndeeba-Nateete-24h'!L90,'27.07 Ndeeba-Nateete-24h'!L90)</f>
        <v>0.5</v>
      </c>
      <c r="M90" s="49">
        <f>AVERAGE('26.07 Ndeeba-Nateete-24h'!M90,'27.07 Ndeeba-Nateete-24h'!M90)</f>
        <v>76</v>
      </c>
      <c r="N90" s="49">
        <f>AVERAGE('26.07 Ndeeba-Nateete-24h'!N90,'27.07 Ndeeba-Nateete-24h'!N90)</f>
        <v>0</v>
      </c>
      <c r="O90" s="15">
        <f t="shared" si="36"/>
        <v>13</v>
      </c>
      <c r="P90" s="15">
        <f t="shared" si="35"/>
        <v>89</v>
      </c>
      <c r="R90" s="8"/>
      <c r="T90"/>
    </row>
    <row r="91" spans="2:20" ht="23.1" customHeight="1" x14ac:dyDescent="0.25">
      <c r="B91" s="23" t="s">
        <v>131</v>
      </c>
      <c r="C91" s="49">
        <f>AVERAGE('26.07 Ndeeba-Nateete-24h'!C91,'27.07 Ndeeba-Nateete-24h'!C91)</f>
        <v>9.5</v>
      </c>
      <c r="D91" s="49">
        <f>AVERAGE('26.07 Ndeeba-Nateete-24h'!D91,'27.07 Ndeeba-Nateete-24h'!D91)</f>
        <v>0.5</v>
      </c>
      <c r="E91" s="49">
        <f>AVERAGE('26.07 Ndeeba-Nateete-24h'!E91,'27.07 Ndeeba-Nateete-24h'!E91)</f>
        <v>0</v>
      </c>
      <c r="F91" s="49">
        <f>AVERAGE('26.07 Ndeeba-Nateete-24h'!F91,'27.07 Ndeeba-Nateete-24h'!F91)</f>
        <v>4</v>
      </c>
      <c r="G91" s="49">
        <f>AVERAGE('26.07 Ndeeba-Nateete-24h'!G91,'27.07 Ndeeba-Nateete-24h'!G91)</f>
        <v>0</v>
      </c>
      <c r="H91" s="49">
        <f>AVERAGE('26.07 Ndeeba-Nateete-24h'!H91,'27.07 Ndeeba-Nateete-24h'!H91)</f>
        <v>0</v>
      </c>
      <c r="I91" s="49">
        <f>AVERAGE('26.07 Ndeeba-Nateete-24h'!I91,'27.07 Ndeeba-Nateete-24h'!I91)</f>
        <v>0.5</v>
      </c>
      <c r="J91" s="49">
        <f>AVERAGE('26.07 Ndeeba-Nateete-24h'!J91,'27.07 Ndeeba-Nateete-24h'!J91)</f>
        <v>1.5</v>
      </c>
      <c r="K91" s="49">
        <f>AVERAGE('26.07 Ndeeba-Nateete-24h'!K91,'27.07 Ndeeba-Nateete-24h'!K91)</f>
        <v>0</v>
      </c>
      <c r="L91" s="49">
        <f>AVERAGE('26.07 Ndeeba-Nateete-24h'!L91,'27.07 Ndeeba-Nateete-24h'!L91)</f>
        <v>0.5</v>
      </c>
      <c r="M91" s="49">
        <f>AVERAGE('26.07 Ndeeba-Nateete-24h'!M91,'27.07 Ndeeba-Nateete-24h'!M91)</f>
        <v>47</v>
      </c>
      <c r="N91" s="49">
        <f>AVERAGE('26.07 Ndeeba-Nateete-24h'!N91,'27.07 Ndeeba-Nateete-24h'!N91)</f>
        <v>0</v>
      </c>
      <c r="O91" s="15">
        <f t="shared" si="36"/>
        <v>16.5</v>
      </c>
      <c r="P91" s="15">
        <f t="shared" si="35"/>
        <v>63.5</v>
      </c>
      <c r="R91" s="8"/>
      <c r="T91"/>
    </row>
    <row r="92" spans="2:20" ht="23.1" customHeight="1" x14ac:dyDescent="0.25">
      <c r="B92" s="25" t="s">
        <v>132</v>
      </c>
      <c r="C92" s="49">
        <f>AVERAGE('26.07 Ndeeba-Nateete-24h'!C92,'27.07 Ndeeba-Nateete-24h'!C92)</f>
        <v>21.5</v>
      </c>
      <c r="D92" s="49">
        <f>AVERAGE('26.07 Ndeeba-Nateete-24h'!D92,'27.07 Ndeeba-Nateete-24h'!D92)</f>
        <v>2</v>
      </c>
      <c r="E92" s="49">
        <f>AVERAGE('26.07 Ndeeba-Nateete-24h'!E92,'27.07 Ndeeba-Nateete-24h'!E92)</f>
        <v>1</v>
      </c>
      <c r="F92" s="49">
        <f>AVERAGE('26.07 Ndeeba-Nateete-24h'!F92,'27.07 Ndeeba-Nateete-24h'!F92)</f>
        <v>4</v>
      </c>
      <c r="G92" s="49">
        <f>AVERAGE('26.07 Ndeeba-Nateete-24h'!G92,'27.07 Ndeeba-Nateete-24h'!G92)</f>
        <v>0</v>
      </c>
      <c r="H92" s="49">
        <f>AVERAGE('26.07 Ndeeba-Nateete-24h'!H92,'27.07 Ndeeba-Nateete-24h'!H92)</f>
        <v>0</v>
      </c>
      <c r="I92" s="49">
        <f>AVERAGE('26.07 Ndeeba-Nateete-24h'!I92,'27.07 Ndeeba-Nateete-24h'!I92)</f>
        <v>5</v>
      </c>
      <c r="J92" s="49">
        <f>AVERAGE('26.07 Ndeeba-Nateete-24h'!J92,'27.07 Ndeeba-Nateete-24h'!J92)</f>
        <v>2.5</v>
      </c>
      <c r="K92" s="49">
        <f>AVERAGE('26.07 Ndeeba-Nateete-24h'!K92,'27.07 Ndeeba-Nateete-24h'!K92)</f>
        <v>0.5</v>
      </c>
      <c r="L92" s="49">
        <f>AVERAGE('26.07 Ndeeba-Nateete-24h'!L92,'27.07 Ndeeba-Nateete-24h'!L92)</f>
        <v>0</v>
      </c>
      <c r="M92" s="49">
        <f>AVERAGE('26.07 Ndeeba-Nateete-24h'!M92,'27.07 Ndeeba-Nateete-24h'!M92)</f>
        <v>55</v>
      </c>
      <c r="N92" s="49">
        <f>AVERAGE('26.07 Ndeeba-Nateete-24h'!N92,'27.07 Ndeeba-Nateete-24h'!N92)</f>
        <v>0</v>
      </c>
      <c r="O92" s="15">
        <f t="shared" si="36"/>
        <v>36.5</v>
      </c>
      <c r="P92" s="15">
        <f t="shared" si="35"/>
        <v>91.5</v>
      </c>
      <c r="R92" s="8"/>
      <c r="T92"/>
    </row>
    <row r="93" spans="2:20" ht="23.1" customHeight="1" x14ac:dyDescent="0.25">
      <c r="B93" s="23" t="s">
        <v>133</v>
      </c>
      <c r="C93" s="49">
        <f>AVERAGE('26.07 Ndeeba-Nateete-24h'!C93,'27.07 Ndeeba-Nateete-24h'!C93)</f>
        <v>27.5</v>
      </c>
      <c r="D93" s="49">
        <f>AVERAGE('26.07 Ndeeba-Nateete-24h'!D93,'27.07 Ndeeba-Nateete-24h'!D93)</f>
        <v>2</v>
      </c>
      <c r="E93" s="49">
        <f>AVERAGE('26.07 Ndeeba-Nateete-24h'!E93,'27.07 Ndeeba-Nateete-24h'!E93)</f>
        <v>0.5</v>
      </c>
      <c r="F93" s="49">
        <f>AVERAGE('26.07 Ndeeba-Nateete-24h'!F93,'27.07 Ndeeba-Nateete-24h'!F93)</f>
        <v>5.5</v>
      </c>
      <c r="G93" s="49">
        <f>AVERAGE('26.07 Ndeeba-Nateete-24h'!G93,'27.07 Ndeeba-Nateete-24h'!G93)</f>
        <v>0</v>
      </c>
      <c r="H93" s="49">
        <f>AVERAGE('26.07 Ndeeba-Nateete-24h'!H93,'27.07 Ndeeba-Nateete-24h'!H93)</f>
        <v>0</v>
      </c>
      <c r="I93" s="49">
        <f>AVERAGE('26.07 Ndeeba-Nateete-24h'!I93,'27.07 Ndeeba-Nateete-24h'!I93)</f>
        <v>4.5</v>
      </c>
      <c r="J93" s="49">
        <f>AVERAGE('26.07 Ndeeba-Nateete-24h'!J93,'27.07 Ndeeba-Nateete-24h'!J93)</f>
        <v>4</v>
      </c>
      <c r="K93" s="49">
        <f>AVERAGE('26.07 Ndeeba-Nateete-24h'!K93,'27.07 Ndeeba-Nateete-24h'!K93)</f>
        <v>0.5</v>
      </c>
      <c r="L93" s="49">
        <f>AVERAGE('26.07 Ndeeba-Nateete-24h'!L93,'27.07 Ndeeba-Nateete-24h'!L93)</f>
        <v>0</v>
      </c>
      <c r="M93" s="49">
        <f>AVERAGE('26.07 Ndeeba-Nateete-24h'!M93,'27.07 Ndeeba-Nateete-24h'!M93)</f>
        <v>39</v>
      </c>
      <c r="N93" s="49">
        <f>AVERAGE('26.07 Ndeeba-Nateete-24h'!N93,'27.07 Ndeeba-Nateete-24h'!N93)</f>
        <v>0</v>
      </c>
      <c r="O93" s="15">
        <f t="shared" si="36"/>
        <v>44.5</v>
      </c>
      <c r="P93" s="15">
        <f t="shared" si="35"/>
        <v>83.5</v>
      </c>
      <c r="R93" s="8"/>
      <c r="T93"/>
    </row>
    <row r="94" spans="2:20" ht="23.1" customHeight="1" x14ac:dyDescent="0.25">
      <c r="B94" s="24" t="s">
        <v>134</v>
      </c>
      <c r="C94" s="49">
        <f>AVERAGE('26.07 Ndeeba-Nateete-24h'!C94,'27.07 Ndeeba-Nateete-24h'!C94)</f>
        <v>19</v>
      </c>
      <c r="D94" s="49">
        <f>AVERAGE('26.07 Ndeeba-Nateete-24h'!D94,'27.07 Ndeeba-Nateete-24h'!D94)</f>
        <v>1.5</v>
      </c>
      <c r="E94" s="49">
        <f>AVERAGE('26.07 Ndeeba-Nateete-24h'!E94,'27.07 Ndeeba-Nateete-24h'!E94)</f>
        <v>2.5</v>
      </c>
      <c r="F94" s="49">
        <f>AVERAGE('26.07 Ndeeba-Nateete-24h'!F94,'27.07 Ndeeba-Nateete-24h'!F94)</f>
        <v>1</v>
      </c>
      <c r="G94" s="49">
        <f>AVERAGE('26.07 Ndeeba-Nateete-24h'!G94,'27.07 Ndeeba-Nateete-24h'!G94)</f>
        <v>0</v>
      </c>
      <c r="H94" s="49">
        <f>AVERAGE('26.07 Ndeeba-Nateete-24h'!H94,'27.07 Ndeeba-Nateete-24h'!H94)</f>
        <v>0</v>
      </c>
      <c r="I94" s="49">
        <f>AVERAGE('26.07 Ndeeba-Nateete-24h'!I94,'27.07 Ndeeba-Nateete-24h'!I94)</f>
        <v>4</v>
      </c>
      <c r="J94" s="49">
        <f>AVERAGE('26.07 Ndeeba-Nateete-24h'!J94,'27.07 Ndeeba-Nateete-24h'!J94)</f>
        <v>3.5</v>
      </c>
      <c r="K94" s="49">
        <f>AVERAGE('26.07 Ndeeba-Nateete-24h'!K94,'27.07 Ndeeba-Nateete-24h'!K94)</f>
        <v>0.5</v>
      </c>
      <c r="L94" s="49">
        <f>AVERAGE('26.07 Ndeeba-Nateete-24h'!L94,'27.07 Ndeeba-Nateete-24h'!L94)</f>
        <v>0.5</v>
      </c>
      <c r="M94" s="49">
        <f>AVERAGE('26.07 Ndeeba-Nateete-24h'!M94,'27.07 Ndeeba-Nateete-24h'!M94)</f>
        <v>42</v>
      </c>
      <c r="N94" s="49">
        <f>AVERAGE('26.07 Ndeeba-Nateete-24h'!N94,'27.07 Ndeeba-Nateete-24h'!N94)</f>
        <v>12</v>
      </c>
      <c r="O94" s="15">
        <f t="shared" si="36"/>
        <v>44.5</v>
      </c>
      <c r="P94" s="15">
        <f t="shared" si="35"/>
        <v>86.5</v>
      </c>
      <c r="R94" s="8"/>
      <c r="T94"/>
    </row>
    <row r="95" spans="2:20" ht="23.1" customHeight="1" x14ac:dyDescent="0.25">
      <c r="B95" s="23" t="s">
        <v>135</v>
      </c>
      <c r="C95" s="49">
        <f>AVERAGE('26.07 Ndeeba-Nateete-24h'!C95,'27.07 Ndeeba-Nateete-24h'!C95)</f>
        <v>37</v>
      </c>
      <c r="D95" s="49">
        <f>AVERAGE('26.07 Ndeeba-Nateete-24h'!D95,'27.07 Ndeeba-Nateete-24h'!D95)</f>
        <v>0.5</v>
      </c>
      <c r="E95" s="49">
        <f>AVERAGE('26.07 Ndeeba-Nateete-24h'!E95,'27.07 Ndeeba-Nateete-24h'!E95)</f>
        <v>0.5</v>
      </c>
      <c r="F95" s="49">
        <f>AVERAGE('26.07 Ndeeba-Nateete-24h'!F95,'27.07 Ndeeba-Nateete-24h'!F95)</f>
        <v>0</v>
      </c>
      <c r="G95" s="49">
        <f>AVERAGE('26.07 Ndeeba-Nateete-24h'!G95,'27.07 Ndeeba-Nateete-24h'!G95)</f>
        <v>0.5</v>
      </c>
      <c r="H95" s="49">
        <f>AVERAGE('26.07 Ndeeba-Nateete-24h'!H95,'27.07 Ndeeba-Nateete-24h'!H95)</f>
        <v>0</v>
      </c>
      <c r="I95" s="49">
        <f>AVERAGE('26.07 Ndeeba-Nateete-24h'!I95,'27.07 Ndeeba-Nateete-24h'!I95)</f>
        <v>3.5</v>
      </c>
      <c r="J95" s="49">
        <f>AVERAGE('26.07 Ndeeba-Nateete-24h'!J95,'27.07 Ndeeba-Nateete-24h'!J95)</f>
        <v>0.5</v>
      </c>
      <c r="K95" s="49">
        <f>AVERAGE('26.07 Ndeeba-Nateete-24h'!K95,'27.07 Ndeeba-Nateete-24h'!K95)</f>
        <v>0.5</v>
      </c>
      <c r="L95" s="49">
        <f>AVERAGE('26.07 Ndeeba-Nateete-24h'!L95,'27.07 Ndeeba-Nateete-24h'!L95)</f>
        <v>0.5</v>
      </c>
      <c r="M95" s="49">
        <f>AVERAGE('26.07 Ndeeba-Nateete-24h'!M95,'27.07 Ndeeba-Nateete-24h'!M95)</f>
        <v>28.5</v>
      </c>
      <c r="N95" s="49">
        <f>AVERAGE('26.07 Ndeeba-Nateete-24h'!N95,'27.07 Ndeeba-Nateete-24h'!N95)</f>
        <v>22.5</v>
      </c>
      <c r="O95" s="15">
        <f t="shared" si="36"/>
        <v>66</v>
      </c>
      <c r="P95" s="15">
        <f t="shared" si="35"/>
        <v>94.5</v>
      </c>
      <c r="R95" s="8"/>
      <c r="T95"/>
    </row>
    <row r="96" spans="2:20" ht="23.1" customHeight="1" x14ac:dyDescent="0.25">
      <c r="B96" s="25" t="s">
        <v>136</v>
      </c>
      <c r="C96" s="49">
        <f>AVERAGE('26.07 Ndeeba-Nateete-24h'!C96,'27.07 Ndeeba-Nateete-24h'!C96)</f>
        <v>16.5</v>
      </c>
      <c r="D96" s="49">
        <f>AVERAGE('26.07 Ndeeba-Nateete-24h'!D96,'27.07 Ndeeba-Nateete-24h'!D96)</f>
        <v>0.5</v>
      </c>
      <c r="E96" s="49">
        <f>AVERAGE('26.07 Ndeeba-Nateete-24h'!E96,'27.07 Ndeeba-Nateete-24h'!E96)</f>
        <v>0.5</v>
      </c>
      <c r="F96" s="49">
        <f>AVERAGE('26.07 Ndeeba-Nateete-24h'!F96,'27.07 Ndeeba-Nateete-24h'!F96)</f>
        <v>2.5</v>
      </c>
      <c r="G96" s="49">
        <f>AVERAGE('26.07 Ndeeba-Nateete-24h'!G96,'27.07 Ndeeba-Nateete-24h'!G96)</f>
        <v>0</v>
      </c>
      <c r="H96" s="49">
        <f>AVERAGE('26.07 Ndeeba-Nateete-24h'!H96,'27.07 Ndeeba-Nateete-24h'!H96)</f>
        <v>0</v>
      </c>
      <c r="I96" s="49">
        <f>AVERAGE('26.07 Ndeeba-Nateete-24h'!I96,'27.07 Ndeeba-Nateete-24h'!I96)</f>
        <v>1</v>
      </c>
      <c r="J96" s="49">
        <f>AVERAGE('26.07 Ndeeba-Nateete-24h'!J96,'27.07 Ndeeba-Nateete-24h'!J96)</f>
        <v>2</v>
      </c>
      <c r="K96" s="49">
        <f>AVERAGE('26.07 Ndeeba-Nateete-24h'!K96,'27.07 Ndeeba-Nateete-24h'!K96)</f>
        <v>0</v>
      </c>
      <c r="L96" s="49">
        <f>AVERAGE('26.07 Ndeeba-Nateete-24h'!L96,'27.07 Ndeeba-Nateete-24h'!L96)</f>
        <v>0.5</v>
      </c>
      <c r="M96" s="49">
        <f>AVERAGE('26.07 Ndeeba-Nateete-24h'!M96,'27.07 Ndeeba-Nateete-24h'!M96)</f>
        <v>40</v>
      </c>
      <c r="N96" s="49">
        <f>AVERAGE('26.07 Ndeeba-Nateete-24h'!N96,'27.07 Ndeeba-Nateete-24h'!N96)</f>
        <v>1.5</v>
      </c>
      <c r="O96" s="15">
        <f t="shared" si="36"/>
        <v>25</v>
      </c>
      <c r="P96" s="15">
        <f t="shared" si="35"/>
        <v>65</v>
      </c>
      <c r="R96" s="8"/>
      <c r="T96"/>
    </row>
    <row r="97" spans="2:20" ht="23.1" customHeight="1" x14ac:dyDescent="0.25">
      <c r="B97" s="23" t="s">
        <v>137</v>
      </c>
      <c r="C97" s="49">
        <f>AVERAGE('26.07 Ndeeba-Nateete-24h'!C97,'27.07 Ndeeba-Nateete-24h'!C97)</f>
        <v>41.5</v>
      </c>
      <c r="D97" s="49">
        <f>AVERAGE('26.07 Ndeeba-Nateete-24h'!D97,'27.07 Ndeeba-Nateete-24h'!D97)</f>
        <v>4</v>
      </c>
      <c r="E97" s="49">
        <f>AVERAGE('26.07 Ndeeba-Nateete-24h'!E97,'27.07 Ndeeba-Nateete-24h'!E97)</f>
        <v>1.5</v>
      </c>
      <c r="F97" s="49">
        <f>AVERAGE('26.07 Ndeeba-Nateete-24h'!F97,'27.07 Ndeeba-Nateete-24h'!F97)</f>
        <v>14.5</v>
      </c>
      <c r="G97" s="49">
        <f>AVERAGE('26.07 Ndeeba-Nateete-24h'!G97,'27.07 Ndeeba-Nateete-24h'!G97)</f>
        <v>0</v>
      </c>
      <c r="H97" s="49">
        <f>AVERAGE('26.07 Ndeeba-Nateete-24h'!H97,'27.07 Ndeeba-Nateete-24h'!H97)</f>
        <v>0</v>
      </c>
      <c r="I97" s="49">
        <f>AVERAGE('26.07 Ndeeba-Nateete-24h'!I97,'27.07 Ndeeba-Nateete-24h'!I97)</f>
        <v>4.5</v>
      </c>
      <c r="J97" s="49">
        <f>AVERAGE('26.07 Ndeeba-Nateete-24h'!J97,'27.07 Ndeeba-Nateete-24h'!J97)</f>
        <v>0.5</v>
      </c>
      <c r="K97" s="49">
        <f>AVERAGE('26.07 Ndeeba-Nateete-24h'!K97,'27.07 Ndeeba-Nateete-24h'!K97)</f>
        <v>1</v>
      </c>
      <c r="L97" s="49">
        <f>AVERAGE('26.07 Ndeeba-Nateete-24h'!L97,'27.07 Ndeeba-Nateete-24h'!L97)</f>
        <v>0</v>
      </c>
      <c r="M97" s="49">
        <f>AVERAGE('26.07 Ndeeba-Nateete-24h'!M97,'27.07 Ndeeba-Nateete-24h'!M97)</f>
        <v>40</v>
      </c>
      <c r="N97" s="49">
        <f>AVERAGE('26.07 Ndeeba-Nateete-24h'!N97,'27.07 Ndeeba-Nateete-24h'!N97)</f>
        <v>9</v>
      </c>
      <c r="O97" s="15">
        <f t="shared" si="36"/>
        <v>76.5</v>
      </c>
      <c r="P97" s="15">
        <f t="shared" si="35"/>
        <v>116.5</v>
      </c>
      <c r="R97" s="8"/>
      <c r="T97"/>
    </row>
    <row r="98" spans="2:20" ht="23.1" customHeight="1" x14ac:dyDescent="0.25">
      <c r="B98" s="24" t="s">
        <v>138</v>
      </c>
      <c r="C98" s="49">
        <f>AVERAGE('26.07 Ndeeba-Nateete-24h'!C98,'27.07 Ndeeba-Nateete-24h'!C98)</f>
        <v>27.5</v>
      </c>
      <c r="D98" s="49">
        <f>AVERAGE('26.07 Ndeeba-Nateete-24h'!D98,'27.07 Ndeeba-Nateete-24h'!D98)</f>
        <v>3.5</v>
      </c>
      <c r="E98" s="49">
        <f>AVERAGE('26.07 Ndeeba-Nateete-24h'!E98,'27.07 Ndeeba-Nateete-24h'!E98)</f>
        <v>2.5</v>
      </c>
      <c r="F98" s="49">
        <f>AVERAGE('26.07 Ndeeba-Nateete-24h'!F98,'27.07 Ndeeba-Nateete-24h'!F98)</f>
        <v>6</v>
      </c>
      <c r="G98" s="49">
        <f>AVERAGE('26.07 Ndeeba-Nateete-24h'!G98,'27.07 Ndeeba-Nateete-24h'!G98)</f>
        <v>0</v>
      </c>
      <c r="H98" s="49">
        <f>AVERAGE('26.07 Ndeeba-Nateete-24h'!H98,'27.07 Ndeeba-Nateete-24h'!H98)</f>
        <v>0</v>
      </c>
      <c r="I98" s="49">
        <f>AVERAGE('26.07 Ndeeba-Nateete-24h'!I98,'27.07 Ndeeba-Nateete-24h'!I98)</f>
        <v>6.5</v>
      </c>
      <c r="J98" s="49">
        <f>AVERAGE('26.07 Ndeeba-Nateete-24h'!J98,'27.07 Ndeeba-Nateete-24h'!J98)</f>
        <v>9.5</v>
      </c>
      <c r="K98" s="49">
        <f>AVERAGE('26.07 Ndeeba-Nateete-24h'!K98,'27.07 Ndeeba-Nateete-24h'!K98)</f>
        <v>2</v>
      </c>
      <c r="L98" s="49">
        <f>AVERAGE('26.07 Ndeeba-Nateete-24h'!L98,'27.07 Ndeeba-Nateete-24h'!L98)</f>
        <v>2.5</v>
      </c>
      <c r="M98" s="49">
        <f>AVERAGE('26.07 Ndeeba-Nateete-24h'!M98,'27.07 Ndeeba-Nateete-24h'!M98)</f>
        <v>45</v>
      </c>
      <c r="N98" s="49">
        <f>AVERAGE('26.07 Ndeeba-Nateete-24h'!N98,'27.07 Ndeeba-Nateete-24h'!N98)</f>
        <v>0</v>
      </c>
      <c r="O98" s="15">
        <f t="shared" si="36"/>
        <v>60</v>
      </c>
      <c r="P98" s="15">
        <f t="shared" si="35"/>
        <v>105</v>
      </c>
      <c r="R98" s="8"/>
      <c r="T98"/>
    </row>
    <row r="99" spans="2:20" ht="23.1" customHeight="1" x14ac:dyDescent="0.25">
      <c r="B99" s="23" t="s">
        <v>139</v>
      </c>
      <c r="C99" s="49">
        <f>AVERAGE('26.07 Ndeeba-Nateete-24h'!C99,'27.07 Ndeeba-Nateete-24h'!C99)</f>
        <v>32.5</v>
      </c>
      <c r="D99" s="49">
        <f>AVERAGE('26.07 Ndeeba-Nateete-24h'!D99,'27.07 Ndeeba-Nateete-24h'!D99)</f>
        <v>2</v>
      </c>
      <c r="E99" s="49">
        <f>AVERAGE('26.07 Ndeeba-Nateete-24h'!E99,'27.07 Ndeeba-Nateete-24h'!E99)</f>
        <v>2.5</v>
      </c>
      <c r="F99" s="49">
        <f>AVERAGE('26.07 Ndeeba-Nateete-24h'!F99,'27.07 Ndeeba-Nateete-24h'!F99)</f>
        <v>7.5</v>
      </c>
      <c r="G99" s="49">
        <f>AVERAGE('26.07 Ndeeba-Nateete-24h'!G99,'27.07 Ndeeba-Nateete-24h'!G99)</f>
        <v>0</v>
      </c>
      <c r="H99" s="49">
        <f>AVERAGE('26.07 Ndeeba-Nateete-24h'!H99,'27.07 Ndeeba-Nateete-24h'!H99)</f>
        <v>0</v>
      </c>
      <c r="I99" s="49">
        <f>AVERAGE('26.07 Ndeeba-Nateete-24h'!I99,'27.07 Ndeeba-Nateete-24h'!I99)</f>
        <v>9</v>
      </c>
      <c r="J99" s="49">
        <f>AVERAGE('26.07 Ndeeba-Nateete-24h'!J99,'27.07 Ndeeba-Nateete-24h'!J99)</f>
        <v>4.5</v>
      </c>
      <c r="K99" s="49">
        <f>AVERAGE('26.07 Ndeeba-Nateete-24h'!K99,'27.07 Ndeeba-Nateete-24h'!K99)</f>
        <v>0.5</v>
      </c>
      <c r="L99" s="49">
        <f>AVERAGE('26.07 Ndeeba-Nateete-24h'!L99,'27.07 Ndeeba-Nateete-24h'!L99)</f>
        <v>0.5</v>
      </c>
      <c r="M99" s="49">
        <f>AVERAGE('26.07 Ndeeba-Nateete-24h'!M99,'27.07 Ndeeba-Nateete-24h'!M99)</f>
        <v>73</v>
      </c>
      <c r="N99" s="49">
        <f>AVERAGE('26.07 Ndeeba-Nateete-24h'!N99,'27.07 Ndeeba-Nateete-24h'!N99)</f>
        <v>0</v>
      </c>
      <c r="O99" s="15">
        <f t="shared" si="36"/>
        <v>59</v>
      </c>
      <c r="P99" s="15">
        <f t="shared" si="35"/>
        <v>132</v>
      </c>
      <c r="R99" s="8"/>
      <c r="T99"/>
    </row>
    <row r="100" spans="2:20" ht="23.1" customHeight="1" x14ac:dyDescent="0.25">
      <c r="B100" s="25" t="s">
        <v>140</v>
      </c>
      <c r="C100" s="49">
        <f>AVERAGE('26.07 Ndeeba-Nateete-24h'!C100,'27.07 Ndeeba-Nateete-24h'!C100)</f>
        <v>26.5</v>
      </c>
      <c r="D100" s="49">
        <f>AVERAGE('26.07 Ndeeba-Nateete-24h'!D100,'27.07 Ndeeba-Nateete-24h'!D100)</f>
        <v>3.5</v>
      </c>
      <c r="E100" s="49">
        <f>AVERAGE('26.07 Ndeeba-Nateete-24h'!E100,'27.07 Ndeeba-Nateete-24h'!E100)</f>
        <v>3</v>
      </c>
      <c r="F100" s="49">
        <f>AVERAGE('26.07 Ndeeba-Nateete-24h'!F100,'27.07 Ndeeba-Nateete-24h'!F100)</f>
        <v>10.5</v>
      </c>
      <c r="G100" s="49">
        <f>AVERAGE('26.07 Ndeeba-Nateete-24h'!G100,'27.07 Ndeeba-Nateete-24h'!G100)</f>
        <v>0</v>
      </c>
      <c r="H100" s="49">
        <f>AVERAGE('26.07 Ndeeba-Nateete-24h'!H100,'27.07 Ndeeba-Nateete-24h'!H100)</f>
        <v>0</v>
      </c>
      <c r="I100" s="49">
        <f>AVERAGE('26.07 Ndeeba-Nateete-24h'!I100,'27.07 Ndeeba-Nateete-24h'!I100)</f>
        <v>2.5</v>
      </c>
      <c r="J100" s="49">
        <f>AVERAGE('26.07 Ndeeba-Nateete-24h'!J100,'27.07 Ndeeba-Nateete-24h'!J100)</f>
        <v>4.5</v>
      </c>
      <c r="K100" s="49">
        <f>AVERAGE('26.07 Ndeeba-Nateete-24h'!K100,'27.07 Ndeeba-Nateete-24h'!K100)</f>
        <v>2</v>
      </c>
      <c r="L100" s="49">
        <f>AVERAGE('26.07 Ndeeba-Nateete-24h'!L100,'27.07 Ndeeba-Nateete-24h'!L100)</f>
        <v>1</v>
      </c>
      <c r="M100" s="49">
        <f>AVERAGE('26.07 Ndeeba-Nateete-24h'!M100,'27.07 Ndeeba-Nateete-24h'!M100)</f>
        <v>58</v>
      </c>
      <c r="N100" s="49">
        <f>AVERAGE('26.07 Ndeeba-Nateete-24h'!N100,'27.07 Ndeeba-Nateete-24h'!N100)</f>
        <v>0</v>
      </c>
      <c r="O100" s="15">
        <f t="shared" si="36"/>
        <v>53.5</v>
      </c>
      <c r="P100" s="15">
        <f t="shared" si="35"/>
        <v>111.5</v>
      </c>
      <c r="R100" s="8"/>
      <c r="T100"/>
    </row>
    <row r="101" spans="2:20" ht="23.1" customHeight="1" x14ac:dyDescent="0.25">
      <c r="B101" s="23" t="s">
        <v>141</v>
      </c>
      <c r="C101" s="49">
        <f>AVERAGE('26.07 Ndeeba-Nateete-24h'!C101,'27.07 Ndeeba-Nateete-24h'!C101)</f>
        <v>21</v>
      </c>
      <c r="D101" s="49">
        <f>AVERAGE('26.07 Ndeeba-Nateete-24h'!D101,'27.07 Ndeeba-Nateete-24h'!D101)</f>
        <v>12.5</v>
      </c>
      <c r="E101" s="49">
        <f>AVERAGE('26.07 Ndeeba-Nateete-24h'!E101,'27.07 Ndeeba-Nateete-24h'!E101)</f>
        <v>1.5</v>
      </c>
      <c r="F101" s="49">
        <f>AVERAGE('26.07 Ndeeba-Nateete-24h'!F101,'27.07 Ndeeba-Nateete-24h'!F101)</f>
        <v>37.5</v>
      </c>
      <c r="G101" s="49">
        <f>AVERAGE('26.07 Ndeeba-Nateete-24h'!G101,'27.07 Ndeeba-Nateete-24h'!G101)</f>
        <v>0.5</v>
      </c>
      <c r="H101" s="49">
        <f>AVERAGE('26.07 Ndeeba-Nateete-24h'!H101,'27.07 Ndeeba-Nateete-24h'!H101)</f>
        <v>0.5</v>
      </c>
      <c r="I101" s="49">
        <f>AVERAGE('26.07 Ndeeba-Nateete-24h'!I101,'27.07 Ndeeba-Nateete-24h'!I101)</f>
        <v>6.5</v>
      </c>
      <c r="J101" s="49">
        <f>AVERAGE('26.07 Ndeeba-Nateete-24h'!J101,'27.07 Ndeeba-Nateete-24h'!J101)</f>
        <v>7</v>
      </c>
      <c r="K101" s="49">
        <f>AVERAGE('26.07 Ndeeba-Nateete-24h'!K101,'27.07 Ndeeba-Nateete-24h'!K101)</f>
        <v>3</v>
      </c>
      <c r="L101" s="49">
        <f>AVERAGE('26.07 Ndeeba-Nateete-24h'!L101,'27.07 Ndeeba-Nateete-24h'!L101)</f>
        <v>2.5</v>
      </c>
      <c r="M101" s="49">
        <f>AVERAGE('26.07 Ndeeba-Nateete-24h'!M101,'27.07 Ndeeba-Nateete-24h'!M101)</f>
        <v>36</v>
      </c>
      <c r="N101" s="49">
        <f>AVERAGE('26.07 Ndeeba-Nateete-24h'!N101,'27.07 Ndeeba-Nateete-24h'!N101)</f>
        <v>0</v>
      </c>
      <c r="O101" s="15">
        <f t="shared" si="36"/>
        <v>92.5</v>
      </c>
      <c r="P101" s="15">
        <f t="shared" si="35"/>
        <v>128.5</v>
      </c>
      <c r="R101" s="8"/>
      <c r="T101"/>
    </row>
    <row r="102" spans="2:20" ht="23.1" customHeight="1" x14ac:dyDescent="0.25">
      <c r="B102" s="24" t="s">
        <v>142</v>
      </c>
      <c r="C102" s="49">
        <f>AVERAGE('26.07 Ndeeba-Nateete-24h'!C102,'27.07 Ndeeba-Nateete-24h'!C102)</f>
        <v>26</v>
      </c>
      <c r="D102" s="49">
        <f>AVERAGE('26.07 Ndeeba-Nateete-24h'!D102,'27.07 Ndeeba-Nateete-24h'!D102)</f>
        <v>5</v>
      </c>
      <c r="E102" s="49">
        <f>AVERAGE('26.07 Ndeeba-Nateete-24h'!E102,'27.07 Ndeeba-Nateete-24h'!E102)</f>
        <v>1.5</v>
      </c>
      <c r="F102" s="49">
        <f>AVERAGE('26.07 Ndeeba-Nateete-24h'!F102,'27.07 Ndeeba-Nateete-24h'!F102)</f>
        <v>30.5</v>
      </c>
      <c r="G102" s="49">
        <f>AVERAGE('26.07 Ndeeba-Nateete-24h'!G102,'27.07 Ndeeba-Nateete-24h'!G102)</f>
        <v>0.5</v>
      </c>
      <c r="H102" s="49">
        <f>AVERAGE('26.07 Ndeeba-Nateete-24h'!H102,'27.07 Ndeeba-Nateete-24h'!H102)</f>
        <v>0</v>
      </c>
      <c r="I102" s="49">
        <f>AVERAGE('26.07 Ndeeba-Nateete-24h'!I102,'27.07 Ndeeba-Nateete-24h'!I102)</f>
        <v>5</v>
      </c>
      <c r="J102" s="49">
        <f>AVERAGE('26.07 Ndeeba-Nateete-24h'!J102,'27.07 Ndeeba-Nateete-24h'!J102)</f>
        <v>7</v>
      </c>
      <c r="K102" s="49">
        <f>AVERAGE('26.07 Ndeeba-Nateete-24h'!K102,'27.07 Ndeeba-Nateete-24h'!K102)</f>
        <v>2.5</v>
      </c>
      <c r="L102" s="49">
        <f>AVERAGE('26.07 Ndeeba-Nateete-24h'!L102,'27.07 Ndeeba-Nateete-24h'!L102)</f>
        <v>0.5</v>
      </c>
      <c r="M102" s="49">
        <f>AVERAGE('26.07 Ndeeba-Nateete-24h'!M102,'27.07 Ndeeba-Nateete-24h'!M102)</f>
        <v>92</v>
      </c>
      <c r="N102" s="49">
        <f>AVERAGE('26.07 Ndeeba-Nateete-24h'!N102,'27.07 Ndeeba-Nateete-24h'!N102)</f>
        <v>0</v>
      </c>
      <c r="O102" s="15">
        <f t="shared" si="36"/>
        <v>78.5</v>
      </c>
      <c r="P102" s="15">
        <f t="shared" si="35"/>
        <v>170.5</v>
      </c>
      <c r="R102" s="8"/>
      <c r="T102"/>
    </row>
    <row r="103" spans="2:20" ht="23.1" customHeight="1" x14ac:dyDescent="0.25">
      <c r="B103" s="23" t="s">
        <v>143</v>
      </c>
      <c r="C103" s="49">
        <f>AVERAGE('26.07 Ndeeba-Nateete-24h'!C103,'27.07 Ndeeba-Nateete-24h'!C103)</f>
        <v>26</v>
      </c>
      <c r="D103" s="49">
        <f>AVERAGE('26.07 Ndeeba-Nateete-24h'!D103,'27.07 Ndeeba-Nateete-24h'!D103)</f>
        <v>1.5</v>
      </c>
      <c r="E103" s="49">
        <f>AVERAGE('26.07 Ndeeba-Nateete-24h'!E103,'27.07 Ndeeba-Nateete-24h'!E103)</f>
        <v>2.5</v>
      </c>
      <c r="F103" s="49">
        <f>AVERAGE('26.07 Ndeeba-Nateete-24h'!F103,'27.07 Ndeeba-Nateete-24h'!F103)</f>
        <v>26</v>
      </c>
      <c r="G103" s="49">
        <f>AVERAGE('26.07 Ndeeba-Nateete-24h'!G103,'27.07 Ndeeba-Nateete-24h'!G103)</f>
        <v>0.5</v>
      </c>
      <c r="H103" s="49">
        <f>AVERAGE('26.07 Ndeeba-Nateete-24h'!H103,'27.07 Ndeeba-Nateete-24h'!H103)</f>
        <v>0.5</v>
      </c>
      <c r="I103" s="49">
        <f>AVERAGE('26.07 Ndeeba-Nateete-24h'!I103,'27.07 Ndeeba-Nateete-24h'!I103)</f>
        <v>5.5</v>
      </c>
      <c r="J103" s="49">
        <f>AVERAGE('26.07 Ndeeba-Nateete-24h'!J103,'27.07 Ndeeba-Nateete-24h'!J103)</f>
        <v>3.5</v>
      </c>
      <c r="K103" s="49">
        <f>AVERAGE('26.07 Ndeeba-Nateete-24h'!K103,'27.07 Ndeeba-Nateete-24h'!K103)</f>
        <v>1.5</v>
      </c>
      <c r="L103" s="49">
        <f>AVERAGE('26.07 Ndeeba-Nateete-24h'!L103,'27.07 Ndeeba-Nateete-24h'!L103)</f>
        <v>1</v>
      </c>
      <c r="M103" s="49">
        <f>AVERAGE('26.07 Ndeeba-Nateete-24h'!M103,'27.07 Ndeeba-Nateete-24h'!M103)</f>
        <v>146.5</v>
      </c>
      <c r="N103" s="49">
        <f>AVERAGE('26.07 Ndeeba-Nateete-24h'!N103,'27.07 Ndeeba-Nateete-24h'!N103)</f>
        <v>0</v>
      </c>
      <c r="O103" s="15">
        <f t="shared" si="36"/>
        <v>68.5</v>
      </c>
      <c r="P103" s="15">
        <f t="shared" si="35"/>
        <v>215</v>
      </c>
      <c r="R103" s="8"/>
      <c r="T103"/>
    </row>
    <row r="104" spans="2:20" ht="23.1" customHeight="1" x14ac:dyDescent="0.25">
      <c r="B104" s="25" t="s">
        <v>144</v>
      </c>
      <c r="C104" s="49">
        <f>AVERAGE('26.07 Ndeeba-Nateete-24h'!C104,'27.07 Ndeeba-Nateete-24h'!C104)</f>
        <v>16</v>
      </c>
      <c r="D104" s="49">
        <f>AVERAGE('26.07 Ndeeba-Nateete-24h'!D104,'27.07 Ndeeba-Nateete-24h'!D104)</f>
        <v>3.5</v>
      </c>
      <c r="E104" s="49">
        <f>AVERAGE('26.07 Ndeeba-Nateete-24h'!E104,'27.07 Ndeeba-Nateete-24h'!E104)</f>
        <v>3</v>
      </c>
      <c r="F104" s="49">
        <f>AVERAGE('26.07 Ndeeba-Nateete-24h'!F104,'27.07 Ndeeba-Nateete-24h'!F104)</f>
        <v>17</v>
      </c>
      <c r="G104" s="49">
        <f>AVERAGE('26.07 Ndeeba-Nateete-24h'!G104,'27.07 Ndeeba-Nateete-24h'!G104)</f>
        <v>1</v>
      </c>
      <c r="H104" s="49">
        <f>AVERAGE('26.07 Ndeeba-Nateete-24h'!H104,'27.07 Ndeeba-Nateete-24h'!H104)</f>
        <v>0</v>
      </c>
      <c r="I104" s="49">
        <f>AVERAGE('26.07 Ndeeba-Nateete-24h'!I104,'27.07 Ndeeba-Nateete-24h'!I104)</f>
        <v>5</v>
      </c>
      <c r="J104" s="49">
        <f>AVERAGE('26.07 Ndeeba-Nateete-24h'!J104,'27.07 Ndeeba-Nateete-24h'!J104)</f>
        <v>2.5</v>
      </c>
      <c r="K104" s="49">
        <f>AVERAGE('26.07 Ndeeba-Nateete-24h'!K104,'27.07 Ndeeba-Nateete-24h'!K104)</f>
        <v>2</v>
      </c>
      <c r="L104" s="49">
        <f>AVERAGE('26.07 Ndeeba-Nateete-24h'!L104,'27.07 Ndeeba-Nateete-24h'!L104)</f>
        <v>1</v>
      </c>
      <c r="M104" s="49">
        <f>AVERAGE('26.07 Ndeeba-Nateete-24h'!M104,'27.07 Ndeeba-Nateete-24h'!M104)</f>
        <v>142.5</v>
      </c>
      <c r="N104" s="49">
        <f>AVERAGE('26.07 Ndeeba-Nateete-24h'!N104,'27.07 Ndeeba-Nateete-24h'!N104)</f>
        <v>0</v>
      </c>
      <c r="O104" s="15">
        <f t="shared" si="36"/>
        <v>51</v>
      </c>
      <c r="P104" s="15">
        <f t="shared" si="35"/>
        <v>193.5</v>
      </c>
      <c r="R104" s="8"/>
      <c r="T104"/>
    </row>
    <row r="105" spans="2:20" ht="23.1" customHeight="1" x14ac:dyDescent="0.25">
      <c r="B105" s="23" t="s">
        <v>145</v>
      </c>
      <c r="C105" s="49">
        <f>AVERAGE('26.07 Ndeeba-Nateete-24h'!C105,'27.07 Ndeeba-Nateete-24h'!C105)</f>
        <v>18</v>
      </c>
      <c r="D105" s="49">
        <f>AVERAGE('26.07 Ndeeba-Nateete-24h'!D105,'27.07 Ndeeba-Nateete-24h'!D105)</f>
        <v>3.5</v>
      </c>
      <c r="E105" s="49">
        <f>AVERAGE('26.07 Ndeeba-Nateete-24h'!E105,'27.07 Ndeeba-Nateete-24h'!E105)</f>
        <v>1</v>
      </c>
      <c r="F105" s="49">
        <f>AVERAGE('26.07 Ndeeba-Nateete-24h'!F105,'27.07 Ndeeba-Nateete-24h'!F105)</f>
        <v>18</v>
      </c>
      <c r="G105" s="49">
        <f>AVERAGE('26.07 Ndeeba-Nateete-24h'!G105,'27.07 Ndeeba-Nateete-24h'!G105)</f>
        <v>0</v>
      </c>
      <c r="H105" s="49">
        <f>AVERAGE('26.07 Ndeeba-Nateete-24h'!H105,'27.07 Ndeeba-Nateete-24h'!H105)</f>
        <v>0.5</v>
      </c>
      <c r="I105" s="49">
        <f>AVERAGE('26.07 Ndeeba-Nateete-24h'!I105,'27.07 Ndeeba-Nateete-24h'!I105)</f>
        <v>4</v>
      </c>
      <c r="J105" s="49">
        <f>AVERAGE('26.07 Ndeeba-Nateete-24h'!J105,'27.07 Ndeeba-Nateete-24h'!J105)</f>
        <v>3</v>
      </c>
      <c r="K105" s="49">
        <f>AVERAGE('26.07 Ndeeba-Nateete-24h'!K105,'27.07 Ndeeba-Nateete-24h'!K105)</f>
        <v>0.5</v>
      </c>
      <c r="L105" s="49">
        <f>AVERAGE('26.07 Ndeeba-Nateete-24h'!L105,'27.07 Ndeeba-Nateete-24h'!L105)</f>
        <v>1</v>
      </c>
      <c r="M105" s="49">
        <f>AVERAGE('26.07 Ndeeba-Nateete-24h'!M105,'27.07 Ndeeba-Nateete-24h'!M105)</f>
        <v>77</v>
      </c>
      <c r="N105" s="49">
        <f>AVERAGE('26.07 Ndeeba-Nateete-24h'!N105,'27.07 Ndeeba-Nateete-24h'!N105)</f>
        <v>0</v>
      </c>
      <c r="O105" s="15">
        <f t="shared" si="36"/>
        <v>49.5</v>
      </c>
      <c r="P105" s="15">
        <f t="shared" si="35"/>
        <v>126.5</v>
      </c>
      <c r="R105" s="8"/>
      <c r="T105"/>
    </row>
    <row r="106" spans="2:20" ht="23.1" customHeight="1" x14ac:dyDescent="0.25">
      <c r="B106" s="26" t="s">
        <v>18</v>
      </c>
      <c r="C106" s="16">
        <f>SUM(C10:C105 )</f>
        <v>2495.4285714285711</v>
      </c>
      <c r="D106" s="16">
        <f t="shared" ref="D106:N106" si="37">SUM(D10:D105 )</f>
        <v>537.92857142857144</v>
      </c>
      <c r="E106" s="16">
        <f t="shared" si="37"/>
        <v>249.28571428571425</v>
      </c>
      <c r="F106" s="16">
        <f t="shared" si="37"/>
        <v>2263.1428571428573</v>
      </c>
      <c r="G106" s="16">
        <f t="shared" si="37"/>
        <v>49.5</v>
      </c>
      <c r="H106" s="16">
        <f t="shared" si="37"/>
        <v>27.500000000000004</v>
      </c>
      <c r="I106" s="16">
        <f t="shared" si="37"/>
        <v>757.07142857142844</v>
      </c>
      <c r="J106" s="16">
        <f t="shared" si="37"/>
        <v>447.21428571428578</v>
      </c>
      <c r="K106" s="16">
        <f t="shared" si="37"/>
        <v>120.28571428571428</v>
      </c>
      <c r="L106" s="16">
        <f t="shared" si="37"/>
        <v>79.214285714285708</v>
      </c>
      <c r="M106" s="16">
        <f t="shared" si="37"/>
        <v>11097.642857142859</v>
      </c>
      <c r="N106" s="16">
        <f t="shared" si="37"/>
        <v>45.142857142857139</v>
      </c>
      <c r="O106" s="16">
        <f>SUM(O10:O57)</f>
        <v>4024.7142857142858</v>
      </c>
      <c r="P106" s="16">
        <f>SUM(P10:P57)</f>
        <v>11429.857142857149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0.21832543838818119</v>
      </c>
      <c r="D107" s="43">
        <f t="shared" si="38"/>
        <v>4.7063455361271836E-2</v>
      </c>
      <c r="E107" s="43">
        <f t="shared" si="38"/>
        <v>2.1810046369783384E-2</v>
      </c>
      <c r="F107" s="43">
        <f t="shared" si="38"/>
        <v>0.19800272469347191</v>
      </c>
      <c r="G107" s="43">
        <f t="shared" si="38"/>
        <v>4.3307627891862148E-3</v>
      </c>
      <c r="H107" s="43">
        <f t="shared" si="38"/>
        <v>2.4059793273256752E-3</v>
      </c>
      <c r="I107" s="43">
        <f t="shared" si="38"/>
        <v>6.6236298416428113E-2</v>
      </c>
      <c r="J107" s="43">
        <f t="shared" si="38"/>
        <v>3.9126848229574157E-2</v>
      </c>
      <c r="K107" s="43">
        <f t="shared" si="38"/>
        <v>1.0523816070692041E-2</v>
      </c>
      <c r="L107" s="43">
        <f t="shared" si="38"/>
        <v>6.9304703220887613E-3</v>
      </c>
      <c r="M107" s="43">
        <f t="shared" si="38"/>
        <v>0.97093451986651469</v>
      </c>
      <c r="N107" s="43">
        <f t="shared" si="38"/>
        <v>3.9495556749865619E-3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0.6200262662833208</v>
      </c>
      <c r="D108" s="44">
        <f t="shared" ref="D108:N108" si="39">D106/$O$106</f>
        <v>0.1336563376282256</v>
      </c>
      <c r="E108" s="44">
        <f t="shared" si="39"/>
        <v>6.1938735668902838E-2</v>
      </c>
      <c r="F108" s="44">
        <f t="shared" si="39"/>
        <v>0.56231143293224017</v>
      </c>
      <c r="G108" s="44">
        <f t="shared" si="39"/>
        <v>1.2299009690128846E-2</v>
      </c>
      <c r="H108" s="44">
        <f t="shared" si="39"/>
        <v>6.8327831611826933E-3</v>
      </c>
      <c r="I108" s="44">
        <f t="shared" si="39"/>
        <v>0.18810563305292297</v>
      </c>
      <c r="J108" s="44">
        <f t="shared" si="39"/>
        <v>0.11111702694068791</v>
      </c>
      <c r="K108" s="44">
        <f t="shared" si="39"/>
        <v>2.9886771021900398E-2</v>
      </c>
      <c r="L108" s="44">
        <f t="shared" si="39"/>
        <v>1.9681965001952222E-2</v>
      </c>
      <c r="M108" s="44"/>
      <c r="N108" s="44">
        <f t="shared" si="39"/>
        <v>1.1216412877577821E-2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B1:AE1"/>
    <mergeCell ref="B2:AE2"/>
    <mergeCell ref="C3:G3"/>
    <mergeCell ref="G5:H5"/>
    <mergeCell ref="G6:H6"/>
    <mergeCell ref="R8:AF8"/>
    <mergeCell ref="D6:E6"/>
    <mergeCell ref="K5:L5"/>
    <mergeCell ref="K6:L6"/>
    <mergeCell ref="D5:E5"/>
  </mergeCells>
  <pageMargins left="0" right="0" top="0" bottom="0" header="0.15748031496063" footer="0.118110236220472"/>
  <pageSetup paperSize="9" scale="21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74"/>
  <sheetViews>
    <sheetView tabSelected="1" view="pageBreakPreview" topLeftCell="I49" zoomScale="60" workbookViewId="0">
      <selection activeCell="AB97" sqref="AB9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1" width="10.7109375" customWidth="1"/>
    <col min="32" max="32" width="19.42578125" customWidth="1"/>
    <col min="33" max="33" width="10.7109375" customWidth="1"/>
  </cols>
  <sheetData>
    <row r="1" spans="2:32" ht="23.25" customHeight="1" x14ac:dyDescent="0.3">
      <c r="B1" s="58" t="s">
        <v>23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</row>
    <row r="2" spans="2:32" ht="20.100000000000001" customHeight="1" x14ac:dyDescent="0.25">
      <c r="B2" s="59" t="s">
        <v>95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</row>
    <row r="3" spans="2:32" ht="20.100000000000001" customHeight="1" x14ac:dyDescent="0.25">
      <c r="B3" s="22" t="s">
        <v>96</v>
      </c>
      <c r="C3" s="73" t="str">
        <f>'28.07 Ndeeba-Nateete'!C3:G3</f>
        <v>MCC - C1 - STN07 - MASAKA ROAD</v>
      </c>
      <c r="D3" s="73"/>
      <c r="E3" s="73"/>
      <c r="F3" s="73"/>
      <c r="G3" s="73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71" t="s">
        <v>168</v>
      </c>
      <c r="E5" s="72"/>
      <c r="F5" s="41" t="s">
        <v>1</v>
      </c>
      <c r="G5" s="69" t="str">
        <f>'Avg Week Ndeeba-Nateete'!G5:H5</f>
        <v>Rhino Funeral Services</v>
      </c>
      <c r="H5" s="70"/>
      <c r="I5" s="14"/>
      <c r="J5" s="2" t="s">
        <v>5</v>
      </c>
      <c r="K5" s="69" t="str">
        <f>'Avg Week Ndeeba-Nateete'!K5:L5</f>
        <v>Asibazuyo Jennipher &amp;Kyagulanyi Lawrence</v>
      </c>
      <c r="L5" s="70"/>
      <c r="M5" s="10"/>
      <c r="N5" s="10"/>
      <c r="O5" s="3"/>
      <c r="P5" s="3"/>
    </row>
    <row r="6" spans="2:32" ht="23.25" customHeight="1" x14ac:dyDescent="0.25">
      <c r="C6" s="2" t="s">
        <v>4</v>
      </c>
      <c r="D6" s="74" t="s">
        <v>161</v>
      </c>
      <c r="E6" s="75"/>
      <c r="F6" s="2" t="s">
        <v>2</v>
      </c>
      <c r="G6" s="74" t="s">
        <v>161</v>
      </c>
      <c r="H6" s="75"/>
      <c r="J6" s="2" t="s">
        <v>21</v>
      </c>
      <c r="K6" s="69" t="str">
        <f>'Avg Week Ndeeba-Nateete'!K6:L6</f>
        <v>Felix</v>
      </c>
      <c r="L6" s="70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7" t="s">
        <v>88</v>
      </c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'Avg Week Nateete-Ndeeba'!C10+'Avg Week Ndeeba-Nateete'!C10</f>
        <v>51</v>
      </c>
      <c r="D10" s="49">
        <f>'Avg Week Nateete-Ndeeba'!D10+'Avg Week Ndeeba-Nateete'!D10</f>
        <v>7.8571428571428577</v>
      </c>
      <c r="E10" s="49">
        <f>'Avg Week Nateete-Ndeeba'!E10+'Avg Week Ndeeba-Nateete'!E10</f>
        <v>5.7142857142857144</v>
      </c>
      <c r="F10" s="49">
        <f>'Avg Week Nateete-Ndeeba'!F10+'Avg Week Ndeeba-Nateete'!F10</f>
        <v>40.714285714285715</v>
      </c>
      <c r="G10" s="49">
        <f>'Avg Week Nateete-Ndeeba'!G10+'Avg Week Ndeeba-Nateete'!G10</f>
        <v>1.5714285714285714</v>
      </c>
      <c r="H10" s="49">
        <f>'Avg Week Nateete-Ndeeba'!H10+'Avg Week Ndeeba-Nateete'!H10</f>
        <v>5.5714285714285712</v>
      </c>
      <c r="I10" s="49">
        <f>'Avg Week Nateete-Ndeeba'!I10+'Avg Week Ndeeba-Nateete'!I10</f>
        <v>12.142857142857142</v>
      </c>
      <c r="J10" s="49">
        <f>'Avg Week Nateete-Ndeeba'!J10+'Avg Week Ndeeba-Nateete'!J10</f>
        <v>7.7142857142857144</v>
      </c>
      <c r="K10" s="49">
        <f>'Avg Week Nateete-Ndeeba'!K10+'Avg Week Ndeeba-Nateete'!K10</f>
        <v>2.2857142857142856</v>
      </c>
      <c r="L10" s="49">
        <f>'Avg Week Nateete-Ndeeba'!L10+'Avg Week Ndeeba-Nateete'!L10</f>
        <v>1</v>
      </c>
      <c r="M10" s="49">
        <f>'Avg Week Nateete-Ndeeba'!M10+'Avg Week Ndeeba-Nateete'!M10</f>
        <v>181.28571428571428</v>
      </c>
      <c r="N10" s="49">
        <f>'Avg Week Nateete-Ndeeba'!N10+'Avg Week Ndeeba-Nateete'!N10</f>
        <v>0</v>
      </c>
      <c r="O10" s="15">
        <f t="shared" ref="O10:O73" si="0">SUM(C10:L10,N10)</f>
        <v>135.57142857142856</v>
      </c>
      <c r="P10" s="15">
        <f t="shared" ref="P10:P73" si="1">SUM(C10:N10)</f>
        <v>316.85714285714283</v>
      </c>
      <c r="R10" s="1" t="s">
        <v>6</v>
      </c>
      <c r="S10" s="17">
        <f t="shared" ref="S10:AF10" si="2">SUM(C10:C13)</f>
        <v>235.14285714285711</v>
      </c>
      <c r="T10" s="17">
        <f t="shared" si="2"/>
        <v>38.285714285714285</v>
      </c>
      <c r="U10" s="17">
        <f t="shared" si="2"/>
        <v>23.714285714285715</v>
      </c>
      <c r="V10" s="17">
        <f t="shared" si="2"/>
        <v>201.42857142857144</v>
      </c>
      <c r="W10" s="17">
        <f t="shared" si="2"/>
        <v>5.1428571428571423</v>
      </c>
      <c r="X10" s="17">
        <f t="shared" si="2"/>
        <v>8</v>
      </c>
      <c r="Y10" s="17">
        <f t="shared" si="2"/>
        <v>56.428571428571431</v>
      </c>
      <c r="Z10" s="17">
        <f t="shared" si="2"/>
        <v>40.428571428571431</v>
      </c>
      <c r="AA10" s="17">
        <f t="shared" si="2"/>
        <v>8.2857142857142847</v>
      </c>
      <c r="AB10" s="17">
        <f t="shared" si="2"/>
        <v>5.2857142857142856</v>
      </c>
      <c r="AC10" s="17">
        <f t="shared" si="2"/>
        <v>1153.4285714285716</v>
      </c>
      <c r="AD10" s="17">
        <f t="shared" si="2"/>
        <v>0</v>
      </c>
      <c r="AE10" s="31">
        <f t="shared" si="2"/>
        <v>622.14285714285711</v>
      </c>
      <c r="AF10" s="31">
        <f t="shared" si="2"/>
        <v>1775.5714285714289</v>
      </c>
    </row>
    <row r="11" spans="2:32" s="6" customFormat="1" ht="23.1" customHeight="1" x14ac:dyDescent="0.25">
      <c r="B11" s="23" t="s">
        <v>38</v>
      </c>
      <c r="C11" s="49">
        <f>'Avg Week Nateete-Ndeeba'!C11+'Avg Week Ndeeba-Nateete'!C11</f>
        <v>57</v>
      </c>
      <c r="D11" s="49">
        <f>'Avg Week Nateete-Ndeeba'!D11+'Avg Week Ndeeba-Nateete'!D11</f>
        <v>8.2857142857142847</v>
      </c>
      <c r="E11" s="49">
        <f>'Avg Week Nateete-Ndeeba'!E11+'Avg Week Ndeeba-Nateete'!E11</f>
        <v>5.8571428571428577</v>
      </c>
      <c r="F11" s="49">
        <f>'Avg Week Nateete-Ndeeba'!F11+'Avg Week Ndeeba-Nateete'!F11</f>
        <v>48.571428571428569</v>
      </c>
      <c r="G11" s="49">
        <f>'Avg Week Nateete-Ndeeba'!G11+'Avg Week Ndeeba-Nateete'!G11</f>
        <v>1</v>
      </c>
      <c r="H11" s="49">
        <f>'Avg Week Nateete-Ndeeba'!H11+'Avg Week Ndeeba-Nateete'!H11</f>
        <v>0.7142857142857143</v>
      </c>
      <c r="I11" s="49">
        <f>'Avg Week Nateete-Ndeeba'!I11+'Avg Week Ndeeba-Nateete'!I11</f>
        <v>12.714285714285715</v>
      </c>
      <c r="J11" s="49">
        <f>'Avg Week Nateete-Ndeeba'!J11+'Avg Week Ndeeba-Nateete'!J11</f>
        <v>9.1428571428571423</v>
      </c>
      <c r="K11" s="49">
        <f>'Avg Week Nateete-Ndeeba'!K11+'Avg Week Ndeeba-Nateete'!K11</f>
        <v>2.5714285714285712</v>
      </c>
      <c r="L11" s="49">
        <f>'Avg Week Nateete-Ndeeba'!L11+'Avg Week Ndeeba-Nateete'!L11</f>
        <v>1.8571428571428572</v>
      </c>
      <c r="M11" s="49">
        <f>'Avg Week Nateete-Ndeeba'!M11+'Avg Week Ndeeba-Nateete'!M11</f>
        <v>241.14285714285717</v>
      </c>
      <c r="N11" s="49">
        <f>'Avg Week Nateete-Ndeeba'!N11+'Avg Week Ndeeba-Nateete'!N11</f>
        <v>0</v>
      </c>
      <c r="O11" s="15">
        <f t="shared" si="0"/>
        <v>147.71428571428572</v>
      </c>
      <c r="P11" s="15">
        <f t="shared" si="1"/>
        <v>388.85714285714289</v>
      </c>
      <c r="R11" s="1" t="s">
        <v>7</v>
      </c>
      <c r="S11" s="17">
        <f t="shared" ref="S11:AF11" si="3">SUM(C14:C17)</f>
        <v>238.85714285714286</v>
      </c>
      <c r="T11" s="17">
        <f t="shared" si="3"/>
        <v>56.857142857142861</v>
      </c>
      <c r="U11" s="17">
        <f t="shared" si="3"/>
        <v>22.571428571428569</v>
      </c>
      <c r="V11" s="17">
        <f t="shared" si="3"/>
        <v>281.57142857142856</v>
      </c>
      <c r="W11" s="17">
        <f t="shared" si="3"/>
        <v>6.4285714285714288</v>
      </c>
      <c r="X11" s="17">
        <f t="shared" si="3"/>
        <v>1.5714285714285712</v>
      </c>
      <c r="Y11" s="17">
        <f t="shared" si="3"/>
        <v>67.571428571428569</v>
      </c>
      <c r="Z11" s="17">
        <f t="shared" si="3"/>
        <v>61.571428571428569</v>
      </c>
      <c r="AA11" s="17">
        <f t="shared" si="3"/>
        <v>10.571428571428573</v>
      </c>
      <c r="AB11" s="17">
        <f t="shared" si="3"/>
        <v>6.7142857142857135</v>
      </c>
      <c r="AC11" s="17">
        <f t="shared" si="3"/>
        <v>1600.5714285714284</v>
      </c>
      <c r="AD11" s="17">
        <f t="shared" si="3"/>
        <v>0.14285714285714285</v>
      </c>
      <c r="AE11" s="31">
        <f t="shared" si="3"/>
        <v>754.42857142857144</v>
      </c>
      <c r="AF11" s="31">
        <f t="shared" si="3"/>
        <v>2355</v>
      </c>
    </row>
    <row r="12" spans="2:32" ht="23.1" customHeight="1" x14ac:dyDescent="0.25">
      <c r="B12" s="23" t="s">
        <v>39</v>
      </c>
      <c r="C12" s="49">
        <f>'Avg Week Nateete-Ndeeba'!C12+'Avg Week Ndeeba-Nateete'!C12</f>
        <v>63.571428571428569</v>
      </c>
      <c r="D12" s="49">
        <f>'Avg Week Nateete-Ndeeba'!D12+'Avg Week Ndeeba-Nateete'!D12</f>
        <v>11</v>
      </c>
      <c r="E12" s="49">
        <f>'Avg Week Nateete-Ndeeba'!E12+'Avg Week Ndeeba-Nateete'!E12</f>
        <v>5.8571428571428577</v>
      </c>
      <c r="F12" s="49">
        <f>'Avg Week Nateete-Ndeeba'!F12+'Avg Week Ndeeba-Nateete'!F12</f>
        <v>54.857142857142854</v>
      </c>
      <c r="G12" s="49">
        <f>'Avg Week Nateete-Ndeeba'!G12+'Avg Week Ndeeba-Nateete'!G12</f>
        <v>1.4285714285714284</v>
      </c>
      <c r="H12" s="49">
        <f>'Avg Week Nateete-Ndeeba'!H12+'Avg Week Ndeeba-Nateete'!H12</f>
        <v>1.4285714285714286</v>
      </c>
      <c r="I12" s="49">
        <f>'Avg Week Nateete-Ndeeba'!I12+'Avg Week Ndeeba-Nateete'!I12</f>
        <v>16.428571428571431</v>
      </c>
      <c r="J12" s="49">
        <f>'Avg Week Nateete-Ndeeba'!J12+'Avg Week Ndeeba-Nateete'!J12</f>
        <v>10.428571428571429</v>
      </c>
      <c r="K12" s="49">
        <f>'Avg Week Nateete-Ndeeba'!K12+'Avg Week Ndeeba-Nateete'!K12</f>
        <v>1.7142857142857142</v>
      </c>
      <c r="L12" s="49">
        <f>'Avg Week Nateete-Ndeeba'!L12+'Avg Week Ndeeba-Nateete'!L12</f>
        <v>1.4285714285714284</v>
      </c>
      <c r="M12" s="49">
        <f>'Avg Week Nateete-Ndeeba'!M12+'Avg Week Ndeeba-Nateete'!M12</f>
        <v>309.28571428571433</v>
      </c>
      <c r="N12" s="49">
        <f>'Avg Week Nateete-Ndeeba'!N12+'Avg Week Ndeeba-Nateete'!N12</f>
        <v>0</v>
      </c>
      <c r="O12" s="15">
        <f t="shared" si="0"/>
        <v>168.14285714285711</v>
      </c>
      <c r="P12" s="15">
        <f t="shared" si="1"/>
        <v>477.42857142857144</v>
      </c>
      <c r="R12" s="1" t="s">
        <v>8</v>
      </c>
      <c r="S12" s="17">
        <f t="shared" ref="S12:AF12" si="4">SUM(C18:C21)</f>
        <v>263.42857142857144</v>
      </c>
      <c r="T12" s="17">
        <f t="shared" si="4"/>
        <v>64.857142857142847</v>
      </c>
      <c r="U12" s="17">
        <f t="shared" si="4"/>
        <v>27</v>
      </c>
      <c r="V12" s="17">
        <f t="shared" si="4"/>
        <v>307.14285714285711</v>
      </c>
      <c r="W12" s="17">
        <f t="shared" si="4"/>
        <v>8.2857142857142865</v>
      </c>
      <c r="X12" s="17">
        <f t="shared" si="4"/>
        <v>1.857142857142857</v>
      </c>
      <c r="Y12" s="17">
        <f t="shared" si="4"/>
        <v>84</v>
      </c>
      <c r="Z12" s="17">
        <f t="shared" si="4"/>
        <v>65.285714285714278</v>
      </c>
      <c r="AA12" s="17">
        <f t="shared" si="4"/>
        <v>9.2857142857142847</v>
      </c>
      <c r="AB12" s="17">
        <f t="shared" si="4"/>
        <v>3.285714285714286</v>
      </c>
      <c r="AC12" s="17">
        <f t="shared" si="4"/>
        <v>1593.7142857142858</v>
      </c>
      <c r="AD12" s="17">
        <f t="shared" si="4"/>
        <v>0</v>
      </c>
      <c r="AE12" s="31">
        <f t="shared" si="4"/>
        <v>834.42857142857144</v>
      </c>
      <c r="AF12" s="31">
        <f t="shared" si="4"/>
        <v>2428.1428571428573</v>
      </c>
    </row>
    <row r="13" spans="2:32" ht="23.1" customHeight="1" x14ac:dyDescent="0.25">
      <c r="B13" s="23" t="s">
        <v>40</v>
      </c>
      <c r="C13" s="49">
        <f>'Avg Week Nateete-Ndeeba'!C13+'Avg Week Ndeeba-Nateete'!C13</f>
        <v>63.571428571428569</v>
      </c>
      <c r="D13" s="49">
        <f>'Avg Week Nateete-Ndeeba'!D13+'Avg Week Ndeeba-Nateete'!D13</f>
        <v>11.142857142857142</v>
      </c>
      <c r="E13" s="49">
        <f>'Avg Week Nateete-Ndeeba'!E13+'Avg Week Ndeeba-Nateete'!E13</f>
        <v>6.2857142857142856</v>
      </c>
      <c r="F13" s="49">
        <f>'Avg Week Nateete-Ndeeba'!F13+'Avg Week Ndeeba-Nateete'!F13</f>
        <v>57.285714285714292</v>
      </c>
      <c r="G13" s="49">
        <f>'Avg Week Nateete-Ndeeba'!G13+'Avg Week Ndeeba-Nateete'!G13</f>
        <v>1.1428571428571428</v>
      </c>
      <c r="H13" s="49">
        <f>'Avg Week Nateete-Ndeeba'!H13+'Avg Week Ndeeba-Nateete'!H13</f>
        <v>0.2857142857142857</v>
      </c>
      <c r="I13" s="49">
        <f>'Avg Week Nateete-Ndeeba'!I13+'Avg Week Ndeeba-Nateete'!I13</f>
        <v>15.142857142857142</v>
      </c>
      <c r="J13" s="49">
        <f>'Avg Week Nateete-Ndeeba'!J13+'Avg Week Ndeeba-Nateete'!J13</f>
        <v>13.142857142857142</v>
      </c>
      <c r="K13" s="49">
        <f>'Avg Week Nateete-Ndeeba'!K13+'Avg Week Ndeeba-Nateete'!K13</f>
        <v>1.7142857142857144</v>
      </c>
      <c r="L13" s="49">
        <f>'Avg Week Nateete-Ndeeba'!L13+'Avg Week Ndeeba-Nateete'!L13</f>
        <v>1</v>
      </c>
      <c r="M13" s="49">
        <f>'Avg Week Nateete-Ndeeba'!M13+'Avg Week Ndeeba-Nateete'!M13</f>
        <v>421.71428571428572</v>
      </c>
      <c r="N13" s="49">
        <f>'Avg Week Nateete-Ndeeba'!N13+'Avg Week Ndeeba-Nateete'!N13</f>
        <v>0</v>
      </c>
      <c r="O13" s="15">
        <f t="shared" si="0"/>
        <v>170.71428571428569</v>
      </c>
      <c r="P13" s="15">
        <f t="shared" si="1"/>
        <v>592.42857142857144</v>
      </c>
      <c r="R13" s="1" t="s">
        <v>9</v>
      </c>
      <c r="S13" s="17">
        <f t="shared" ref="S13:AF13" si="5">SUM(C22:C25)</f>
        <v>252.28571428571428</v>
      </c>
      <c r="T13" s="17">
        <f t="shared" si="5"/>
        <v>51.285714285714292</v>
      </c>
      <c r="U13" s="17">
        <f t="shared" si="5"/>
        <v>29.285714285714288</v>
      </c>
      <c r="V13" s="17">
        <f t="shared" si="5"/>
        <v>248.71428571428575</v>
      </c>
      <c r="W13" s="17">
        <f t="shared" si="5"/>
        <v>5.5714285714285712</v>
      </c>
      <c r="X13" s="17">
        <f t="shared" si="5"/>
        <v>1.5714285714285712</v>
      </c>
      <c r="Y13" s="17">
        <f t="shared" si="5"/>
        <v>68.857142857142861</v>
      </c>
      <c r="Z13" s="17">
        <f t="shared" si="5"/>
        <v>67</v>
      </c>
      <c r="AA13" s="17">
        <f t="shared" si="5"/>
        <v>12</v>
      </c>
      <c r="AB13" s="17">
        <f t="shared" si="5"/>
        <v>6</v>
      </c>
      <c r="AC13" s="17">
        <f t="shared" si="5"/>
        <v>1457</v>
      </c>
      <c r="AD13" s="17">
        <f t="shared" si="5"/>
        <v>0.42857142857142855</v>
      </c>
      <c r="AE13" s="31">
        <f t="shared" si="5"/>
        <v>743</v>
      </c>
      <c r="AF13" s="31">
        <f t="shared" si="5"/>
        <v>2200</v>
      </c>
    </row>
    <row r="14" spans="2:32" ht="23.1" customHeight="1" x14ac:dyDescent="0.25">
      <c r="B14" s="23" t="s">
        <v>41</v>
      </c>
      <c r="C14" s="49">
        <f>'Avg Week Nateete-Ndeeba'!C14+'Avg Week Ndeeba-Nateete'!C14</f>
        <v>58.142857142857139</v>
      </c>
      <c r="D14" s="49">
        <f>'Avg Week Nateete-Ndeeba'!D14+'Avg Week Ndeeba-Nateete'!D14</f>
        <v>12.857142857142858</v>
      </c>
      <c r="E14" s="49">
        <f>'Avg Week Nateete-Ndeeba'!E14+'Avg Week Ndeeba-Nateete'!E14</f>
        <v>5</v>
      </c>
      <c r="F14" s="49">
        <f>'Avg Week Nateete-Ndeeba'!F14+'Avg Week Ndeeba-Nateete'!F14</f>
        <v>59.857142857142861</v>
      </c>
      <c r="G14" s="49">
        <f>'Avg Week Nateete-Ndeeba'!G14+'Avg Week Ndeeba-Nateete'!G14</f>
        <v>1.1428571428571428</v>
      </c>
      <c r="H14" s="49">
        <f>'Avg Week Nateete-Ndeeba'!H14+'Avg Week Ndeeba-Nateete'!H14</f>
        <v>0.2857142857142857</v>
      </c>
      <c r="I14" s="49">
        <f>'Avg Week Nateete-Ndeeba'!I14+'Avg Week Ndeeba-Nateete'!I14</f>
        <v>13.714285714285715</v>
      </c>
      <c r="J14" s="49">
        <f>'Avg Week Nateete-Ndeeba'!J14+'Avg Week Ndeeba-Nateete'!J14</f>
        <v>14.142857142857142</v>
      </c>
      <c r="K14" s="49">
        <f>'Avg Week Nateete-Ndeeba'!K14+'Avg Week Ndeeba-Nateete'!K14</f>
        <v>2.1428571428571428</v>
      </c>
      <c r="L14" s="49">
        <f>'Avg Week Nateete-Ndeeba'!L14+'Avg Week Ndeeba-Nateete'!L14</f>
        <v>1</v>
      </c>
      <c r="M14" s="49">
        <f>'Avg Week Nateete-Ndeeba'!M14+'Avg Week Ndeeba-Nateete'!M14</f>
        <v>377</v>
      </c>
      <c r="N14" s="49">
        <f>'Avg Week Nateete-Ndeeba'!N14+'Avg Week Ndeeba-Nateete'!N14</f>
        <v>0</v>
      </c>
      <c r="O14" s="15">
        <f t="shared" si="0"/>
        <v>168.28571428571428</v>
      </c>
      <c r="P14" s="15">
        <f t="shared" si="1"/>
        <v>545.28571428571422</v>
      </c>
      <c r="R14" s="1" t="s">
        <v>10</v>
      </c>
      <c r="S14" s="17">
        <f t="shared" ref="S14:AF14" si="6">SUM(C26:C29)</f>
        <v>258.28571428571428</v>
      </c>
      <c r="T14" s="17">
        <f t="shared" si="6"/>
        <v>65.285714285714292</v>
      </c>
      <c r="U14" s="17">
        <f t="shared" si="6"/>
        <v>28.142857142857142</v>
      </c>
      <c r="V14" s="17">
        <f t="shared" si="6"/>
        <v>235</v>
      </c>
      <c r="W14" s="17">
        <f t="shared" si="6"/>
        <v>5</v>
      </c>
      <c r="X14" s="17">
        <f t="shared" si="6"/>
        <v>1.714285714285714</v>
      </c>
      <c r="Y14" s="17">
        <f t="shared" si="6"/>
        <v>75</v>
      </c>
      <c r="Z14" s="17">
        <f t="shared" si="6"/>
        <v>64.714285714285708</v>
      </c>
      <c r="AA14" s="17">
        <f t="shared" si="6"/>
        <v>16</v>
      </c>
      <c r="AB14" s="17">
        <f t="shared" si="6"/>
        <v>8</v>
      </c>
      <c r="AC14" s="17">
        <f t="shared" si="6"/>
        <v>1500.5714285714284</v>
      </c>
      <c r="AD14" s="17">
        <f t="shared" si="6"/>
        <v>0</v>
      </c>
      <c r="AE14" s="31">
        <f t="shared" si="6"/>
        <v>757.14285714285711</v>
      </c>
      <c r="AF14" s="31">
        <f t="shared" si="6"/>
        <v>2257.7142857142853</v>
      </c>
    </row>
    <row r="15" spans="2:32" ht="23.1" customHeight="1" x14ac:dyDescent="0.25">
      <c r="B15" s="23" t="s">
        <v>42</v>
      </c>
      <c r="C15" s="49">
        <f>'Avg Week Nateete-Ndeeba'!C15+'Avg Week Ndeeba-Nateete'!C15</f>
        <v>57.857142857142861</v>
      </c>
      <c r="D15" s="49">
        <f>'Avg Week Nateete-Ndeeba'!D15+'Avg Week Ndeeba-Nateete'!D15</f>
        <v>14.285714285714285</v>
      </c>
      <c r="E15" s="49">
        <f>'Avg Week Nateete-Ndeeba'!E15+'Avg Week Ndeeba-Nateete'!E15</f>
        <v>4.1428571428571423</v>
      </c>
      <c r="F15" s="49">
        <f>'Avg Week Nateete-Ndeeba'!F15+'Avg Week Ndeeba-Nateete'!F15</f>
        <v>67.857142857142861</v>
      </c>
      <c r="G15" s="49">
        <f>'Avg Week Nateete-Ndeeba'!G15+'Avg Week Ndeeba-Nateete'!G15</f>
        <v>1.7142857142857144</v>
      </c>
      <c r="H15" s="49">
        <f>'Avg Week Nateete-Ndeeba'!H15+'Avg Week Ndeeba-Nateete'!H15</f>
        <v>0.71428571428571419</v>
      </c>
      <c r="I15" s="49">
        <f>'Avg Week Nateete-Ndeeba'!I15+'Avg Week Ndeeba-Nateete'!I15</f>
        <v>16.428571428571427</v>
      </c>
      <c r="J15" s="49">
        <f>'Avg Week Nateete-Ndeeba'!J15+'Avg Week Ndeeba-Nateete'!J15</f>
        <v>15</v>
      </c>
      <c r="K15" s="49">
        <f>'Avg Week Nateete-Ndeeba'!K15+'Avg Week Ndeeba-Nateete'!K15</f>
        <v>2.8571428571428572</v>
      </c>
      <c r="L15" s="49">
        <f>'Avg Week Nateete-Ndeeba'!L15+'Avg Week Ndeeba-Nateete'!L15</f>
        <v>1.2857142857142856</v>
      </c>
      <c r="M15" s="49">
        <f>'Avg Week Nateete-Ndeeba'!M15+'Avg Week Ndeeba-Nateete'!M15</f>
        <v>383.14285714285711</v>
      </c>
      <c r="N15" s="49">
        <f>'Avg Week Nateete-Ndeeba'!N15+'Avg Week Ndeeba-Nateete'!N15</f>
        <v>0</v>
      </c>
      <c r="O15" s="15">
        <f t="shared" si="0"/>
        <v>182.14285714285714</v>
      </c>
      <c r="P15" s="15">
        <f t="shared" si="1"/>
        <v>565.28571428571422</v>
      </c>
      <c r="R15" s="1" t="s">
        <v>11</v>
      </c>
      <c r="S15" s="17">
        <f t="shared" ref="S15:AF15" si="7">SUM(C30:C33)</f>
        <v>273.42857142857144</v>
      </c>
      <c r="T15" s="17">
        <f t="shared" si="7"/>
        <v>58.285714285714285</v>
      </c>
      <c r="U15" s="17">
        <f t="shared" si="7"/>
        <v>29.285714285714288</v>
      </c>
      <c r="V15" s="17">
        <f t="shared" si="7"/>
        <v>245.28571428571428</v>
      </c>
      <c r="W15" s="17">
        <f t="shared" si="7"/>
        <v>4.1428571428571423</v>
      </c>
      <c r="X15" s="17">
        <f t="shared" si="7"/>
        <v>1.1428571428571428</v>
      </c>
      <c r="Y15" s="17">
        <f t="shared" si="7"/>
        <v>80</v>
      </c>
      <c r="Z15" s="17">
        <f t="shared" si="7"/>
        <v>73.857142857142847</v>
      </c>
      <c r="AA15" s="17">
        <f t="shared" si="7"/>
        <v>17.285714285714285</v>
      </c>
      <c r="AB15" s="17">
        <f t="shared" si="7"/>
        <v>9.5714285714285712</v>
      </c>
      <c r="AC15" s="17">
        <f t="shared" si="7"/>
        <v>1384.8571428571427</v>
      </c>
      <c r="AD15" s="17">
        <f t="shared" si="7"/>
        <v>0.14285714285714285</v>
      </c>
      <c r="AE15" s="31">
        <f t="shared" si="7"/>
        <v>792.42857142857144</v>
      </c>
      <c r="AF15" s="31">
        <f t="shared" si="7"/>
        <v>2177.2857142857142</v>
      </c>
    </row>
    <row r="16" spans="2:32" ht="23.1" customHeight="1" x14ac:dyDescent="0.25">
      <c r="B16" s="23" t="s">
        <v>43</v>
      </c>
      <c r="C16" s="49">
        <f>'Avg Week Nateete-Ndeeba'!C16+'Avg Week Ndeeba-Nateete'!C16</f>
        <v>54.142857142857139</v>
      </c>
      <c r="D16" s="49">
        <f>'Avg Week Nateete-Ndeeba'!D16+'Avg Week Ndeeba-Nateete'!D16</f>
        <v>15.285714285714286</v>
      </c>
      <c r="E16" s="49">
        <f>'Avg Week Nateete-Ndeeba'!E16+'Avg Week Ndeeba-Nateete'!E16</f>
        <v>6.2857142857142856</v>
      </c>
      <c r="F16" s="49">
        <f>'Avg Week Nateete-Ndeeba'!F16+'Avg Week Ndeeba-Nateete'!F16</f>
        <v>77.857142857142861</v>
      </c>
      <c r="G16" s="49">
        <f>'Avg Week Nateete-Ndeeba'!G16+'Avg Week Ndeeba-Nateete'!G16</f>
        <v>1.4285714285714284</v>
      </c>
      <c r="H16" s="49">
        <f>'Avg Week Nateete-Ndeeba'!H16+'Avg Week Ndeeba-Nateete'!H16</f>
        <v>0.42857142857142855</v>
      </c>
      <c r="I16" s="49">
        <f>'Avg Week Nateete-Ndeeba'!I16+'Avg Week Ndeeba-Nateete'!I16</f>
        <v>17.857142857142858</v>
      </c>
      <c r="J16" s="49">
        <f>'Avg Week Nateete-Ndeeba'!J16+'Avg Week Ndeeba-Nateete'!J16</f>
        <v>16.428571428571427</v>
      </c>
      <c r="K16" s="49">
        <f>'Avg Week Nateete-Ndeeba'!K16+'Avg Week Ndeeba-Nateete'!K16</f>
        <v>3.8571428571428577</v>
      </c>
      <c r="L16" s="49">
        <f>'Avg Week Nateete-Ndeeba'!L16+'Avg Week Ndeeba-Nateete'!L16</f>
        <v>0.8571428571428571</v>
      </c>
      <c r="M16" s="49">
        <f>'Avg Week Nateete-Ndeeba'!M16+'Avg Week Ndeeba-Nateete'!M16</f>
        <v>390.71428571428572</v>
      </c>
      <c r="N16" s="49">
        <f>'Avg Week Nateete-Ndeeba'!N16+'Avg Week Ndeeba-Nateete'!N16</f>
        <v>0</v>
      </c>
      <c r="O16" s="15">
        <f t="shared" si="0"/>
        <v>194.42857142857142</v>
      </c>
      <c r="P16" s="15">
        <f t="shared" si="1"/>
        <v>585.14285714285711</v>
      </c>
      <c r="R16" s="1" t="s">
        <v>12</v>
      </c>
      <c r="S16" s="17">
        <f t="shared" ref="S16:AF16" si="8">SUM(C34:C37)</f>
        <v>241</v>
      </c>
      <c r="T16" s="17">
        <f t="shared" si="8"/>
        <v>47.285714285714292</v>
      </c>
      <c r="U16" s="17">
        <f t="shared" si="8"/>
        <v>31.142857142857139</v>
      </c>
      <c r="V16" s="17">
        <f t="shared" si="8"/>
        <v>221</v>
      </c>
      <c r="W16" s="17">
        <f t="shared" si="8"/>
        <v>6.2857142857142865</v>
      </c>
      <c r="X16" s="17">
        <f t="shared" si="8"/>
        <v>1.1428571428571428</v>
      </c>
      <c r="Y16" s="17">
        <f t="shared" si="8"/>
        <v>76.142857142857153</v>
      </c>
      <c r="Z16" s="17">
        <f t="shared" si="8"/>
        <v>58.142857142857146</v>
      </c>
      <c r="AA16" s="17">
        <f t="shared" si="8"/>
        <v>13.285714285714285</v>
      </c>
      <c r="AB16" s="17">
        <f t="shared" si="8"/>
        <v>5.4285714285714288</v>
      </c>
      <c r="AC16" s="17">
        <f t="shared" si="8"/>
        <v>1331.7142857142858</v>
      </c>
      <c r="AD16" s="17">
        <f t="shared" si="8"/>
        <v>0</v>
      </c>
      <c r="AE16" s="31">
        <f t="shared" si="8"/>
        <v>700.85714285714289</v>
      </c>
      <c r="AF16" s="31">
        <f t="shared" si="8"/>
        <v>2032.5714285714287</v>
      </c>
    </row>
    <row r="17" spans="2:32" ht="23.1" customHeight="1" x14ac:dyDescent="0.25">
      <c r="B17" s="23" t="s">
        <v>44</v>
      </c>
      <c r="C17" s="49">
        <f>'Avg Week Nateete-Ndeeba'!C17+'Avg Week Ndeeba-Nateete'!C17</f>
        <v>68.714285714285722</v>
      </c>
      <c r="D17" s="49">
        <f>'Avg Week Nateete-Ndeeba'!D17+'Avg Week Ndeeba-Nateete'!D17</f>
        <v>14.428571428571427</v>
      </c>
      <c r="E17" s="49">
        <f>'Avg Week Nateete-Ndeeba'!E17+'Avg Week Ndeeba-Nateete'!E17</f>
        <v>7.1428571428571423</v>
      </c>
      <c r="F17" s="49">
        <f>'Avg Week Nateete-Ndeeba'!F17+'Avg Week Ndeeba-Nateete'!F17</f>
        <v>76</v>
      </c>
      <c r="G17" s="49">
        <f>'Avg Week Nateete-Ndeeba'!G17+'Avg Week Ndeeba-Nateete'!G17</f>
        <v>2.1428571428571428</v>
      </c>
      <c r="H17" s="49">
        <f>'Avg Week Nateete-Ndeeba'!H17+'Avg Week Ndeeba-Nateete'!H17</f>
        <v>0.14285714285714285</v>
      </c>
      <c r="I17" s="49">
        <f>'Avg Week Nateete-Ndeeba'!I17+'Avg Week Ndeeba-Nateete'!I17</f>
        <v>19.571428571428569</v>
      </c>
      <c r="J17" s="49">
        <f>'Avg Week Nateete-Ndeeba'!J17+'Avg Week Ndeeba-Nateete'!J17</f>
        <v>16</v>
      </c>
      <c r="K17" s="49">
        <f>'Avg Week Nateete-Ndeeba'!K17+'Avg Week Ndeeba-Nateete'!K17</f>
        <v>1.7142857142857144</v>
      </c>
      <c r="L17" s="49">
        <f>'Avg Week Nateete-Ndeeba'!L17+'Avg Week Ndeeba-Nateete'!L17</f>
        <v>3.5714285714285712</v>
      </c>
      <c r="M17" s="49">
        <f>'Avg Week Nateete-Ndeeba'!M17+'Avg Week Ndeeba-Nateete'!M17</f>
        <v>449.71428571428567</v>
      </c>
      <c r="N17" s="49">
        <f>'Avg Week Nateete-Ndeeba'!N17+'Avg Week Ndeeba-Nateete'!N17</f>
        <v>0.14285714285714285</v>
      </c>
      <c r="O17" s="15">
        <f t="shared" si="0"/>
        <v>209.57142857142856</v>
      </c>
      <c r="P17" s="15">
        <f t="shared" si="1"/>
        <v>659.28571428571422</v>
      </c>
      <c r="R17" s="1" t="s">
        <v>13</v>
      </c>
      <c r="S17" s="17">
        <f t="shared" ref="S17:AF17" si="9">SUM(C38:C41)</f>
        <v>258.14285714285711</v>
      </c>
      <c r="T17" s="17">
        <f t="shared" si="9"/>
        <v>56.571428571428569</v>
      </c>
      <c r="U17" s="17">
        <f t="shared" si="9"/>
        <v>32</v>
      </c>
      <c r="V17" s="17">
        <f t="shared" si="9"/>
        <v>208</v>
      </c>
      <c r="W17" s="17">
        <f t="shared" si="9"/>
        <v>4.8571428571428568</v>
      </c>
      <c r="X17" s="17">
        <f t="shared" si="9"/>
        <v>1.5714285714285714</v>
      </c>
      <c r="Y17" s="17">
        <f t="shared" si="9"/>
        <v>70.428571428571431</v>
      </c>
      <c r="Z17" s="17">
        <f t="shared" si="9"/>
        <v>75</v>
      </c>
      <c r="AA17" s="17">
        <f t="shared" si="9"/>
        <v>15.571428571428571</v>
      </c>
      <c r="AB17" s="17">
        <f t="shared" si="9"/>
        <v>5.4285714285714288</v>
      </c>
      <c r="AC17" s="17">
        <f t="shared" si="9"/>
        <v>1233.2857142857142</v>
      </c>
      <c r="AD17" s="17">
        <f t="shared" si="9"/>
        <v>0</v>
      </c>
      <c r="AE17" s="31">
        <f t="shared" si="9"/>
        <v>727.57142857142844</v>
      </c>
      <c r="AF17" s="31">
        <f t="shared" si="9"/>
        <v>1960.8571428571427</v>
      </c>
    </row>
    <row r="18" spans="2:32" ht="23.1" customHeight="1" x14ac:dyDescent="0.25">
      <c r="B18" s="23" t="s">
        <v>45</v>
      </c>
      <c r="C18" s="49">
        <f>'Avg Week Nateete-Ndeeba'!C18+'Avg Week Ndeeba-Nateete'!C18</f>
        <v>58.857142857142861</v>
      </c>
      <c r="D18" s="49">
        <f>'Avg Week Nateete-Ndeeba'!D18+'Avg Week Ndeeba-Nateete'!D18</f>
        <v>15.428571428571427</v>
      </c>
      <c r="E18" s="49">
        <f>'Avg Week Nateete-Ndeeba'!E18+'Avg Week Ndeeba-Nateete'!E18</f>
        <v>6.1428571428571432</v>
      </c>
      <c r="F18" s="49">
        <f>'Avg Week Nateete-Ndeeba'!F18+'Avg Week Ndeeba-Nateete'!F18</f>
        <v>79.142857142857139</v>
      </c>
      <c r="G18" s="49">
        <f>'Avg Week Nateete-Ndeeba'!G18+'Avg Week Ndeeba-Nateete'!G18</f>
        <v>1</v>
      </c>
      <c r="H18" s="49">
        <f>'Avg Week Nateete-Ndeeba'!H18+'Avg Week Ndeeba-Nateete'!H18</f>
        <v>0.14285714285714285</v>
      </c>
      <c r="I18" s="49">
        <f>'Avg Week Nateete-Ndeeba'!I18+'Avg Week Ndeeba-Nateete'!I18</f>
        <v>23.285714285714285</v>
      </c>
      <c r="J18" s="49">
        <f>'Avg Week Nateete-Ndeeba'!J18+'Avg Week Ndeeba-Nateete'!J18</f>
        <v>14.857142857142858</v>
      </c>
      <c r="K18" s="49">
        <f>'Avg Week Nateete-Ndeeba'!K18+'Avg Week Ndeeba-Nateete'!K18</f>
        <v>1.5714285714285714</v>
      </c>
      <c r="L18" s="49">
        <f>'Avg Week Nateete-Ndeeba'!L18+'Avg Week Ndeeba-Nateete'!L18</f>
        <v>0.85714285714285721</v>
      </c>
      <c r="M18" s="49">
        <f>'Avg Week Nateete-Ndeeba'!M18+'Avg Week Ndeeba-Nateete'!M18</f>
        <v>401.28571428571433</v>
      </c>
      <c r="N18" s="49">
        <f>'Avg Week Nateete-Ndeeba'!N18+'Avg Week Ndeeba-Nateete'!N18</f>
        <v>0</v>
      </c>
      <c r="O18" s="15">
        <f t="shared" si="0"/>
        <v>201.28571428571428</v>
      </c>
      <c r="P18" s="15">
        <f t="shared" si="1"/>
        <v>602.57142857142867</v>
      </c>
      <c r="R18" s="1" t="s">
        <v>14</v>
      </c>
      <c r="S18" s="17">
        <f t="shared" ref="S18:AF18" si="10">SUM(C42:C45)</f>
        <v>248</v>
      </c>
      <c r="T18" s="17">
        <f t="shared" si="10"/>
        <v>51.285714285714285</v>
      </c>
      <c r="U18" s="17">
        <f t="shared" si="10"/>
        <v>31.142857142857142</v>
      </c>
      <c r="V18" s="17">
        <f t="shared" si="10"/>
        <v>192.71428571428572</v>
      </c>
      <c r="W18" s="17">
        <f t="shared" si="10"/>
        <v>4.1428571428571423</v>
      </c>
      <c r="X18" s="17">
        <f t="shared" si="10"/>
        <v>1.1428571428571428</v>
      </c>
      <c r="Y18" s="17">
        <f t="shared" si="10"/>
        <v>65</v>
      </c>
      <c r="Z18" s="17">
        <f t="shared" si="10"/>
        <v>69</v>
      </c>
      <c r="AA18" s="17">
        <f t="shared" si="10"/>
        <v>15.428571428571431</v>
      </c>
      <c r="AB18" s="17">
        <f t="shared" si="10"/>
        <v>6.1428571428571423</v>
      </c>
      <c r="AC18" s="17">
        <f t="shared" si="10"/>
        <v>1123.1428571428573</v>
      </c>
      <c r="AD18" s="17">
        <f t="shared" si="10"/>
        <v>0.14285714285714285</v>
      </c>
      <c r="AE18" s="31">
        <f t="shared" si="10"/>
        <v>684.14285714285711</v>
      </c>
      <c r="AF18" s="31">
        <f t="shared" si="10"/>
        <v>1807.2857142857142</v>
      </c>
    </row>
    <row r="19" spans="2:32" ht="23.1" customHeight="1" x14ac:dyDescent="0.25">
      <c r="B19" s="23" t="s">
        <v>46</v>
      </c>
      <c r="C19" s="49">
        <f>'Avg Week Nateete-Ndeeba'!C19+'Avg Week Ndeeba-Nateete'!C19</f>
        <v>62.142857142857139</v>
      </c>
      <c r="D19" s="49">
        <f>'Avg Week Nateete-Ndeeba'!D19+'Avg Week Ndeeba-Nateete'!D19</f>
        <v>14.142857142857142</v>
      </c>
      <c r="E19" s="49">
        <f>'Avg Week Nateete-Ndeeba'!E19+'Avg Week Ndeeba-Nateete'!E19</f>
        <v>6.2857142857142856</v>
      </c>
      <c r="F19" s="49">
        <f>'Avg Week Nateete-Ndeeba'!F19+'Avg Week Ndeeba-Nateete'!F19</f>
        <v>79</v>
      </c>
      <c r="G19" s="49">
        <f>'Avg Week Nateete-Ndeeba'!G19+'Avg Week Ndeeba-Nateete'!G19</f>
        <v>4.2857142857142856</v>
      </c>
      <c r="H19" s="49">
        <f>'Avg Week Nateete-Ndeeba'!H19+'Avg Week Ndeeba-Nateete'!H19</f>
        <v>0.5714285714285714</v>
      </c>
      <c r="I19" s="49">
        <f>'Avg Week Nateete-Ndeeba'!I19+'Avg Week Ndeeba-Nateete'!I19</f>
        <v>19.285714285714285</v>
      </c>
      <c r="J19" s="49">
        <f>'Avg Week Nateete-Ndeeba'!J19+'Avg Week Ndeeba-Nateete'!J19</f>
        <v>11.857142857142858</v>
      </c>
      <c r="K19" s="49">
        <f>'Avg Week Nateete-Ndeeba'!K19+'Avg Week Ndeeba-Nateete'!K19</f>
        <v>2.5714285714285712</v>
      </c>
      <c r="L19" s="49">
        <f>'Avg Week Nateete-Ndeeba'!L19+'Avg Week Ndeeba-Nateete'!L19</f>
        <v>0.71428571428571419</v>
      </c>
      <c r="M19" s="49">
        <f>'Avg Week Nateete-Ndeeba'!M19+'Avg Week Ndeeba-Nateete'!M19</f>
        <v>372.42857142857144</v>
      </c>
      <c r="N19" s="49">
        <f>'Avg Week Nateete-Ndeeba'!N19+'Avg Week Ndeeba-Nateete'!N19</f>
        <v>0</v>
      </c>
      <c r="O19" s="15">
        <f t="shared" si="0"/>
        <v>200.85714285714286</v>
      </c>
      <c r="P19" s="15">
        <f t="shared" si="1"/>
        <v>573.28571428571433</v>
      </c>
      <c r="R19" s="1" t="s">
        <v>15</v>
      </c>
      <c r="S19" s="17">
        <f t="shared" ref="S19:AF19" si="11">SUM(C46:C49)</f>
        <v>267.71428571428572</v>
      </c>
      <c r="T19" s="17">
        <f t="shared" si="11"/>
        <v>57.571428571428569</v>
      </c>
      <c r="U19" s="17">
        <f t="shared" si="11"/>
        <v>32.571428571428569</v>
      </c>
      <c r="V19" s="17">
        <f t="shared" si="11"/>
        <v>219.42857142857142</v>
      </c>
      <c r="W19" s="17">
        <f t="shared" si="11"/>
        <v>5.4285714285714279</v>
      </c>
      <c r="X19" s="17">
        <f t="shared" si="11"/>
        <v>1.857142857142857</v>
      </c>
      <c r="Y19" s="17">
        <f t="shared" si="11"/>
        <v>63</v>
      </c>
      <c r="Z19" s="17">
        <f t="shared" si="11"/>
        <v>71</v>
      </c>
      <c r="AA19" s="17">
        <f t="shared" si="11"/>
        <v>10.571428571428569</v>
      </c>
      <c r="AB19" s="17">
        <f t="shared" si="11"/>
        <v>3.8571428571428568</v>
      </c>
      <c r="AC19" s="17">
        <f t="shared" si="11"/>
        <v>1186</v>
      </c>
      <c r="AD19" s="17">
        <f t="shared" si="11"/>
        <v>0</v>
      </c>
      <c r="AE19" s="31">
        <f t="shared" si="11"/>
        <v>733</v>
      </c>
      <c r="AF19" s="31">
        <f t="shared" si="11"/>
        <v>1919</v>
      </c>
    </row>
    <row r="20" spans="2:32" ht="23.1" customHeight="1" x14ac:dyDescent="0.25">
      <c r="B20" s="23" t="s">
        <v>47</v>
      </c>
      <c r="C20" s="49">
        <f>'Avg Week Nateete-Ndeeba'!C20+'Avg Week Ndeeba-Nateete'!C20</f>
        <v>69.714285714285722</v>
      </c>
      <c r="D20" s="49">
        <f>'Avg Week Nateete-Ndeeba'!D20+'Avg Week Ndeeba-Nateete'!D20</f>
        <v>16.142857142857142</v>
      </c>
      <c r="E20" s="49">
        <f>'Avg Week Nateete-Ndeeba'!E20+'Avg Week Ndeeba-Nateete'!E20</f>
        <v>7.4285714285714288</v>
      </c>
      <c r="F20" s="49">
        <f>'Avg Week Nateete-Ndeeba'!F20+'Avg Week Ndeeba-Nateete'!F20</f>
        <v>80.142857142857139</v>
      </c>
      <c r="G20" s="49">
        <f>'Avg Week Nateete-Ndeeba'!G20+'Avg Week Ndeeba-Nateete'!G20</f>
        <v>1.4285714285714286</v>
      </c>
      <c r="H20" s="49">
        <f>'Avg Week Nateete-Ndeeba'!H20+'Avg Week Ndeeba-Nateete'!H20</f>
        <v>0.2857142857142857</v>
      </c>
      <c r="I20" s="49">
        <f>'Avg Week Nateete-Ndeeba'!I20+'Avg Week Ndeeba-Nateete'!I20</f>
        <v>22.714285714285715</v>
      </c>
      <c r="J20" s="49">
        <f>'Avg Week Nateete-Ndeeba'!J20+'Avg Week Ndeeba-Nateete'!J20</f>
        <v>17</v>
      </c>
      <c r="K20" s="49">
        <f>'Avg Week Nateete-Ndeeba'!K20+'Avg Week Ndeeba-Nateete'!K20</f>
        <v>2.1428571428571428</v>
      </c>
      <c r="L20" s="49">
        <f>'Avg Week Nateete-Ndeeba'!L20+'Avg Week Ndeeba-Nateete'!L20</f>
        <v>0.85714285714285721</v>
      </c>
      <c r="M20" s="49">
        <f>'Avg Week Nateete-Ndeeba'!M20+'Avg Week Ndeeba-Nateete'!M20</f>
        <v>390</v>
      </c>
      <c r="N20" s="49">
        <f>'Avg Week Nateete-Ndeeba'!N20+'Avg Week Ndeeba-Nateete'!N20</f>
        <v>0</v>
      </c>
      <c r="O20" s="15">
        <f t="shared" si="0"/>
        <v>217.85714285714286</v>
      </c>
      <c r="P20" s="15">
        <f t="shared" si="1"/>
        <v>607.85714285714289</v>
      </c>
      <c r="R20" s="1" t="s">
        <v>16</v>
      </c>
      <c r="S20" s="17">
        <f t="shared" ref="S20:AF20" si="12">SUM(C50:C53)</f>
        <v>263.57142857142856</v>
      </c>
      <c r="T20" s="17">
        <f t="shared" si="12"/>
        <v>59.142857142857139</v>
      </c>
      <c r="U20" s="17">
        <f t="shared" si="12"/>
        <v>34.857142857142861</v>
      </c>
      <c r="V20" s="17">
        <f t="shared" si="12"/>
        <v>235.71428571428569</v>
      </c>
      <c r="W20" s="17">
        <f t="shared" si="12"/>
        <v>3</v>
      </c>
      <c r="X20" s="17">
        <f t="shared" si="12"/>
        <v>4.5714285714285712</v>
      </c>
      <c r="Y20" s="17">
        <f t="shared" si="12"/>
        <v>66.857142857142861</v>
      </c>
      <c r="Z20" s="17">
        <f t="shared" si="12"/>
        <v>68.142857142857153</v>
      </c>
      <c r="AA20" s="17">
        <f t="shared" si="12"/>
        <v>16.571428571428569</v>
      </c>
      <c r="AB20" s="17">
        <f t="shared" si="12"/>
        <v>5</v>
      </c>
      <c r="AC20" s="17">
        <f t="shared" si="12"/>
        <v>1347.1428571428571</v>
      </c>
      <c r="AD20" s="17">
        <f t="shared" si="12"/>
        <v>0</v>
      </c>
      <c r="AE20" s="31">
        <f t="shared" si="12"/>
        <v>757.42857142857144</v>
      </c>
      <c r="AF20" s="31">
        <f t="shared" si="12"/>
        <v>2104.5714285714284</v>
      </c>
    </row>
    <row r="21" spans="2:32" ht="23.1" customHeight="1" x14ac:dyDescent="0.25">
      <c r="B21" s="23" t="s">
        <v>48</v>
      </c>
      <c r="C21" s="49">
        <f>'Avg Week Nateete-Ndeeba'!C21+'Avg Week Ndeeba-Nateete'!C21</f>
        <v>72.714285714285708</v>
      </c>
      <c r="D21" s="49">
        <f>'Avg Week Nateete-Ndeeba'!D21+'Avg Week Ndeeba-Nateete'!D21</f>
        <v>19.142857142857142</v>
      </c>
      <c r="E21" s="49">
        <f>'Avg Week Nateete-Ndeeba'!E21+'Avg Week Ndeeba-Nateete'!E21</f>
        <v>7.1428571428571423</v>
      </c>
      <c r="F21" s="49">
        <f>'Avg Week Nateete-Ndeeba'!F21+'Avg Week Ndeeba-Nateete'!F21</f>
        <v>68.857142857142861</v>
      </c>
      <c r="G21" s="49">
        <f>'Avg Week Nateete-Ndeeba'!G21+'Avg Week Ndeeba-Nateete'!G21</f>
        <v>1.5714285714285714</v>
      </c>
      <c r="H21" s="49">
        <f>'Avg Week Nateete-Ndeeba'!H21+'Avg Week Ndeeba-Nateete'!H21</f>
        <v>0.8571428571428571</v>
      </c>
      <c r="I21" s="49">
        <f>'Avg Week Nateete-Ndeeba'!I21+'Avg Week Ndeeba-Nateete'!I21</f>
        <v>18.714285714285715</v>
      </c>
      <c r="J21" s="49">
        <f>'Avg Week Nateete-Ndeeba'!J21+'Avg Week Ndeeba-Nateete'!J21</f>
        <v>21.571428571428569</v>
      </c>
      <c r="K21" s="49">
        <f>'Avg Week Nateete-Ndeeba'!K21+'Avg Week Ndeeba-Nateete'!K21</f>
        <v>3</v>
      </c>
      <c r="L21" s="49">
        <f>'Avg Week Nateete-Ndeeba'!L21+'Avg Week Ndeeba-Nateete'!L21</f>
        <v>0.8571428571428571</v>
      </c>
      <c r="M21" s="49">
        <f>'Avg Week Nateete-Ndeeba'!M21+'Avg Week Ndeeba-Nateete'!M21</f>
        <v>430</v>
      </c>
      <c r="N21" s="49">
        <f>'Avg Week Nateete-Ndeeba'!N21+'Avg Week Ndeeba-Nateete'!N21</f>
        <v>0</v>
      </c>
      <c r="O21" s="15">
        <f t="shared" si="0"/>
        <v>214.42857142857142</v>
      </c>
      <c r="P21" s="15">
        <f t="shared" si="1"/>
        <v>644.42857142857144</v>
      </c>
      <c r="R21" s="36" t="s">
        <v>20</v>
      </c>
      <c r="S21" s="34">
        <f t="shared" ref="S21:AF33" si="13">SUM(C54:C57)</f>
        <v>244.14285714285714</v>
      </c>
      <c r="T21" s="17">
        <f t="shared" si="13"/>
        <v>66.142857142857139</v>
      </c>
      <c r="U21" s="17">
        <f t="shared" si="13"/>
        <v>28</v>
      </c>
      <c r="V21" s="17">
        <f t="shared" si="13"/>
        <v>293.71428571428578</v>
      </c>
      <c r="W21" s="17">
        <f t="shared" si="13"/>
        <v>10</v>
      </c>
      <c r="X21" s="17">
        <f t="shared" si="13"/>
        <v>4.1428571428571423</v>
      </c>
      <c r="Y21" s="17">
        <f t="shared" si="13"/>
        <v>72</v>
      </c>
      <c r="Z21" s="17">
        <f t="shared" si="13"/>
        <v>70.428571428571431</v>
      </c>
      <c r="AA21" s="17">
        <f t="shared" si="13"/>
        <v>13</v>
      </c>
      <c r="AB21" s="17">
        <f t="shared" si="13"/>
        <v>5.5714285714285712</v>
      </c>
      <c r="AC21" s="17">
        <f t="shared" si="13"/>
        <v>1236.1428571428571</v>
      </c>
      <c r="AD21" s="17">
        <f t="shared" si="13"/>
        <v>0</v>
      </c>
      <c r="AE21" s="31">
        <f t="shared" si="13"/>
        <v>807.14285714285711</v>
      </c>
      <c r="AF21" s="31">
        <f t="shared" si="13"/>
        <v>2043.2857142857142</v>
      </c>
    </row>
    <row r="22" spans="2:32" ht="23.1" customHeight="1" x14ac:dyDescent="0.25">
      <c r="B22" s="23" t="s">
        <v>49</v>
      </c>
      <c r="C22" s="49">
        <f>'Avg Week Nateete-Ndeeba'!C22+'Avg Week Ndeeba-Nateete'!C22</f>
        <v>63.428571428571431</v>
      </c>
      <c r="D22" s="49">
        <f>'Avg Week Nateete-Ndeeba'!D22+'Avg Week Ndeeba-Nateete'!D22</f>
        <v>12.428571428571429</v>
      </c>
      <c r="E22" s="49">
        <f>'Avg Week Nateete-Ndeeba'!E22+'Avg Week Ndeeba-Nateete'!E22</f>
        <v>11</v>
      </c>
      <c r="F22" s="49">
        <f>'Avg Week Nateete-Ndeeba'!F22+'Avg Week Ndeeba-Nateete'!F22</f>
        <v>64.857142857142861</v>
      </c>
      <c r="G22" s="49">
        <f>'Avg Week Nateete-Ndeeba'!G22+'Avg Week Ndeeba-Nateete'!G22</f>
        <v>0.85714285714285721</v>
      </c>
      <c r="H22" s="49">
        <f>'Avg Week Nateete-Ndeeba'!H22+'Avg Week Ndeeba-Nateete'!H22</f>
        <v>0.42857142857142855</v>
      </c>
      <c r="I22" s="49">
        <f>'Avg Week Nateete-Ndeeba'!I22+'Avg Week Ndeeba-Nateete'!I22</f>
        <v>14.714285714285714</v>
      </c>
      <c r="J22" s="49">
        <f>'Avg Week Nateete-Ndeeba'!J22+'Avg Week Ndeeba-Nateete'!J22</f>
        <v>16.285714285714285</v>
      </c>
      <c r="K22" s="49">
        <f>'Avg Week Nateete-Ndeeba'!K22+'Avg Week Ndeeba-Nateete'!K22</f>
        <v>3.1428571428571428</v>
      </c>
      <c r="L22" s="49">
        <f>'Avg Week Nateete-Ndeeba'!L22+'Avg Week Ndeeba-Nateete'!L22</f>
        <v>0.85714285714285721</v>
      </c>
      <c r="M22" s="49">
        <f>'Avg Week Nateete-Ndeeba'!M22+'Avg Week Ndeeba-Nateete'!M22</f>
        <v>345</v>
      </c>
      <c r="N22" s="49">
        <f>'Avg Week Nateete-Ndeeba'!N22+'Avg Week Ndeeba-Nateete'!N22</f>
        <v>0.2857142857142857</v>
      </c>
      <c r="O22" s="15">
        <f t="shared" si="0"/>
        <v>188.28571428571428</v>
      </c>
      <c r="P22" s="15">
        <f t="shared" si="1"/>
        <v>533.28571428571433</v>
      </c>
      <c r="R22" s="1" t="s">
        <v>146</v>
      </c>
      <c r="S22" s="34">
        <f>SUM(C58:C61)</f>
        <v>296.5</v>
      </c>
      <c r="T22" s="34">
        <f t="shared" ref="T22:AD22" si="14">SUM(D58:D61)</f>
        <v>34.5</v>
      </c>
      <c r="U22" s="34">
        <f t="shared" si="14"/>
        <v>29</v>
      </c>
      <c r="V22" s="34">
        <f t="shared" si="14"/>
        <v>182</v>
      </c>
      <c r="W22" s="34">
        <f t="shared" si="14"/>
        <v>2</v>
      </c>
      <c r="X22" s="34">
        <f t="shared" si="14"/>
        <v>2.5</v>
      </c>
      <c r="Y22" s="34">
        <f t="shared" si="14"/>
        <v>45.5</v>
      </c>
      <c r="Z22" s="34">
        <f t="shared" si="14"/>
        <v>39.5</v>
      </c>
      <c r="AA22" s="34">
        <f t="shared" si="14"/>
        <v>15.5</v>
      </c>
      <c r="AB22" s="34">
        <f t="shared" si="14"/>
        <v>14</v>
      </c>
      <c r="AC22" s="34">
        <f t="shared" si="14"/>
        <v>1000.5</v>
      </c>
      <c r="AD22" s="34">
        <f t="shared" si="14"/>
        <v>0.5</v>
      </c>
      <c r="AE22" s="31">
        <f t="shared" si="13"/>
        <v>790.92857142857144</v>
      </c>
      <c r="AF22" s="31">
        <f t="shared" si="13"/>
        <v>1936.8571428571429</v>
      </c>
    </row>
    <row r="23" spans="2:32" ht="23.1" customHeight="1" x14ac:dyDescent="0.25">
      <c r="B23" s="23" t="s">
        <v>50</v>
      </c>
      <c r="C23" s="49">
        <f>'Avg Week Nateete-Ndeeba'!C23+'Avg Week Ndeeba-Nateete'!C23</f>
        <v>62.571428571428569</v>
      </c>
      <c r="D23" s="49">
        <f>'Avg Week Nateete-Ndeeba'!D23+'Avg Week Ndeeba-Nateete'!D23</f>
        <v>10.285714285714285</v>
      </c>
      <c r="E23" s="49">
        <f>'Avg Week Nateete-Ndeeba'!E23+'Avg Week Ndeeba-Nateete'!E23</f>
        <v>4.7142857142857144</v>
      </c>
      <c r="F23" s="49">
        <f>'Avg Week Nateete-Ndeeba'!F23+'Avg Week Ndeeba-Nateete'!F23</f>
        <v>63.714285714285722</v>
      </c>
      <c r="G23" s="49">
        <f>'Avg Week Nateete-Ndeeba'!G23+'Avg Week Ndeeba-Nateete'!G23</f>
        <v>0.5714285714285714</v>
      </c>
      <c r="H23" s="49">
        <f>'Avg Week Nateete-Ndeeba'!H23+'Avg Week Ndeeba-Nateete'!H23</f>
        <v>0.2857142857142857</v>
      </c>
      <c r="I23" s="49">
        <f>'Avg Week Nateete-Ndeeba'!I23+'Avg Week Ndeeba-Nateete'!I23</f>
        <v>17.285714285714285</v>
      </c>
      <c r="J23" s="49">
        <f>'Avg Week Nateete-Ndeeba'!J23+'Avg Week Ndeeba-Nateete'!J23</f>
        <v>16.857142857142858</v>
      </c>
      <c r="K23" s="49">
        <f>'Avg Week Nateete-Ndeeba'!K23+'Avg Week Ndeeba-Nateete'!K23</f>
        <v>1.7142857142857144</v>
      </c>
      <c r="L23" s="49">
        <f>'Avg Week Nateete-Ndeeba'!L23+'Avg Week Ndeeba-Nateete'!L23</f>
        <v>1.1428571428571428</v>
      </c>
      <c r="M23" s="49">
        <f>'Avg Week Nateete-Ndeeba'!M23+'Avg Week Ndeeba-Nateete'!M23</f>
        <v>354</v>
      </c>
      <c r="N23" s="49">
        <f>'Avg Week Nateete-Ndeeba'!N23+'Avg Week Ndeeba-Nateete'!N23</f>
        <v>0</v>
      </c>
      <c r="O23" s="15">
        <f t="shared" si="0"/>
        <v>179.14285714285714</v>
      </c>
      <c r="P23" s="15">
        <f t="shared" si="1"/>
        <v>533.14285714285711</v>
      </c>
      <c r="R23" s="1" t="s">
        <v>147</v>
      </c>
      <c r="S23" s="34">
        <f>SUM(C62:C65)</f>
        <v>255.5</v>
      </c>
      <c r="T23" s="34">
        <f t="shared" ref="T23:AD23" si="15">SUM(D62:D65)</f>
        <v>37.5</v>
      </c>
      <c r="U23" s="34">
        <f t="shared" si="15"/>
        <v>14.5</v>
      </c>
      <c r="V23" s="34">
        <f t="shared" si="15"/>
        <v>210.5</v>
      </c>
      <c r="W23" s="34">
        <f t="shared" si="15"/>
        <v>5.5</v>
      </c>
      <c r="X23" s="34">
        <f t="shared" si="15"/>
        <v>2.5</v>
      </c>
      <c r="Y23" s="34">
        <f t="shared" si="15"/>
        <v>39.5</v>
      </c>
      <c r="Z23" s="34">
        <f t="shared" si="15"/>
        <v>29</v>
      </c>
      <c r="AA23" s="34">
        <f t="shared" si="15"/>
        <v>12</v>
      </c>
      <c r="AB23" s="34">
        <f t="shared" si="15"/>
        <v>9</v>
      </c>
      <c r="AC23" s="34">
        <f t="shared" si="15"/>
        <v>1013</v>
      </c>
      <c r="AD23" s="34">
        <f t="shared" si="15"/>
        <v>0</v>
      </c>
      <c r="AE23" s="31">
        <f t="shared" si="13"/>
        <v>718.35714285714289</v>
      </c>
      <c r="AF23" s="31">
        <f t="shared" si="13"/>
        <v>1842.6428571428571</v>
      </c>
    </row>
    <row r="24" spans="2:32" ht="23.1" customHeight="1" x14ac:dyDescent="0.25">
      <c r="B24" s="23" t="s">
        <v>51</v>
      </c>
      <c r="C24" s="49">
        <f>'Avg Week Nateete-Ndeeba'!C24+'Avg Week Ndeeba-Nateete'!C24</f>
        <v>66.571428571428569</v>
      </c>
      <c r="D24" s="49">
        <f>'Avg Week Nateete-Ndeeba'!D24+'Avg Week Ndeeba-Nateete'!D24</f>
        <v>13.571428571428573</v>
      </c>
      <c r="E24" s="49">
        <f>'Avg Week Nateete-Ndeeba'!E24+'Avg Week Ndeeba-Nateete'!E24</f>
        <v>6.4285714285714288</v>
      </c>
      <c r="F24" s="49">
        <f>'Avg Week Nateete-Ndeeba'!F24+'Avg Week Ndeeba-Nateete'!F24</f>
        <v>51.571428571428569</v>
      </c>
      <c r="G24" s="49">
        <f>'Avg Week Nateete-Ndeeba'!G24+'Avg Week Ndeeba-Nateete'!G24</f>
        <v>3.5714285714285716</v>
      </c>
      <c r="H24" s="49">
        <f>'Avg Week Nateete-Ndeeba'!H24+'Avg Week Ndeeba-Nateete'!H24</f>
        <v>0.7142857142857143</v>
      </c>
      <c r="I24" s="49">
        <f>'Avg Week Nateete-Ndeeba'!I24+'Avg Week Ndeeba-Nateete'!I24</f>
        <v>17.142857142857142</v>
      </c>
      <c r="J24" s="49">
        <f>'Avg Week Nateete-Ndeeba'!J24+'Avg Week Ndeeba-Nateete'!J24</f>
        <v>17.428571428571431</v>
      </c>
      <c r="K24" s="49">
        <f>'Avg Week Nateete-Ndeeba'!K24+'Avg Week Ndeeba-Nateete'!K24</f>
        <v>3.1428571428571428</v>
      </c>
      <c r="L24" s="49">
        <f>'Avg Week Nateete-Ndeeba'!L24+'Avg Week Ndeeba-Nateete'!L24</f>
        <v>2.7142857142857144</v>
      </c>
      <c r="M24" s="49">
        <f>'Avg Week Nateete-Ndeeba'!M24+'Avg Week Ndeeba-Nateete'!M24</f>
        <v>357.28571428571433</v>
      </c>
      <c r="N24" s="49">
        <f>'Avg Week Nateete-Ndeeba'!N24+'Avg Week Ndeeba-Nateete'!N24</f>
        <v>0.14285714285714285</v>
      </c>
      <c r="O24" s="15">
        <f t="shared" si="0"/>
        <v>183</v>
      </c>
      <c r="P24" s="15">
        <f t="shared" si="1"/>
        <v>540.28571428571433</v>
      </c>
      <c r="R24" s="1" t="s">
        <v>148</v>
      </c>
      <c r="S24" s="34">
        <f>SUM(C66:C69)</f>
        <v>264</v>
      </c>
      <c r="T24" s="34">
        <f t="shared" ref="T24:AD24" si="16">SUM(D66:D69)</f>
        <v>44.5</v>
      </c>
      <c r="U24" s="34">
        <f t="shared" si="16"/>
        <v>30</v>
      </c>
      <c r="V24" s="34">
        <f t="shared" si="16"/>
        <v>197</v>
      </c>
      <c r="W24" s="34">
        <f t="shared" si="16"/>
        <v>6</v>
      </c>
      <c r="X24" s="34">
        <f t="shared" si="16"/>
        <v>2</v>
      </c>
      <c r="Y24" s="34">
        <f t="shared" si="16"/>
        <v>33.5</v>
      </c>
      <c r="Z24" s="34">
        <f t="shared" si="16"/>
        <v>35</v>
      </c>
      <c r="AA24" s="34">
        <f t="shared" si="16"/>
        <v>9.5</v>
      </c>
      <c r="AB24" s="34">
        <f t="shared" si="16"/>
        <v>11</v>
      </c>
      <c r="AC24" s="34">
        <f t="shared" si="16"/>
        <v>778</v>
      </c>
      <c r="AD24" s="34">
        <f t="shared" si="16"/>
        <v>0</v>
      </c>
      <c r="AE24" s="31">
        <f t="shared" si="13"/>
        <v>707.35714285714289</v>
      </c>
      <c r="AF24" s="31">
        <f t="shared" si="13"/>
        <v>1746.1428571428571</v>
      </c>
    </row>
    <row r="25" spans="2:32" ht="23.1" customHeight="1" x14ac:dyDescent="0.25">
      <c r="B25" s="23" t="s">
        <v>52</v>
      </c>
      <c r="C25" s="49">
        <f>'Avg Week Nateete-Ndeeba'!C25+'Avg Week Ndeeba-Nateete'!C25</f>
        <v>59.714285714285708</v>
      </c>
      <c r="D25" s="49">
        <f>'Avg Week Nateete-Ndeeba'!D25+'Avg Week Ndeeba-Nateete'!D25</f>
        <v>15</v>
      </c>
      <c r="E25" s="49">
        <f>'Avg Week Nateete-Ndeeba'!E25+'Avg Week Ndeeba-Nateete'!E25</f>
        <v>7.1428571428571423</v>
      </c>
      <c r="F25" s="49">
        <f>'Avg Week Nateete-Ndeeba'!F25+'Avg Week Ndeeba-Nateete'!F25</f>
        <v>68.571428571428584</v>
      </c>
      <c r="G25" s="49">
        <f>'Avg Week Nateete-Ndeeba'!G25+'Avg Week Ndeeba-Nateete'!G25</f>
        <v>0.5714285714285714</v>
      </c>
      <c r="H25" s="49">
        <f>'Avg Week Nateete-Ndeeba'!H25+'Avg Week Ndeeba-Nateete'!H25</f>
        <v>0.14285714285714285</v>
      </c>
      <c r="I25" s="49">
        <f>'Avg Week Nateete-Ndeeba'!I25+'Avg Week Ndeeba-Nateete'!I25</f>
        <v>19.714285714285715</v>
      </c>
      <c r="J25" s="49">
        <f>'Avg Week Nateete-Ndeeba'!J25+'Avg Week Ndeeba-Nateete'!J25</f>
        <v>16.428571428571431</v>
      </c>
      <c r="K25" s="49">
        <f>'Avg Week Nateete-Ndeeba'!K25+'Avg Week Ndeeba-Nateete'!K25</f>
        <v>4</v>
      </c>
      <c r="L25" s="49">
        <f>'Avg Week Nateete-Ndeeba'!L25+'Avg Week Ndeeba-Nateete'!L25</f>
        <v>1.2857142857142856</v>
      </c>
      <c r="M25" s="49">
        <f>'Avg Week Nateete-Ndeeba'!M25+'Avg Week Ndeeba-Nateete'!M25</f>
        <v>400.71428571428572</v>
      </c>
      <c r="N25" s="49">
        <f>'Avg Week Nateete-Ndeeba'!N25+'Avg Week Ndeeba-Nateete'!N25</f>
        <v>0</v>
      </c>
      <c r="O25" s="15">
        <f t="shared" si="0"/>
        <v>192.57142857142861</v>
      </c>
      <c r="P25" s="15">
        <f t="shared" si="1"/>
        <v>593.28571428571433</v>
      </c>
      <c r="R25" s="1" t="s">
        <v>149</v>
      </c>
      <c r="S25" s="34">
        <f>SUM(C70:C73)</f>
        <v>295.5</v>
      </c>
      <c r="T25" s="34">
        <f t="shared" ref="T25:AD25" si="17">SUM(D70:D73)</f>
        <v>32</v>
      </c>
      <c r="U25" s="34">
        <f t="shared" si="17"/>
        <v>29</v>
      </c>
      <c r="V25" s="34">
        <f t="shared" si="17"/>
        <v>220</v>
      </c>
      <c r="W25" s="34">
        <f t="shared" si="17"/>
        <v>2.5</v>
      </c>
      <c r="X25" s="34">
        <f t="shared" si="17"/>
        <v>3.5</v>
      </c>
      <c r="Y25" s="34">
        <f t="shared" si="17"/>
        <v>43</v>
      </c>
      <c r="Z25" s="34">
        <f t="shared" si="17"/>
        <v>23.5</v>
      </c>
      <c r="AA25" s="34">
        <f t="shared" si="17"/>
        <v>13.5</v>
      </c>
      <c r="AB25" s="34">
        <f t="shared" si="17"/>
        <v>8.5</v>
      </c>
      <c r="AC25" s="34">
        <f t="shared" si="17"/>
        <v>546</v>
      </c>
      <c r="AD25" s="34">
        <f t="shared" si="17"/>
        <v>0</v>
      </c>
      <c r="AE25" s="31">
        <f t="shared" si="13"/>
        <v>661.5</v>
      </c>
      <c r="AF25" s="31">
        <f t="shared" si="13"/>
        <v>1662</v>
      </c>
    </row>
    <row r="26" spans="2:32" ht="23.1" customHeight="1" x14ac:dyDescent="0.25">
      <c r="B26" s="23" t="s">
        <v>53</v>
      </c>
      <c r="C26" s="49">
        <f>'Avg Week Nateete-Ndeeba'!C26+'Avg Week Ndeeba-Nateete'!C26</f>
        <v>54.428571428571431</v>
      </c>
      <c r="D26" s="49">
        <f>'Avg Week Nateete-Ndeeba'!D26+'Avg Week Ndeeba-Nateete'!D26</f>
        <v>16.285714285714285</v>
      </c>
      <c r="E26" s="49">
        <f>'Avg Week Nateete-Ndeeba'!E26+'Avg Week Ndeeba-Nateete'!E26</f>
        <v>4.7142857142857135</v>
      </c>
      <c r="F26" s="49">
        <f>'Avg Week Nateete-Ndeeba'!F26+'Avg Week Ndeeba-Nateete'!F26</f>
        <v>56.285714285714292</v>
      </c>
      <c r="G26" s="49">
        <f>'Avg Week Nateete-Ndeeba'!G26+'Avg Week Ndeeba-Nateete'!G26</f>
        <v>1.4285714285714284</v>
      </c>
      <c r="H26" s="49">
        <f>'Avg Week Nateete-Ndeeba'!H26+'Avg Week Ndeeba-Nateete'!H26</f>
        <v>0.71428571428571419</v>
      </c>
      <c r="I26" s="49">
        <f>'Avg Week Nateete-Ndeeba'!I26+'Avg Week Ndeeba-Nateete'!I26</f>
        <v>18.714285714285715</v>
      </c>
      <c r="J26" s="49">
        <f>'Avg Week Nateete-Ndeeba'!J26+'Avg Week Ndeeba-Nateete'!J26</f>
        <v>16.428571428571427</v>
      </c>
      <c r="K26" s="49">
        <f>'Avg Week Nateete-Ndeeba'!K26+'Avg Week Ndeeba-Nateete'!K26</f>
        <v>2.5714285714285712</v>
      </c>
      <c r="L26" s="49">
        <f>'Avg Week Nateete-Ndeeba'!L26+'Avg Week Ndeeba-Nateete'!L26</f>
        <v>2.2857142857142856</v>
      </c>
      <c r="M26" s="49">
        <f>'Avg Week Nateete-Ndeeba'!M26+'Avg Week Ndeeba-Nateete'!M26</f>
        <v>351.14285714285711</v>
      </c>
      <c r="N26" s="49">
        <f>'Avg Week Nateete-Ndeeba'!N26+'Avg Week Ndeeba-Nateete'!N26</f>
        <v>0</v>
      </c>
      <c r="O26" s="15">
        <f t="shared" si="0"/>
        <v>173.85714285714286</v>
      </c>
      <c r="P26" s="15">
        <f t="shared" si="1"/>
        <v>525</v>
      </c>
      <c r="R26" s="1" t="s">
        <v>150</v>
      </c>
      <c r="S26" s="34">
        <f>SUM(C74:C77)</f>
        <v>239</v>
      </c>
      <c r="T26" s="34">
        <f t="shared" ref="T26:AD26" si="18">SUM(D74:D77)</f>
        <v>37</v>
      </c>
      <c r="U26" s="34">
        <f t="shared" si="18"/>
        <v>30.5</v>
      </c>
      <c r="V26" s="34">
        <f t="shared" si="18"/>
        <v>199.5</v>
      </c>
      <c r="W26" s="34">
        <f t="shared" si="18"/>
        <v>2.5</v>
      </c>
      <c r="X26" s="34">
        <f t="shared" si="18"/>
        <v>42.5</v>
      </c>
      <c r="Y26" s="34">
        <f t="shared" si="18"/>
        <v>35</v>
      </c>
      <c r="Z26" s="34">
        <f t="shared" si="18"/>
        <v>42.5</v>
      </c>
      <c r="AA26" s="34">
        <f t="shared" si="18"/>
        <v>13.5</v>
      </c>
      <c r="AB26" s="34">
        <f t="shared" si="18"/>
        <v>5.5</v>
      </c>
      <c r="AC26" s="34">
        <f t="shared" si="18"/>
        <v>857</v>
      </c>
      <c r="AD26" s="34">
        <f t="shared" si="18"/>
        <v>0</v>
      </c>
      <c r="AE26" s="31">
        <f t="shared" si="13"/>
        <v>649.5</v>
      </c>
      <c r="AF26" s="31">
        <f t="shared" si="13"/>
        <v>1770.5</v>
      </c>
    </row>
    <row r="27" spans="2:32" ht="23.1" customHeight="1" x14ac:dyDescent="0.25">
      <c r="B27" s="23" t="s">
        <v>54</v>
      </c>
      <c r="C27" s="49">
        <f>'Avg Week Nateete-Ndeeba'!C27+'Avg Week Ndeeba-Nateete'!C27</f>
        <v>65.428571428571431</v>
      </c>
      <c r="D27" s="49">
        <f>'Avg Week Nateete-Ndeeba'!D27+'Avg Week Ndeeba-Nateete'!D27</f>
        <v>13.142857142857142</v>
      </c>
      <c r="E27" s="49">
        <f>'Avg Week Nateete-Ndeeba'!E27+'Avg Week Ndeeba-Nateete'!E27</f>
        <v>8.4285714285714288</v>
      </c>
      <c r="F27" s="49">
        <f>'Avg Week Nateete-Ndeeba'!F27+'Avg Week Ndeeba-Nateete'!F27</f>
        <v>51.285714285714285</v>
      </c>
      <c r="G27" s="49">
        <f>'Avg Week Nateete-Ndeeba'!G27+'Avg Week Ndeeba-Nateete'!G27</f>
        <v>1.2857142857142856</v>
      </c>
      <c r="H27" s="49">
        <f>'Avg Week Nateete-Ndeeba'!H27+'Avg Week Ndeeba-Nateete'!H27</f>
        <v>0.2857142857142857</v>
      </c>
      <c r="I27" s="49">
        <f>'Avg Week Nateete-Ndeeba'!I27+'Avg Week Ndeeba-Nateete'!I27</f>
        <v>20.857142857142858</v>
      </c>
      <c r="J27" s="49">
        <f>'Avg Week Nateete-Ndeeba'!J27+'Avg Week Ndeeba-Nateete'!J27</f>
        <v>16.285714285714285</v>
      </c>
      <c r="K27" s="49">
        <f>'Avg Week Nateete-Ndeeba'!K27+'Avg Week Ndeeba-Nateete'!K27</f>
        <v>4.1428571428571423</v>
      </c>
      <c r="L27" s="49">
        <f>'Avg Week Nateete-Ndeeba'!L27+'Avg Week Ndeeba-Nateete'!L27</f>
        <v>1.5714285714285714</v>
      </c>
      <c r="M27" s="49">
        <f>'Avg Week Nateete-Ndeeba'!M27+'Avg Week Ndeeba-Nateete'!M27</f>
        <v>388.42857142857144</v>
      </c>
      <c r="N27" s="49">
        <f>'Avg Week Nateete-Ndeeba'!N27+'Avg Week Ndeeba-Nateete'!N27</f>
        <v>0</v>
      </c>
      <c r="O27" s="15">
        <f t="shared" si="0"/>
        <v>182.71428571428569</v>
      </c>
      <c r="P27" s="15">
        <f t="shared" si="1"/>
        <v>571.14285714285711</v>
      </c>
      <c r="R27" s="1" t="s">
        <v>151</v>
      </c>
      <c r="S27" s="34">
        <f>SUM(C78:C81)</f>
        <v>215.5</v>
      </c>
      <c r="T27" s="34">
        <f t="shared" ref="T27:AD27" si="19">SUM(D78:D81)</f>
        <v>19.5</v>
      </c>
      <c r="U27" s="34">
        <f t="shared" si="19"/>
        <v>20.5</v>
      </c>
      <c r="V27" s="34">
        <f t="shared" si="19"/>
        <v>123</v>
      </c>
      <c r="W27" s="34">
        <f t="shared" si="19"/>
        <v>3.5</v>
      </c>
      <c r="X27" s="34">
        <f t="shared" si="19"/>
        <v>4.5</v>
      </c>
      <c r="Y27" s="34">
        <f t="shared" si="19"/>
        <v>35</v>
      </c>
      <c r="Z27" s="34">
        <f t="shared" si="19"/>
        <v>51</v>
      </c>
      <c r="AA27" s="34">
        <f t="shared" si="19"/>
        <v>9</v>
      </c>
      <c r="AB27" s="34">
        <f t="shared" si="19"/>
        <v>5</v>
      </c>
      <c r="AC27" s="34">
        <f t="shared" si="19"/>
        <v>790.5</v>
      </c>
      <c r="AD27" s="34">
        <f t="shared" si="19"/>
        <v>0</v>
      </c>
      <c r="AE27" s="31">
        <f t="shared" si="13"/>
        <v>603</v>
      </c>
      <c r="AF27" s="31">
        <f t="shared" si="13"/>
        <v>1678.5</v>
      </c>
    </row>
    <row r="28" spans="2:32" ht="23.1" customHeight="1" x14ac:dyDescent="0.25">
      <c r="B28" s="23" t="s">
        <v>55</v>
      </c>
      <c r="C28" s="49">
        <f>'Avg Week Nateete-Ndeeba'!C28+'Avg Week Ndeeba-Nateete'!C28</f>
        <v>63</v>
      </c>
      <c r="D28" s="49">
        <f>'Avg Week Nateete-Ndeeba'!D28+'Avg Week Ndeeba-Nateete'!D28</f>
        <v>17.428571428571431</v>
      </c>
      <c r="E28" s="49">
        <f>'Avg Week Nateete-Ndeeba'!E28+'Avg Week Ndeeba-Nateete'!E28</f>
        <v>7</v>
      </c>
      <c r="F28" s="49">
        <f>'Avg Week Nateete-Ndeeba'!F28+'Avg Week Ndeeba-Nateete'!F28</f>
        <v>60.142857142857139</v>
      </c>
      <c r="G28" s="49">
        <f>'Avg Week Nateete-Ndeeba'!G28+'Avg Week Ndeeba-Nateete'!G28</f>
        <v>1.1428571428571428</v>
      </c>
      <c r="H28" s="49">
        <f>'Avg Week Nateete-Ndeeba'!H28+'Avg Week Ndeeba-Nateete'!H28</f>
        <v>0.42857142857142855</v>
      </c>
      <c r="I28" s="49">
        <f>'Avg Week Nateete-Ndeeba'!I28+'Avg Week Ndeeba-Nateete'!I28</f>
        <v>20.428571428571431</v>
      </c>
      <c r="J28" s="49">
        <f>'Avg Week Nateete-Ndeeba'!J28+'Avg Week Ndeeba-Nateete'!J28</f>
        <v>17.571428571428569</v>
      </c>
      <c r="K28" s="49">
        <f>'Avg Week Nateete-Ndeeba'!K28+'Avg Week Ndeeba-Nateete'!K28</f>
        <v>4.5714285714285712</v>
      </c>
      <c r="L28" s="49">
        <f>'Avg Week Nateete-Ndeeba'!L28+'Avg Week Ndeeba-Nateete'!L28</f>
        <v>2.5714285714285712</v>
      </c>
      <c r="M28" s="49">
        <f>'Avg Week Nateete-Ndeeba'!M28+'Avg Week Ndeeba-Nateete'!M28</f>
        <v>371</v>
      </c>
      <c r="N28" s="49">
        <f>'Avg Week Nateete-Ndeeba'!N28+'Avg Week Ndeeba-Nateete'!N28</f>
        <v>0</v>
      </c>
      <c r="O28" s="15">
        <f t="shared" si="0"/>
        <v>194.28571428571428</v>
      </c>
      <c r="P28" s="15">
        <f t="shared" si="1"/>
        <v>565.28571428571422</v>
      </c>
      <c r="R28" s="1" t="s">
        <v>152</v>
      </c>
      <c r="S28" s="34">
        <f>SUM(C82:C85)</f>
        <v>239.5</v>
      </c>
      <c r="T28" s="34">
        <f t="shared" ref="T28:AD28" si="20">SUM(D82:D85)</f>
        <v>19.5</v>
      </c>
      <c r="U28" s="34">
        <f t="shared" si="20"/>
        <v>13.5</v>
      </c>
      <c r="V28" s="34">
        <f t="shared" si="20"/>
        <v>107.5</v>
      </c>
      <c r="W28" s="34">
        <f t="shared" si="20"/>
        <v>1.5</v>
      </c>
      <c r="X28" s="34">
        <f t="shared" si="20"/>
        <v>3.5</v>
      </c>
      <c r="Y28" s="34">
        <f t="shared" si="20"/>
        <v>44</v>
      </c>
      <c r="Z28" s="34">
        <f t="shared" si="20"/>
        <v>45</v>
      </c>
      <c r="AA28" s="34">
        <f t="shared" si="20"/>
        <v>13.5</v>
      </c>
      <c r="AB28" s="34">
        <f t="shared" si="20"/>
        <v>12.5</v>
      </c>
      <c r="AC28" s="34">
        <f t="shared" si="20"/>
        <v>464</v>
      </c>
      <c r="AD28" s="34">
        <f t="shared" si="20"/>
        <v>0</v>
      </c>
      <c r="AE28" s="31">
        <f t="shared" si="13"/>
        <v>589.5</v>
      </c>
      <c r="AF28" s="31">
        <f t="shared" si="13"/>
        <v>1619.5</v>
      </c>
    </row>
    <row r="29" spans="2:32" ht="23.1" customHeight="1" x14ac:dyDescent="0.25">
      <c r="B29" s="23" t="s">
        <v>56</v>
      </c>
      <c r="C29" s="49">
        <f>'Avg Week Nateete-Ndeeba'!C29+'Avg Week Ndeeba-Nateete'!C29</f>
        <v>75.428571428571431</v>
      </c>
      <c r="D29" s="49">
        <f>'Avg Week Nateete-Ndeeba'!D29+'Avg Week Ndeeba-Nateete'!D29</f>
        <v>18.428571428571427</v>
      </c>
      <c r="E29" s="49">
        <f>'Avg Week Nateete-Ndeeba'!E29+'Avg Week Ndeeba-Nateete'!E29</f>
        <v>8</v>
      </c>
      <c r="F29" s="49">
        <f>'Avg Week Nateete-Ndeeba'!F29+'Avg Week Ndeeba-Nateete'!F29</f>
        <v>67.285714285714278</v>
      </c>
      <c r="G29" s="49">
        <f>'Avg Week Nateete-Ndeeba'!G29+'Avg Week Ndeeba-Nateete'!G29</f>
        <v>1.1428571428571428</v>
      </c>
      <c r="H29" s="49">
        <f>'Avg Week Nateete-Ndeeba'!H29+'Avg Week Ndeeba-Nateete'!H29</f>
        <v>0.2857142857142857</v>
      </c>
      <c r="I29" s="49">
        <f>'Avg Week Nateete-Ndeeba'!I29+'Avg Week Ndeeba-Nateete'!I29</f>
        <v>15</v>
      </c>
      <c r="J29" s="49">
        <f>'Avg Week Nateete-Ndeeba'!J29+'Avg Week Ndeeba-Nateete'!J29</f>
        <v>14.428571428571429</v>
      </c>
      <c r="K29" s="49">
        <f>'Avg Week Nateete-Ndeeba'!K29+'Avg Week Ndeeba-Nateete'!K29</f>
        <v>4.7142857142857144</v>
      </c>
      <c r="L29" s="49">
        <f>'Avg Week Nateete-Ndeeba'!L29+'Avg Week Ndeeba-Nateete'!L29</f>
        <v>1.5714285714285716</v>
      </c>
      <c r="M29" s="49">
        <f>'Avg Week Nateete-Ndeeba'!M29+'Avg Week Ndeeba-Nateete'!M29</f>
        <v>390</v>
      </c>
      <c r="N29" s="49">
        <f>'Avg Week Nateete-Ndeeba'!N29+'Avg Week Ndeeba-Nateete'!N29</f>
        <v>0</v>
      </c>
      <c r="O29" s="15">
        <f t="shared" si="0"/>
        <v>206.28571428571428</v>
      </c>
      <c r="P29" s="15">
        <f t="shared" si="1"/>
        <v>596.28571428571422</v>
      </c>
      <c r="R29" s="1" t="s">
        <v>153</v>
      </c>
      <c r="S29" s="34">
        <f>SUM(C86:C89)</f>
        <v>116</v>
      </c>
      <c r="T29" s="34">
        <f t="shared" ref="T29:AD29" si="21">SUM(D86:D89)</f>
        <v>11</v>
      </c>
      <c r="U29" s="34">
        <f t="shared" si="21"/>
        <v>11.5</v>
      </c>
      <c r="V29" s="34">
        <f t="shared" si="21"/>
        <v>28.5</v>
      </c>
      <c r="W29" s="34">
        <f t="shared" si="21"/>
        <v>0</v>
      </c>
      <c r="X29" s="34">
        <f t="shared" si="21"/>
        <v>3</v>
      </c>
      <c r="Y29" s="34">
        <f t="shared" si="21"/>
        <v>24</v>
      </c>
      <c r="Z29" s="34">
        <f t="shared" si="21"/>
        <v>55</v>
      </c>
      <c r="AA29" s="34">
        <f t="shared" si="21"/>
        <v>13</v>
      </c>
      <c r="AB29" s="34">
        <f t="shared" si="21"/>
        <v>8</v>
      </c>
      <c r="AC29" s="34">
        <f t="shared" si="21"/>
        <v>495</v>
      </c>
      <c r="AD29" s="34">
        <f t="shared" si="21"/>
        <v>0</v>
      </c>
      <c r="AE29" s="31">
        <f t="shared" si="13"/>
        <v>615.5</v>
      </c>
      <c r="AF29" s="31">
        <f t="shared" si="13"/>
        <v>1628.5</v>
      </c>
    </row>
    <row r="30" spans="2:32" ht="23.1" customHeight="1" x14ac:dyDescent="0.25">
      <c r="B30" s="23" t="s">
        <v>57</v>
      </c>
      <c r="C30" s="49">
        <f>'Avg Week Nateete-Ndeeba'!C30+'Avg Week Ndeeba-Nateete'!C30</f>
        <v>65</v>
      </c>
      <c r="D30" s="49">
        <f>'Avg Week Nateete-Ndeeba'!D30+'Avg Week Ndeeba-Nateete'!D30</f>
        <v>14</v>
      </c>
      <c r="E30" s="49">
        <f>'Avg Week Nateete-Ndeeba'!E30+'Avg Week Ndeeba-Nateete'!E30</f>
        <v>6.4285714285714288</v>
      </c>
      <c r="F30" s="49">
        <f>'Avg Week Nateete-Ndeeba'!F30+'Avg Week Ndeeba-Nateete'!F30</f>
        <v>51.571428571428569</v>
      </c>
      <c r="G30" s="49">
        <f>'Avg Week Nateete-Ndeeba'!G30+'Avg Week Ndeeba-Nateete'!G30</f>
        <v>0.8571428571428571</v>
      </c>
      <c r="H30" s="49">
        <f>'Avg Week Nateete-Ndeeba'!H30+'Avg Week Ndeeba-Nateete'!H30</f>
        <v>0.71428571428571419</v>
      </c>
      <c r="I30" s="49">
        <f>'Avg Week Nateete-Ndeeba'!I30+'Avg Week Ndeeba-Nateete'!I30</f>
        <v>16</v>
      </c>
      <c r="J30" s="49">
        <f>'Avg Week Nateete-Ndeeba'!J30+'Avg Week Ndeeba-Nateete'!J30</f>
        <v>15.714285714285715</v>
      </c>
      <c r="K30" s="49">
        <f>'Avg Week Nateete-Ndeeba'!K30+'Avg Week Ndeeba-Nateete'!K30</f>
        <v>4.1428571428571423</v>
      </c>
      <c r="L30" s="49">
        <f>'Avg Week Nateete-Ndeeba'!L30+'Avg Week Ndeeba-Nateete'!L30</f>
        <v>1.7142857142857144</v>
      </c>
      <c r="M30" s="49">
        <f>'Avg Week Nateete-Ndeeba'!M30+'Avg Week Ndeeba-Nateete'!M30</f>
        <v>327.57142857142856</v>
      </c>
      <c r="N30" s="49">
        <f>'Avg Week Nateete-Ndeeba'!N30+'Avg Week Ndeeba-Nateete'!N30</f>
        <v>0.14285714285714285</v>
      </c>
      <c r="O30" s="15">
        <f t="shared" si="0"/>
        <v>176.28571428571431</v>
      </c>
      <c r="P30" s="15">
        <f t="shared" si="1"/>
        <v>503.85714285714289</v>
      </c>
      <c r="R30" s="1" t="s">
        <v>154</v>
      </c>
      <c r="S30" s="34">
        <f>SUM(C90:C93)</f>
        <v>123.5</v>
      </c>
      <c r="T30" s="34">
        <f t="shared" ref="T30:AD30" si="22">SUM(D90:D93)</f>
        <v>10.5</v>
      </c>
      <c r="U30" s="34">
        <f t="shared" si="22"/>
        <v>6</v>
      </c>
      <c r="V30" s="34">
        <f t="shared" si="22"/>
        <v>24.5</v>
      </c>
      <c r="W30" s="34">
        <f t="shared" si="22"/>
        <v>2.5</v>
      </c>
      <c r="X30" s="34">
        <f t="shared" si="22"/>
        <v>2</v>
      </c>
      <c r="Y30" s="34">
        <f t="shared" si="22"/>
        <v>28</v>
      </c>
      <c r="Z30" s="34">
        <f t="shared" si="22"/>
        <v>48.5</v>
      </c>
      <c r="AA30" s="34">
        <f t="shared" si="22"/>
        <v>8</v>
      </c>
      <c r="AB30" s="34">
        <f t="shared" si="22"/>
        <v>6.5</v>
      </c>
      <c r="AC30" s="34">
        <f t="shared" si="22"/>
        <v>398</v>
      </c>
      <c r="AD30" s="34">
        <f t="shared" si="22"/>
        <v>0</v>
      </c>
      <c r="AE30" s="31">
        <f t="shared" si="13"/>
        <v>609.5</v>
      </c>
      <c r="AF30" s="31">
        <f t="shared" si="13"/>
        <v>1459</v>
      </c>
    </row>
    <row r="31" spans="2:32" ht="23.1" customHeight="1" x14ac:dyDescent="0.25">
      <c r="B31" s="24" t="s">
        <v>58</v>
      </c>
      <c r="C31" s="49">
        <f>'Avg Week Nateete-Ndeeba'!C31+'Avg Week Ndeeba-Nateete'!C31</f>
        <v>68.142857142857139</v>
      </c>
      <c r="D31" s="49">
        <f>'Avg Week Nateete-Ndeeba'!D31+'Avg Week Ndeeba-Nateete'!D31</f>
        <v>14.285714285714285</v>
      </c>
      <c r="E31" s="49">
        <f>'Avg Week Nateete-Ndeeba'!E31+'Avg Week Ndeeba-Nateete'!E31</f>
        <v>7.2857142857142865</v>
      </c>
      <c r="F31" s="49">
        <f>'Avg Week Nateete-Ndeeba'!F31+'Avg Week Ndeeba-Nateete'!F31</f>
        <v>53.285714285714285</v>
      </c>
      <c r="G31" s="49">
        <f>'Avg Week Nateete-Ndeeba'!G31+'Avg Week Ndeeba-Nateete'!G31</f>
        <v>0.5714285714285714</v>
      </c>
      <c r="H31" s="49">
        <f>'Avg Week Nateete-Ndeeba'!H31+'Avg Week Ndeeba-Nateete'!H31</f>
        <v>0</v>
      </c>
      <c r="I31" s="49">
        <f>'Avg Week Nateete-Ndeeba'!I31+'Avg Week Ndeeba-Nateete'!I31</f>
        <v>24</v>
      </c>
      <c r="J31" s="49">
        <f>'Avg Week Nateete-Ndeeba'!J31+'Avg Week Ndeeba-Nateete'!J31</f>
        <v>21.428571428571427</v>
      </c>
      <c r="K31" s="49">
        <f>'Avg Week Nateete-Ndeeba'!K31+'Avg Week Ndeeba-Nateete'!K31</f>
        <v>4.7142857142857144</v>
      </c>
      <c r="L31" s="49">
        <f>'Avg Week Nateete-Ndeeba'!L31+'Avg Week Ndeeba-Nateete'!L31</f>
        <v>2.4285714285714284</v>
      </c>
      <c r="M31" s="49">
        <f>'Avg Week Nateete-Ndeeba'!M31+'Avg Week Ndeeba-Nateete'!M31</f>
        <v>345.42857142857144</v>
      </c>
      <c r="N31" s="49">
        <f>'Avg Week Nateete-Ndeeba'!N31+'Avg Week Ndeeba-Nateete'!N31</f>
        <v>0</v>
      </c>
      <c r="O31" s="15">
        <f t="shared" si="0"/>
        <v>196.14285714285714</v>
      </c>
      <c r="P31" s="15">
        <f t="shared" si="1"/>
        <v>541.57142857142856</v>
      </c>
      <c r="R31" s="1" t="s">
        <v>155</v>
      </c>
      <c r="S31" s="34">
        <f>SUM(C94:C97)</f>
        <v>139.5</v>
      </c>
      <c r="T31" s="34">
        <f t="shared" ref="T31:AD31" si="23">SUM(D94:D97)</f>
        <v>8.5</v>
      </c>
      <c r="U31" s="34">
        <f t="shared" si="23"/>
        <v>7.5</v>
      </c>
      <c r="V31" s="34">
        <f t="shared" si="23"/>
        <v>25</v>
      </c>
      <c r="W31" s="34">
        <f t="shared" si="23"/>
        <v>1</v>
      </c>
      <c r="X31" s="34">
        <f t="shared" si="23"/>
        <v>2.5</v>
      </c>
      <c r="Y31" s="34">
        <f t="shared" si="23"/>
        <v>23</v>
      </c>
      <c r="Z31" s="34">
        <f t="shared" si="23"/>
        <v>38.5</v>
      </c>
      <c r="AA31" s="34">
        <f t="shared" si="23"/>
        <v>6</v>
      </c>
      <c r="AB31" s="34">
        <f t="shared" si="23"/>
        <v>6</v>
      </c>
      <c r="AC31" s="34">
        <f t="shared" si="23"/>
        <v>283</v>
      </c>
      <c r="AD31" s="34">
        <f t="shared" si="23"/>
        <v>45</v>
      </c>
      <c r="AE31" s="31">
        <f t="shared" si="13"/>
        <v>615.5</v>
      </c>
      <c r="AF31" s="31">
        <f t="shared" si="13"/>
        <v>1433.5</v>
      </c>
    </row>
    <row r="32" spans="2:32" ht="23.1" customHeight="1" x14ac:dyDescent="0.25">
      <c r="B32" s="24" t="s">
        <v>59</v>
      </c>
      <c r="C32" s="49">
        <f>'Avg Week Nateete-Ndeeba'!C32+'Avg Week Ndeeba-Nateete'!C32</f>
        <v>78.285714285714292</v>
      </c>
      <c r="D32" s="49">
        <f>'Avg Week Nateete-Ndeeba'!D32+'Avg Week Ndeeba-Nateete'!D32</f>
        <v>17</v>
      </c>
      <c r="E32" s="49">
        <f>'Avg Week Nateete-Ndeeba'!E32+'Avg Week Ndeeba-Nateete'!E32</f>
        <v>7.4285714285714288</v>
      </c>
      <c r="F32" s="49">
        <f>'Avg Week Nateete-Ndeeba'!F32+'Avg Week Ndeeba-Nateete'!F32</f>
        <v>65.142857142857139</v>
      </c>
      <c r="G32" s="49">
        <f>'Avg Week Nateete-Ndeeba'!G32+'Avg Week Ndeeba-Nateete'!G32</f>
        <v>1</v>
      </c>
      <c r="H32" s="49">
        <f>'Avg Week Nateete-Ndeeba'!H32+'Avg Week Ndeeba-Nateete'!H32</f>
        <v>0.2857142857142857</v>
      </c>
      <c r="I32" s="49">
        <f>'Avg Week Nateete-Ndeeba'!I32+'Avg Week Ndeeba-Nateete'!I32</f>
        <v>21</v>
      </c>
      <c r="J32" s="49">
        <f>'Avg Week Nateete-Ndeeba'!J32+'Avg Week Ndeeba-Nateete'!J32</f>
        <v>19.571428571428573</v>
      </c>
      <c r="K32" s="49">
        <f>'Avg Week Nateete-Ndeeba'!K32+'Avg Week Ndeeba-Nateete'!K32</f>
        <v>4.5714285714285712</v>
      </c>
      <c r="L32" s="49">
        <f>'Avg Week Nateete-Ndeeba'!L32+'Avg Week Ndeeba-Nateete'!L32</f>
        <v>3.7142857142857144</v>
      </c>
      <c r="M32" s="49">
        <f>'Avg Week Nateete-Ndeeba'!M32+'Avg Week Ndeeba-Nateete'!M32</f>
        <v>366.28571428571433</v>
      </c>
      <c r="N32" s="49">
        <f>'Avg Week Nateete-Ndeeba'!N32+'Avg Week Ndeeba-Nateete'!N32</f>
        <v>0</v>
      </c>
      <c r="O32" s="15">
        <f t="shared" si="0"/>
        <v>218.00000000000003</v>
      </c>
      <c r="P32" s="15">
        <f t="shared" si="1"/>
        <v>584.28571428571433</v>
      </c>
      <c r="R32" s="1" t="s">
        <v>156</v>
      </c>
      <c r="S32" s="34">
        <f>SUM(C98:C101)</f>
        <v>186</v>
      </c>
      <c r="T32" s="34">
        <f>SUM(D98:D101)</f>
        <v>27.5</v>
      </c>
      <c r="U32" s="34">
        <f t="shared" ref="U32:AD32" si="24">SUM(E98:E101)</f>
        <v>19</v>
      </c>
      <c r="V32" s="34">
        <f t="shared" si="24"/>
        <v>108.5</v>
      </c>
      <c r="W32" s="34">
        <f t="shared" si="24"/>
        <v>5.5</v>
      </c>
      <c r="X32" s="34">
        <f t="shared" si="24"/>
        <v>6</v>
      </c>
      <c r="Y32" s="34">
        <f t="shared" si="24"/>
        <v>35.5</v>
      </c>
      <c r="Z32" s="34">
        <f t="shared" si="24"/>
        <v>58</v>
      </c>
      <c r="AA32" s="34">
        <f t="shared" si="24"/>
        <v>20.5</v>
      </c>
      <c r="AB32" s="34">
        <f t="shared" si="24"/>
        <v>14.5</v>
      </c>
      <c r="AC32" s="34">
        <f t="shared" si="24"/>
        <v>445.5</v>
      </c>
      <c r="AD32" s="34">
        <f t="shared" si="24"/>
        <v>0</v>
      </c>
      <c r="AE32" s="31">
        <f t="shared" si="13"/>
        <v>631.5</v>
      </c>
      <c r="AF32" s="31">
        <f t="shared" si="13"/>
        <v>1463.5</v>
      </c>
    </row>
    <row r="33" spans="2:32" ht="23.1" customHeight="1" x14ac:dyDescent="0.25">
      <c r="B33" s="23" t="s">
        <v>60</v>
      </c>
      <c r="C33" s="49">
        <f>'Avg Week Nateete-Ndeeba'!C33+'Avg Week Ndeeba-Nateete'!C33</f>
        <v>62</v>
      </c>
      <c r="D33" s="49">
        <f>'Avg Week Nateete-Ndeeba'!D33+'Avg Week Ndeeba-Nateete'!D33</f>
        <v>13</v>
      </c>
      <c r="E33" s="49">
        <f>'Avg Week Nateete-Ndeeba'!E33+'Avg Week Ndeeba-Nateete'!E33</f>
        <v>8.1428571428571423</v>
      </c>
      <c r="F33" s="49">
        <f>'Avg Week Nateete-Ndeeba'!F33+'Avg Week Ndeeba-Nateete'!F33</f>
        <v>75.285714285714278</v>
      </c>
      <c r="G33" s="49">
        <f>'Avg Week Nateete-Ndeeba'!G33+'Avg Week Ndeeba-Nateete'!G33</f>
        <v>1.7142857142857144</v>
      </c>
      <c r="H33" s="49">
        <f>'Avg Week Nateete-Ndeeba'!H33+'Avg Week Ndeeba-Nateete'!H33</f>
        <v>0.14285714285714285</v>
      </c>
      <c r="I33" s="49">
        <f>'Avg Week Nateete-Ndeeba'!I33+'Avg Week Ndeeba-Nateete'!I33</f>
        <v>19</v>
      </c>
      <c r="J33" s="49">
        <f>'Avg Week Nateete-Ndeeba'!J33+'Avg Week Ndeeba-Nateete'!J33</f>
        <v>17.142857142857142</v>
      </c>
      <c r="K33" s="49">
        <f>'Avg Week Nateete-Ndeeba'!K33+'Avg Week Ndeeba-Nateete'!K33</f>
        <v>3.8571428571428568</v>
      </c>
      <c r="L33" s="49">
        <f>'Avg Week Nateete-Ndeeba'!L33+'Avg Week Ndeeba-Nateete'!L33</f>
        <v>1.7142857142857144</v>
      </c>
      <c r="M33" s="49">
        <f>'Avg Week Nateete-Ndeeba'!M33+'Avg Week Ndeeba-Nateete'!M33</f>
        <v>345.57142857142856</v>
      </c>
      <c r="N33" s="49">
        <f>'Avg Week Nateete-Ndeeba'!N33+'Avg Week Ndeeba-Nateete'!N33</f>
        <v>0</v>
      </c>
      <c r="O33" s="15">
        <f t="shared" si="0"/>
        <v>202</v>
      </c>
      <c r="P33" s="15">
        <f t="shared" si="1"/>
        <v>547.57142857142856</v>
      </c>
      <c r="R33" s="1" t="s">
        <v>157</v>
      </c>
      <c r="S33" s="34">
        <f>SUM(C102:C105)</f>
        <v>145</v>
      </c>
      <c r="T33" s="34">
        <f t="shared" ref="T33:AC33" si="25">SUM(D102:D105)</f>
        <v>23.5</v>
      </c>
      <c r="U33" s="34">
        <f t="shared" si="25"/>
        <v>24.5</v>
      </c>
      <c r="V33" s="34">
        <f t="shared" si="25"/>
        <v>172</v>
      </c>
      <c r="W33" s="34">
        <f t="shared" si="25"/>
        <v>7</v>
      </c>
      <c r="X33" s="34">
        <f t="shared" si="25"/>
        <v>2</v>
      </c>
      <c r="Y33" s="34">
        <f t="shared" si="25"/>
        <v>42</v>
      </c>
      <c r="Z33" s="34">
        <f t="shared" si="25"/>
        <v>60</v>
      </c>
      <c r="AA33" s="34">
        <f t="shared" si="25"/>
        <v>17.5</v>
      </c>
      <c r="AB33" s="34">
        <f t="shared" si="25"/>
        <v>8</v>
      </c>
      <c r="AC33" s="34">
        <f t="shared" si="25"/>
        <v>831.5</v>
      </c>
      <c r="AD33" s="34">
        <f>SUM(N102:N105)</f>
        <v>0</v>
      </c>
      <c r="AE33" s="31">
        <f t="shared" si="13"/>
        <v>632.5</v>
      </c>
      <c r="AF33" s="31">
        <f t="shared" si="13"/>
        <v>1410.5</v>
      </c>
    </row>
    <row r="34" spans="2:32" ht="23.1" customHeight="1" x14ac:dyDescent="0.25">
      <c r="B34" s="24" t="s">
        <v>61</v>
      </c>
      <c r="C34" s="49">
        <f>'Avg Week Nateete-Ndeeba'!C34+'Avg Week Ndeeba-Nateete'!C34</f>
        <v>67.285714285714292</v>
      </c>
      <c r="D34" s="49">
        <f>'Avg Week Nateete-Ndeeba'!D34+'Avg Week Ndeeba-Nateete'!D34</f>
        <v>9.5714285714285712</v>
      </c>
      <c r="E34" s="49">
        <f>'Avg Week Nateete-Ndeeba'!E34+'Avg Week Ndeeba-Nateete'!E34</f>
        <v>6.8571428571428577</v>
      </c>
      <c r="F34" s="49">
        <f>'Avg Week Nateete-Ndeeba'!F34+'Avg Week Ndeeba-Nateete'!F34</f>
        <v>62.285714285714285</v>
      </c>
      <c r="G34" s="49">
        <f>'Avg Week Nateete-Ndeeba'!G34+'Avg Week Ndeeba-Nateete'!G34</f>
        <v>1.4285714285714286</v>
      </c>
      <c r="H34" s="49">
        <f>'Avg Week Nateete-Ndeeba'!H34+'Avg Week Ndeeba-Nateete'!H34</f>
        <v>0.42857142857142855</v>
      </c>
      <c r="I34" s="49">
        <f>'Avg Week Nateete-Ndeeba'!I34+'Avg Week Ndeeba-Nateete'!I34</f>
        <v>17</v>
      </c>
      <c r="J34" s="49">
        <f>'Avg Week Nateete-Ndeeba'!J34+'Avg Week Ndeeba-Nateete'!J34</f>
        <v>16.142857142857142</v>
      </c>
      <c r="K34" s="49">
        <f>'Avg Week Nateete-Ndeeba'!K34+'Avg Week Ndeeba-Nateete'!K34</f>
        <v>3.5714285714285712</v>
      </c>
      <c r="L34" s="49">
        <f>'Avg Week Nateete-Ndeeba'!L34+'Avg Week Ndeeba-Nateete'!L34</f>
        <v>1.4285714285714286</v>
      </c>
      <c r="M34" s="49">
        <f>'Avg Week Nateete-Ndeeba'!M34+'Avg Week Ndeeba-Nateete'!M34</f>
        <v>325.57142857142856</v>
      </c>
      <c r="N34" s="49">
        <f>'Avg Week Nateete-Ndeeba'!N34+'Avg Week Ndeeba-Nateete'!N34</f>
        <v>0</v>
      </c>
      <c r="O34" s="15">
        <f t="shared" si="0"/>
        <v>185.99999999999997</v>
      </c>
      <c r="P34" s="15">
        <f t="shared" si="1"/>
        <v>511.57142857142856</v>
      </c>
      <c r="R34" s="38" t="s">
        <v>90</v>
      </c>
      <c r="S34" s="39">
        <f t="shared" ref="S34:AF34" si="26">MAX(S10:S12)</f>
        <v>263.42857142857144</v>
      </c>
      <c r="T34" s="39">
        <f t="shared" si="26"/>
        <v>64.857142857142847</v>
      </c>
      <c r="U34" s="39">
        <f t="shared" si="26"/>
        <v>27</v>
      </c>
      <c r="V34" s="39">
        <f t="shared" si="26"/>
        <v>307.14285714285711</v>
      </c>
      <c r="W34" s="39">
        <f t="shared" si="26"/>
        <v>8.2857142857142865</v>
      </c>
      <c r="X34" s="39">
        <f t="shared" si="26"/>
        <v>8</v>
      </c>
      <c r="Y34" s="39">
        <f t="shared" si="26"/>
        <v>84</v>
      </c>
      <c r="Z34" s="39">
        <f t="shared" si="26"/>
        <v>65.285714285714278</v>
      </c>
      <c r="AA34" s="39">
        <f t="shared" si="26"/>
        <v>10.571428571428573</v>
      </c>
      <c r="AB34" s="39">
        <f t="shared" si="26"/>
        <v>6.7142857142857135</v>
      </c>
      <c r="AC34" s="39">
        <f t="shared" si="26"/>
        <v>1600.5714285714284</v>
      </c>
      <c r="AD34" s="39">
        <f t="shared" si="26"/>
        <v>0.14285714285714285</v>
      </c>
      <c r="AE34" s="40">
        <f t="shared" si="26"/>
        <v>834.42857142857144</v>
      </c>
      <c r="AF34" s="40">
        <f t="shared" si="26"/>
        <v>2428.1428571428573</v>
      </c>
    </row>
    <row r="35" spans="2:32" ht="23.1" customHeight="1" x14ac:dyDescent="0.25">
      <c r="B35" s="24" t="s">
        <v>62</v>
      </c>
      <c r="C35" s="49">
        <f>'Avg Week Nateete-Ndeeba'!C35+'Avg Week Ndeeba-Nateete'!C35</f>
        <v>54.142857142857139</v>
      </c>
      <c r="D35" s="49">
        <f>'Avg Week Nateete-Ndeeba'!D35+'Avg Week Ndeeba-Nateete'!D35</f>
        <v>10.857142857142858</v>
      </c>
      <c r="E35" s="49">
        <f>'Avg Week Nateete-Ndeeba'!E35+'Avg Week Ndeeba-Nateete'!E35</f>
        <v>6.5714285714285712</v>
      </c>
      <c r="F35" s="49">
        <f>'Avg Week Nateete-Ndeeba'!F35+'Avg Week Ndeeba-Nateete'!F35</f>
        <v>46.571428571428569</v>
      </c>
      <c r="G35" s="49">
        <f>'Avg Week Nateete-Ndeeba'!G35+'Avg Week Ndeeba-Nateete'!G35</f>
        <v>1.4285714285714286</v>
      </c>
      <c r="H35" s="49">
        <f>'Avg Week Nateete-Ndeeba'!H35+'Avg Week Ndeeba-Nateete'!H35</f>
        <v>0</v>
      </c>
      <c r="I35" s="49">
        <f>'Avg Week Nateete-Ndeeba'!I35+'Avg Week Ndeeba-Nateete'!I35</f>
        <v>18.428571428571431</v>
      </c>
      <c r="J35" s="49">
        <f>'Avg Week Nateete-Ndeeba'!J35+'Avg Week Ndeeba-Nateete'!J35</f>
        <v>12.142857142857142</v>
      </c>
      <c r="K35" s="49">
        <f>'Avg Week Nateete-Ndeeba'!K35+'Avg Week Ndeeba-Nateete'!K35</f>
        <v>4.2857142857142856</v>
      </c>
      <c r="L35" s="49">
        <f>'Avg Week Nateete-Ndeeba'!L35+'Avg Week Ndeeba-Nateete'!L35</f>
        <v>1.7142857142857144</v>
      </c>
      <c r="M35" s="49">
        <f>'Avg Week Nateete-Ndeeba'!M35+'Avg Week Ndeeba-Nateete'!M35</f>
        <v>362.42857142857144</v>
      </c>
      <c r="N35" s="49">
        <f>'Avg Week Nateete-Ndeeba'!N35+'Avg Week Ndeeba-Nateete'!N35</f>
        <v>0</v>
      </c>
      <c r="O35" s="15">
        <f t="shared" si="0"/>
        <v>156.14285714285714</v>
      </c>
      <c r="P35" s="15">
        <f t="shared" si="1"/>
        <v>518.57142857142856</v>
      </c>
      <c r="R35" s="38" t="s">
        <v>91</v>
      </c>
      <c r="S35" s="39">
        <f t="shared" ref="S35:AF35" si="27">MAX(S13:S18)</f>
        <v>273.42857142857144</v>
      </c>
      <c r="T35" s="39">
        <f t="shared" si="27"/>
        <v>65.285714285714292</v>
      </c>
      <c r="U35" s="39">
        <f t="shared" si="27"/>
        <v>32</v>
      </c>
      <c r="V35" s="39">
        <f t="shared" si="27"/>
        <v>248.71428571428575</v>
      </c>
      <c r="W35" s="39">
        <f t="shared" si="27"/>
        <v>6.2857142857142865</v>
      </c>
      <c r="X35" s="39">
        <f t="shared" si="27"/>
        <v>1.714285714285714</v>
      </c>
      <c r="Y35" s="39">
        <f t="shared" si="27"/>
        <v>80</v>
      </c>
      <c r="Z35" s="39">
        <f t="shared" si="27"/>
        <v>75</v>
      </c>
      <c r="AA35" s="39">
        <f t="shared" si="27"/>
        <v>17.285714285714285</v>
      </c>
      <c r="AB35" s="39">
        <f t="shared" si="27"/>
        <v>9.5714285714285712</v>
      </c>
      <c r="AC35" s="39">
        <f t="shared" si="27"/>
        <v>1500.5714285714284</v>
      </c>
      <c r="AD35" s="39">
        <f t="shared" si="27"/>
        <v>0.42857142857142855</v>
      </c>
      <c r="AE35" s="40">
        <f t="shared" si="27"/>
        <v>792.42857142857144</v>
      </c>
      <c r="AF35" s="40">
        <f t="shared" si="27"/>
        <v>2257.7142857142853</v>
      </c>
    </row>
    <row r="36" spans="2:32" ht="23.1" customHeight="1" x14ac:dyDescent="0.25">
      <c r="B36" s="24" t="s">
        <v>63</v>
      </c>
      <c r="C36" s="49">
        <f>'Avg Week Nateete-Ndeeba'!C36+'Avg Week Ndeeba-Nateete'!C36</f>
        <v>62.428571428571431</v>
      </c>
      <c r="D36" s="49">
        <f>'Avg Week Nateete-Ndeeba'!D36+'Avg Week Ndeeba-Nateete'!D36</f>
        <v>14</v>
      </c>
      <c r="E36" s="49">
        <f>'Avg Week Nateete-Ndeeba'!E36+'Avg Week Ndeeba-Nateete'!E36</f>
        <v>8.1428571428571423</v>
      </c>
      <c r="F36" s="49">
        <f>'Avg Week Nateete-Ndeeba'!F36+'Avg Week Ndeeba-Nateete'!F36</f>
        <v>60.857142857142861</v>
      </c>
      <c r="G36" s="49">
        <f>'Avg Week Nateete-Ndeeba'!G36+'Avg Week Ndeeba-Nateete'!G36</f>
        <v>0.5714285714285714</v>
      </c>
      <c r="H36" s="49">
        <f>'Avg Week Nateete-Ndeeba'!H36+'Avg Week Ndeeba-Nateete'!H36</f>
        <v>0.2857142857142857</v>
      </c>
      <c r="I36" s="49">
        <f>'Avg Week Nateete-Ndeeba'!I36+'Avg Week Ndeeba-Nateete'!I36</f>
        <v>21.857142857142858</v>
      </c>
      <c r="J36" s="49">
        <f>'Avg Week Nateete-Ndeeba'!J36+'Avg Week Ndeeba-Nateete'!J36</f>
        <v>13.142857142857144</v>
      </c>
      <c r="K36" s="49">
        <f>'Avg Week Nateete-Ndeeba'!K36+'Avg Week Ndeeba-Nateete'!K36</f>
        <v>2.2857142857142856</v>
      </c>
      <c r="L36" s="49">
        <f>'Avg Week Nateete-Ndeeba'!L36+'Avg Week Ndeeba-Nateete'!L36</f>
        <v>0.85714285714285721</v>
      </c>
      <c r="M36" s="49">
        <f>'Avg Week Nateete-Ndeeba'!M36+'Avg Week Ndeeba-Nateete'!M36</f>
        <v>299.14285714285717</v>
      </c>
      <c r="N36" s="49">
        <f>'Avg Week Nateete-Ndeeba'!N36+'Avg Week Ndeeba-Nateete'!N36</f>
        <v>0</v>
      </c>
      <c r="O36" s="15">
        <f t="shared" si="0"/>
        <v>184.42857142857144</v>
      </c>
      <c r="P36" s="15">
        <f t="shared" si="1"/>
        <v>483.57142857142861</v>
      </c>
      <c r="R36" s="38" t="s">
        <v>92</v>
      </c>
      <c r="S36" s="39">
        <f t="shared" ref="S36:AF36" si="28">MAX(S19:S21)</f>
        <v>267.71428571428572</v>
      </c>
      <c r="T36" s="39">
        <f t="shared" si="28"/>
        <v>66.142857142857139</v>
      </c>
      <c r="U36" s="39">
        <f t="shared" si="28"/>
        <v>34.857142857142861</v>
      </c>
      <c r="V36" s="39">
        <f t="shared" si="28"/>
        <v>293.71428571428578</v>
      </c>
      <c r="W36" s="39">
        <f t="shared" si="28"/>
        <v>10</v>
      </c>
      <c r="X36" s="39">
        <f t="shared" si="28"/>
        <v>4.5714285714285712</v>
      </c>
      <c r="Y36" s="39">
        <f t="shared" si="28"/>
        <v>72</v>
      </c>
      <c r="Z36" s="39">
        <f t="shared" si="28"/>
        <v>71</v>
      </c>
      <c r="AA36" s="39">
        <f t="shared" si="28"/>
        <v>16.571428571428569</v>
      </c>
      <c r="AB36" s="39">
        <f t="shared" si="28"/>
        <v>5.5714285714285712</v>
      </c>
      <c r="AC36" s="39">
        <f t="shared" si="28"/>
        <v>1347.1428571428571</v>
      </c>
      <c r="AD36" s="39">
        <f t="shared" si="28"/>
        <v>0</v>
      </c>
      <c r="AE36" s="40">
        <f t="shared" si="28"/>
        <v>807.14285714285711</v>
      </c>
      <c r="AF36" s="40">
        <f t="shared" si="28"/>
        <v>2104.5714285714284</v>
      </c>
    </row>
    <row r="37" spans="2:32" ht="23.1" customHeight="1" x14ac:dyDescent="0.25">
      <c r="B37" s="23" t="s">
        <v>64</v>
      </c>
      <c r="C37" s="49">
        <f>'Avg Week Nateete-Ndeeba'!C37+'Avg Week Ndeeba-Nateete'!C37</f>
        <v>57.142857142857139</v>
      </c>
      <c r="D37" s="49">
        <f>'Avg Week Nateete-Ndeeba'!D37+'Avg Week Ndeeba-Nateete'!D37</f>
        <v>12.857142857142858</v>
      </c>
      <c r="E37" s="49">
        <f>'Avg Week Nateete-Ndeeba'!E37+'Avg Week Ndeeba-Nateete'!E37</f>
        <v>9.5714285714285712</v>
      </c>
      <c r="F37" s="49">
        <f>'Avg Week Nateete-Ndeeba'!F37+'Avg Week Ndeeba-Nateete'!F37</f>
        <v>51.285714285714285</v>
      </c>
      <c r="G37" s="49">
        <f>'Avg Week Nateete-Ndeeba'!G37+'Avg Week Ndeeba-Nateete'!G37</f>
        <v>2.8571428571428572</v>
      </c>
      <c r="H37" s="49">
        <f>'Avg Week Nateete-Ndeeba'!H37+'Avg Week Ndeeba-Nateete'!H37</f>
        <v>0.42857142857142855</v>
      </c>
      <c r="I37" s="49">
        <f>'Avg Week Nateete-Ndeeba'!I37+'Avg Week Ndeeba-Nateete'!I37</f>
        <v>18.857142857142858</v>
      </c>
      <c r="J37" s="49">
        <f>'Avg Week Nateete-Ndeeba'!J37+'Avg Week Ndeeba-Nateete'!J37</f>
        <v>16.714285714285715</v>
      </c>
      <c r="K37" s="49">
        <f>'Avg Week Nateete-Ndeeba'!K37+'Avg Week Ndeeba-Nateete'!K37</f>
        <v>3.1428571428571428</v>
      </c>
      <c r="L37" s="49">
        <f>'Avg Week Nateete-Ndeeba'!L37+'Avg Week Ndeeba-Nateete'!L37</f>
        <v>1.4285714285714284</v>
      </c>
      <c r="M37" s="49">
        <f>'Avg Week Nateete-Ndeeba'!M37+'Avg Week Ndeeba-Nateete'!M37</f>
        <v>344.57142857142856</v>
      </c>
      <c r="N37" s="49">
        <f>'Avg Week Nateete-Ndeeba'!N37+'Avg Week Ndeeba-Nateete'!N37</f>
        <v>0</v>
      </c>
      <c r="O37" s="15">
        <f t="shared" si="0"/>
        <v>174.28571428571428</v>
      </c>
      <c r="P37" s="15">
        <f t="shared" si="1"/>
        <v>518.85714285714289</v>
      </c>
      <c r="R37" s="37" t="s">
        <v>85</v>
      </c>
      <c r="S37" s="35">
        <f t="shared" ref="S37:AF37" si="29">SUM(S10:S12)</f>
        <v>737.42857142857144</v>
      </c>
      <c r="T37" s="16">
        <f t="shared" si="29"/>
        <v>160</v>
      </c>
      <c r="U37" s="16">
        <f t="shared" si="29"/>
        <v>73.285714285714278</v>
      </c>
      <c r="V37" s="16">
        <f t="shared" si="29"/>
        <v>790.14285714285711</v>
      </c>
      <c r="W37" s="16">
        <f t="shared" si="29"/>
        <v>19.857142857142858</v>
      </c>
      <c r="X37" s="16">
        <f t="shared" si="29"/>
        <v>11.428571428571429</v>
      </c>
      <c r="Y37" s="16">
        <f t="shared" si="29"/>
        <v>208</v>
      </c>
      <c r="Z37" s="16">
        <f t="shared" si="29"/>
        <v>167.28571428571428</v>
      </c>
      <c r="AA37" s="16">
        <f t="shared" si="29"/>
        <v>28.142857142857142</v>
      </c>
      <c r="AB37" s="16">
        <f t="shared" si="29"/>
        <v>15.285714285714286</v>
      </c>
      <c r="AC37" s="16">
        <f t="shared" si="29"/>
        <v>4347.7142857142862</v>
      </c>
      <c r="AD37" s="16">
        <f t="shared" si="29"/>
        <v>0.14285714285714285</v>
      </c>
      <c r="AE37" s="32">
        <f t="shared" si="29"/>
        <v>2211</v>
      </c>
      <c r="AF37" s="32">
        <f t="shared" si="29"/>
        <v>6558.7142857142862</v>
      </c>
    </row>
    <row r="38" spans="2:32" ht="23.1" customHeight="1" x14ac:dyDescent="0.25">
      <c r="B38" s="24" t="s">
        <v>65</v>
      </c>
      <c r="C38" s="49">
        <f>'Avg Week Nateete-Ndeeba'!C38+'Avg Week Ndeeba-Nateete'!C38</f>
        <v>61.571428571428569</v>
      </c>
      <c r="D38" s="49">
        <f>'Avg Week Nateete-Ndeeba'!D38+'Avg Week Ndeeba-Nateete'!D38</f>
        <v>10.714285714285714</v>
      </c>
      <c r="E38" s="49">
        <f>'Avg Week Nateete-Ndeeba'!E38+'Avg Week Ndeeba-Nateete'!E38</f>
        <v>6.1428571428571432</v>
      </c>
      <c r="F38" s="49">
        <f>'Avg Week Nateete-Ndeeba'!F38+'Avg Week Ndeeba-Nateete'!F38</f>
        <v>50.571428571428569</v>
      </c>
      <c r="G38" s="49">
        <f>'Avg Week Nateete-Ndeeba'!G38+'Avg Week Ndeeba-Nateete'!G38</f>
        <v>1.1428571428571428</v>
      </c>
      <c r="H38" s="49">
        <f>'Avg Week Nateete-Ndeeba'!H38+'Avg Week Ndeeba-Nateete'!H38</f>
        <v>0.14285714285714285</v>
      </c>
      <c r="I38" s="49">
        <f>'Avg Week Nateete-Ndeeba'!I38+'Avg Week Ndeeba-Nateete'!I38</f>
        <v>15.142857142857142</v>
      </c>
      <c r="J38" s="49">
        <f>'Avg Week Nateete-Ndeeba'!J38+'Avg Week Ndeeba-Nateete'!J38</f>
        <v>18.142857142857142</v>
      </c>
      <c r="K38" s="49">
        <f>'Avg Week Nateete-Ndeeba'!K38+'Avg Week Ndeeba-Nateete'!K38</f>
        <v>4.1428571428571423</v>
      </c>
      <c r="L38" s="49">
        <f>'Avg Week Nateete-Ndeeba'!L38+'Avg Week Ndeeba-Nateete'!L38</f>
        <v>1.5714285714285714</v>
      </c>
      <c r="M38" s="49">
        <f>'Avg Week Nateete-Ndeeba'!M38+'Avg Week Ndeeba-Nateete'!M38</f>
        <v>315.85714285714283</v>
      </c>
      <c r="N38" s="49">
        <f>'Avg Week Nateete-Ndeeba'!N38+'Avg Week Ndeeba-Nateete'!N38</f>
        <v>0</v>
      </c>
      <c r="O38" s="15">
        <f t="shared" si="0"/>
        <v>169.28571428571428</v>
      </c>
      <c r="P38" s="15">
        <f t="shared" si="1"/>
        <v>485.14285714285711</v>
      </c>
      <c r="R38" s="28" t="s">
        <v>86</v>
      </c>
      <c r="S38" s="16">
        <f t="shared" ref="S38:AF38" si="30">SUM(S13:S18)</f>
        <v>1531.1428571428571</v>
      </c>
      <c r="T38" s="16">
        <f t="shared" si="30"/>
        <v>330</v>
      </c>
      <c r="U38" s="16">
        <f t="shared" si="30"/>
        <v>181</v>
      </c>
      <c r="V38" s="16">
        <f t="shared" si="30"/>
        <v>1350.7142857142858</v>
      </c>
      <c r="W38" s="16">
        <f t="shared" si="30"/>
        <v>30</v>
      </c>
      <c r="X38" s="16">
        <f t="shared" si="30"/>
        <v>8.2857142857142847</v>
      </c>
      <c r="Y38" s="16">
        <f t="shared" si="30"/>
        <v>435.42857142857144</v>
      </c>
      <c r="Z38" s="16">
        <f t="shared" si="30"/>
        <v>407.71428571428572</v>
      </c>
      <c r="AA38" s="16">
        <f t="shared" si="30"/>
        <v>89.571428571428569</v>
      </c>
      <c r="AB38" s="16">
        <f t="shared" si="30"/>
        <v>40.571428571428569</v>
      </c>
      <c r="AC38" s="16">
        <f t="shared" si="30"/>
        <v>8030.5714285714275</v>
      </c>
      <c r="AD38" s="16">
        <f t="shared" si="30"/>
        <v>0.71428571428571419</v>
      </c>
      <c r="AE38" s="32">
        <f t="shared" si="30"/>
        <v>4405.1428571428569</v>
      </c>
      <c r="AF38" s="32">
        <f t="shared" si="30"/>
        <v>12435.714285714286</v>
      </c>
    </row>
    <row r="39" spans="2:32" ht="23.1" customHeight="1" x14ac:dyDescent="0.25">
      <c r="B39" s="24" t="s">
        <v>66</v>
      </c>
      <c r="C39" s="49">
        <f>'Avg Week Nateete-Ndeeba'!C39+'Avg Week Ndeeba-Nateete'!C39</f>
        <v>71.285714285714278</v>
      </c>
      <c r="D39" s="49">
        <f>'Avg Week Nateete-Ndeeba'!D39+'Avg Week Ndeeba-Nateete'!D39</f>
        <v>15.857142857142858</v>
      </c>
      <c r="E39" s="49">
        <f>'Avg Week Nateete-Ndeeba'!E39+'Avg Week Ndeeba-Nateete'!E39</f>
        <v>5.5714285714285721</v>
      </c>
      <c r="F39" s="49">
        <f>'Avg Week Nateete-Ndeeba'!F39+'Avg Week Ndeeba-Nateete'!F39</f>
        <v>50.142857142857139</v>
      </c>
      <c r="G39" s="49">
        <f>'Avg Week Nateete-Ndeeba'!G39+'Avg Week Ndeeba-Nateete'!G39</f>
        <v>1</v>
      </c>
      <c r="H39" s="49">
        <f>'Avg Week Nateete-Ndeeba'!H39+'Avg Week Ndeeba-Nateete'!H39</f>
        <v>0.14285714285714285</v>
      </c>
      <c r="I39" s="49">
        <f>'Avg Week Nateete-Ndeeba'!I39+'Avg Week Ndeeba-Nateete'!I39</f>
        <v>21.571428571428573</v>
      </c>
      <c r="J39" s="49">
        <f>'Avg Week Nateete-Ndeeba'!J39+'Avg Week Ndeeba-Nateete'!J39</f>
        <v>15.285714285714285</v>
      </c>
      <c r="K39" s="49">
        <f>'Avg Week Nateete-Ndeeba'!K39+'Avg Week Ndeeba-Nateete'!K39</f>
        <v>4</v>
      </c>
      <c r="L39" s="49">
        <f>'Avg Week Nateete-Ndeeba'!L39+'Avg Week Ndeeba-Nateete'!L39</f>
        <v>1.4285714285714284</v>
      </c>
      <c r="M39" s="49">
        <f>'Avg Week Nateete-Ndeeba'!M39+'Avg Week Ndeeba-Nateete'!M39</f>
        <v>314.14285714285711</v>
      </c>
      <c r="N39" s="49">
        <f>'Avg Week Nateete-Ndeeba'!N39+'Avg Week Ndeeba-Nateete'!N39</f>
        <v>0</v>
      </c>
      <c r="O39" s="15">
        <f t="shared" si="0"/>
        <v>186.28571428571425</v>
      </c>
      <c r="P39" s="15">
        <f t="shared" si="1"/>
        <v>500.42857142857133</v>
      </c>
      <c r="R39" s="29" t="s">
        <v>87</v>
      </c>
      <c r="S39" s="16">
        <f t="shared" ref="S39:AF39" si="31">SUM(S19:S21)</f>
        <v>775.42857142857133</v>
      </c>
      <c r="T39" s="16">
        <f t="shared" si="31"/>
        <v>182.85714285714283</v>
      </c>
      <c r="U39" s="16">
        <f t="shared" si="31"/>
        <v>95.428571428571431</v>
      </c>
      <c r="V39" s="16">
        <f t="shared" si="31"/>
        <v>748.85714285714289</v>
      </c>
      <c r="W39" s="16">
        <f t="shared" si="31"/>
        <v>18.428571428571427</v>
      </c>
      <c r="X39" s="16">
        <f t="shared" si="31"/>
        <v>10.571428571428569</v>
      </c>
      <c r="Y39" s="16">
        <f t="shared" si="31"/>
        <v>201.85714285714286</v>
      </c>
      <c r="Z39" s="16">
        <f t="shared" si="31"/>
        <v>209.57142857142861</v>
      </c>
      <c r="AA39" s="16">
        <f t="shared" si="31"/>
        <v>40.142857142857139</v>
      </c>
      <c r="AB39" s="16">
        <f t="shared" si="31"/>
        <v>14.428571428571429</v>
      </c>
      <c r="AC39" s="16">
        <f t="shared" si="31"/>
        <v>3769.2857142857138</v>
      </c>
      <c r="AD39" s="16">
        <f t="shared" si="31"/>
        <v>0</v>
      </c>
      <c r="AE39" s="32">
        <f t="shared" si="31"/>
        <v>2297.5714285714284</v>
      </c>
      <c r="AF39" s="32">
        <f t="shared" si="31"/>
        <v>6066.8571428571431</v>
      </c>
    </row>
    <row r="40" spans="2:32" ht="23.1" customHeight="1" x14ac:dyDescent="0.25">
      <c r="B40" s="24" t="s">
        <v>67</v>
      </c>
      <c r="C40" s="49">
        <f>'Avg Week Nateete-Ndeeba'!C40+'Avg Week Ndeeba-Nateete'!C40</f>
        <v>70.714285714285722</v>
      </c>
      <c r="D40" s="49">
        <f>'Avg Week Nateete-Ndeeba'!D40+'Avg Week Ndeeba-Nateete'!D40</f>
        <v>15.142857142857142</v>
      </c>
      <c r="E40" s="49">
        <f>'Avg Week Nateete-Ndeeba'!E40+'Avg Week Ndeeba-Nateete'!E40</f>
        <v>9.4285714285714288</v>
      </c>
      <c r="F40" s="49">
        <f>'Avg Week Nateete-Ndeeba'!F40+'Avg Week Ndeeba-Nateete'!F40</f>
        <v>56.714285714285715</v>
      </c>
      <c r="G40" s="49">
        <f>'Avg Week Nateete-Ndeeba'!G40+'Avg Week Ndeeba-Nateete'!G40</f>
        <v>2.4285714285714284</v>
      </c>
      <c r="H40" s="49">
        <f>'Avg Week Nateete-Ndeeba'!H40+'Avg Week Ndeeba-Nateete'!H40</f>
        <v>0.2857142857142857</v>
      </c>
      <c r="I40" s="49">
        <f>'Avg Week Nateete-Ndeeba'!I40+'Avg Week Ndeeba-Nateete'!I40</f>
        <v>19.571428571428573</v>
      </c>
      <c r="J40" s="49">
        <f>'Avg Week Nateete-Ndeeba'!J40+'Avg Week Ndeeba-Nateete'!J40</f>
        <v>26.142857142857146</v>
      </c>
      <c r="K40" s="49">
        <f>'Avg Week Nateete-Ndeeba'!K40+'Avg Week Ndeeba-Nateete'!K40</f>
        <v>3.5714285714285712</v>
      </c>
      <c r="L40" s="49">
        <f>'Avg Week Nateete-Ndeeba'!L40+'Avg Week Ndeeba-Nateete'!L40</f>
        <v>0.71428571428571419</v>
      </c>
      <c r="M40" s="49">
        <f>'Avg Week Nateete-Ndeeba'!M40+'Avg Week Ndeeba-Nateete'!M40</f>
        <v>302.14285714285711</v>
      </c>
      <c r="N40" s="49">
        <f>'Avg Week Nateete-Ndeeba'!N40+'Avg Week Ndeeba-Nateete'!N40</f>
        <v>0</v>
      </c>
      <c r="O40" s="15">
        <f t="shared" si="0"/>
        <v>204.71428571428572</v>
      </c>
      <c r="P40" s="15">
        <f t="shared" si="1"/>
        <v>506.85714285714283</v>
      </c>
      <c r="R40" s="5" t="s">
        <v>17</v>
      </c>
      <c r="S40" s="16">
        <f t="shared" ref="S40:AF40" si="32">SUM(S10:S21)</f>
        <v>3044</v>
      </c>
      <c r="T40" s="16">
        <f t="shared" si="32"/>
        <v>672.85714285714278</v>
      </c>
      <c r="U40" s="16">
        <f t="shared" si="32"/>
        <v>349.71428571428567</v>
      </c>
      <c r="V40" s="16">
        <f t="shared" si="32"/>
        <v>2889.7142857142858</v>
      </c>
      <c r="W40" s="16">
        <f t="shared" si="32"/>
        <v>68.285714285714278</v>
      </c>
      <c r="X40" s="16">
        <f t="shared" si="32"/>
        <v>30.285714285714288</v>
      </c>
      <c r="Y40" s="16">
        <f t="shared" si="32"/>
        <v>845.28571428571433</v>
      </c>
      <c r="Z40" s="16">
        <f t="shared" si="32"/>
        <v>784.57142857142856</v>
      </c>
      <c r="AA40" s="16">
        <f t="shared" si="32"/>
        <v>157.85714285714283</v>
      </c>
      <c r="AB40" s="16">
        <f t="shared" si="32"/>
        <v>70.285714285714292</v>
      </c>
      <c r="AC40" s="16">
        <f t="shared" si="32"/>
        <v>16147.571428571428</v>
      </c>
      <c r="AD40" s="16">
        <f t="shared" si="32"/>
        <v>0.85714285714285698</v>
      </c>
      <c r="AE40" s="32">
        <f t="shared" si="32"/>
        <v>8913.7142857142862</v>
      </c>
      <c r="AF40" s="32">
        <f t="shared" si="32"/>
        <v>25061.285714285714</v>
      </c>
    </row>
    <row r="41" spans="2:32" ht="23.1" customHeight="1" x14ac:dyDescent="0.25">
      <c r="B41" s="23" t="s">
        <v>68</v>
      </c>
      <c r="C41" s="49">
        <f>'Avg Week Nateete-Ndeeba'!C41+'Avg Week Ndeeba-Nateete'!C41</f>
        <v>54.571428571428569</v>
      </c>
      <c r="D41" s="49">
        <f>'Avg Week Nateete-Ndeeba'!D41+'Avg Week Ndeeba-Nateete'!D41</f>
        <v>14.857142857142858</v>
      </c>
      <c r="E41" s="49">
        <f>'Avg Week Nateete-Ndeeba'!E41+'Avg Week Ndeeba-Nateete'!E41</f>
        <v>10.857142857142858</v>
      </c>
      <c r="F41" s="49">
        <f>'Avg Week Nateete-Ndeeba'!F41+'Avg Week Ndeeba-Nateete'!F41</f>
        <v>50.571428571428569</v>
      </c>
      <c r="G41" s="49">
        <f>'Avg Week Nateete-Ndeeba'!G41+'Avg Week Ndeeba-Nateete'!G41</f>
        <v>0.2857142857142857</v>
      </c>
      <c r="H41" s="49">
        <f>'Avg Week Nateete-Ndeeba'!H41+'Avg Week Ndeeba-Nateete'!H41</f>
        <v>1</v>
      </c>
      <c r="I41" s="49">
        <f>'Avg Week Nateete-Ndeeba'!I41+'Avg Week Ndeeba-Nateete'!I41</f>
        <v>14.142857142857142</v>
      </c>
      <c r="J41" s="49">
        <f>'Avg Week Nateete-Ndeeba'!J41+'Avg Week Ndeeba-Nateete'!J41</f>
        <v>15.428571428571429</v>
      </c>
      <c r="K41" s="49">
        <f>'Avg Week Nateete-Ndeeba'!K41+'Avg Week Ndeeba-Nateete'!K41</f>
        <v>3.8571428571428572</v>
      </c>
      <c r="L41" s="49">
        <f>'Avg Week Nateete-Ndeeba'!L41+'Avg Week Ndeeba-Nateete'!L41</f>
        <v>1.7142857142857142</v>
      </c>
      <c r="M41" s="49">
        <f>'Avg Week Nateete-Ndeeba'!M41+'Avg Week Ndeeba-Nateete'!M41</f>
        <v>301.14285714285717</v>
      </c>
      <c r="N41" s="49">
        <f>'Avg Week Nateete-Ndeeba'!N41+'Avg Week Ndeeba-Nateete'!N41</f>
        <v>0</v>
      </c>
      <c r="O41" s="15">
        <f t="shared" si="0"/>
        <v>167.28571428571428</v>
      </c>
      <c r="P41" s="15">
        <f t="shared" si="1"/>
        <v>468.42857142857144</v>
      </c>
      <c r="R41" s="5" t="s">
        <v>184</v>
      </c>
      <c r="S41" s="52">
        <f>SUM(S10:S33)</f>
        <v>5559.5</v>
      </c>
      <c r="T41" s="52">
        <f t="shared" ref="T41:AD41" si="33">SUM(T10:T33)</f>
        <v>978.35714285714278</v>
      </c>
      <c r="U41" s="52">
        <f t="shared" si="33"/>
        <v>585.21428571428567</v>
      </c>
      <c r="V41" s="52">
        <f t="shared" si="33"/>
        <v>4487.7142857142862</v>
      </c>
      <c r="W41" s="52">
        <f t="shared" si="33"/>
        <v>107.78571428571428</v>
      </c>
      <c r="X41" s="52">
        <f t="shared" si="33"/>
        <v>106.78571428571429</v>
      </c>
      <c r="Y41" s="52">
        <f t="shared" si="33"/>
        <v>1273.2857142857142</v>
      </c>
      <c r="Z41" s="52">
        <f t="shared" si="33"/>
        <v>1310.0714285714284</v>
      </c>
      <c r="AA41" s="52">
        <f t="shared" si="33"/>
        <v>309.35714285714283</v>
      </c>
      <c r="AB41" s="52">
        <f t="shared" si="33"/>
        <v>178.78571428571428</v>
      </c>
      <c r="AC41" s="52">
        <f t="shared" si="33"/>
        <v>24049.571428571428</v>
      </c>
      <c r="AD41" s="52">
        <f t="shared" si="33"/>
        <v>46.357142857142854</v>
      </c>
      <c r="AE41" s="53">
        <f>SUM(AE10:AE33)</f>
        <v>16738.357142857145</v>
      </c>
      <c r="AF41" s="53">
        <f>SUM(AF10:AF33)</f>
        <v>44712.428571428572</v>
      </c>
    </row>
    <row r="42" spans="2:32" ht="23.1" customHeight="1" x14ac:dyDescent="0.25">
      <c r="B42" s="24" t="s">
        <v>69</v>
      </c>
      <c r="C42" s="49">
        <f>'Avg Week Nateete-Ndeeba'!C42+'Avg Week Ndeeba-Nateete'!C42</f>
        <v>55.428571428571431</v>
      </c>
      <c r="D42" s="49">
        <f>'Avg Week Nateete-Ndeeba'!D42+'Avg Week Ndeeba-Nateete'!D42</f>
        <v>9.7142857142857135</v>
      </c>
      <c r="E42" s="49">
        <f>'Avg Week Nateete-Ndeeba'!E42+'Avg Week Ndeeba-Nateete'!E42</f>
        <v>8.4285714285714288</v>
      </c>
      <c r="F42" s="49">
        <f>'Avg Week Nateete-Ndeeba'!F42+'Avg Week Ndeeba-Nateete'!F42</f>
        <v>43</v>
      </c>
      <c r="G42" s="49">
        <f>'Avg Week Nateete-Ndeeba'!G42+'Avg Week Ndeeba-Nateete'!G42</f>
        <v>1.7142857142857142</v>
      </c>
      <c r="H42" s="49">
        <f>'Avg Week Nateete-Ndeeba'!H42+'Avg Week Ndeeba-Nateete'!H42</f>
        <v>0.42857142857142855</v>
      </c>
      <c r="I42" s="49">
        <f>'Avg Week Nateete-Ndeeba'!I42+'Avg Week Ndeeba-Nateete'!I42</f>
        <v>18.285714285714285</v>
      </c>
      <c r="J42" s="49">
        <f>'Avg Week Nateete-Ndeeba'!J42+'Avg Week Ndeeba-Nateete'!J42</f>
        <v>15.857142857142858</v>
      </c>
      <c r="K42" s="49">
        <f>'Avg Week Nateete-Ndeeba'!K42+'Avg Week Ndeeba-Nateete'!K42</f>
        <v>2.7142857142857144</v>
      </c>
      <c r="L42" s="49">
        <f>'Avg Week Nateete-Ndeeba'!L42+'Avg Week Ndeeba-Nateete'!L42</f>
        <v>1</v>
      </c>
      <c r="M42" s="49">
        <f>'Avg Week Nateete-Ndeeba'!M42+'Avg Week Ndeeba-Nateete'!M42</f>
        <v>278</v>
      </c>
      <c r="N42" s="49">
        <f>'Avg Week Nateete-Ndeeba'!N42+'Avg Week Ndeeba-Nateete'!N42</f>
        <v>0</v>
      </c>
      <c r="O42" s="15">
        <f t="shared" si="0"/>
        <v>156.57142857142858</v>
      </c>
      <c r="P42" s="15">
        <f t="shared" si="1"/>
        <v>434.57142857142856</v>
      </c>
      <c r="R42" s="5" t="s">
        <v>160</v>
      </c>
      <c r="S42" s="48">
        <f>S41/S40</f>
        <v>1.8263797634691197</v>
      </c>
      <c r="T42" s="48">
        <f t="shared" ref="T42:AF42" si="34">T41/T40</f>
        <v>1.4540339702760086</v>
      </c>
      <c r="U42" s="48">
        <f t="shared" si="34"/>
        <v>1.6734068627450982</v>
      </c>
      <c r="V42" s="48">
        <f t="shared" si="34"/>
        <v>1.5529958473403205</v>
      </c>
      <c r="W42" s="48">
        <f>W41/W40</f>
        <v>1.5784518828451883</v>
      </c>
      <c r="X42" s="48">
        <f t="shared" si="34"/>
        <v>3.5259433962264151</v>
      </c>
      <c r="Y42" s="48">
        <f t="shared" si="34"/>
        <v>1.5063376711171199</v>
      </c>
      <c r="Z42" s="48">
        <f t="shared" si="34"/>
        <v>1.6697924253459577</v>
      </c>
      <c r="AA42" s="48">
        <f t="shared" si="34"/>
        <v>1.9597285067873305</v>
      </c>
      <c r="AB42" s="48">
        <f t="shared" si="34"/>
        <v>2.5436991869918697</v>
      </c>
      <c r="AC42" s="48">
        <f t="shared" si="34"/>
        <v>1.4893615138941725</v>
      </c>
      <c r="AD42" s="48">
        <f t="shared" si="34"/>
        <v>54.083333333333343</v>
      </c>
      <c r="AE42" s="54">
        <f t="shared" si="34"/>
        <v>1.8778206936342074</v>
      </c>
      <c r="AF42" s="54">
        <f t="shared" si="34"/>
        <v>1.7841234915549882</v>
      </c>
    </row>
    <row r="43" spans="2:32" ht="23.1" customHeight="1" x14ac:dyDescent="0.25">
      <c r="B43" s="23" t="s">
        <v>70</v>
      </c>
      <c r="C43" s="49">
        <f>'Avg Week Nateete-Ndeeba'!C43+'Avg Week Ndeeba-Nateete'!C43</f>
        <v>56.285714285714292</v>
      </c>
      <c r="D43" s="49">
        <f>'Avg Week Nateete-Ndeeba'!D43+'Avg Week Ndeeba-Nateete'!D43</f>
        <v>13.285714285714285</v>
      </c>
      <c r="E43" s="49">
        <f>'Avg Week Nateete-Ndeeba'!E43+'Avg Week Ndeeba-Nateete'!E43</f>
        <v>6.1428571428571423</v>
      </c>
      <c r="F43" s="49">
        <f>'Avg Week Nateete-Ndeeba'!F43+'Avg Week Ndeeba-Nateete'!F43</f>
        <v>46.428571428571431</v>
      </c>
      <c r="G43" s="49">
        <f>'Avg Week Nateete-Ndeeba'!G43+'Avg Week Ndeeba-Nateete'!G43</f>
        <v>1.1428571428571428</v>
      </c>
      <c r="H43" s="49">
        <f>'Avg Week Nateete-Ndeeba'!H43+'Avg Week Ndeeba-Nateete'!H43</f>
        <v>0.2857142857142857</v>
      </c>
      <c r="I43" s="49">
        <f>'Avg Week Nateete-Ndeeba'!I43+'Avg Week Ndeeba-Nateete'!I43</f>
        <v>14.142857142857142</v>
      </c>
      <c r="J43" s="49">
        <f>'Avg Week Nateete-Ndeeba'!J43+'Avg Week Ndeeba-Nateete'!J43</f>
        <v>22.714285714285715</v>
      </c>
      <c r="K43" s="49">
        <f>'Avg Week Nateete-Ndeeba'!K43+'Avg Week Ndeeba-Nateete'!K43</f>
        <v>3</v>
      </c>
      <c r="L43" s="49">
        <f>'Avg Week Nateete-Ndeeba'!L43+'Avg Week Ndeeba-Nateete'!L43</f>
        <v>1.4285714285714286</v>
      </c>
      <c r="M43" s="49">
        <f>'Avg Week Nateete-Ndeeba'!M43+'Avg Week Ndeeba-Nateete'!M43</f>
        <v>273.71428571428572</v>
      </c>
      <c r="N43" s="49">
        <f>'Avg Week Nateete-Ndeeba'!N43+'Avg Week Ndeeba-Nateete'!N43</f>
        <v>0</v>
      </c>
      <c r="O43" s="15">
        <f t="shared" si="0"/>
        <v>164.85714285714286</v>
      </c>
      <c r="P43" s="15">
        <f t="shared" si="1"/>
        <v>438.57142857142856</v>
      </c>
    </row>
    <row r="44" spans="2:32" ht="23.1" customHeight="1" x14ac:dyDescent="0.25">
      <c r="B44" s="25" t="s">
        <v>71</v>
      </c>
      <c r="C44" s="49">
        <f>'Avg Week Nateete-Ndeeba'!C44+'Avg Week Ndeeba-Nateete'!C44</f>
        <v>67.142857142857139</v>
      </c>
      <c r="D44" s="49">
        <f>'Avg Week Nateete-Ndeeba'!D44+'Avg Week Ndeeba-Nateete'!D44</f>
        <v>12.285714285714286</v>
      </c>
      <c r="E44" s="49">
        <f>'Avg Week Nateete-Ndeeba'!E44+'Avg Week Ndeeba-Nateete'!E44</f>
        <v>8.4285714285714288</v>
      </c>
      <c r="F44" s="49">
        <f>'Avg Week Nateete-Ndeeba'!F44+'Avg Week Ndeeba-Nateete'!F44</f>
        <v>56</v>
      </c>
      <c r="G44" s="49">
        <f>'Avg Week Nateete-Ndeeba'!G44+'Avg Week Ndeeba-Nateete'!G44</f>
        <v>0.5714285714285714</v>
      </c>
      <c r="H44" s="49">
        <f>'Avg Week Nateete-Ndeeba'!H44+'Avg Week Ndeeba-Nateete'!H44</f>
        <v>0.2857142857142857</v>
      </c>
      <c r="I44" s="49">
        <f>'Avg Week Nateete-Ndeeba'!I44+'Avg Week Ndeeba-Nateete'!I44</f>
        <v>17</v>
      </c>
      <c r="J44" s="49">
        <f>'Avg Week Nateete-Ndeeba'!J44+'Avg Week Ndeeba-Nateete'!J44</f>
        <v>14.714285714285715</v>
      </c>
      <c r="K44" s="49">
        <f>'Avg Week Nateete-Ndeeba'!K44+'Avg Week Ndeeba-Nateete'!K44</f>
        <v>7</v>
      </c>
      <c r="L44" s="49">
        <f>'Avg Week Nateete-Ndeeba'!L44+'Avg Week Ndeeba-Nateete'!L44</f>
        <v>1.1428571428571428</v>
      </c>
      <c r="M44" s="49">
        <f>'Avg Week Nateete-Ndeeba'!M44+'Avg Week Ndeeba-Nateete'!M44</f>
        <v>278.57142857142856</v>
      </c>
      <c r="N44" s="49">
        <f>'Avg Week Nateete-Ndeeba'!N44+'Avg Week Ndeeba-Nateete'!N44</f>
        <v>0</v>
      </c>
      <c r="O44" s="15">
        <f t="shared" si="0"/>
        <v>184.57142857142858</v>
      </c>
      <c r="P44" s="15">
        <f t="shared" si="1"/>
        <v>463.14285714285711</v>
      </c>
    </row>
    <row r="45" spans="2:32" ht="23.1" customHeight="1" x14ac:dyDescent="0.25">
      <c r="B45" s="23" t="s">
        <v>72</v>
      </c>
      <c r="C45" s="49">
        <f>'Avg Week Nateete-Ndeeba'!C45+'Avg Week Ndeeba-Nateete'!C45</f>
        <v>69.142857142857139</v>
      </c>
      <c r="D45" s="49">
        <f>'Avg Week Nateete-Ndeeba'!D45+'Avg Week Ndeeba-Nateete'!D45</f>
        <v>16</v>
      </c>
      <c r="E45" s="49">
        <f>'Avg Week Nateete-Ndeeba'!E45+'Avg Week Ndeeba-Nateete'!E45</f>
        <v>8.1428571428571423</v>
      </c>
      <c r="F45" s="49">
        <f>'Avg Week Nateete-Ndeeba'!F45+'Avg Week Ndeeba-Nateete'!F45</f>
        <v>47.285714285714285</v>
      </c>
      <c r="G45" s="49">
        <f>'Avg Week Nateete-Ndeeba'!G45+'Avg Week Ndeeba-Nateete'!G45</f>
        <v>0.71428571428571419</v>
      </c>
      <c r="H45" s="49">
        <f>'Avg Week Nateete-Ndeeba'!H45+'Avg Week Ndeeba-Nateete'!H45</f>
        <v>0.14285714285714285</v>
      </c>
      <c r="I45" s="49">
        <f>'Avg Week Nateete-Ndeeba'!I45+'Avg Week Ndeeba-Nateete'!I45</f>
        <v>15.571428571428573</v>
      </c>
      <c r="J45" s="49">
        <f>'Avg Week Nateete-Ndeeba'!J45+'Avg Week Ndeeba-Nateete'!J45</f>
        <v>15.714285714285715</v>
      </c>
      <c r="K45" s="49">
        <f>'Avg Week Nateete-Ndeeba'!K45+'Avg Week Ndeeba-Nateete'!K45</f>
        <v>2.7142857142857144</v>
      </c>
      <c r="L45" s="49">
        <f>'Avg Week Nateete-Ndeeba'!L45+'Avg Week Ndeeba-Nateete'!L45</f>
        <v>2.5714285714285712</v>
      </c>
      <c r="M45" s="49">
        <f>'Avg Week Nateete-Ndeeba'!M45+'Avg Week Ndeeba-Nateete'!M45</f>
        <v>292.85714285714289</v>
      </c>
      <c r="N45" s="49">
        <f>'Avg Week Nateete-Ndeeba'!N45+'Avg Week Ndeeba-Nateete'!N45</f>
        <v>0.14285714285714285</v>
      </c>
      <c r="O45" s="15">
        <f t="shared" si="0"/>
        <v>178.14285714285717</v>
      </c>
      <c r="P45" s="15">
        <f t="shared" si="1"/>
        <v>471.00000000000006</v>
      </c>
    </row>
    <row r="46" spans="2:32" ht="23.1" customHeight="1" x14ac:dyDescent="0.25">
      <c r="B46" s="24" t="s">
        <v>73</v>
      </c>
      <c r="C46" s="49">
        <f>'Avg Week Nateete-Ndeeba'!C46+'Avg Week Ndeeba-Nateete'!C46</f>
        <v>65.285714285714292</v>
      </c>
      <c r="D46" s="49">
        <f>'Avg Week Nateete-Ndeeba'!D46+'Avg Week Ndeeba-Nateete'!D46</f>
        <v>14.285714285714285</v>
      </c>
      <c r="E46" s="49">
        <f>'Avg Week Nateete-Ndeeba'!E46+'Avg Week Ndeeba-Nateete'!E46</f>
        <v>8.4285714285714288</v>
      </c>
      <c r="F46" s="49">
        <f>'Avg Week Nateete-Ndeeba'!F46+'Avg Week Ndeeba-Nateete'!F46</f>
        <v>48</v>
      </c>
      <c r="G46" s="49">
        <f>'Avg Week Nateete-Ndeeba'!G46+'Avg Week Ndeeba-Nateete'!G46</f>
        <v>1.1428571428571428</v>
      </c>
      <c r="H46" s="49">
        <f>'Avg Week Nateete-Ndeeba'!H46+'Avg Week Ndeeba-Nateete'!H46</f>
        <v>0.2857142857142857</v>
      </c>
      <c r="I46" s="49">
        <f>'Avg Week Nateete-Ndeeba'!I46+'Avg Week Ndeeba-Nateete'!I46</f>
        <v>16.857142857142858</v>
      </c>
      <c r="J46" s="49">
        <f>'Avg Week Nateete-Ndeeba'!J46+'Avg Week Ndeeba-Nateete'!J46</f>
        <v>17.142857142857142</v>
      </c>
      <c r="K46" s="49">
        <f>'Avg Week Nateete-Ndeeba'!K46+'Avg Week Ndeeba-Nateete'!K46</f>
        <v>2.2857142857142856</v>
      </c>
      <c r="L46" s="49">
        <f>'Avg Week Nateete-Ndeeba'!L46+'Avg Week Ndeeba-Nateete'!L46</f>
        <v>0.8571428571428571</v>
      </c>
      <c r="M46" s="49">
        <f>'Avg Week Nateete-Ndeeba'!M46+'Avg Week Ndeeba-Nateete'!M46</f>
        <v>259.42857142857144</v>
      </c>
      <c r="N46" s="49">
        <f>'Avg Week Nateete-Ndeeba'!N46+'Avg Week Ndeeba-Nateete'!N46</f>
        <v>0</v>
      </c>
      <c r="O46" s="15">
        <f t="shared" si="0"/>
        <v>174.57142857142856</v>
      </c>
      <c r="P46" s="15">
        <f t="shared" si="1"/>
        <v>434</v>
      </c>
      <c r="R46" s="8"/>
      <c r="T46"/>
    </row>
    <row r="47" spans="2:32" ht="23.1" customHeight="1" x14ac:dyDescent="0.25">
      <c r="B47" s="24" t="s">
        <v>74</v>
      </c>
      <c r="C47" s="49">
        <f>'Avg Week Nateete-Ndeeba'!C47+'Avg Week Ndeeba-Nateete'!C47</f>
        <v>65.428571428571431</v>
      </c>
      <c r="D47" s="49">
        <f>'Avg Week Nateete-Ndeeba'!D47+'Avg Week Ndeeba-Nateete'!D47</f>
        <v>13.285714285714285</v>
      </c>
      <c r="E47" s="49">
        <f>'Avg Week Nateete-Ndeeba'!E47+'Avg Week Ndeeba-Nateete'!E47</f>
        <v>7.4285714285714288</v>
      </c>
      <c r="F47" s="49">
        <f>'Avg Week Nateete-Ndeeba'!F47+'Avg Week Ndeeba-Nateete'!F47</f>
        <v>53.428571428571431</v>
      </c>
      <c r="G47" s="49">
        <f>'Avg Week Nateete-Ndeeba'!G47+'Avg Week Ndeeba-Nateete'!G47</f>
        <v>1.8571428571428572</v>
      </c>
      <c r="H47" s="49">
        <f>'Avg Week Nateete-Ndeeba'!H47+'Avg Week Ndeeba-Nateete'!H47</f>
        <v>0.42857142857142855</v>
      </c>
      <c r="I47" s="49">
        <f>'Avg Week Nateete-Ndeeba'!I47+'Avg Week Ndeeba-Nateete'!I47</f>
        <v>16.142857142857142</v>
      </c>
      <c r="J47" s="49">
        <f>'Avg Week Nateete-Ndeeba'!J47+'Avg Week Ndeeba-Nateete'!J47</f>
        <v>17.571428571428573</v>
      </c>
      <c r="K47" s="49">
        <f>'Avg Week Nateete-Ndeeba'!K47+'Avg Week Ndeeba-Nateete'!K47</f>
        <v>1.2857142857142856</v>
      </c>
      <c r="L47" s="49">
        <f>'Avg Week Nateete-Ndeeba'!L47+'Avg Week Ndeeba-Nateete'!L47</f>
        <v>1.7142857142857142</v>
      </c>
      <c r="M47" s="49">
        <f>'Avg Week Nateete-Ndeeba'!M47+'Avg Week Ndeeba-Nateete'!M47</f>
        <v>279</v>
      </c>
      <c r="N47" s="49">
        <f>'Avg Week Nateete-Ndeeba'!N47+'Avg Week Ndeeba-Nateete'!N47</f>
        <v>0</v>
      </c>
      <c r="O47" s="15">
        <f t="shared" si="0"/>
        <v>178.57142857142858</v>
      </c>
      <c r="P47" s="15">
        <f t="shared" si="1"/>
        <v>457.57142857142856</v>
      </c>
      <c r="R47" s="8"/>
      <c r="T47"/>
    </row>
    <row r="48" spans="2:32" ht="23.1" customHeight="1" x14ac:dyDescent="0.25">
      <c r="B48" s="24" t="s">
        <v>75</v>
      </c>
      <c r="C48" s="49">
        <f>'Avg Week Nateete-Ndeeba'!C48+'Avg Week Ndeeba-Nateete'!C48</f>
        <v>76.285714285714292</v>
      </c>
      <c r="D48" s="49">
        <f>'Avg Week Nateete-Ndeeba'!D48+'Avg Week Ndeeba-Nateete'!D48</f>
        <v>19.857142857142858</v>
      </c>
      <c r="E48" s="49">
        <f>'Avg Week Nateete-Ndeeba'!E48+'Avg Week Ndeeba-Nateete'!E48</f>
        <v>9.1428571428571423</v>
      </c>
      <c r="F48" s="49">
        <f>'Avg Week Nateete-Ndeeba'!F48+'Avg Week Ndeeba-Nateete'!F48</f>
        <v>60.714285714285715</v>
      </c>
      <c r="G48" s="49">
        <f>'Avg Week Nateete-Ndeeba'!G48+'Avg Week Ndeeba-Nateete'!G48</f>
        <v>1.1428571428571428</v>
      </c>
      <c r="H48" s="49">
        <f>'Avg Week Nateete-Ndeeba'!H48+'Avg Week Ndeeba-Nateete'!H48</f>
        <v>0.2857142857142857</v>
      </c>
      <c r="I48" s="49">
        <f>'Avg Week Nateete-Ndeeba'!I48+'Avg Week Ndeeba-Nateete'!I48</f>
        <v>15.857142857142858</v>
      </c>
      <c r="J48" s="49">
        <f>'Avg Week Nateete-Ndeeba'!J48+'Avg Week Ndeeba-Nateete'!J48</f>
        <v>17.714285714285715</v>
      </c>
      <c r="K48" s="49">
        <f>'Avg Week Nateete-Ndeeba'!K48+'Avg Week Ndeeba-Nateete'!K48</f>
        <v>4.1428571428571423</v>
      </c>
      <c r="L48" s="49">
        <f>'Avg Week Nateete-Ndeeba'!L48+'Avg Week Ndeeba-Nateete'!L48</f>
        <v>0.42857142857142855</v>
      </c>
      <c r="M48" s="49">
        <f>'Avg Week Nateete-Ndeeba'!M48+'Avg Week Ndeeba-Nateete'!M48</f>
        <v>332.85714285714289</v>
      </c>
      <c r="N48" s="49">
        <f>'Avg Week Nateete-Ndeeba'!N48+'Avg Week Ndeeba-Nateete'!N48</f>
        <v>0</v>
      </c>
      <c r="O48" s="15">
        <f t="shared" si="0"/>
        <v>205.57142857142856</v>
      </c>
      <c r="P48" s="15">
        <f t="shared" si="1"/>
        <v>538.42857142857144</v>
      </c>
      <c r="R48" s="8"/>
      <c r="T48"/>
    </row>
    <row r="49" spans="2:20" ht="23.1" customHeight="1" x14ac:dyDescent="0.25">
      <c r="B49" s="23" t="s">
        <v>76</v>
      </c>
      <c r="C49" s="49">
        <f>'Avg Week Nateete-Ndeeba'!C49+'Avg Week Ndeeba-Nateete'!C49</f>
        <v>60.714285714285722</v>
      </c>
      <c r="D49" s="49">
        <f>'Avg Week Nateete-Ndeeba'!D49+'Avg Week Ndeeba-Nateete'!D49</f>
        <v>10.142857142857142</v>
      </c>
      <c r="E49" s="49">
        <f>'Avg Week Nateete-Ndeeba'!E49+'Avg Week Ndeeba-Nateete'!E49</f>
        <v>7.5714285714285712</v>
      </c>
      <c r="F49" s="49">
        <f>'Avg Week Nateete-Ndeeba'!F49+'Avg Week Ndeeba-Nateete'!F49</f>
        <v>57.285714285714285</v>
      </c>
      <c r="G49" s="49">
        <f>'Avg Week Nateete-Ndeeba'!G49+'Avg Week Ndeeba-Nateete'!G49</f>
        <v>1.2857142857142856</v>
      </c>
      <c r="H49" s="49">
        <f>'Avg Week Nateete-Ndeeba'!H49+'Avg Week Ndeeba-Nateete'!H49</f>
        <v>0.8571428571428571</v>
      </c>
      <c r="I49" s="49">
        <f>'Avg Week Nateete-Ndeeba'!I49+'Avg Week Ndeeba-Nateete'!I49</f>
        <v>14.142857142857142</v>
      </c>
      <c r="J49" s="49">
        <f>'Avg Week Nateete-Ndeeba'!J49+'Avg Week Ndeeba-Nateete'!J49</f>
        <v>18.571428571428569</v>
      </c>
      <c r="K49" s="49">
        <f>'Avg Week Nateete-Ndeeba'!K49+'Avg Week Ndeeba-Nateete'!K49</f>
        <v>2.8571428571428568</v>
      </c>
      <c r="L49" s="49">
        <f>'Avg Week Nateete-Ndeeba'!L49+'Avg Week Ndeeba-Nateete'!L49</f>
        <v>0.8571428571428571</v>
      </c>
      <c r="M49" s="49">
        <f>'Avg Week Nateete-Ndeeba'!M49+'Avg Week Ndeeba-Nateete'!M49</f>
        <v>314.71428571428572</v>
      </c>
      <c r="N49" s="49">
        <f>'Avg Week Nateete-Ndeeba'!N49+'Avg Week Ndeeba-Nateete'!N49</f>
        <v>0</v>
      </c>
      <c r="O49" s="15">
        <f t="shared" si="0"/>
        <v>174.28571428571428</v>
      </c>
      <c r="P49" s="15">
        <f t="shared" si="1"/>
        <v>489</v>
      </c>
      <c r="R49" s="8"/>
      <c r="T49"/>
    </row>
    <row r="50" spans="2:20" ht="23.1" customHeight="1" x14ac:dyDescent="0.25">
      <c r="B50" s="24" t="s">
        <v>77</v>
      </c>
      <c r="C50" s="49">
        <f>'Avg Week Nateete-Ndeeba'!C50+'Avg Week Ndeeba-Nateete'!C50</f>
        <v>55.714285714285715</v>
      </c>
      <c r="D50" s="49">
        <f>'Avg Week Nateete-Ndeeba'!D50+'Avg Week Ndeeba-Nateete'!D50</f>
        <v>22</v>
      </c>
      <c r="E50" s="49">
        <f>'Avg Week Nateete-Ndeeba'!E50+'Avg Week Ndeeba-Nateete'!E50</f>
        <v>8.1428571428571423</v>
      </c>
      <c r="F50" s="49">
        <f>'Avg Week Nateete-Ndeeba'!F50+'Avg Week Ndeeba-Nateete'!F50</f>
        <v>55.142857142857139</v>
      </c>
      <c r="G50" s="49">
        <f>'Avg Week Nateete-Ndeeba'!G50+'Avg Week Ndeeba-Nateete'!G50</f>
        <v>0.42857142857142855</v>
      </c>
      <c r="H50" s="49">
        <f>'Avg Week Nateete-Ndeeba'!H50+'Avg Week Ndeeba-Nateete'!H50</f>
        <v>2.1428571428571428</v>
      </c>
      <c r="I50" s="49">
        <f>'Avg Week Nateete-Ndeeba'!I50+'Avg Week Ndeeba-Nateete'!I50</f>
        <v>15</v>
      </c>
      <c r="J50" s="49">
        <f>'Avg Week Nateete-Ndeeba'!J50+'Avg Week Ndeeba-Nateete'!J50</f>
        <v>17.428571428571431</v>
      </c>
      <c r="K50" s="49">
        <f>'Avg Week Nateete-Ndeeba'!K50+'Avg Week Ndeeba-Nateete'!K50</f>
        <v>3.1428571428571428</v>
      </c>
      <c r="L50" s="49">
        <f>'Avg Week Nateete-Ndeeba'!L50+'Avg Week Ndeeba-Nateete'!L50</f>
        <v>1.4285714285714286</v>
      </c>
      <c r="M50" s="49">
        <f>'Avg Week Nateete-Ndeeba'!M50+'Avg Week Ndeeba-Nateete'!M50</f>
        <v>311.57142857142856</v>
      </c>
      <c r="N50" s="49">
        <f>'Avg Week Nateete-Ndeeba'!N50+'Avg Week Ndeeba-Nateete'!N50</f>
        <v>0</v>
      </c>
      <c r="O50" s="15">
        <f t="shared" si="0"/>
        <v>180.57142857142856</v>
      </c>
      <c r="P50" s="15">
        <f t="shared" si="1"/>
        <v>492.14285714285711</v>
      </c>
      <c r="R50" s="8"/>
      <c r="T50"/>
    </row>
    <row r="51" spans="2:20" ht="23.1" customHeight="1" x14ac:dyDescent="0.25">
      <c r="B51" s="24" t="s">
        <v>78</v>
      </c>
      <c r="C51" s="49">
        <f>'Avg Week Nateete-Ndeeba'!C51+'Avg Week Ndeeba-Nateete'!C51</f>
        <v>66.571428571428569</v>
      </c>
      <c r="D51" s="49">
        <f>'Avg Week Nateete-Ndeeba'!D51+'Avg Week Ndeeba-Nateete'!D51</f>
        <v>13.285714285714285</v>
      </c>
      <c r="E51" s="49">
        <f>'Avg Week Nateete-Ndeeba'!E51+'Avg Week Ndeeba-Nateete'!E51</f>
        <v>9.5714285714285712</v>
      </c>
      <c r="F51" s="49">
        <f>'Avg Week Nateete-Ndeeba'!F51+'Avg Week Ndeeba-Nateete'!F51</f>
        <v>53.571428571428569</v>
      </c>
      <c r="G51" s="49">
        <f>'Avg Week Nateete-Ndeeba'!G51+'Avg Week Ndeeba-Nateete'!G51</f>
        <v>0.8571428571428571</v>
      </c>
      <c r="H51" s="49">
        <f>'Avg Week Nateete-Ndeeba'!H51+'Avg Week Ndeeba-Nateete'!H51</f>
        <v>1.2857142857142856</v>
      </c>
      <c r="I51" s="49">
        <f>'Avg Week Nateete-Ndeeba'!I51+'Avg Week Ndeeba-Nateete'!I51</f>
        <v>17.857142857142858</v>
      </c>
      <c r="J51" s="49">
        <f>'Avg Week Nateete-Ndeeba'!J51+'Avg Week Ndeeba-Nateete'!J51</f>
        <v>17.857142857142858</v>
      </c>
      <c r="K51" s="49">
        <f>'Avg Week Nateete-Ndeeba'!K51+'Avg Week Ndeeba-Nateete'!K51</f>
        <v>4.1428571428571423</v>
      </c>
      <c r="L51" s="49">
        <f>'Avg Week Nateete-Ndeeba'!L51+'Avg Week Ndeeba-Nateete'!L51</f>
        <v>1.1428571428571428</v>
      </c>
      <c r="M51" s="49">
        <f>'Avg Week Nateete-Ndeeba'!M51+'Avg Week Ndeeba-Nateete'!M51</f>
        <v>329.14285714285711</v>
      </c>
      <c r="N51" s="49">
        <f>'Avg Week Nateete-Ndeeba'!N51+'Avg Week Ndeeba-Nateete'!N51</f>
        <v>0</v>
      </c>
      <c r="O51" s="15">
        <f t="shared" si="0"/>
        <v>186.14285714285714</v>
      </c>
      <c r="P51" s="15">
        <f t="shared" si="1"/>
        <v>515.28571428571422</v>
      </c>
      <c r="R51" s="8"/>
      <c r="T51"/>
    </row>
    <row r="52" spans="2:20" ht="23.1" customHeight="1" x14ac:dyDescent="0.25">
      <c r="B52" s="24" t="s">
        <v>79</v>
      </c>
      <c r="C52" s="49">
        <f>'Avg Week Nateete-Ndeeba'!C52+'Avg Week Ndeeba-Nateete'!C52</f>
        <v>70.428571428571431</v>
      </c>
      <c r="D52" s="49">
        <f>'Avg Week Nateete-Ndeeba'!D52+'Avg Week Ndeeba-Nateete'!D52</f>
        <v>12.571428571428571</v>
      </c>
      <c r="E52" s="49">
        <f>'Avg Week Nateete-Ndeeba'!E52+'Avg Week Ndeeba-Nateete'!E52</f>
        <v>8.7142857142857153</v>
      </c>
      <c r="F52" s="49">
        <f>'Avg Week Nateete-Ndeeba'!F52+'Avg Week Ndeeba-Nateete'!F52</f>
        <v>54.857142857142861</v>
      </c>
      <c r="G52" s="49">
        <f>'Avg Week Nateete-Ndeeba'!G52+'Avg Week Ndeeba-Nateete'!G52</f>
        <v>1</v>
      </c>
      <c r="H52" s="49">
        <f>'Avg Week Nateete-Ndeeba'!H52+'Avg Week Ndeeba-Nateete'!H52</f>
        <v>0.71428571428571419</v>
      </c>
      <c r="I52" s="49">
        <f>'Avg Week Nateete-Ndeeba'!I52+'Avg Week Ndeeba-Nateete'!I52</f>
        <v>14.428571428571429</v>
      </c>
      <c r="J52" s="49">
        <f>'Avg Week Nateete-Ndeeba'!J52+'Avg Week Ndeeba-Nateete'!J52</f>
        <v>16.857142857142858</v>
      </c>
      <c r="K52" s="49">
        <f>'Avg Week Nateete-Ndeeba'!K52+'Avg Week Ndeeba-Nateete'!K52</f>
        <v>5.5714285714285712</v>
      </c>
      <c r="L52" s="49">
        <f>'Avg Week Nateete-Ndeeba'!L52+'Avg Week Ndeeba-Nateete'!L52</f>
        <v>1.1428571428571428</v>
      </c>
      <c r="M52" s="49">
        <f>'Avg Week Nateete-Ndeeba'!M52+'Avg Week Ndeeba-Nateete'!M52</f>
        <v>349.14285714285711</v>
      </c>
      <c r="N52" s="49">
        <f>'Avg Week Nateete-Ndeeba'!N52+'Avg Week Ndeeba-Nateete'!N52</f>
        <v>0</v>
      </c>
      <c r="O52" s="15">
        <f t="shared" si="0"/>
        <v>186.28571428571431</v>
      </c>
      <c r="P52" s="15">
        <f t="shared" si="1"/>
        <v>535.42857142857144</v>
      </c>
      <c r="R52" s="8"/>
      <c r="T52"/>
    </row>
    <row r="53" spans="2:20" ht="23.1" customHeight="1" x14ac:dyDescent="0.25">
      <c r="B53" s="23" t="s">
        <v>80</v>
      </c>
      <c r="C53" s="49">
        <f>'Avg Week Nateete-Ndeeba'!C53+'Avg Week Ndeeba-Nateete'!C53</f>
        <v>70.857142857142861</v>
      </c>
      <c r="D53" s="49">
        <f>'Avg Week Nateete-Ndeeba'!D53+'Avg Week Ndeeba-Nateete'!D53</f>
        <v>11.285714285714286</v>
      </c>
      <c r="E53" s="49">
        <f>'Avg Week Nateete-Ndeeba'!E53+'Avg Week Ndeeba-Nateete'!E53</f>
        <v>8.4285714285714288</v>
      </c>
      <c r="F53" s="49">
        <f>'Avg Week Nateete-Ndeeba'!F53+'Avg Week Ndeeba-Nateete'!F53</f>
        <v>72.142857142857139</v>
      </c>
      <c r="G53" s="49">
        <f>'Avg Week Nateete-Ndeeba'!G53+'Avg Week Ndeeba-Nateete'!G53</f>
        <v>0.71428571428571419</v>
      </c>
      <c r="H53" s="49">
        <f>'Avg Week Nateete-Ndeeba'!H53+'Avg Week Ndeeba-Nateete'!H53</f>
        <v>0.42857142857142855</v>
      </c>
      <c r="I53" s="49">
        <f>'Avg Week Nateete-Ndeeba'!I53+'Avg Week Ndeeba-Nateete'!I53</f>
        <v>19.571428571428569</v>
      </c>
      <c r="J53" s="49">
        <f>'Avg Week Nateete-Ndeeba'!J53+'Avg Week Ndeeba-Nateete'!J53</f>
        <v>16</v>
      </c>
      <c r="K53" s="49">
        <f>'Avg Week Nateete-Ndeeba'!K53+'Avg Week Ndeeba-Nateete'!K53</f>
        <v>3.7142857142857144</v>
      </c>
      <c r="L53" s="49">
        <f>'Avg Week Nateete-Ndeeba'!L53+'Avg Week Ndeeba-Nateete'!L53</f>
        <v>1.2857142857142856</v>
      </c>
      <c r="M53" s="49">
        <f>'Avg Week Nateete-Ndeeba'!M53+'Avg Week Ndeeba-Nateete'!M53</f>
        <v>357.28571428571428</v>
      </c>
      <c r="N53" s="49">
        <f>'Avg Week Nateete-Ndeeba'!N53+'Avg Week Ndeeba-Nateete'!N53</f>
        <v>0</v>
      </c>
      <c r="O53" s="15">
        <f t="shared" si="0"/>
        <v>204.42857142857144</v>
      </c>
      <c r="P53" s="15">
        <f t="shared" si="1"/>
        <v>561.71428571428578</v>
      </c>
      <c r="R53" s="8"/>
      <c r="T53"/>
    </row>
    <row r="54" spans="2:20" ht="23.1" customHeight="1" x14ac:dyDescent="0.25">
      <c r="B54" s="23" t="s">
        <v>81</v>
      </c>
      <c r="C54" s="49">
        <f>'Avg Week Nateete-Ndeeba'!C54+'Avg Week Ndeeba-Nateete'!C54</f>
        <v>64.285714285714278</v>
      </c>
      <c r="D54" s="49">
        <f>'Avg Week Nateete-Ndeeba'!D54+'Avg Week Ndeeba-Nateete'!D54</f>
        <v>16.714285714285715</v>
      </c>
      <c r="E54" s="49">
        <f>'Avg Week Nateete-Ndeeba'!E54+'Avg Week Ndeeba-Nateete'!E54</f>
        <v>8.2857142857142865</v>
      </c>
      <c r="F54" s="49">
        <f>'Avg Week Nateete-Ndeeba'!F54+'Avg Week Ndeeba-Nateete'!F54</f>
        <v>53.428571428571431</v>
      </c>
      <c r="G54" s="49">
        <f>'Avg Week Nateete-Ndeeba'!G54+'Avg Week Ndeeba-Nateete'!G54</f>
        <v>1</v>
      </c>
      <c r="H54" s="49">
        <f>'Avg Week Nateete-Ndeeba'!H54+'Avg Week Ndeeba-Nateete'!H54</f>
        <v>0.71428571428571419</v>
      </c>
      <c r="I54" s="49">
        <f>'Avg Week Nateete-Ndeeba'!I54+'Avg Week Ndeeba-Nateete'!I54</f>
        <v>16.857142857142858</v>
      </c>
      <c r="J54" s="49">
        <f>'Avg Week Nateete-Ndeeba'!J54+'Avg Week Ndeeba-Nateete'!J54</f>
        <v>15.285714285714285</v>
      </c>
      <c r="K54" s="49">
        <f>'Avg Week Nateete-Ndeeba'!K54+'Avg Week Ndeeba-Nateete'!K54</f>
        <v>2.8571428571428572</v>
      </c>
      <c r="L54" s="49">
        <f>'Avg Week Nateete-Ndeeba'!L54+'Avg Week Ndeeba-Nateete'!L54</f>
        <v>1.2857142857142856</v>
      </c>
      <c r="M54" s="49">
        <f>'Avg Week Nateete-Ndeeba'!M54+'Avg Week Ndeeba-Nateete'!M54</f>
        <v>311.71428571428567</v>
      </c>
      <c r="N54" s="49">
        <f>'Avg Week Nateete-Ndeeba'!N54+'Avg Week Ndeeba-Nateete'!N54</f>
        <v>0</v>
      </c>
      <c r="O54" s="15">
        <f t="shared" si="0"/>
        <v>180.71428571428572</v>
      </c>
      <c r="P54" s="15">
        <f t="shared" si="1"/>
        <v>492.42857142857139</v>
      </c>
      <c r="R54" s="8"/>
      <c r="T54"/>
    </row>
    <row r="55" spans="2:20" ht="23.1" customHeight="1" x14ac:dyDescent="0.25">
      <c r="B55" s="23" t="s">
        <v>82</v>
      </c>
      <c r="C55" s="49">
        <f>'Avg Week Nateete-Ndeeba'!C55+'Avg Week Ndeeba-Nateete'!C55</f>
        <v>64.571428571428569</v>
      </c>
      <c r="D55" s="49">
        <f>'Avg Week Nateete-Ndeeba'!D55+'Avg Week Ndeeba-Nateete'!D55</f>
        <v>15.714285714285715</v>
      </c>
      <c r="E55" s="49">
        <f>'Avg Week Nateete-Ndeeba'!E55+'Avg Week Ndeeba-Nateete'!E55</f>
        <v>5.7142857142857144</v>
      </c>
      <c r="F55" s="49">
        <f>'Avg Week Nateete-Ndeeba'!F55+'Avg Week Ndeeba-Nateete'!F55</f>
        <v>124.42857142857144</v>
      </c>
      <c r="G55" s="49">
        <f>'Avg Week Nateete-Ndeeba'!G55+'Avg Week Ndeeba-Nateete'!G55</f>
        <v>1.1428571428571428</v>
      </c>
      <c r="H55" s="49">
        <f>'Avg Week Nateete-Ndeeba'!H55+'Avg Week Ndeeba-Nateete'!H55</f>
        <v>0.5714285714285714</v>
      </c>
      <c r="I55" s="49">
        <f>'Avg Week Nateete-Ndeeba'!I55+'Avg Week Ndeeba-Nateete'!I55</f>
        <v>19.142857142857142</v>
      </c>
      <c r="J55" s="49">
        <f>'Avg Week Nateete-Ndeeba'!J55+'Avg Week Ndeeba-Nateete'!J55</f>
        <v>21.142857142857146</v>
      </c>
      <c r="K55" s="49">
        <f>'Avg Week Nateete-Ndeeba'!K55+'Avg Week Ndeeba-Nateete'!K55</f>
        <v>2.5714285714285712</v>
      </c>
      <c r="L55" s="49">
        <f>'Avg Week Nateete-Ndeeba'!L55+'Avg Week Ndeeba-Nateete'!L55</f>
        <v>1.5714285714285714</v>
      </c>
      <c r="M55" s="49">
        <f>'Avg Week Nateete-Ndeeba'!M55+'Avg Week Ndeeba-Nateete'!M55</f>
        <v>291.14285714285711</v>
      </c>
      <c r="N55" s="49">
        <f>'Avg Week Nateete-Ndeeba'!N55+'Avg Week Ndeeba-Nateete'!N55</f>
        <v>0</v>
      </c>
      <c r="O55" s="15">
        <f t="shared" si="0"/>
        <v>256.57142857142861</v>
      </c>
      <c r="P55" s="15">
        <f t="shared" si="1"/>
        <v>547.71428571428578</v>
      </c>
      <c r="R55" s="8"/>
      <c r="T55"/>
    </row>
    <row r="56" spans="2:20" ht="23.1" customHeight="1" x14ac:dyDescent="0.25">
      <c r="B56" s="23" t="s">
        <v>83</v>
      </c>
      <c r="C56" s="49">
        <f>'Avg Week Nateete-Ndeeba'!C56+'Avg Week Ndeeba-Nateete'!C56</f>
        <v>61.428571428571431</v>
      </c>
      <c r="D56" s="49">
        <f>'Avg Week Nateete-Ndeeba'!D56+'Avg Week Ndeeba-Nateete'!D56</f>
        <v>13.714285714285715</v>
      </c>
      <c r="E56" s="49">
        <f>'Avg Week Nateete-Ndeeba'!E56+'Avg Week Ndeeba-Nateete'!E56</f>
        <v>6.5714285714285712</v>
      </c>
      <c r="F56" s="49">
        <f>'Avg Week Nateete-Ndeeba'!F56+'Avg Week Ndeeba-Nateete'!F56</f>
        <v>56.857142857142861</v>
      </c>
      <c r="G56" s="49">
        <f>'Avg Week Nateete-Ndeeba'!G56+'Avg Week Ndeeba-Nateete'!G56</f>
        <v>1.7142857142857144</v>
      </c>
      <c r="H56" s="49">
        <f>'Avg Week Nateete-Ndeeba'!H56+'Avg Week Ndeeba-Nateete'!H56</f>
        <v>1.5714285714285714</v>
      </c>
      <c r="I56" s="49">
        <f>'Avg Week Nateete-Ndeeba'!I56+'Avg Week Ndeeba-Nateete'!I56</f>
        <v>19.428571428571427</v>
      </c>
      <c r="J56" s="49">
        <f>'Avg Week Nateete-Ndeeba'!J56+'Avg Week Ndeeba-Nateete'!J56</f>
        <v>19.857142857142854</v>
      </c>
      <c r="K56" s="49">
        <f>'Avg Week Nateete-Ndeeba'!K56+'Avg Week Ndeeba-Nateete'!K56</f>
        <v>2.5714285714285712</v>
      </c>
      <c r="L56" s="49">
        <f>'Avg Week Nateete-Ndeeba'!L56+'Avg Week Ndeeba-Nateete'!L56</f>
        <v>1.2857142857142856</v>
      </c>
      <c r="M56" s="49">
        <f>'Avg Week Nateete-Ndeeba'!M56+'Avg Week Ndeeba-Nateete'!M56</f>
        <v>324</v>
      </c>
      <c r="N56" s="49">
        <f>'Avg Week Nateete-Ndeeba'!N56+'Avg Week Ndeeba-Nateete'!N56</f>
        <v>0</v>
      </c>
      <c r="O56" s="15">
        <f t="shared" si="0"/>
        <v>185</v>
      </c>
      <c r="P56" s="15">
        <f t="shared" si="1"/>
        <v>509</v>
      </c>
      <c r="R56" s="8"/>
      <c r="T56"/>
    </row>
    <row r="57" spans="2:20" ht="23.1" customHeight="1" x14ac:dyDescent="0.25">
      <c r="B57" s="23" t="s">
        <v>84</v>
      </c>
      <c r="C57" s="49">
        <f>'Avg Week Nateete-Ndeeba'!C57+'Avg Week Ndeeba-Nateete'!C57</f>
        <v>53.857142857142861</v>
      </c>
      <c r="D57" s="49">
        <f>'Avg Week Nateete-Ndeeba'!D57+'Avg Week Ndeeba-Nateete'!D57</f>
        <v>20</v>
      </c>
      <c r="E57" s="49">
        <f>'Avg Week Nateete-Ndeeba'!E57+'Avg Week Ndeeba-Nateete'!E57</f>
        <v>7.4285714285714288</v>
      </c>
      <c r="F57" s="49">
        <f>'Avg Week Nateete-Ndeeba'!F57+'Avg Week Ndeeba-Nateete'!F57</f>
        <v>59</v>
      </c>
      <c r="G57" s="49">
        <f>'Avg Week Nateete-Ndeeba'!G57+'Avg Week Ndeeba-Nateete'!G57</f>
        <v>6.1428571428571432</v>
      </c>
      <c r="H57" s="49">
        <f>'Avg Week Nateete-Ndeeba'!H57+'Avg Week Ndeeba-Nateete'!H57</f>
        <v>1.2857142857142856</v>
      </c>
      <c r="I57" s="49">
        <f>'Avg Week Nateete-Ndeeba'!I57+'Avg Week Ndeeba-Nateete'!I57</f>
        <v>16.571428571428573</v>
      </c>
      <c r="J57" s="49">
        <f>'Avg Week Nateete-Ndeeba'!J57+'Avg Week Ndeeba-Nateete'!J57</f>
        <v>14.142857142857142</v>
      </c>
      <c r="K57" s="49">
        <f>'Avg Week Nateete-Ndeeba'!K57+'Avg Week Ndeeba-Nateete'!K57</f>
        <v>5</v>
      </c>
      <c r="L57" s="49">
        <f>'Avg Week Nateete-Ndeeba'!L57+'Avg Week Ndeeba-Nateete'!L57</f>
        <v>1.4285714285714286</v>
      </c>
      <c r="M57" s="49">
        <f>'Avg Week Nateete-Ndeeba'!M57+'Avg Week Ndeeba-Nateete'!M57</f>
        <v>309.28571428571428</v>
      </c>
      <c r="N57" s="49">
        <f>'Avg Week Nateete-Ndeeba'!N57+'Avg Week Ndeeba-Nateete'!N57</f>
        <v>0</v>
      </c>
      <c r="O57" s="15">
        <f t="shared" si="0"/>
        <v>184.85714285714283</v>
      </c>
      <c r="P57" s="15">
        <f t="shared" si="1"/>
        <v>494.14285714285711</v>
      </c>
      <c r="R57" s="8"/>
      <c r="T57"/>
    </row>
    <row r="58" spans="2:20" ht="23.1" customHeight="1" x14ac:dyDescent="0.25">
      <c r="B58" s="23" t="s">
        <v>99</v>
      </c>
      <c r="C58" s="49">
        <f>'Avg Week Nateete-Ndeeba'!C58+'Avg Week Ndeeba-Nateete'!C58</f>
        <v>66.5</v>
      </c>
      <c r="D58" s="49">
        <f>'Avg Week Nateete-Ndeeba'!D58+'Avg Week Ndeeba-Nateete'!D58</f>
        <v>11</v>
      </c>
      <c r="E58" s="49">
        <f>'Avg Week Nateete-Ndeeba'!E58+'Avg Week Ndeeba-Nateete'!E58</f>
        <v>8</v>
      </c>
      <c r="F58" s="49">
        <f>'Avg Week Nateete-Ndeeba'!F58+'Avg Week Ndeeba-Nateete'!F58</f>
        <v>39.5</v>
      </c>
      <c r="G58" s="49">
        <f>'Avg Week Nateete-Ndeeba'!G58+'Avg Week Ndeeba-Nateete'!G58</f>
        <v>1.5</v>
      </c>
      <c r="H58" s="49">
        <f>'Avg Week Nateete-Ndeeba'!H58+'Avg Week Ndeeba-Nateete'!H58</f>
        <v>1.5</v>
      </c>
      <c r="I58" s="49">
        <f>'Avg Week Nateete-Ndeeba'!I58+'Avg Week Ndeeba-Nateete'!I58</f>
        <v>12.5</v>
      </c>
      <c r="J58" s="49">
        <f>'Avg Week Nateete-Ndeeba'!J58+'Avg Week Ndeeba-Nateete'!J58</f>
        <v>17.5</v>
      </c>
      <c r="K58" s="49">
        <f>'Avg Week Nateete-Ndeeba'!K58+'Avg Week Ndeeba-Nateete'!K58</f>
        <v>2.5</v>
      </c>
      <c r="L58" s="49">
        <f>'Avg Week Nateete-Ndeeba'!L58+'Avg Week Ndeeba-Nateete'!L58</f>
        <v>4</v>
      </c>
      <c r="M58" s="49">
        <f>'Avg Week Nateete-Ndeeba'!M58+'Avg Week Ndeeba-Nateete'!M58</f>
        <v>221.5</v>
      </c>
      <c r="N58" s="49">
        <f>'Avg Week Nateete-Ndeeba'!N58+'Avg Week Ndeeba-Nateete'!N58</f>
        <v>0</v>
      </c>
      <c r="O58" s="15">
        <f t="shared" si="0"/>
        <v>164.5</v>
      </c>
      <c r="P58" s="15">
        <f t="shared" si="1"/>
        <v>386</v>
      </c>
      <c r="R58" s="8"/>
      <c r="T58"/>
    </row>
    <row r="59" spans="2:20" ht="23.1" customHeight="1" x14ac:dyDescent="0.25">
      <c r="B59" s="23" t="s">
        <v>100</v>
      </c>
      <c r="C59" s="49">
        <f>'Avg Week Nateete-Ndeeba'!C59+'Avg Week Ndeeba-Nateete'!C59</f>
        <v>81.5</v>
      </c>
      <c r="D59" s="49">
        <f>'Avg Week Nateete-Ndeeba'!D59+'Avg Week Ndeeba-Nateete'!D59</f>
        <v>6.5</v>
      </c>
      <c r="E59" s="49">
        <f>'Avg Week Nateete-Ndeeba'!E59+'Avg Week Ndeeba-Nateete'!E59</f>
        <v>8</v>
      </c>
      <c r="F59" s="49">
        <f>'Avg Week Nateete-Ndeeba'!F59+'Avg Week Ndeeba-Nateete'!F59</f>
        <v>55</v>
      </c>
      <c r="G59" s="49">
        <f>'Avg Week Nateete-Ndeeba'!G59+'Avg Week Ndeeba-Nateete'!G59</f>
        <v>0.5</v>
      </c>
      <c r="H59" s="49">
        <f>'Avg Week Nateete-Ndeeba'!H59+'Avg Week Ndeeba-Nateete'!H59</f>
        <v>1</v>
      </c>
      <c r="I59" s="49">
        <f>'Avg Week Nateete-Ndeeba'!I59+'Avg Week Ndeeba-Nateete'!I59</f>
        <v>13</v>
      </c>
      <c r="J59" s="49">
        <f>'Avg Week Nateete-Ndeeba'!J59+'Avg Week Ndeeba-Nateete'!J59</f>
        <v>9.5</v>
      </c>
      <c r="K59" s="49">
        <f>'Avg Week Nateete-Ndeeba'!K59+'Avg Week Ndeeba-Nateete'!K59</f>
        <v>3.5</v>
      </c>
      <c r="L59" s="49">
        <f>'Avg Week Nateete-Ndeeba'!L59+'Avg Week Ndeeba-Nateete'!L59</f>
        <v>5.5</v>
      </c>
      <c r="M59" s="49">
        <f>'Avg Week Nateete-Ndeeba'!M59+'Avg Week Ndeeba-Nateete'!M59</f>
        <v>269.5</v>
      </c>
      <c r="N59" s="49">
        <f>'Avg Week Nateete-Ndeeba'!N59+'Avg Week Ndeeba-Nateete'!N59</f>
        <v>0</v>
      </c>
      <c r="O59" s="15">
        <f t="shared" si="0"/>
        <v>184</v>
      </c>
      <c r="P59" s="15">
        <f t="shared" si="1"/>
        <v>453.5</v>
      </c>
      <c r="R59" s="8"/>
      <c r="T59"/>
    </row>
    <row r="60" spans="2:20" ht="23.1" customHeight="1" x14ac:dyDescent="0.25">
      <c r="B60" s="23" t="s">
        <v>101</v>
      </c>
      <c r="C60" s="49">
        <f>'Avg Week Nateete-Ndeeba'!C60+'Avg Week Ndeeba-Nateete'!C60</f>
        <v>81</v>
      </c>
      <c r="D60" s="49">
        <f>'Avg Week Nateete-Ndeeba'!D60+'Avg Week Ndeeba-Nateete'!D60</f>
        <v>10</v>
      </c>
      <c r="E60" s="49">
        <f>'Avg Week Nateete-Ndeeba'!E60+'Avg Week Ndeeba-Nateete'!E60</f>
        <v>5</v>
      </c>
      <c r="F60" s="49">
        <f>'Avg Week Nateete-Ndeeba'!F60+'Avg Week Ndeeba-Nateete'!F60</f>
        <v>46.5</v>
      </c>
      <c r="G60" s="49">
        <f>'Avg Week Nateete-Ndeeba'!G60+'Avg Week Ndeeba-Nateete'!G60</f>
        <v>0</v>
      </c>
      <c r="H60" s="49">
        <f>'Avg Week Nateete-Ndeeba'!H60+'Avg Week Ndeeba-Nateete'!H60</f>
        <v>0</v>
      </c>
      <c r="I60" s="49">
        <f>'Avg Week Nateete-Ndeeba'!I60+'Avg Week Ndeeba-Nateete'!I60</f>
        <v>12.5</v>
      </c>
      <c r="J60" s="49">
        <f>'Avg Week Nateete-Ndeeba'!J60+'Avg Week Ndeeba-Nateete'!J60</f>
        <v>8</v>
      </c>
      <c r="K60" s="49">
        <f>'Avg Week Nateete-Ndeeba'!K60+'Avg Week Ndeeba-Nateete'!K60</f>
        <v>7</v>
      </c>
      <c r="L60" s="49">
        <f>'Avg Week Nateete-Ndeeba'!L60+'Avg Week Ndeeba-Nateete'!L60</f>
        <v>4</v>
      </c>
      <c r="M60" s="49">
        <f>'Avg Week Nateete-Ndeeba'!M60+'Avg Week Ndeeba-Nateete'!M60</f>
        <v>238.5</v>
      </c>
      <c r="N60" s="49">
        <f>'Avg Week Nateete-Ndeeba'!N60+'Avg Week Ndeeba-Nateete'!N60</f>
        <v>0</v>
      </c>
      <c r="O60" s="15">
        <f t="shared" si="0"/>
        <v>174</v>
      </c>
      <c r="P60" s="15">
        <f t="shared" si="1"/>
        <v>412.5</v>
      </c>
      <c r="R60" s="8"/>
      <c r="T60"/>
    </row>
    <row r="61" spans="2:20" ht="23.1" customHeight="1" x14ac:dyDescent="0.25">
      <c r="B61" s="23" t="s">
        <v>102</v>
      </c>
      <c r="C61" s="49">
        <f>'Avg Week Nateete-Ndeeba'!C61+'Avg Week Ndeeba-Nateete'!C61</f>
        <v>67.5</v>
      </c>
      <c r="D61" s="49">
        <f>'Avg Week Nateete-Ndeeba'!D61+'Avg Week Ndeeba-Nateete'!D61</f>
        <v>7</v>
      </c>
      <c r="E61" s="49">
        <f>'Avg Week Nateete-Ndeeba'!E61+'Avg Week Ndeeba-Nateete'!E61</f>
        <v>8</v>
      </c>
      <c r="F61" s="49">
        <f>'Avg Week Nateete-Ndeeba'!F61+'Avg Week Ndeeba-Nateete'!F61</f>
        <v>41</v>
      </c>
      <c r="G61" s="49">
        <f>'Avg Week Nateete-Ndeeba'!G61+'Avg Week Ndeeba-Nateete'!G61</f>
        <v>0</v>
      </c>
      <c r="H61" s="49">
        <f>'Avg Week Nateete-Ndeeba'!H61+'Avg Week Ndeeba-Nateete'!H61</f>
        <v>0</v>
      </c>
      <c r="I61" s="49">
        <f>'Avg Week Nateete-Ndeeba'!I61+'Avg Week Ndeeba-Nateete'!I61</f>
        <v>7.5</v>
      </c>
      <c r="J61" s="49">
        <f>'Avg Week Nateete-Ndeeba'!J61+'Avg Week Ndeeba-Nateete'!J61</f>
        <v>4.5</v>
      </c>
      <c r="K61" s="49">
        <f>'Avg Week Nateete-Ndeeba'!K61+'Avg Week Ndeeba-Nateete'!K61</f>
        <v>2.5</v>
      </c>
      <c r="L61" s="49">
        <f>'Avg Week Nateete-Ndeeba'!L61+'Avg Week Ndeeba-Nateete'!L61</f>
        <v>0.5</v>
      </c>
      <c r="M61" s="49">
        <f>'Avg Week Nateete-Ndeeba'!M61+'Avg Week Ndeeba-Nateete'!M61</f>
        <v>271</v>
      </c>
      <c r="N61" s="49">
        <f>'Avg Week Nateete-Ndeeba'!N61+'Avg Week Ndeeba-Nateete'!N61</f>
        <v>0.5</v>
      </c>
      <c r="O61" s="15">
        <f t="shared" si="0"/>
        <v>139</v>
      </c>
      <c r="P61" s="15">
        <f t="shared" si="1"/>
        <v>410</v>
      </c>
      <c r="R61" s="8"/>
      <c r="T61"/>
    </row>
    <row r="62" spans="2:20" ht="23.1" customHeight="1" x14ac:dyDescent="0.25">
      <c r="B62" s="23" t="s">
        <v>107</v>
      </c>
      <c r="C62" s="49">
        <f>'Avg Week Nateete-Ndeeba'!C62+'Avg Week Ndeeba-Nateete'!C62</f>
        <v>67</v>
      </c>
      <c r="D62" s="49">
        <f>'Avg Week Nateete-Ndeeba'!D62+'Avg Week Ndeeba-Nateete'!D62</f>
        <v>8.5</v>
      </c>
      <c r="E62" s="49">
        <f>'Avg Week Nateete-Ndeeba'!E62+'Avg Week Ndeeba-Nateete'!E62</f>
        <v>3</v>
      </c>
      <c r="F62" s="49">
        <f>'Avg Week Nateete-Ndeeba'!F62+'Avg Week Ndeeba-Nateete'!F62</f>
        <v>48</v>
      </c>
      <c r="G62" s="49">
        <f>'Avg Week Nateete-Ndeeba'!G62+'Avg Week Ndeeba-Nateete'!G62</f>
        <v>2</v>
      </c>
      <c r="H62" s="49">
        <f>'Avg Week Nateete-Ndeeba'!H62+'Avg Week Ndeeba-Nateete'!H62</f>
        <v>0</v>
      </c>
      <c r="I62" s="49">
        <f>'Avg Week Nateete-Ndeeba'!I62+'Avg Week Ndeeba-Nateete'!I62</f>
        <v>10</v>
      </c>
      <c r="J62" s="49">
        <f>'Avg Week Nateete-Ndeeba'!J62+'Avg Week Ndeeba-Nateete'!J62</f>
        <v>9.5</v>
      </c>
      <c r="K62" s="49">
        <f>'Avg Week Nateete-Ndeeba'!K62+'Avg Week Ndeeba-Nateete'!K62</f>
        <v>3</v>
      </c>
      <c r="L62" s="49">
        <f>'Avg Week Nateete-Ndeeba'!L62+'Avg Week Ndeeba-Nateete'!L62</f>
        <v>1.5</v>
      </c>
      <c r="M62" s="49">
        <f>'Avg Week Nateete-Ndeeba'!M62+'Avg Week Ndeeba-Nateete'!M62</f>
        <v>342</v>
      </c>
      <c r="N62" s="49">
        <f>'Avg Week Nateete-Ndeeba'!N62+'Avg Week Ndeeba-Nateete'!N62</f>
        <v>0</v>
      </c>
      <c r="O62" s="15">
        <f t="shared" si="0"/>
        <v>152.5</v>
      </c>
      <c r="P62" s="15">
        <f t="shared" si="1"/>
        <v>494.5</v>
      </c>
      <c r="R62" s="8"/>
      <c r="T62"/>
    </row>
    <row r="63" spans="2:20" ht="23.1" customHeight="1" x14ac:dyDescent="0.25">
      <c r="B63" s="23" t="s">
        <v>108</v>
      </c>
      <c r="C63" s="49">
        <f>'Avg Week Nateete-Ndeeba'!C63+'Avg Week Ndeeba-Nateete'!C63</f>
        <v>56</v>
      </c>
      <c r="D63" s="49">
        <f>'Avg Week Nateete-Ndeeba'!D63+'Avg Week Ndeeba-Nateete'!D63</f>
        <v>11.5</v>
      </c>
      <c r="E63" s="49">
        <f>'Avg Week Nateete-Ndeeba'!E63+'Avg Week Ndeeba-Nateete'!E63</f>
        <v>3.5</v>
      </c>
      <c r="F63" s="49">
        <f>'Avg Week Nateete-Ndeeba'!F63+'Avg Week Ndeeba-Nateete'!F63</f>
        <v>50.5</v>
      </c>
      <c r="G63" s="49">
        <f>'Avg Week Nateete-Ndeeba'!G63+'Avg Week Ndeeba-Nateete'!G63</f>
        <v>1.5</v>
      </c>
      <c r="H63" s="49">
        <f>'Avg Week Nateete-Ndeeba'!H63+'Avg Week Ndeeba-Nateete'!H63</f>
        <v>0</v>
      </c>
      <c r="I63" s="49">
        <f>'Avg Week Nateete-Ndeeba'!I63+'Avg Week Ndeeba-Nateete'!I63</f>
        <v>6.5</v>
      </c>
      <c r="J63" s="49">
        <f>'Avg Week Nateete-Ndeeba'!J63+'Avg Week Ndeeba-Nateete'!J63</f>
        <v>4</v>
      </c>
      <c r="K63" s="49">
        <f>'Avg Week Nateete-Ndeeba'!K63+'Avg Week Ndeeba-Nateete'!K63</f>
        <v>2.5</v>
      </c>
      <c r="L63" s="49">
        <f>'Avg Week Nateete-Ndeeba'!L63+'Avg Week Ndeeba-Nateete'!L63</f>
        <v>1.5</v>
      </c>
      <c r="M63" s="49">
        <f>'Avg Week Nateete-Ndeeba'!M63+'Avg Week Ndeeba-Nateete'!M63</f>
        <v>224</v>
      </c>
      <c r="N63" s="49">
        <f>'Avg Week Nateete-Ndeeba'!N63+'Avg Week Ndeeba-Nateete'!N63</f>
        <v>0</v>
      </c>
      <c r="O63" s="15">
        <f t="shared" si="0"/>
        <v>137.5</v>
      </c>
      <c r="P63" s="15">
        <f t="shared" si="1"/>
        <v>361.5</v>
      </c>
      <c r="R63" s="8"/>
      <c r="T63"/>
    </row>
    <row r="64" spans="2:20" ht="23.1" customHeight="1" x14ac:dyDescent="0.25">
      <c r="B64" s="23" t="s">
        <v>109</v>
      </c>
      <c r="C64" s="49">
        <f>'Avg Week Nateete-Ndeeba'!C64+'Avg Week Ndeeba-Nateete'!C64</f>
        <v>63.5</v>
      </c>
      <c r="D64" s="49">
        <f>'Avg Week Nateete-Ndeeba'!D64+'Avg Week Ndeeba-Nateete'!D64</f>
        <v>12</v>
      </c>
      <c r="E64" s="49">
        <f>'Avg Week Nateete-Ndeeba'!E64+'Avg Week Ndeeba-Nateete'!E64</f>
        <v>4.5</v>
      </c>
      <c r="F64" s="49">
        <f>'Avg Week Nateete-Ndeeba'!F64+'Avg Week Ndeeba-Nateete'!F64</f>
        <v>53.5</v>
      </c>
      <c r="G64" s="49">
        <f>'Avg Week Nateete-Ndeeba'!G64+'Avg Week Ndeeba-Nateete'!G64</f>
        <v>0.5</v>
      </c>
      <c r="H64" s="49">
        <f>'Avg Week Nateete-Ndeeba'!H64+'Avg Week Ndeeba-Nateete'!H64</f>
        <v>1</v>
      </c>
      <c r="I64" s="49">
        <f>'Avg Week Nateete-Ndeeba'!I64+'Avg Week Ndeeba-Nateete'!I64</f>
        <v>13</v>
      </c>
      <c r="J64" s="49">
        <f>'Avg Week Nateete-Ndeeba'!J64+'Avg Week Ndeeba-Nateete'!J64</f>
        <v>6.5</v>
      </c>
      <c r="K64" s="49">
        <f>'Avg Week Nateete-Ndeeba'!K64+'Avg Week Ndeeba-Nateete'!K64</f>
        <v>4</v>
      </c>
      <c r="L64" s="49">
        <f>'Avg Week Nateete-Ndeeba'!L64+'Avg Week Ndeeba-Nateete'!L64</f>
        <v>2</v>
      </c>
      <c r="M64" s="49">
        <f>'Avg Week Nateete-Ndeeba'!M64+'Avg Week Ndeeba-Nateete'!M64</f>
        <v>193</v>
      </c>
      <c r="N64" s="49">
        <f>'Avg Week Nateete-Ndeeba'!N64+'Avg Week Ndeeba-Nateete'!N64</f>
        <v>0</v>
      </c>
      <c r="O64" s="15">
        <f t="shared" si="0"/>
        <v>160.5</v>
      </c>
      <c r="P64" s="15">
        <f t="shared" si="1"/>
        <v>353.5</v>
      </c>
      <c r="R64" s="8"/>
      <c r="T64"/>
    </row>
    <row r="65" spans="2:20" ht="23.1" customHeight="1" x14ac:dyDescent="0.25">
      <c r="B65" s="23" t="s">
        <v>158</v>
      </c>
      <c r="C65" s="49">
        <f>'Avg Week Nateete-Ndeeba'!C65+'Avg Week Ndeeba-Nateete'!C65</f>
        <v>69</v>
      </c>
      <c r="D65" s="49">
        <f>'Avg Week Nateete-Ndeeba'!D65+'Avg Week Ndeeba-Nateete'!D65</f>
        <v>5.5</v>
      </c>
      <c r="E65" s="49">
        <f>'Avg Week Nateete-Ndeeba'!E65+'Avg Week Ndeeba-Nateete'!E65</f>
        <v>3.5</v>
      </c>
      <c r="F65" s="49">
        <f>'Avg Week Nateete-Ndeeba'!F65+'Avg Week Ndeeba-Nateete'!F65</f>
        <v>58.5</v>
      </c>
      <c r="G65" s="49">
        <f>'Avg Week Nateete-Ndeeba'!G65+'Avg Week Ndeeba-Nateete'!G65</f>
        <v>1.5</v>
      </c>
      <c r="H65" s="49">
        <f>'Avg Week Nateete-Ndeeba'!H65+'Avg Week Ndeeba-Nateete'!H65</f>
        <v>1.5</v>
      </c>
      <c r="I65" s="49">
        <f>'Avg Week Nateete-Ndeeba'!I65+'Avg Week Ndeeba-Nateete'!I65</f>
        <v>10</v>
      </c>
      <c r="J65" s="49">
        <f>'Avg Week Nateete-Ndeeba'!J65+'Avg Week Ndeeba-Nateete'!J65</f>
        <v>9</v>
      </c>
      <c r="K65" s="49">
        <f>'Avg Week Nateete-Ndeeba'!K65+'Avg Week Ndeeba-Nateete'!K65</f>
        <v>2.5</v>
      </c>
      <c r="L65" s="49">
        <f>'Avg Week Nateete-Ndeeba'!L65+'Avg Week Ndeeba-Nateete'!L65</f>
        <v>4</v>
      </c>
      <c r="M65" s="49">
        <f>'Avg Week Nateete-Ndeeba'!M65+'Avg Week Ndeeba-Nateete'!M65</f>
        <v>254</v>
      </c>
      <c r="N65" s="49">
        <f>'Avg Week Nateete-Ndeeba'!N65+'Avg Week Ndeeba-Nateete'!N65</f>
        <v>0</v>
      </c>
      <c r="O65" s="15">
        <f t="shared" si="0"/>
        <v>165</v>
      </c>
      <c r="P65" s="15">
        <f t="shared" si="1"/>
        <v>419</v>
      </c>
      <c r="R65" s="8"/>
      <c r="T65"/>
    </row>
    <row r="66" spans="2:20" ht="23.1" customHeight="1" x14ac:dyDescent="0.25">
      <c r="B66" s="23" t="s">
        <v>103</v>
      </c>
      <c r="C66" s="49">
        <f>'Avg Week Nateete-Ndeeba'!C66+'Avg Week Ndeeba-Nateete'!C66</f>
        <v>55</v>
      </c>
      <c r="D66" s="49">
        <f>'Avg Week Nateete-Ndeeba'!D66+'Avg Week Ndeeba-Nateete'!D66</f>
        <v>12.5</v>
      </c>
      <c r="E66" s="49">
        <f>'Avg Week Nateete-Ndeeba'!E66+'Avg Week Ndeeba-Nateete'!E66</f>
        <v>8.5</v>
      </c>
      <c r="F66" s="49">
        <f>'Avg Week Nateete-Ndeeba'!F66+'Avg Week Ndeeba-Nateete'!F66</f>
        <v>48.5</v>
      </c>
      <c r="G66" s="49">
        <f>'Avg Week Nateete-Ndeeba'!G66+'Avg Week Ndeeba-Nateete'!G66</f>
        <v>1</v>
      </c>
      <c r="H66" s="49">
        <f>'Avg Week Nateete-Ndeeba'!H66+'Avg Week Ndeeba-Nateete'!H66</f>
        <v>1</v>
      </c>
      <c r="I66" s="49">
        <f>'Avg Week Nateete-Ndeeba'!I66+'Avg Week Ndeeba-Nateete'!I66</f>
        <v>7.5</v>
      </c>
      <c r="J66" s="49">
        <f>'Avg Week Nateete-Ndeeba'!J66+'Avg Week Ndeeba-Nateete'!J66</f>
        <v>9</v>
      </c>
      <c r="K66" s="49">
        <f>'Avg Week Nateete-Ndeeba'!K66+'Avg Week Ndeeba-Nateete'!K66</f>
        <v>2.5</v>
      </c>
      <c r="L66" s="49">
        <f>'Avg Week Nateete-Ndeeba'!L66+'Avg Week Ndeeba-Nateete'!L66</f>
        <v>1</v>
      </c>
      <c r="M66" s="49">
        <f>'Avg Week Nateete-Ndeeba'!M66+'Avg Week Ndeeba-Nateete'!M66</f>
        <v>178.5</v>
      </c>
      <c r="N66" s="49">
        <f>'Avg Week Nateete-Ndeeba'!N66+'Avg Week Ndeeba-Nateete'!N66</f>
        <v>0</v>
      </c>
      <c r="O66" s="15">
        <f t="shared" si="0"/>
        <v>146.5</v>
      </c>
      <c r="P66" s="15">
        <f t="shared" si="1"/>
        <v>325</v>
      </c>
      <c r="R66" s="8"/>
      <c r="T66"/>
    </row>
    <row r="67" spans="2:20" ht="23.1" customHeight="1" x14ac:dyDescent="0.25">
      <c r="B67" s="23" t="s">
        <v>104</v>
      </c>
      <c r="C67" s="49">
        <f>'Avg Week Nateete-Ndeeba'!C67+'Avg Week Ndeeba-Nateete'!C67</f>
        <v>52</v>
      </c>
      <c r="D67" s="49">
        <f>'Avg Week Nateete-Ndeeba'!D67+'Avg Week Ndeeba-Nateete'!D67</f>
        <v>9</v>
      </c>
      <c r="E67" s="49">
        <f>'Avg Week Nateete-Ndeeba'!E67+'Avg Week Ndeeba-Nateete'!E67</f>
        <v>7.5</v>
      </c>
      <c r="F67" s="49">
        <f>'Avg Week Nateete-Ndeeba'!F67+'Avg Week Ndeeba-Nateete'!F67</f>
        <v>46.5</v>
      </c>
      <c r="G67" s="49">
        <f>'Avg Week Nateete-Ndeeba'!G67+'Avg Week Ndeeba-Nateete'!G67</f>
        <v>1.5</v>
      </c>
      <c r="H67" s="49">
        <f>'Avg Week Nateete-Ndeeba'!H67+'Avg Week Ndeeba-Nateete'!H67</f>
        <v>0.5</v>
      </c>
      <c r="I67" s="49">
        <f>'Avg Week Nateete-Ndeeba'!I67+'Avg Week Ndeeba-Nateete'!I67</f>
        <v>10.5</v>
      </c>
      <c r="J67" s="49">
        <f>'Avg Week Nateete-Ndeeba'!J67+'Avg Week Ndeeba-Nateete'!J67</f>
        <v>9.5</v>
      </c>
      <c r="K67" s="49">
        <f>'Avg Week Nateete-Ndeeba'!K67+'Avg Week Ndeeba-Nateete'!K67</f>
        <v>2.5</v>
      </c>
      <c r="L67" s="49">
        <f>'Avg Week Nateete-Ndeeba'!L67+'Avg Week Ndeeba-Nateete'!L67</f>
        <v>4</v>
      </c>
      <c r="M67" s="49">
        <f>'Avg Week Nateete-Ndeeba'!M67+'Avg Week Ndeeba-Nateete'!M67</f>
        <v>192.5</v>
      </c>
      <c r="N67" s="49">
        <f>'Avg Week Nateete-Ndeeba'!N67+'Avg Week Ndeeba-Nateete'!N67</f>
        <v>0</v>
      </c>
      <c r="O67" s="15">
        <f t="shared" si="0"/>
        <v>143.5</v>
      </c>
      <c r="P67" s="15">
        <f t="shared" si="1"/>
        <v>336</v>
      </c>
      <c r="R67" s="8"/>
      <c r="T67"/>
    </row>
    <row r="68" spans="2:20" ht="23.1" customHeight="1" x14ac:dyDescent="0.25">
      <c r="B68" s="23" t="s">
        <v>105</v>
      </c>
      <c r="C68" s="49">
        <f>'Avg Week Nateete-Ndeeba'!C68+'Avg Week Ndeeba-Nateete'!C68</f>
        <v>87.5</v>
      </c>
      <c r="D68" s="49">
        <f>'Avg Week Nateete-Ndeeba'!D68+'Avg Week Ndeeba-Nateete'!D68</f>
        <v>9.5</v>
      </c>
      <c r="E68" s="49">
        <f>'Avg Week Nateete-Ndeeba'!E68+'Avg Week Ndeeba-Nateete'!E68</f>
        <v>7</v>
      </c>
      <c r="F68" s="49">
        <f>'Avg Week Nateete-Ndeeba'!F68+'Avg Week Ndeeba-Nateete'!F68</f>
        <v>51.5</v>
      </c>
      <c r="G68" s="49">
        <f>'Avg Week Nateete-Ndeeba'!G68+'Avg Week Ndeeba-Nateete'!G68</f>
        <v>2</v>
      </c>
      <c r="H68" s="49">
        <f>'Avg Week Nateete-Ndeeba'!H68+'Avg Week Ndeeba-Nateete'!H68</f>
        <v>0</v>
      </c>
      <c r="I68" s="49">
        <f>'Avg Week Nateete-Ndeeba'!I68+'Avg Week Ndeeba-Nateete'!I68</f>
        <v>5</v>
      </c>
      <c r="J68" s="49">
        <f>'Avg Week Nateete-Ndeeba'!J68+'Avg Week Ndeeba-Nateete'!J68</f>
        <v>9</v>
      </c>
      <c r="K68" s="49">
        <f>'Avg Week Nateete-Ndeeba'!K68+'Avg Week Ndeeba-Nateete'!K68</f>
        <v>2.5</v>
      </c>
      <c r="L68" s="49">
        <f>'Avg Week Nateete-Ndeeba'!L68+'Avg Week Ndeeba-Nateete'!L68</f>
        <v>2.5</v>
      </c>
      <c r="M68" s="49">
        <f>'Avg Week Nateete-Ndeeba'!M68+'Avg Week Ndeeba-Nateete'!M68</f>
        <v>207</v>
      </c>
      <c r="N68" s="49">
        <f>'Avg Week Nateete-Ndeeba'!N68+'Avg Week Ndeeba-Nateete'!N68</f>
        <v>0</v>
      </c>
      <c r="O68" s="15">
        <f t="shared" si="0"/>
        <v>176.5</v>
      </c>
      <c r="P68" s="15">
        <f t="shared" si="1"/>
        <v>383.5</v>
      </c>
      <c r="R68" s="8"/>
      <c r="T68"/>
    </row>
    <row r="69" spans="2:20" ht="23.1" customHeight="1" x14ac:dyDescent="0.25">
      <c r="B69" s="23" t="s">
        <v>106</v>
      </c>
      <c r="C69" s="49">
        <f>'Avg Week Nateete-Ndeeba'!C69+'Avg Week Ndeeba-Nateete'!C69</f>
        <v>69.5</v>
      </c>
      <c r="D69" s="49">
        <f>'Avg Week Nateete-Ndeeba'!D69+'Avg Week Ndeeba-Nateete'!D69</f>
        <v>13.5</v>
      </c>
      <c r="E69" s="49">
        <f>'Avg Week Nateete-Ndeeba'!E69+'Avg Week Ndeeba-Nateete'!E69</f>
        <v>7</v>
      </c>
      <c r="F69" s="49">
        <f>'Avg Week Nateete-Ndeeba'!F69+'Avg Week Ndeeba-Nateete'!F69</f>
        <v>50.5</v>
      </c>
      <c r="G69" s="49">
        <f>'Avg Week Nateete-Ndeeba'!G69+'Avg Week Ndeeba-Nateete'!G69</f>
        <v>1.5</v>
      </c>
      <c r="H69" s="49">
        <f>'Avg Week Nateete-Ndeeba'!H69+'Avg Week Ndeeba-Nateete'!H69</f>
        <v>0.5</v>
      </c>
      <c r="I69" s="49">
        <f>'Avg Week Nateete-Ndeeba'!I69+'Avg Week Ndeeba-Nateete'!I69</f>
        <v>10.5</v>
      </c>
      <c r="J69" s="49">
        <f>'Avg Week Nateete-Ndeeba'!J69+'Avg Week Ndeeba-Nateete'!J69</f>
        <v>7.5</v>
      </c>
      <c r="K69" s="49">
        <f>'Avg Week Nateete-Ndeeba'!K69+'Avg Week Ndeeba-Nateete'!K69</f>
        <v>2</v>
      </c>
      <c r="L69" s="49">
        <f>'Avg Week Nateete-Ndeeba'!L69+'Avg Week Ndeeba-Nateete'!L69</f>
        <v>3.5</v>
      </c>
      <c r="M69" s="49">
        <f>'Avg Week Nateete-Ndeeba'!M69+'Avg Week Ndeeba-Nateete'!M69</f>
        <v>200</v>
      </c>
      <c r="N69" s="49">
        <f>'Avg Week Nateete-Ndeeba'!N69+'Avg Week Ndeeba-Nateete'!N69</f>
        <v>0</v>
      </c>
      <c r="O69" s="15">
        <f t="shared" si="0"/>
        <v>166</v>
      </c>
      <c r="P69" s="15">
        <f t="shared" si="1"/>
        <v>366</v>
      </c>
      <c r="R69" s="8"/>
      <c r="T69"/>
    </row>
    <row r="70" spans="2:20" ht="23.1" customHeight="1" x14ac:dyDescent="0.25">
      <c r="B70" s="23" t="s">
        <v>110</v>
      </c>
      <c r="C70" s="49">
        <f>'Avg Week Nateete-Ndeeba'!C70+'Avg Week Ndeeba-Nateete'!C70</f>
        <v>82.5</v>
      </c>
      <c r="D70" s="49">
        <f>'Avg Week Nateete-Ndeeba'!D70+'Avg Week Ndeeba-Nateete'!D70</f>
        <v>12.5</v>
      </c>
      <c r="E70" s="49">
        <f>'Avg Week Nateete-Ndeeba'!E70+'Avg Week Ndeeba-Nateete'!E70</f>
        <v>8</v>
      </c>
      <c r="F70" s="49">
        <f>'Avg Week Nateete-Ndeeba'!F70+'Avg Week Ndeeba-Nateete'!F70</f>
        <v>48.5</v>
      </c>
      <c r="G70" s="49">
        <f>'Avg Week Nateete-Ndeeba'!G70+'Avg Week Ndeeba-Nateete'!G70</f>
        <v>1</v>
      </c>
      <c r="H70" s="49">
        <f>'Avg Week Nateete-Ndeeba'!H70+'Avg Week Ndeeba-Nateete'!H70</f>
        <v>0</v>
      </c>
      <c r="I70" s="49">
        <f>'Avg Week Nateete-Ndeeba'!I70+'Avg Week Ndeeba-Nateete'!I70</f>
        <v>12.5</v>
      </c>
      <c r="J70" s="49">
        <f>'Avg Week Nateete-Ndeeba'!J70+'Avg Week Ndeeba-Nateete'!J70</f>
        <v>5.5</v>
      </c>
      <c r="K70" s="49">
        <f>'Avg Week Nateete-Ndeeba'!K70+'Avg Week Ndeeba-Nateete'!K70</f>
        <v>6</v>
      </c>
      <c r="L70" s="49">
        <f>'Avg Week Nateete-Ndeeba'!L70+'Avg Week Ndeeba-Nateete'!L70</f>
        <v>2.5</v>
      </c>
      <c r="M70" s="49">
        <f>'Avg Week Nateete-Ndeeba'!M70+'Avg Week Ndeeba-Nateete'!M70</f>
        <v>158.5</v>
      </c>
      <c r="N70" s="49">
        <f>'Avg Week Nateete-Ndeeba'!N70+'Avg Week Ndeeba-Nateete'!N70</f>
        <v>0</v>
      </c>
      <c r="O70" s="15">
        <f t="shared" si="0"/>
        <v>179</v>
      </c>
      <c r="P70" s="15">
        <f t="shared" si="1"/>
        <v>337.5</v>
      </c>
      <c r="R70" s="8"/>
      <c r="T70"/>
    </row>
    <row r="71" spans="2:20" ht="23.1" customHeight="1" x14ac:dyDescent="0.25">
      <c r="B71" s="23" t="s">
        <v>111</v>
      </c>
      <c r="C71" s="49">
        <f>'Avg Week Nateete-Ndeeba'!C71+'Avg Week Ndeeba-Nateete'!C71</f>
        <v>56</v>
      </c>
      <c r="D71" s="49">
        <f>'Avg Week Nateete-Ndeeba'!D71+'Avg Week Ndeeba-Nateete'!D71</f>
        <v>7.5</v>
      </c>
      <c r="E71" s="49">
        <f>'Avg Week Nateete-Ndeeba'!E71+'Avg Week Ndeeba-Nateete'!E71</f>
        <v>6</v>
      </c>
      <c r="F71" s="49">
        <f>'Avg Week Nateete-Ndeeba'!F71+'Avg Week Ndeeba-Nateete'!F71</f>
        <v>57.5</v>
      </c>
      <c r="G71" s="49">
        <f>'Avg Week Nateete-Ndeeba'!G71+'Avg Week Ndeeba-Nateete'!G71</f>
        <v>1</v>
      </c>
      <c r="H71" s="49">
        <f>'Avg Week Nateete-Ndeeba'!H71+'Avg Week Ndeeba-Nateete'!H71</f>
        <v>0</v>
      </c>
      <c r="I71" s="49">
        <f>'Avg Week Nateete-Ndeeba'!I71+'Avg Week Ndeeba-Nateete'!I71</f>
        <v>9</v>
      </c>
      <c r="J71" s="49">
        <f>'Avg Week Nateete-Ndeeba'!J71+'Avg Week Ndeeba-Nateete'!J71</f>
        <v>8</v>
      </c>
      <c r="K71" s="49">
        <f>'Avg Week Nateete-Ndeeba'!K71+'Avg Week Ndeeba-Nateete'!K71</f>
        <v>2</v>
      </c>
      <c r="L71" s="49">
        <f>'Avg Week Nateete-Ndeeba'!L71+'Avg Week Ndeeba-Nateete'!L71</f>
        <v>1.5</v>
      </c>
      <c r="M71" s="49">
        <f>'Avg Week Nateete-Ndeeba'!M71+'Avg Week Ndeeba-Nateete'!M71</f>
        <v>125</v>
      </c>
      <c r="N71" s="49">
        <f>'Avg Week Nateete-Ndeeba'!N71+'Avg Week Ndeeba-Nateete'!N71</f>
        <v>0</v>
      </c>
      <c r="O71" s="15">
        <f t="shared" si="0"/>
        <v>148.5</v>
      </c>
      <c r="P71" s="15">
        <f t="shared" si="1"/>
        <v>273.5</v>
      </c>
      <c r="R71" s="8"/>
      <c r="T71"/>
    </row>
    <row r="72" spans="2:20" ht="23.1" customHeight="1" x14ac:dyDescent="0.25">
      <c r="B72" s="23" t="s">
        <v>112</v>
      </c>
      <c r="C72" s="49">
        <f>'Avg Week Nateete-Ndeeba'!C72+'Avg Week Ndeeba-Nateete'!C72</f>
        <v>71.5</v>
      </c>
      <c r="D72" s="49">
        <f>'Avg Week Nateete-Ndeeba'!D72+'Avg Week Ndeeba-Nateete'!D72</f>
        <v>5.5</v>
      </c>
      <c r="E72" s="49">
        <f>'Avg Week Nateete-Ndeeba'!E72+'Avg Week Ndeeba-Nateete'!E72</f>
        <v>8.5</v>
      </c>
      <c r="F72" s="49">
        <f>'Avg Week Nateete-Ndeeba'!F72+'Avg Week Ndeeba-Nateete'!F72</f>
        <v>57</v>
      </c>
      <c r="G72" s="49">
        <f>'Avg Week Nateete-Ndeeba'!G72+'Avg Week Ndeeba-Nateete'!G72</f>
        <v>0</v>
      </c>
      <c r="H72" s="49">
        <f>'Avg Week Nateete-Ndeeba'!H72+'Avg Week Ndeeba-Nateete'!H72</f>
        <v>0.5</v>
      </c>
      <c r="I72" s="49">
        <f>'Avg Week Nateete-Ndeeba'!I72+'Avg Week Ndeeba-Nateete'!I72</f>
        <v>9</v>
      </c>
      <c r="J72" s="49">
        <f>'Avg Week Nateete-Ndeeba'!J72+'Avg Week Ndeeba-Nateete'!J72</f>
        <v>4.5</v>
      </c>
      <c r="K72" s="49">
        <f>'Avg Week Nateete-Ndeeba'!K72+'Avg Week Ndeeba-Nateete'!K72</f>
        <v>2</v>
      </c>
      <c r="L72" s="49">
        <f>'Avg Week Nateete-Ndeeba'!L72+'Avg Week Ndeeba-Nateete'!L72</f>
        <v>2</v>
      </c>
      <c r="M72" s="49">
        <f>'Avg Week Nateete-Ndeeba'!M72+'Avg Week Ndeeba-Nateete'!M72</f>
        <v>124</v>
      </c>
      <c r="N72" s="49">
        <f>'Avg Week Nateete-Ndeeba'!N72+'Avg Week Ndeeba-Nateete'!N72</f>
        <v>0</v>
      </c>
      <c r="O72" s="15">
        <f t="shared" si="0"/>
        <v>160.5</v>
      </c>
      <c r="P72" s="15">
        <f t="shared" si="1"/>
        <v>284.5</v>
      </c>
      <c r="R72" s="8"/>
      <c r="T72"/>
    </row>
    <row r="73" spans="2:20" ht="23.1" customHeight="1" x14ac:dyDescent="0.25">
      <c r="B73" s="23" t="s">
        <v>113</v>
      </c>
      <c r="C73" s="49">
        <f>'Avg Week Nateete-Ndeeba'!C73+'Avg Week Ndeeba-Nateete'!C73</f>
        <v>85.5</v>
      </c>
      <c r="D73" s="49">
        <f>'Avg Week Nateete-Ndeeba'!D73+'Avg Week Ndeeba-Nateete'!D73</f>
        <v>6.5</v>
      </c>
      <c r="E73" s="49">
        <f>'Avg Week Nateete-Ndeeba'!E73+'Avg Week Ndeeba-Nateete'!E73</f>
        <v>6.5</v>
      </c>
      <c r="F73" s="49">
        <f>'Avg Week Nateete-Ndeeba'!F73+'Avg Week Ndeeba-Nateete'!F73</f>
        <v>57</v>
      </c>
      <c r="G73" s="49">
        <f>'Avg Week Nateete-Ndeeba'!G73+'Avg Week Ndeeba-Nateete'!G73</f>
        <v>0.5</v>
      </c>
      <c r="H73" s="49">
        <f>'Avg Week Nateete-Ndeeba'!H73+'Avg Week Ndeeba-Nateete'!H73</f>
        <v>3</v>
      </c>
      <c r="I73" s="49">
        <f>'Avg Week Nateete-Ndeeba'!I73+'Avg Week Ndeeba-Nateete'!I73</f>
        <v>12.5</v>
      </c>
      <c r="J73" s="49">
        <f>'Avg Week Nateete-Ndeeba'!J73+'Avg Week Ndeeba-Nateete'!J73</f>
        <v>5.5</v>
      </c>
      <c r="K73" s="49">
        <f>'Avg Week Nateete-Ndeeba'!K73+'Avg Week Ndeeba-Nateete'!K73</f>
        <v>3.5</v>
      </c>
      <c r="L73" s="49">
        <f>'Avg Week Nateete-Ndeeba'!L73+'Avg Week Ndeeba-Nateete'!L73</f>
        <v>2.5</v>
      </c>
      <c r="M73" s="49">
        <f>'Avg Week Nateete-Ndeeba'!M73+'Avg Week Ndeeba-Nateete'!M73</f>
        <v>138.5</v>
      </c>
      <c r="N73" s="49">
        <f>'Avg Week Nateete-Ndeeba'!N73+'Avg Week Ndeeba-Nateete'!N73</f>
        <v>0</v>
      </c>
      <c r="O73" s="15">
        <f t="shared" si="0"/>
        <v>183</v>
      </c>
      <c r="P73" s="15">
        <f t="shared" si="1"/>
        <v>321.5</v>
      </c>
      <c r="R73" s="8"/>
      <c r="T73"/>
    </row>
    <row r="74" spans="2:20" ht="23.1" customHeight="1" x14ac:dyDescent="0.25">
      <c r="B74" s="23" t="s">
        <v>114</v>
      </c>
      <c r="C74" s="49">
        <f>'Avg Week Nateete-Ndeeba'!C74+'Avg Week Ndeeba-Nateete'!C74</f>
        <v>63.5</v>
      </c>
      <c r="D74" s="49">
        <f>'Avg Week Nateete-Ndeeba'!D74+'Avg Week Ndeeba-Nateete'!D74</f>
        <v>8</v>
      </c>
      <c r="E74" s="49">
        <f>'Avg Week Nateete-Ndeeba'!E74+'Avg Week Ndeeba-Nateete'!E74</f>
        <v>8.5</v>
      </c>
      <c r="F74" s="49">
        <f>'Avg Week Nateete-Ndeeba'!F74+'Avg Week Ndeeba-Nateete'!F74</f>
        <v>57</v>
      </c>
      <c r="G74" s="49">
        <f>'Avg Week Nateete-Ndeeba'!G74+'Avg Week Ndeeba-Nateete'!G74</f>
        <v>0</v>
      </c>
      <c r="H74" s="49">
        <f>'Avg Week Nateete-Ndeeba'!H74+'Avg Week Ndeeba-Nateete'!H74</f>
        <v>41.5</v>
      </c>
      <c r="I74" s="49">
        <f>'Avg Week Nateete-Ndeeba'!I74+'Avg Week Ndeeba-Nateete'!I74</f>
        <v>8</v>
      </c>
      <c r="J74" s="49">
        <f>'Avg Week Nateete-Ndeeba'!J74+'Avg Week Ndeeba-Nateete'!J74</f>
        <v>7.5</v>
      </c>
      <c r="K74" s="49">
        <f>'Avg Week Nateete-Ndeeba'!K74+'Avg Week Ndeeba-Nateete'!K74</f>
        <v>2.5</v>
      </c>
      <c r="L74" s="49">
        <f>'Avg Week Nateete-Ndeeba'!L74+'Avg Week Ndeeba-Nateete'!L74</f>
        <v>3</v>
      </c>
      <c r="M74" s="49">
        <f>'Avg Week Nateete-Ndeeba'!M74+'Avg Week Ndeeba-Nateete'!M74</f>
        <v>245</v>
      </c>
      <c r="N74" s="49">
        <f>'Avg Week Nateete-Ndeeba'!N74+'Avg Week Ndeeba-Nateete'!N74</f>
        <v>0</v>
      </c>
      <c r="O74" s="15">
        <f t="shared" ref="O74:O105" si="35">SUM(C74:L74,N74)</f>
        <v>199.5</v>
      </c>
      <c r="P74" s="15">
        <f t="shared" ref="P74:P105" si="36">SUM(C74:N74)</f>
        <v>444.5</v>
      </c>
      <c r="R74" s="8"/>
      <c r="T74"/>
    </row>
    <row r="75" spans="2:20" ht="23.1" customHeight="1" x14ac:dyDescent="0.25">
      <c r="B75" s="23" t="s">
        <v>115</v>
      </c>
      <c r="C75" s="49">
        <f>'Avg Week Nateete-Ndeeba'!C75+'Avg Week Ndeeba-Nateete'!C75</f>
        <v>53.5</v>
      </c>
      <c r="D75" s="49">
        <f>'Avg Week Nateete-Ndeeba'!D75+'Avg Week Ndeeba-Nateete'!D75</f>
        <v>12</v>
      </c>
      <c r="E75" s="49">
        <f>'Avg Week Nateete-Ndeeba'!E75+'Avg Week Ndeeba-Nateete'!E75</f>
        <v>11</v>
      </c>
      <c r="F75" s="49">
        <f>'Avg Week Nateete-Ndeeba'!F75+'Avg Week Ndeeba-Nateete'!F75</f>
        <v>66</v>
      </c>
      <c r="G75" s="49">
        <f>'Avg Week Nateete-Ndeeba'!G75+'Avg Week Ndeeba-Nateete'!G75</f>
        <v>0.5</v>
      </c>
      <c r="H75" s="49">
        <f>'Avg Week Nateete-Ndeeba'!H75+'Avg Week Ndeeba-Nateete'!H75</f>
        <v>1</v>
      </c>
      <c r="I75" s="49">
        <f>'Avg Week Nateete-Ndeeba'!I75+'Avg Week Ndeeba-Nateete'!I75</f>
        <v>6.5</v>
      </c>
      <c r="J75" s="49">
        <f>'Avg Week Nateete-Ndeeba'!J75+'Avg Week Ndeeba-Nateete'!J75</f>
        <v>12.5</v>
      </c>
      <c r="K75" s="49">
        <f>'Avg Week Nateete-Ndeeba'!K75+'Avg Week Ndeeba-Nateete'!K75</f>
        <v>4</v>
      </c>
      <c r="L75" s="49">
        <f>'Avg Week Nateete-Ndeeba'!L75+'Avg Week Ndeeba-Nateete'!L75</f>
        <v>1</v>
      </c>
      <c r="M75" s="49">
        <f>'Avg Week Nateete-Ndeeba'!M75+'Avg Week Ndeeba-Nateete'!M75</f>
        <v>224.5</v>
      </c>
      <c r="N75" s="49">
        <f>'Avg Week Nateete-Ndeeba'!N75+'Avg Week Ndeeba-Nateete'!N75</f>
        <v>0</v>
      </c>
      <c r="O75" s="15">
        <f t="shared" si="35"/>
        <v>168</v>
      </c>
      <c r="P75" s="15">
        <f t="shared" si="36"/>
        <v>392.5</v>
      </c>
      <c r="R75" s="8"/>
      <c r="T75"/>
    </row>
    <row r="76" spans="2:20" ht="23.1" customHeight="1" x14ac:dyDescent="0.25">
      <c r="B76" s="23" t="s">
        <v>116</v>
      </c>
      <c r="C76" s="49">
        <f>'Avg Week Nateete-Ndeeba'!C76+'Avg Week Ndeeba-Nateete'!C76</f>
        <v>53.5</v>
      </c>
      <c r="D76" s="49">
        <f>'Avg Week Nateete-Ndeeba'!D76+'Avg Week Ndeeba-Nateete'!D76</f>
        <v>9</v>
      </c>
      <c r="E76" s="49">
        <f>'Avg Week Nateete-Ndeeba'!E76+'Avg Week Ndeeba-Nateete'!E76</f>
        <v>4.5</v>
      </c>
      <c r="F76" s="49">
        <f>'Avg Week Nateete-Ndeeba'!F76+'Avg Week Ndeeba-Nateete'!F76</f>
        <v>44</v>
      </c>
      <c r="G76" s="49">
        <f>'Avg Week Nateete-Ndeeba'!G76+'Avg Week Ndeeba-Nateete'!G76</f>
        <v>0.5</v>
      </c>
      <c r="H76" s="49">
        <f>'Avg Week Nateete-Ndeeba'!H76+'Avg Week Ndeeba-Nateete'!H76</f>
        <v>0</v>
      </c>
      <c r="I76" s="49">
        <f>'Avg Week Nateete-Ndeeba'!I76+'Avg Week Ndeeba-Nateete'!I76</f>
        <v>12</v>
      </c>
      <c r="J76" s="49">
        <f>'Avg Week Nateete-Ndeeba'!J76+'Avg Week Ndeeba-Nateete'!J76</f>
        <v>8.5</v>
      </c>
      <c r="K76" s="49">
        <f>'Avg Week Nateete-Ndeeba'!K76+'Avg Week Ndeeba-Nateete'!K76</f>
        <v>4</v>
      </c>
      <c r="L76" s="49">
        <f>'Avg Week Nateete-Ndeeba'!L76+'Avg Week Ndeeba-Nateete'!L76</f>
        <v>0</v>
      </c>
      <c r="M76" s="49">
        <f>'Avg Week Nateete-Ndeeba'!M76+'Avg Week Ndeeba-Nateete'!M76</f>
        <v>210.5</v>
      </c>
      <c r="N76" s="49">
        <f>'Avg Week Nateete-Ndeeba'!N76+'Avg Week Ndeeba-Nateete'!N76</f>
        <v>0</v>
      </c>
      <c r="O76" s="15">
        <f t="shared" si="35"/>
        <v>136</v>
      </c>
      <c r="P76" s="15">
        <f t="shared" si="36"/>
        <v>346.5</v>
      </c>
      <c r="R76" s="8"/>
      <c r="T76"/>
    </row>
    <row r="77" spans="2:20" ht="23.1" customHeight="1" x14ac:dyDescent="0.25">
      <c r="B77" s="23" t="s">
        <v>117</v>
      </c>
      <c r="C77" s="49">
        <f>'Avg Week Nateete-Ndeeba'!C77+'Avg Week Ndeeba-Nateete'!C77</f>
        <v>68.5</v>
      </c>
      <c r="D77" s="49">
        <f>'Avg Week Nateete-Ndeeba'!D77+'Avg Week Ndeeba-Nateete'!D77</f>
        <v>8</v>
      </c>
      <c r="E77" s="49">
        <f>'Avg Week Nateete-Ndeeba'!E77+'Avg Week Ndeeba-Nateete'!E77</f>
        <v>6.5</v>
      </c>
      <c r="F77" s="49">
        <f>'Avg Week Nateete-Ndeeba'!F77+'Avg Week Ndeeba-Nateete'!F77</f>
        <v>32.5</v>
      </c>
      <c r="G77" s="49">
        <f>'Avg Week Nateete-Ndeeba'!G77+'Avg Week Ndeeba-Nateete'!G77</f>
        <v>1.5</v>
      </c>
      <c r="H77" s="49">
        <f>'Avg Week Nateete-Ndeeba'!H77+'Avg Week Ndeeba-Nateete'!H77</f>
        <v>0</v>
      </c>
      <c r="I77" s="49">
        <f>'Avg Week Nateete-Ndeeba'!I77+'Avg Week Ndeeba-Nateete'!I77</f>
        <v>8.5</v>
      </c>
      <c r="J77" s="49">
        <f>'Avg Week Nateete-Ndeeba'!J77+'Avg Week Ndeeba-Nateete'!J77</f>
        <v>14</v>
      </c>
      <c r="K77" s="49">
        <f>'Avg Week Nateete-Ndeeba'!K77+'Avg Week Ndeeba-Nateete'!K77</f>
        <v>3</v>
      </c>
      <c r="L77" s="49">
        <f>'Avg Week Nateete-Ndeeba'!L77+'Avg Week Ndeeba-Nateete'!L77</f>
        <v>1.5</v>
      </c>
      <c r="M77" s="49">
        <f>'Avg Week Nateete-Ndeeba'!M77+'Avg Week Ndeeba-Nateete'!M77</f>
        <v>177</v>
      </c>
      <c r="N77" s="49">
        <f>'Avg Week Nateete-Ndeeba'!N77+'Avg Week Ndeeba-Nateete'!N77</f>
        <v>0</v>
      </c>
      <c r="O77" s="15">
        <f t="shared" si="35"/>
        <v>144</v>
      </c>
      <c r="P77" s="15">
        <f t="shared" si="36"/>
        <v>321</v>
      </c>
      <c r="R77" s="8"/>
      <c r="T77"/>
    </row>
    <row r="78" spans="2:20" ht="23.1" customHeight="1" x14ac:dyDescent="0.25">
      <c r="B78" s="24" t="s">
        <v>118</v>
      </c>
      <c r="C78" s="49">
        <f>'Avg Week Nateete-Ndeeba'!C78+'Avg Week Ndeeba-Nateete'!C78</f>
        <v>55</v>
      </c>
      <c r="D78" s="49">
        <f>'Avg Week Nateete-Ndeeba'!D78+'Avg Week Ndeeba-Nateete'!D78</f>
        <v>4</v>
      </c>
      <c r="E78" s="49">
        <f>'Avg Week Nateete-Ndeeba'!E78+'Avg Week Ndeeba-Nateete'!E78</f>
        <v>4</v>
      </c>
      <c r="F78" s="49">
        <f>'Avg Week Nateete-Ndeeba'!F78+'Avg Week Ndeeba-Nateete'!F78</f>
        <v>36.5</v>
      </c>
      <c r="G78" s="49">
        <f>'Avg Week Nateete-Ndeeba'!G78+'Avg Week Ndeeba-Nateete'!G78</f>
        <v>1</v>
      </c>
      <c r="H78" s="49">
        <f>'Avg Week Nateete-Ndeeba'!H78+'Avg Week Ndeeba-Nateete'!H78</f>
        <v>2.5</v>
      </c>
      <c r="I78" s="49">
        <f>'Avg Week Nateete-Ndeeba'!I78+'Avg Week Ndeeba-Nateete'!I78</f>
        <v>5.5</v>
      </c>
      <c r="J78" s="49">
        <f>'Avg Week Nateete-Ndeeba'!J78+'Avg Week Ndeeba-Nateete'!J78</f>
        <v>10.5</v>
      </c>
      <c r="K78" s="49">
        <f>'Avg Week Nateete-Ndeeba'!K78+'Avg Week Ndeeba-Nateete'!K78</f>
        <v>3</v>
      </c>
      <c r="L78" s="49">
        <f>'Avg Week Nateete-Ndeeba'!L78+'Avg Week Ndeeba-Nateete'!L78</f>
        <v>1</v>
      </c>
      <c r="M78" s="49">
        <f>'Avg Week Nateete-Ndeeba'!M78+'Avg Week Ndeeba-Nateete'!M78</f>
        <v>261.5</v>
      </c>
      <c r="N78" s="49">
        <f>'Avg Week Nateete-Ndeeba'!N78+'Avg Week Ndeeba-Nateete'!N78</f>
        <v>0</v>
      </c>
      <c r="O78" s="15">
        <f t="shared" si="35"/>
        <v>123</v>
      </c>
      <c r="P78" s="15">
        <f t="shared" si="36"/>
        <v>384.5</v>
      </c>
      <c r="R78" s="8"/>
      <c r="T78"/>
    </row>
    <row r="79" spans="2:20" ht="23.1" customHeight="1" x14ac:dyDescent="0.25">
      <c r="B79" s="23" t="s">
        <v>119</v>
      </c>
      <c r="C79" s="49">
        <f>'Avg Week Nateete-Ndeeba'!C79+'Avg Week Ndeeba-Nateete'!C79</f>
        <v>58</v>
      </c>
      <c r="D79" s="49">
        <f>'Avg Week Nateete-Ndeeba'!D79+'Avg Week Ndeeba-Nateete'!D79</f>
        <v>4.5</v>
      </c>
      <c r="E79" s="49">
        <f>'Avg Week Nateete-Ndeeba'!E79+'Avg Week Ndeeba-Nateete'!E79</f>
        <v>3</v>
      </c>
      <c r="F79" s="49">
        <f>'Avg Week Nateete-Ndeeba'!F79+'Avg Week Ndeeba-Nateete'!F79</f>
        <v>40.5</v>
      </c>
      <c r="G79" s="49">
        <f>'Avg Week Nateete-Ndeeba'!G79+'Avg Week Ndeeba-Nateete'!G79</f>
        <v>0</v>
      </c>
      <c r="H79" s="49">
        <f>'Avg Week Nateete-Ndeeba'!H79+'Avg Week Ndeeba-Nateete'!H79</f>
        <v>0</v>
      </c>
      <c r="I79" s="49">
        <f>'Avg Week Nateete-Ndeeba'!I79+'Avg Week Ndeeba-Nateete'!I79</f>
        <v>9</v>
      </c>
      <c r="J79" s="49">
        <f>'Avg Week Nateete-Ndeeba'!J79+'Avg Week Ndeeba-Nateete'!J79</f>
        <v>13.5</v>
      </c>
      <c r="K79" s="49">
        <f>'Avg Week Nateete-Ndeeba'!K79+'Avg Week Ndeeba-Nateete'!K79</f>
        <v>3</v>
      </c>
      <c r="L79" s="49">
        <f>'Avg Week Nateete-Ndeeba'!L79+'Avg Week Ndeeba-Nateete'!L79</f>
        <v>1</v>
      </c>
      <c r="M79" s="49">
        <f>'Avg Week Nateete-Ndeeba'!M79+'Avg Week Ndeeba-Nateete'!M79</f>
        <v>214</v>
      </c>
      <c r="N79" s="49">
        <f>'Avg Week Nateete-Ndeeba'!N79+'Avg Week Ndeeba-Nateete'!N79</f>
        <v>0</v>
      </c>
      <c r="O79" s="15">
        <f t="shared" si="35"/>
        <v>132.5</v>
      </c>
      <c r="P79" s="15">
        <f t="shared" si="36"/>
        <v>346.5</v>
      </c>
      <c r="R79" s="8"/>
      <c r="T79"/>
    </row>
    <row r="80" spans="2:20" ht="23.1" customHeight="1" x14ac:dyDescent="0.25">
      <c r="B80" s="25" t="s">
        <v>120</v>
      </c>
      <c r="C80" s="49">
        <f>'Avg Week Nateete-Ndeeba'!C80+'Avg Week Ndeeba-Nateete'!C80</f>
        <v>48.5</v>
      </c>
      <c r="D80" s="49">
        <f>'Avg Week Nateete-Ndeeba'!D80+'Avg Week Ndeeba-Nateete'!D80</f>
        <v>3</v>
      </c>
      <c r="E80" s="49">
        <f>'Avg Week Nateete-Ndeeba'!E80+'Avg Week Ndeeba-Nateete'!E80</f>
        <v>8</v>
      </c>
      <c r="F80" s="49">
        <f>'Avg Week Nateete-Ndeeba'!F80+'Avg Week Ndeeba-Nateete'!F80</f>
        <v>12</v>
      </c>
      <c r="G80" s="49">
        <f>'Avg Week Nateete-Ndeeba'!G80+'Avg Week Ndeeba-Nateete'!G80</f>
        <v>2</v>
      </c>
      <c r="H80" s="49">
        <f>'Avg Week Nateete-Ndeeba'!H80+'Avg Week Ndeeba-Nateete'!H80</f>
        <v>0.5</v>
      </c>
      <c r="I80" s="49">
        <f>'Avg Week Nateete-Ndeeba'!I80+'Avg Week Ndeeba-Nateete'!I80</f>
        <v>13</v>
      </c>
      <c r="J80" s="49">
        <f>'Avg Week Nateete-Ndeeba'!J80+'Avg Week Ndeeba-Nateete'!J80</f>
        <v>11.5</v>
      </c>
      <c r="K80" s="49">
        <f>'Avg Week Nateete-Ndeeba'!K80+'Avg Week Ndeeba-Nateete'!K80</f>
        <v>2</v>
      </c>
      <c r="L80" s="49">
        <f>'Avg Week Nateete-Ndeeba'!L80+'Avg Week Ndeeba-Nateete'!L80</f>
        <v>1.5</v>
      </c>
      <c r="M80" s="49">
        <f>'Avg Week Nateete-Ndeeba'!M80+'Avg Week Ndeeba-Nateete'!M80</f>
        <v>187.5</v>
      </c>
      <c r="N80" s="49">
        <f>'Avg Week Nateete-Ndeeba'!N80+'Avg Week Ndeeba-Nateete'!N80</f>
        <v>0</v>
      </c>
      <c r="O80" s="15">
        <f t="shared" si="35"/>
        <v>102</v>
      </c>
      <c r="P80" s="15">
        <f t="shared" si="36"/>
        <v>289.5</v>
      </c>
      <c r="R80" s="8"/>
      <c r="T80"/>
    </row>
    <row r="81" spans="2:20" ht="23.1" customHeight="1" x14ac:dyDescent="0.25">
      <c r="B81" s="23" t="s">
        <v>121</v>
      </c>
      <c r="C81" s="49">
        <f>'Avg Week Nateete-Ndeeba'!C81+'Avg Week Ndeeba-Nateete'!C81</f>
        <v>54</v>
      </c>
      <c r="D81" s="49">
        <f>'Avg Week Nateete-Ndeeba'!D81+'Avg Week Ndeeba-Nateete'!D81</f>
        <v>8</v>
      </c>
      <c r="E81" s="49">
        <f>'Avg Week Nateete-Ndeeba'!E81+'Avg Week Ndeeba-Nateete'!E81</f>
        <v>5.5</v>
      </c>
      <c r="F81" s="49">
        <f>'Avg Week Nateete-Ndeeba'!F81+'Avg Week Ndeeba-Nateete'!F81</f>
        <v>34</v>
      </c>
      <c r="G81" s="49">
        <f>'Avg Week Nateete-Ndeeba'!G81+'Avg Week Ndeeba-Nateete'!G81</f>
        <v>0.5</v>
      </c>
      <c r="H81" s="49">
        <f>'Avg Week Nateete-Ndeeba'!H81+'Avg Week Ndeeba-Nateete'!H81</f>
        <v>1.5</v>
      </c>
      <c r="I81" s="49">
        <f>'Avg Week Nateete-Ndeeba'!I81+'Avg Week Ndeeba-Nateete'!I81</f>
        <v>7.5</v>
      </c>
      <c r="J81" s="49">
        <f>'Avg Week Nateete-Ndeeba'!J81+'Avg Week Ndeeba-Nateete'!J81</f>
        <v>15.5</v>
      </c>
      <c r="K81" s="49">
        <f>'Avg Week Nateete-Ndeeba'!K81+'Avg Week Ndeeba-Nateete'!K81</f>
        <v>1</v>
      </c>
      <c r="L81" s="49">
        <f>'Avg Week Nateete-Ndeeba'!L81+'Avg Week Ndeeba-Nateete'!L81</f>
        <v>1.5</v>
      </c>
      <c r="M81" s="49">
        <f>'Avg Week Nateete-Ndeeba'!M81+'Avg Week Ndeeba-Nateete'!M81</f>
        <v>127.5</v>
      </c>
      <c r="N81" s="49">
        <f>'Avg Week Nateete-Ndeeba'!N81+'Avg Week Ndeeba-Nateete'!N81</f>
        <v>0</v>
      </c>
      <c r="O81" s="15">
        <f t="shared" si="35"/>
        <v>129</v>
      </c>
      <c r="P81" s="15">
        <f t="shared" si="36"/>
        <v>256.5</v>
      </c>
      <c r="R81" s="8"/>
      <c r="T81"/>
    </row>
    <row r="82" spans="2:20" ht="23.1" customHeight="1" x14ac:dyDescent="0.25">
      <c r="B82" s="24" t="s">
        <v>122</v>
      </c>
      <c r="C82" s="49">
        <f>'Avg Week Nateete-Ndeeba'!C82+'Avg Week Ndeeba-Nateete'!C82</f>
        <v>41.5</v>
      </c>
      <c r="D82" s="49">
        <f>'Avg Week Nateete-Ndeeba'!D82+'Avg Week Ndeeba-Nateete'!D82</f>
        <v>3</v>
      </c>
      <c r="E82" s="49">
        <f>'Avg Week Nateete-Ndeeba'!E82+'Avg Week Ndeeba-Nateete'!E82</f>
        <v>3.5</v>
      </c>
      <c r="F82" s="49">
        <f>'Avg Week Nateete-Ndeeba'!F82+'Avg Week Ndeeba-Nateete'!F82</f>
        <v>29.5</v>
      </c>
      <c r="G82" s="49">
        <f>'Avg Week Nateete-Ndeeba'!G82+'Avg Week Ndeeba-Nateete'!G82</f>
        <v>0</v>
      </c>
      <c r="H82" s="49">
        <f>'Avg Week Nateete-Ndeeba'!H82+'Avg Week Ndeeba-Nateete'!H82</f>
        <v>0</v>
      </c>
      <c r="I82" s="49">
        <f>'Avg Week Nateete-Ndeeba'!I82+'Avg Week Ndeeba-Nateete'!I82</f>
        <v>8.5</v>
      </c>
      <c r="J82" s="49">
        <f>'Avg Week Nateete-Ndeeba'!J82+'Avg Week Ndeeba-Nateete'!J82</f>
        <v>10.5</v>
      </c>
      <c r="K82" s="49">
        <f>'Avg Week Nateete-Ndeeba'!K82+'Avg Week Ndeeba-Nateete'!K82</f>
        <v>3</v>
      </c>
      <c r="L82" s="49">
        <f>'Avg Week Nateete-Ndeeba'!L82+'Avg Week Ndeeba-Nateete'!L82</f>
        <v>2</v>
      </c>
      <c r="M82" s="49">
        <f>'Avg Week Nateete-Ndeeba'!M82+'Avg Week Ndeeba-Nateete'!M82</f>
        <v>138</v>
      </c>
      <c r="N82" s="49">
        <f>'Avg Week Nateete-Ndeeba'!N82+'Avg Week Ndeeba-Nateete'!N82</f>
        <v>0</v>
      </c>
      <c r="O82" s="15">
        <f t="shared" si="35"/>
        <v>101.5</v>
      </c>
      <c r="P82" s="15">
        <f t="shared" si="36"/>
        <v>239.5</v>
      </c>
      <c r="R82" s="8"/>
      <c r="T82"/>
    </row>
    <row r="83" spans="2:20" ht="23.1" customHeight="1" x14ac:dyDescent="0.25">
      <c r="B83" s="23" t="s">
        <v>123</v>
      </c>
      <c r="C83" s="49">
        <f>'Avg Week Nateete-Ndeeba'!C83+'Avg Week Ndeeba-Nateete'!C83</f>
        <v>47.5</v>
      </c>
      <c r="D83" s="49">
        <f>'Avg Week Nateete-Ndeeba'!D83+'Avg Week Ndeeba-Nateete'!D83</f>
        <v>4</v>
      </c>
      <c r="E83" s="49">
        <f>'Avg Week Nateete-Ndeeba'!E83+'Avg Week Ndeeba-Nateete'!E83</f>
        <v>2</v>
      </c>
      <c r="F83" s="49">
        <f>'Avg Week Nateete-Ndeeba'!F83+'Avg Week Ndeeba-Nateete'!F83</f>
        <v>30.5</v>
      </c>
      <c r="G83" s="49">
        <f>'Avg Week Nateete-Ndeeba'!G83+'Avg Week Ndeeba-Nateete'!G83</f>
        <v>0</v>
      </c>
      <c r="H83" s="49">
        <f>'Avg Week Nateete-Ndeeba'!H83+'Avg Week Ndeeba-Nateete'!H83</f>
        <v>1.5</v>
      </c>
      <c r="I83" s="49">
        <f>'Avg Week Nateete-Ndeeba'!I83+'Avg Week Ndeeba-Nateete'!I83</f>
        <v>14.5</v>
      </c>
      <c r="J83" s="49">
        <f>'Avg Week Nateete-Ndeeba'!J83+'Avg Week Ndeeba-Nateete'!J83</f>
        <v>11</v>
      </c>
      <c r="K83" s="49">
        <f>'Avg Week Nateete-Ndeeba'!K83+'Avg Week Ndeeba-Nateete'!K83</f>
        <v>4.5</v>
      </c>
      <c r="L83" s="49">
        <f>'Avg Week Nateete-Ndeeba'!L83+'Avg Week Ndeeba-Nateete'!L83</f>
        <v>4</v>
      </c>
      <c r="M83" s="49">
        <f>'Avg Week Nateete-Ndeeba'!M83+'Avg Week Ndeeba-Nateete'!M83</f>
        <v>121</v>
      </c>
      <c r="N83" s="49">
        <f>'Avg Week Nateete-Ndeeba'!N83+'Avg Week Ndeeba-Nateete'!N83</f>
        <v>0</v>
      </c>
      <c r="O83" s="15">
        <f t="shared" si="35"/>
        <v>119.5</v>
      </c>
      <c r="P83" s="15">
        <f t="shared" si="36"/>
        <v>240.5</v>
      </c>
      <c r="R83" s="8"/>
      <c r="T83"/>
    </row>
    <row r="84" spans="2:20" ht="23.1" customHeight="1" x14ac:dyDescent="0.25">
      <c r="B84" s="25" t="s">
        <v>124</v>
      </c>
      <c r="C84" s="49">
        <f>'Avg Week Nateete-Ndeeba'!C84+'Avg Week Ndeeba-Nateete'!C84</f>
        <v>68.5</v>
      </c>
      <c r="D84" s="49">
        <f>'Avg Week Nateete-Ndeeba'!D84+'Avg Week Ndeeba-Nateete'!D84</f>
        <v>9</v>
      </c>
      <c r="E84" s="49">
        <f>'Avg Week Nateete-Ndeeba'!E84+'Avg Week Ndeeba-Nateete'!E84</f>
        <v>4</v>
      </c>
      <c r="F84" s="49">
        <f>'Avg Week Nateete-Ndeeba'!F84+'Avg Week Ndeeba-Nateete'!F84</f>
        <v>28.5</v>
      </c>
      <c r="G84" s="49">
        <f>'Avg Week Nateete-Ndeeba'!G84+'Avg Week Ndeeba-Nateete'!G84</f>
        <v>0.5</v>
      </c>
      <c r="H84" s="49">
        <f>'Avg Week Nateete-Ndeeba'!H84+'Avg Week Ndeeba-Nateete'!H84</f>
        <v>1</v>
      </c>
      <c r="I84" s="49">
        <f>'Avg Week Nateete-Ndeeba'!I84+'Avg Week Ndeeba-Nateete'!I84</f>
        <v>13</v>
      </c>
      <c r="J84" s="49">
        <f>'Avg Week Nateete-Ndeeba'!J84+'Avg Week Ndeeba-Nateete'!J84</f>
        <v>13.5</v>
      </c>
      <c r="K84" s="49">
        <f>'Avg Week Nateete-Ndeeba'!K84+'Avg Week Ndeeba-Nateete'!K84</f>
        <v>2.5</v>
      </c>
      <c r="L84" s="49">
        <f>'Avg Week Nateete-Ndeeba'!L84+'Avg Week Ndeeba-Nateete'!L84</f>
        <v>1.5</v>
      </c>
      <c r="M84" s="49">
        <f>'Avg Week Nateete-Ndeeba'!M84+'Avg Week Ndeeba-Nateete'!M84</f>
        <v>95.5</v>
      </c>
      <c r="N84" s="49">
        <f>'Avg Week Nateete-Ndeeba'!N84+'Avg Week Ndeeba-Nateete'!N84</f>
        <v>0</v>
      </c>
      <c r="O84" s="15">
        <f t="shared" si="35"/>
        <v>142</v>
      </c>
      <c r="P84" s="15">
        <f t="shared" si="36"/>
        <v>237.5</v>
      </c>
      <c r="R84" s="8"/>
      <c r="T84"/>
    </row>
    <row r="85" spans="2:20" ht="23.1" customHeight="1" x14ac:dyDescent="0.25">
      <c r="B85" s="23" t="s">
        <v>125</v>
      </c>
      <c r="C85" s="49">
        <f>'Avg Week Nateete-Ndeeba'!C85+'Avg Week Ndeeba-Nateete'!C85</f>
        <v>82</v>
      </c>
      <c r="D85" s="49">
        <f>'Avg Week Nateete-Ndeeba'!D85+'Avg Week Ndeeba-Nateete'!D85</f>
        <v>3.5</v>
      </c>
      <c r="E85" s="49">
        <f>'Avg Week Nateete-Ndeeba'!E85+'Avg Week Ndeeba-Nateete'!E85</f>
        <v>4</v>
      </c>
      <c r="F85" s="49">
        <f>'Avg Week Nateete-Ndeeba'!F85+'Avg Week Ndeeba-Nateete'!F85</f>
        <v>19</v>
      </c>
      <c r="G85" s="49">
        <f>'Avg Week Nateete-Ndeeba'!G85+'Avg Week Ndeeba-Nateete'!G85</f>
        <v>1</v>
      </c>
      <c r="H85" s="49">
        <f>'Avg Week Nateete-Ndeeba'!H85+'Avg Week Ndeeba-Nateete'!H85</f>
        <v>1</v>
      </c>
      <c r="I85" s="49">
        <f>'Avg Week Nateete-Ndeeba'!I85+'Avg Week Ndeeba-Nateete'!I85</f>
        <v>8</v>
      </c>
      <c r="J85" s="49">
        <f>'Avg Week Nateete-Ndeeba'!J85+'Avg Week Ndeeba-Nateete'!J85</f>
        <v>10</v>
      </c>
      <c r="K85" s="49">
        <f>'Avg Week Nateete-Ndeeba'!K85+'Avg Week Ndeeba-Nateete'!K85</f>
        <v>3.5</v>
      </c>
      <c r="L85" s="49">
        <f>'Avg Week Nateete-Ndeeba'!L85+'Avg Week Ndeeba-Nateete'!L85</f>
        <v>5</v>
      </c>
      <c r="M85" s="49">
        <f>'Avg Week Nateete-Ndeeba'!M85+'Avg Week Ndeeba-Nateete'!M85</f>
        <v>109.5</v>
      </c>
      <c r="N85" s="49">
        <f>'Avg Week Nateete-Ndeeba'!N85+'Avg Week Ndeeba-Nateete'!N85</f>
        <v>0</v>
      </c>
      <c r="O85" s="15">
        <f t="shared" si="35"/>
        <v>137</v>
      </c>
      <c r="P85" s="15">
        <f t="shared" si="36"/>
        <v>246.5</v>
      </c>
      <c r="R85" s="8"/>
      <c r="T85"/>
    </row>
    <row r="86" spans="2:20" ht="23.1" customHeight="1" x14ac:dyDescent="0.25">
      <c r="B86" s="24" t="s">
        <v>126</v>
      </c>
      <c r="C86" s="49">
        <f>'Avg Week Nateete-Ndeeba'!C86+'Avg Week Ndeeba-Nateete'!C86</f>
        <v>46.5</v>
      </c>
      <c r="D86" s="49">
        <f>'Avg Week Nateete-Ndeeba'!D86+'Avg Week Ndeeba-Nateete'!D86</f>
        <v>4</v>
      </c>
      <c r="E86" s="49">
        <f>'Avg Week Nateete-Ndeeba'!E86+'Avg Week Ndeeba-Nateete'!E86</f>
        <v>5.5</v>
      </c>
      <c r="F86" s="49">
        <f>'Avg Week Nateete-Ndeeba'!F86+'Avg Week Ndeeba-Nateete'!F86</f>
        <v>14</v>
      </c>
      <c r="G86" s="49">
        <f>'Avg Week Nateete-Ndeeba'!G86+'Avg Week Ndeeba-Nateete'!G86</f>
        <v>0</v>
      </c>
      <c r="H86" s="49">
        <f>'Avg Week Nateete-Ndeeba'!H86+'Avg Week Ndeeba-Nateete'!H86</f>
        <v>2.5</v>
      </c>
      <c r="I86" s="49">
        <f>'Avg Week Nateete-Ndeeba'!I86+'Avg Week Ndeeba-Nateete'!I86</f>
        <v>8</v>
      </c>
      <c r="J86" s="49">
        <f>'Avg Week Nateete-Ndeeba'!J86+'Avg Week Ndeeba-Nateete'!J86</f>
        <v>20.5</v>
      </c>
      <c r="K86" s="49">
        <f>'Avg Week Nateete-Ndeeba'!K86+'Avg Week Ndeeba-Nateete'!K86</f>
        <v>3</v>
      </c>
      <c r="L86" s="49">
        <f>'Avg Week Nateete-Ndeeba'!L86+'Avg Week Ndeeba-Nateete'!L86</f>
        <v>4</v>
      </c>
      <c r="M86" s="49">
        <f>'Avg Week Nateete-Ndeeba'!M86+'Avg Week Ndeeba-Nateete'!M86</f>
        <v>143</v>
      </c>
      <c r="N86" s="49">
        <f>'Avg Week Nateete-Ndeeba'!N86+'Avg Week Ndeeba-Nateete'!N86</f>
        <v>0</v>
      </c>
      <c r="O86" s="15">
        <f t="shared" si="35"/>
        <v>108</v>
      </c>
      <c r="P86" s="15">
        <f t="shared" si="36"/>
        <v>251</v>
      </c>
      <c r="R86" s="8"/>
      <c r="T86"/>
    </row>
    <row r="87" spans="2:20" ht="23.1" customHeight="1" x14ac:dyDescent="0.25">
      <c r="B87" s="23" t="s">
        <v>127</v>
      </c>
      <c r="C87" s="49">
        <f>'Avg Week Nateete-Ndeeba'!C87+'Avg Week Ndeeba-Nateete'!C87</f>
        <v>30</v>
      </c>
      <c r="D87" s="49">
        <f>'Avg Week Nateete-Ndeeba'!D87+'Avg Week Ndeeba-Nateete'!D87</f>
        <v>2</v>
      </c>
      <c r="E87" s="49">
        <f>'Avg Week Nateete-Ndeeba'!E87+'Avg Week Ndeeba-Nateete'!E87</f>
        <v>2</v>
      </c>
      <c r="F87" s="49">
        <f>'Avg Week Nateete-Ndeeba'!F87+'Avg Week Ndeeba-Nateete'!F87</f>
        <v>7.5</v>
      </c>
      <c r="G87" s="49">
        <f>'Avg Week Nateete-Ndeeba'!G87+'Avg Week Ndeeba-Nateete'!G87</f>
        <v>0</v>
      </c>
      <c r="H87" s="49">
        <f>'Avg Week Nateete-Ndeeba'!H87+'Avg Week Ndeeba-Nateete'!H87</f>
        <v>0</v>
      </c>
      <c r="I87" s="49">
        <f>'Avg Week Nateete-Ndeeba'!I87+'Avg Week Ndeeba-Nateete'!I87</f>
        <v>7.5</v>
      </c>
      <c r="J87" s="49">
        <f>'Avg Week Nateete-Ndeeba'!J87+'Avg Week Ndeeba-Nateete'!J87</f>
        <v>9.5</v>
      </c>
      <c r="K87" s="49">
        <f>'Avg Week Nateete-Ndeeba'!K87+'Avg Week Ndeeba-Nateete'!K87</f>
        <v>3.5</v>
      </c>
      <c r="L87" s="49">
        <f>'Avg Week Nateete-Ndeeba'!L87+'Avg Week Ndeeba-Nateete'!L87</f>
        <v>0</v>
      </c>
      <c r="M87" s="49">
        <f>'Avg Week Nateete-Ndeeba'!M87+'Avg Week Ndeeba-Nateete'!M87</f>
        <v>105.5</v>
      </c>
      <c r="N87" s="49">
        <f>'Avg Week Nateete-Ndeeba'!N87+'Avg Week Ndeeba-Nateete'!N87</f>
        <v>0</v>
      </c>
      <c r="O87" s="15">
        <f t="shared" si="35"/>
        <v>62</v>
      </c>
      <c r="P87" s="15">
        <f t="shared" si="36"/>
        <v>167.5</v>
      </c>
      <c r="R87" s="8"/>
      <c r="T87"/>
    </row>
    <row r="88" spans="2:20" ht="23.1" customHeight="1" x14ac:dyDescent="0.25">
      <c r="B88" s="25" t="s">
        <v>128</v>
      </c>
      <c r="C88" s="49">
        <f>'Avg Week Nateete-Ndeeba'!C88+'Avg Week Ndeeba-Nateete'!C88</f>
        <v>24.5</v>
      </c>
      <c r="D88" s="49">
        <f>'Avg Week Nateete-Ndeeba'!D88+'Avg Week Ndeeba-Nateete'!D88</f>
        <v>2</v>
      </c>
      <c r="E88" s="49">
        <f>'Avg Week Nateete-Ndeeba'!E88+'Avg Week Ndeeba-Nateete'!E88</f>
        <v>0.5</v>
      </c>
      <c r="F88" s="49">
        <f>'Avg Week Nateete-Ndeeba'!F88+'Avg Week Ndeeba-Nateete'!F88</f>
        <v>5</v>
      </c>
      <c r="G88" s="49">
        <f>'Avg Week Nateete-Ndeeba'!G88+'Avg Week Ndeeba-Nateete'!G88</f>
        <v>0</v>
      </c>
      <c r="H88" s="49">
        <f>'Avg Week Nateete-Ndeeba'!H88+'Avg Week Ndeeba-Nateete'!H88</f>
        <v>0.5</v>
      </c>
      <c r="I88" s="49">
        <f>'Avg Week Nateete-Ndeeba'!I88+'Avg Week Ndeeba-Nateete'!I88</f>
        <v>4.5</v>
      </c>
      <c r="J88" s="49">
        <f>'Avg Week Nateete-Ndeeba'!J88+'Avg Week Ndeeba-Nateete'!J88</f>
        <v>8.5</v>
      </c>
      <c r="K88" s="49">
        <f>'Avg Week Nateete-Ndeeba'!K88+'Avg Week Ndeeba-Nateete'!K88</f>
        <v>2.5</v>
      </c>
      <c r="L88" s="49">
        <f>'Avg Week Nateete-Ndeeba'!L88+'Avg Week Ndeeba-Nateete'!L88</f>
        <v>2</v>
      </c>
      <c r="M88" s="49">
        <f>'Avg Week Nateete-Ndeeba'!M88+'Avg Week Ndeeba-Nateete'!M88</f>
        <v>125</v>
      </c>
      <c r="N88" s="49">
        <f>'Avg Week Nateete-Ndeeba'!N88+'Avg Week Ndeeba-Nateete'!N88</f>
        <v>0</v>
      </c>
      <c r="O88" s="15">
        <f t="shared" si="35"/>
        <v>50</v>
      </c>
      <c r="P88" s="15">
        <f t="shared" si="36"/>
        <v>175</v>
      </c>
      <c r="R88" s="8"/>
      <c r="T88"/>
    </row>
    <row r="89" spans="2:20" ht="23.1" customHeight="1" x14ac:dyDescent="0.25">
      <c r="B89" s="23" t="s">
        <v>129</v>
      </c>
      <c r="C89" s="49">
        <f>'Avg Week Nateete-Ndeeba'!C89+'Avg Week Ndeeba-Nateete'!C89</f>
        <v>15</v>
      </c>
      <c r="D89" s="49">
        <f>'Avg Week Nateete-Ndeeba'!D89+'Avg Week Ndeeba-Nateete'!D89</f>
        <v>3</v>
      </c>
      <c r="E89" s="49">
        <f>'Avg Week Nateete-Ndeeba'!E89+'Avg Week Ndeeba-Nateete'!E89</f>
        <v>3.5</v>
      </c>
      <c r="F89" s="49">
        <f>'Avg Week Nateete-Ndeeba'!F89+'Avg Week Ndeeba-Nateete'!F89</f>
        <v>2</v>
      </c>
      <c r="G89" s="49">
        <f>'Avg Week Nateete-Ndeeba'!G89+'Avg Week Ndeeba-Nateete'!G89</f>
        <v>0</v>
      </c>
      <c r="H89" s="49">
        <f>'Avg Week Nateete-Ndeeba'!H89+'Avg Week Ndeeba-Nateete'!H89</f>
        <v>0</v>
      </c>
      <c r="I89" s="49">
        <f>'Avg Week Nateete-Ndeeba'!I89+'Avg Week Ndeeba-Nateete'!I89</f>
        <v>4</v>
      </c>
      <c r="J89" s="49">
        <f>'Avg Week Nateete-Ndeeba'!J89+'Avg Week Ndeeba-Nateete'!J89</f>
        <v>16.5</v>
      </c>
      <c r="K89" s="49">
        <f>'Avg Week Nateete-Ndeeba'!K89+'Avg Week Ndeeba-Nateete'!K89</f>
        <v>4</v>
      </c>
      <c r="L89" s="49">
        <f>'Avg Week Nateete-Ndeeba'!L89+'Avg Week Ndeeba-Nateete'!L89</f>
        <v>2</v>
      </c>
      <c r="M89" s="49">
        <f>'Avg Week Nateete-Ndeeba'!M89+'Avg Week Ndeeba-Nateete'!M89</f>
        <v>121.5</v>
      </c>
      <c r="N89" s="49">
        <f>'Avg Week Nateete-Ndeeba'!N89+'Avg Week Ndeeba-Nateete'!N89</f>
        <v>0</v>
      </c>
      <c r="O89" s="15">
        <f t="shared" si="35"/>
        <v>50</v>
      </c>
      <c r="P89" s="15">
        <f t="shared" si="36"/>
        <v>171.5</v>
      </c>
      <c r="R89" s="8"/>
      <c r="T89"/>
    </row>
    <row r="90" spans="2:20" ht="23.1" customHeight="1" x14ac:dyDescent="0.25">
      <c r="B90" s="24" t="s">
        <v>130</v>
      </c>
      <c r="C90" s="49">
        <f>'Avg Week Nateete-Ndeeba'!C90+'Avg Week Ndeeba-Nateete'!C90</f>
        <v>20.5</v>
      </c>
      <c r="D90" s="49">
        <f>'Avg Week Nateete-Ndeeba'!D90+'Avg Week Ndeeba-Nateete'!D90</f>
        <v>2</v>
      </c>
      <c r="E90" s="49">
        <f>'Avg Week Nateete-Ndeeba'!E90+'Avg Week Ndeeba-Nateete'!E90</f>
        <v>0.5</v>
      </c>
      <c r="F90" s="49">
        <f>'Avg Week Nateete-Ndeeba'!F90+'Avg Week Ndeeba-Nateete'!F90</f>
        <v>2</v>
      </c>
      <c r="G90" s="49">
        <f>'Avg Week Nateete-Ndeeba'!G90+'Avg Week Ndeeba-Nateete'!G90</f>
        <v>0</v>
      </c>
      <c r="H90" s="49">
        <f>'Avg Week Nateete-Ndeeba'!H90+'Avg Week Ndeeba-Nateete'!H90</f>
        <v>0.5</v>
      </c>
      <c r="I90" s="49">
        <f>'Avg Week Nateete-Ndeeba'!I90+'Avg Week Ndeeba-Nateete'!I90</f>
        <v>6</v>
      </c>
      <c r="J90" s="49">
        <f>'Avg Week Nateete-Ndeeba'!J90+'Avg Week Ndeeba-Nateete'!J90</f>
        <v>13.5</v>
      </c>
      <c r="K90" s="49">
        <f>'Avg Week Nateete-Ndeeba'!K90+'Avg Week Ndeeba-Nateete'!K90</f>
        <v>0.5</v>
      </c>
      <c r="L90" s="49">
        <f>'Avg Week Nateete-Ndeeba'!L90+'Avg Week Ndeeba-Nateete'!L90</f>
        <v>1</v>
      </c>
      <c r="M90" s="49">
        <f>'Avg Week Nateete-Ndeeba'!M90+'Avg Week Ndeeba-Nateete'!M90</f>
        <v>123</v>
      </c>
      <c r="N90" s="49">
        <f>'Avg Week Nateete-Ndeeba'!N90+'Avg Week Ndeeba-Nateete'!N90</f>
        <v>0</v>
      </c>
      <c r="O90" s="15">
        <f t="shared" si="35"/>
        <v>46.5</v>
      </c>
      <c r="P90" s="15">
        <f t="shared" si="36"/>
        <v>169.5</v>
      </c>
      <c r="R90" s="8"/>
      <c r="T90"/>
    </row>
    <row r="91" spans="2:20" ht="23.1" customHeight="1" x14ac:dyDescent="0.25">
      <c r="B91" s="23" t="s">
        <v>131</v>
      </c>
      <c r="C91" s="49">
        <f>'Avg Week Nateete-Ndeeba'!C91+'Avg Week Ndeeba-Nateete'!C91</f>
        <v>18.5</v>
      </c>
      <c r="D91" s="49">
        <f>'Avg Week Nateete-Ndeeba'!D91+'Avg Week Ndeeba-Nateete'!D91</f>
        <v>1.5</v>
      </c>
      <c r="E91" s="49">
        <f>'Avg Week Nateete-Ndeeba'!E91+'Avg Week Ndeeba-Nateete'!E91</f>
        <v>1</v>
      </c>
      <c r="F91" s="49">
        <f>'Avg Week Nateete-Ndeeba'!F91+'Avg Week Ndeeba-Nateete'!F91</f>
        <v>8.5</v>
      </c>
      <c r="G91" s="49">
        <f>'Avg Week Nateete-Ndeeba'!G91+'Avg Week Ndeeba-Nateete'!G91</f>
        <v>1</v>
      </c>
      <c r="H91" s="49">
        <f>'Avg Week Nateete-Ndeeba'!H91+'Avg Week Ndeeba-Nateete'!H91</f>
        <v>0.5</v>
      </c>
      <c r="I91" s="49">
        <f>'Avg Week Nateete-Ndeeba'!I91+'Avg Week Ndeeba-Nateete'!I91</f>
        <v>3</v>
      </c>
      <c r="J91" s="49">
        <f>'Avg Week Nateete-Ndeeba'!J91+'Avg Week Ndeeba-Nateete'!J91</f>
        <v>9</v>
      </c>
      <c r="K91" s="49">
        <f>'Avg Week Nateete-Ndeeba'!K91+'Avg Week Ndeeba-Nateete'!K91</f>
        <v>2.5</v>
      </c>
      <c r="L91" s="49">
        <f>'Avg Week Nateete-Ndeeba'!L91+'Avg Week Ndeeba-Nateete'!L91</f>
        <v>1.5</v>
      </c>
      <c r="M91" s="49">
        <f>'Avg Week Nateete-Ndeeba'!M91+'Avg Week Ndeeba-Nateete'!M91</f>
        <v>88.5</v>
      </c>
      <c r="N91" s="49">
        <f>'Avg Week Nateete-Ndeeba'!N91+'Avg Week Ndeeba-Nateete'!N91</f>
        <v>0</v>
      </c>
      <c r="O91" s="15">
        <f t="shared" si="35"/>
        <v>47</v>
      </c>
      <c r="P91" s="15">
        <f t="shared" si="36"/>
        <v>135.5</v>
      </c>
      <c r="R91" s="8"/>
      <c r="T91"/>
    </row>
    <row r="92" spans="2:20" ht="23.1" customHeight="1" x14ac:dyDescent="0.25">
      <c r="B92" s="25" t="s">
        <v>132</v>
      </c>
      <c r="C92" s="49">
        <f>'Avg Week Nateete-Ndeeba'!C92+'Avg Week Ndeeba-Nateete'!C92</f>
        <v>35</v>
      </c>
      <c r="D92" s="49">
        <f>'Avg Week Nateete-Ndeeba'!D92+'Avg Week Ndeeba-Nateete'!D92</f>
        <v>4.5</v>
      </c>
      <c r="E92" s="49">
        <f>'Avg Week Nateete-Ndeeba'!E92+'Avg Week Ndeeba-Nateete'!E92</f>
        <v>2</v>
      </c>
      <c r="F92" s="49">
        <f>'Avg Week Nateete-Ndeeba'!F92+'Avg Week Ndeeba-Nateete'!F92</f>
        <v>6</v>
      </c>
      <c r="G92" s="49">
        <f>'Avg Week Nateete-Ndeeba'!G92+'Avg Week Ndeeba-Nateete'!G92</f>
        <v>1.5</v>
      </c>
      <c r="H92" s="49">
        <f>'Avg Week Nateete-Ndeeba'!H92+'Avg Week Ndeeba-Nateete'!H92</f>
        <v>1</v>
      </c>
      <c r="I92" s="49">
        <f>'Avg Week Nateete-Ndeeba'!I92+'Avg Week Ndeeba-Nateete'!I92</f>
        <v>9.5</v>
      </c>
      <c r="J92" s="49">
        <f>'Avg Week Nateete-Ndeeba'!J92+'Avg Week Ndeeba-Nateete'!J92</f>
        <v>12.5</v>
      </c>
      <c r="K92" s="49">
        <f>'Avg Week Nateete-Ndeeba'!K92+'Avg Week Ndeeba-Nateete'!K92</f>
        <v>2</v>
      </c>
      <c r="L92" s="49">
        <f>'Avg Week Nateete-Ndeeba'!L92+'Avg Week Ndeeba-Nateete'!L92</f>
        <v>2</v>
      </c>
      <c r="M92" s="49">
        <f>'Avg Week Nateete-Ndeeba'!M92+'Avg Week Ndeeba-Nateete'!M92</f>
        <v>106</v>
      </c>
      <c r="N92" s="49">
        <f>'Avg Week Nateete-Ndeeba'!N92+'Avg Week Ndeeba-Nateete'!N92</f>
        <v>0</v>
      </c>
      <c r="O92" s="15">
        <f t="shared" si="35"/>
        <v>76</v>
      </c>
      <c r="P92" s="15">
        <f t="shared" si="36"/>
        <v>182</v>
      </c>
      <c r="R92" s="8"/>
      <c r="T92"/>
    </row>
    <row r="93" spans="2:20" ht="23.1" customHeight="1" x14ac:dyDescent="0.25">
      <c r="B93" s="23" t="s">
        <v>133</v>
      </c>
      <c r="C93" s="49">
        <f>'Avg Week Nateete-Ndeeba'!C93+'Avg Week Ndeeba-Nateete'!C93</f>
        <v>49.5</v>
      </c>
      <c r="D93" s="49">
        <f>'Avg Week Nateete-Ndeeba'!D93+'Avg Week Ndeeba-Nateete'!D93</f>
        <v>2.5</v>
      </c>
      <c r="E93" s="49">
        <f>'Avg Week Nateete-Ndeeba'!E93+'Avg Week Ndeeba-Nateete'!E93</f>
        <v>2.5</v>
      </c>
      <c r="F93" s="49">
        <f>'Avg Week Nateete-Ndeeba'!F93+'Avg Week Ndeeba-Nateete'!F93</f>
        <v>8</v>
      </c>
      <c r="G93" s="49">
        <f>'Avg Week Nateete-Ndeeba'!G93+'Avg Week Ndeeba-Nateete'!G93</f>
        <v>0</v>
      </c>
      <c r="H93" s="49">
        <f>'Avg Week Nateete-Ndeeba'!H93+'Avg Week Ndeeba-Nateete'!H93</f>
        <v>0</v>
      </c>
      <c r="I93" s="49">
        <f>'Avg Week Nateete-Ndeeba'!I93+'Avg Week Ndeeba-Nateete'!I93</f>
        <v>9.5</v>
      </c>
      <c r="J93" s="49">
        <f>'Avg Week Nateete-Ndeeba'!J93+'Avg Week Ndeeba-Nateete'!J93</f>
        <v>13.5</v>
      </c>
      <c r="K93" s="49">
        <f>'Avg Week Nateete-Ndeeba'!K93+'Avg Week Ndeeba-Nateete'!K93</f>
        <v>3</v>
      </c>
      <c r="L93" s="49">
        <f>'Avg Week Nateete-Ndeeba'!L93+'Avg Week Ndeeba-Nateete'!L93</f>
        <v>2</v>
      </c>
      <c r="M93" s="49">
        <f>'Avg Week Nateete-Ndeeba'!M93+'Avg Week Ndeeba-Nateete'!M93</f>
        <v>80.5</v>
      </c>
      <c r="N93" s="49">
        <f>'Avg Week Nateete-Ndeeba'!N93+'Avg Week Ndeeba-Nateete'!N93</f>
        <v>0</v>
      </c>
      <c r="O93" s="15">
        <f t="shared" si="35"/>
        <v>90.5</v>
      </c>
      <c r="P93" s="15">
        <f t="shared" si="36"/>
        <v>171</v>
      </c>
      <c r="R93" s="8"/>
      <c r="T93"/>
    </row>
    <row r="94" spans="2:20" ht="23.1" customHeight="1" x14ac:dyDescent="0.25">
      <c r="B94" s="24" t="s">
        <v>134</v>
      </c>
      <c r="C94" s="49">
        <f>'Avg Week Nateete-Ndeeba'!C94+'Avg Week Ndeeba-Nateete'!C94</f>
        <v>25</v>
      </c>
      <c r="D94" s="49">
        <f>'Avg Week Nateete-Ndeeba'!D94+'Avg Week Ndeeba-Nateete'!D94</f>
        <v>2</v>
      </c>
      <c r="E94" s="49">
        <f>'Avg Week Nateete-Ndeeba'!E94+'Avg Week Ndeeba-Nateete'!E94</f>
        <v>2.5</v>
      </c>
      <c r="F94" s="49">
        <f>'Avg Week Nateete-Ndeeba'!F94+'Avg Week Ndeeba-Nateete'!F94</f>
        <v>1</v>
      </c>
      <c r="G94" s="49">
        <f>'Avg Week Nateete-Ndeeba'!G94+'Avg Week Ndeeba-Nateete'!G94</f>
        <v>0</v>
      </c>
      <c r="H94" s="49">
        <f>'Avg Week Nateete-Ndeeba'!H94+'Avg Week Ndeeba-Nateete'!H94</f>
        <v>0.5</v>
      </c>
      <c r="I94" s="49">
        <f>'Avg Week Nateete-Ndeeba'!I94+'Avg Week Ndeeba-Nateete'!I94</f>
        <v>6</v>
      </c>
      <c r="J94" s="49">
        <f>'Avg Week Nateete-Ndeeba'!J94+'Avg Week Ndeeba-Nateete'!J94</f>
        <v>7.5</v>
      </c>
      <c r="K94" s="49">
        <f>'Avg Week Nateete-Ndeeba'!K94+'Avg Week Ndeeba-Nateete'!K94</f>
        <v>1.5</v>
      </c>
      <c r="L94" s="49">
        <f>'Avg Week Nateete-Ndeeba'!L94+'Avg Week Ndeeba-Nateete'!L94</f>
        <v>1</v>
      </c>
      <c r="M94" s="49">
        <f>'Avg Week Nateete-Ndeeba'!M94+'Avg Week Ndeeba-Nateete'!M94</f>
        <v>71</v>
      </c>
      <c r="N94" s="49">
        <f>'Avg Week Nateete-Ndeeba'!N94+'Avg Week Ndeeba-Nateete'!N94</f>
        <v>12</v>
      </c>
      <c r="O94" s="15">
        <f t="shared" si="35"/>
        <v>59</v>
      </c>
      <c r="P94" s="15">
        <f t="shared" si="36"/>
        <v>130</v>
      </c>
      <c r="R94" s="8"/>
      <c r="T94"/>
    </row>
    <row r="95" spans="2:20" ht="23.1" customHeight="1" x14ac:dyDescent="0.25">
      <c r="B95" s="23" t="s">
        <v>135</v>
      </c>
      <c r="C95" s="49">
        <f>'Avg Week Nateete-Ndeeba'!C95+'Avg Week Ndeeba-Nateete'!C95</f>
        <v>43.5</v>
      </c>
      <c r="D95" s="49">
        <f>'Avg Week Nateete-Ndeeba'!D95+'Avg Week Ndeeba-Nateete'!D95</f>
        <v>0.5</v>
      </c>
      <c r="E95" s="49">
        <f>'Avg Week Nateete-Ndeeba'!E95+'Avg Week Ndeeba-Nateete'!E95</f>
        <v>1.5</v>
      </c>
      <c r="F95" s="49">
        <f>'Avg Week Nateete-Ndeeba'!F95+'Avg Week Ndeeba-Nateete'!F95</f>
        <v>0.5</v>
      </c>
      <c r="G95" s="49">
        <f>'Avg Week Nateete-Ndeeba'!G95+'Avg Week Ndeeba-Nateete'!G95</f>
        <v>0.5</v>
      </c>
      <c r="H95" s="49">
        <f>'Avg Week Nateete-Ndeeba'!H95+'Avg Week Ndeeba-Nateete'!H95</f>
        <v>0</v>
      </c>
      <c r="I95" s="49">
        <f>'Avg Week Nateete-Ndeeba'!I95+'Avg Week Ndeeba-Nateete'!I95</f>
        <v>7</v>
      </c>
      <c r="J95" s="49">
        <f>'Avg Week Nateete-Ndeeba'!J95+'Avg Week Ndeeba-Nateete'!J95</f>
        <v>9</v>
      </c>
      <c r="K95" s="49">
        <f>'Avg Week Nateete-Ndeeba'!K95+'Avg Week Ndeeba-Nateete'!K95</f>
        <v>1</v>
      </c>
      <c r="L95" s="49">
        <f>'Avg Week Nateete-Ndeeba'!L95+'Avg Week Ndeeba-Nateete'!L95</f>
        <v>1.5</v>
      </c>
      <c r="M95" s="49">
        <f>'Avg Week Nateete-Ndeeba'!M95+'Avg Week Ndeeba-Nateete'!M95</f>
        <v>56</v>
      </c>
      <c r="N95" s="49">
        <f>'Avg Week Nateete-Ndeeba'!N95+'Avg Week Ndeeba-Nateete'!N95</f>
        <v>22.5</v>
      </c>
      <c r="O95" s="15">
        <f t="shared" si="35"/>
        <v>87.5</v>
      </c>
      <c r="P95" s="15">
        <f t="shared" si="36"/>
        <v>143.5</v>
      </c>
      <c r="R95" s="8"/>
      <c r="T95"/>
    </row>
    <row r="96" spans="2:20" ht="23.1" customHeight="1" x14ac:dyDescent="0.25">
      <c r="B96" s="25" t="s">
        <v>136</v>
      </c>
      <c r="C96" s="49">
        <f>'Avg Week Nateete-Ndeeba'!C96+'Avg Week Ndeeba-Nateete'!C96</f>
        <v>22</v>
      </c>
      <c r="D96" s="49">
        <f>'Avg Week Nateete-Ndeeba'!D96+'Avg Week Ndeeba-Nateete'!D96</f>
        <v>1.5</v>
      </c>
      <c r="E96" s="49">
        <f>'Avg Week Nateete-Ndeeba'!E96+'Avg Week Ndeeba-Nateete'!E96</f>
        <v>1</v>
      </c>
      <c r="F96" s="49">
        <f>'Avg Week Nateete-Ndeeba'!F96+'Avg Week Ndeeba-Nateete'!F96</f>
        <v>5</v>
      </c>
      <c r="G96" s="49">
        <f>'Avg Week Nateete-Ndeeba'!G96+'Avg Week Ndeeba-Nateete'!G96</f>
        <v>0</v>
      </c>
      <c r="H96" s="49">
        <f>'Avg Week Nateete-Ndeeba'!H96+'Avg Week Ndeeba-Nateete'!H96</f>
        <v>2</v>
      </c>
      <c r="I96" s="49">
        <f>'Avg Week Nateete-Ndeeba'!I96+'Avg Week Ndeeba-Nateete'!I96</f>
        <v>2</v>
      </c>
      <c r="J96" s="49">
        <f>'Avg Week Nateete-Ndeeba'!J96+'Avg Week Ndeeba-Nateete'!J96</f>
        <v>11.5</v>
      </c>
      <c r="K96" s="49">
        <f>'Avg Week Nateete-Ndeeba'!K96+'Avg Week Ndeeba-Nateete'!K96</f>
        <v>1</v>
      </c>
      <c r="L96" s="49">
        <f>'Avg Week Nateete-Ndeeba'!L96+'Avg Week Ndeeba-Nateete'!L96</f>
        <v>1.5</v>
      </c>
      <c r="M96" s="49">
        <f>'Avg Week Nateete-Ndeeba'!M96+'Avg Week Ndeeba-Nateete'!M96</f>
        <v>72</v>
      </c>
      <c r="N96" s="49">
        <f>'Avg Week Nateete-Ndeeba'!N96+'Avg Week Ndeeba-Nateete'!N96</f>
        <v>1.5</v>
      </c>
      <c r="O96" s="15">
        <f t="shared" si="35"/>
        <v>49</v>
      </c>
      <c r="P96" s="15">
        <f t="shared" si="36"/>
        <v>121</v>
      </c>
      <c r="R96" s="8"/>
      <c r="T96"/>
    </row>
    <row r="97" spans="2:20" ht="23.1" customHeight="1" x14ac:dyDescent="0.25">
      <c r="B97" s="23" t="s">
        <v>137</v>
      </c>
      <c r="C97" s="49">
        <f>'Avg Week Nateete-Ndeeba'!C97+'Avg Week Ndeeba-Nateete'!C97</f>
        <v>49</v>
      </c>
      <c r="D97" s="49">
        <f>'Avg Week Nateete-Ndeeba'!D97+'Avg Week Ndeeba-Nateete'!D97</f>
        <v>4.5</v>
      </c>
      <c r="E97" s="49">
        <f>'Avg Week Nateete-Ndeeba'!E97+'Avg Week Ndeeba-Nateete'!E97</f>
        <v>2.5</v>
      </c>
      <c r="F97" s="49">
        <f>'Avg Week Nateete-Ndeeba'!F97+'Avg Week Ndeeba-Nateete'!F97</f>
        <v>18.5</v>
      </c>
      <c r="G97" s="49">
        <f>'Avg Week Nateete-Ndeeba'!G97+'Avg Week Ndeeba-Nateete'!G97</f>
        <v>0.5</v>
      </c>
      <c r="H97" s="49">
        <f>'Avg Week Nateete-Ndeeba'!H97+'Avg Week Ndeeba-Nateete'!H97</f>
        <v>0</v>
      </c>
      <c r="I97" s="49">
        <f>'Avg Week Nateete-Ndeeba'!I97+'Avg Week Ndeeba-Nateete'!I97</f>
        <v>8</v>
      </c>
      <c r="J97" s="49">
        <f>'Avg Week Nateete-Ndeeba'!J97+'Avg Week Ndeeba-Nateete'!J97</f>
        <v>10.5</v>
      </c>
      <c r="K97" s="49">
        <f>'Avg Week Nateete-Ndeeba'!K97+'Avg Week Ndeeba-Nateete'!K97</f>
        <v>2.5</v>
      </c>
      <c r="L97" s="49">
        <f>'Avg Week Nateete-Ndeeba'!L97+'Avg Week Ndeeba-Nateete'!L97</f>
        <v>2</v>
      </c>
      <c r="M97" s="49">
        <f>'Avg Week Nateete-Ndeeba'!M97+'Avg Week Ndeeba-Nateete'!M97</f>
        <v>84</v>
      </c>
      <c r="N97" s="49">
        <f>'Avg Week Nateete-Ndeeba'!N97+'Avg Week Ndeeba-Nateete'!N97</f>
        <v>9</v>
      </c>
      <c r="O97" s="15">
        <f t="shared" si="35"/>
        <v>107</v>
      </c>
      <c r="P97" s="15">
        <f t="shared" si="36"/>
        <v>191</v>
      </c>
      <c r="R97" s="8"/>
      <c r="T97"/>
    </row>
    <row r="98" spans="2:20" ht="23.1" customHeight="1" x14ac:dyDescent="0.25">
      <c r="B98" s="24" t="s">
        <v>138</v>
      </c>
      <c r="C98" s="49">
        <f>'Avg Week Nateete-Ndeeba'!C98+'Avg Week Ndeeba-Nateete'!C98</f>
        <v>46.5</v>
      </c>
      <c r="D98" s="49">
        <f>'Avg Week Nateete-Ndeeba'!D98+'Avg Week Ndeeba-Nateete'!D98</f>
        <v>5</v>
      </c>
      <c r="E98" s="49">
        <f>'Avg Week Nateete-Ndeeba'!E98+'Avg Week Ndeeba-Nateete'!E98</f>
        <v>5</v>
      </c>
      <c r="F98" s="49">
        <f>'Avg Week Nateete-Ndeeba'!F98+'Avg Week Ndeeba-Nateete'!F98</f>
        <v>16</v>
      </c>
      <c r="G98" s="49">
        <f>'Avg Week Nateete-Ndeeba'!G98+'Avg Week Ndeeba-Nateete'!G98</f>
        <v>0</v>
      </c>
      <c r="H98" s="49">
        <f>'Avg Week Nateete-Ndeeba'!H98+'Avg Week Ndeeba-Nateete'!H98</f>
        <v>1</v>
      </c>
      <c r="I98" s="49">
        <f>'Avg Week Nateete-Ndeeba'!I98+'Avg Week Ndeeba-Nateete'!I98</f>
        <v>8.5</v>
      </c>
      <c r="J98" s="49">
        <f>'Avg Week Nateete-Ndeeba'!J98+'Avg Week Ndeeba-Nateete'!J98</f>
        <v>17.5</v>
      </c>
      <c r="K98" s="49">
        <f>'Avg Week Nateete-Ndeeba'!K98+'Avg Week Ndeeba-Nateete'!K98</f>
        <v>5.5</v>
      </c>
      <c r="L98" s="49">
        <f>'Avg Week Nateete-Ndeeba'!L98+'Avg Week Ndeeba-Nateete'!L98</f>
        <v>5</v>
      </c>
      <c r="M98" s="49">
        <f>'Avg Week Nateete-Ndeeba'!M98+'Avg Week Ndeeba-Nateete'!M98</f>
        <v>84.5</v>
      </c>
      <c r="N98" s="49">
        <f>'Avg Week Nateete-Ndeeba'!N98+'Avg Week Ndeeba-Nateete'!N98</f>
        <v>0</v>
      </c>
      <c r="O98" s="15">
        <f t="shared" si="35"/>
        <v>110</v>
      </c>
      <c r="P98" s="15">
        <f t="shared" si="36"/>
        <v>194.5</v>
      </c>
      <c r="R98" s="8"/>
      <c r="T98"/>
    </row>
    <row r="99" spans="2:20" ht="23.1" customHeight="1" x14ac:dyDescent="0.25">
      <c r="B99" s="23" t="s">
        <v>139</v>
      </c>
      <c r="C99" s="49">
        <f>'Avg Week Nateete-Ndeeba'!C99+'Avg Week Ndeeba-Nateete'!C99</f>
        <v>61</v>
      </c>
      <c r="D99" s="49">
        <f>'Avg Week Nateete-Ndeeba'!D99+'Avg Week Ndeeba-Nateete'!D99</f>
        <v>4</v>
      </c>
      <c r="E99" s="49">
        <f>'Avg Week Nateete-Ndeeba'!E99+'Avg Week Ndeeba-Nateete'!E99</f>
        <v>4.5</v>
      </c>
      <c r="F99" s="49">
        <f>'Avg Week Nateete-Ndeeba'!F99+'Avg Week Ndeeba-Nateete'!F99</f>
        <v>18.5</v>
      </c>
      <c r="G99" s="49">
        <f>'Avg Week Nateete-Ndeeba'!G99+'Avg Week Ndeeba-Nateete'!G99</f>
        <v>2</v>
      </c>
      <c r="H99" s="49">
        <f>'Avg Week Nateete-Ndeeba'!H99+'Avg Week Ndeeba-Nateete'!H99</f>
        <v>2.5</v>
      </c>
      <c r="I99" s="49">
        <f>'Avg Week Nateete-Ndeeba'!I99+'Avg Week Ndeeba-Nateete'!I99</f>
        <v>13</v>
      </c>
      <c r="J99" s="49">
        <f>'Avg Week Nateete-Ndeeba'!J99+'Avg Week Ndeeba-Nateete'!J99</f>
        <v>12.5</v>
      </c>
      <c r="K99" s="49">
        <f>'Avg Week Nateete-Ndeeba'!K99+'Avg Week Ndeeba-Nateete'!K99</f>
        <v>5</v>
      </c>
      <c r="L99" s="49">
        <f>'Avg Week Nateete-Ndeeba'!L99+'Avg Week Ndeeba-Nateete'!L99</f>
        <v>3</v>
      </c>
      <c r="M99" s="49">
        <f>'Avg Week Nateete-Ndeeba'!M99+'Avg Week Ndeeba-Nateete'!M99</f>
        <v>120.5</v>
      </c>
      <c r="N99" s="49">
        <f>'Avg Week Nateete-Ndeeba'!N99+'Avg Week Ndeeba-Nateete'!N99</f>
        <v>0</v>
      </c>
      <c r="O99" s="15">
        <f t="shared" si="35"/>
        <v>126</v>
      </c>
      <c r="P99" s="15">
        <f t="shared" si="36"/>
        <v>246.5</v>
      </c>
      <c r="R99" s="8"/>
      <c r="T99"/>
    </row>
    <row r="100" spans="2:20" ht="23.1" customHeight="1" x14ac:dyDescent="0.25">
      <c r="B100" s="25" t="s">
        <v>140</v>
      </c>
      <c r="C100" s="49">
        <f>'Avg Week Nateete-Ndeeba'!C100+'Avg Week Ndeeba-Nateete'!C100</f>
        <v>42</v>
      </c>
      <c r="D100" s="49">
        <f>'Avg Week Nateete-Ndeeba'!D100+'Avg Week Ndeeba-Nateete'!D100</f>
        <v>4</v>
      </c>
      <c r="E100" s="49">
        <f>'Avg Week Nateete-Ndeeba'!E100+'Avg Week Ndeeba-Nateete'!E100</f>
        <v>6</v>
      </c>
      <c r="F100" s="49">
        <f>'Avg Week Nateete-Ndeeba'!F100+'Avg Week Ndeeba-Nateete'!F100</f>
        <v>22.5</v>
      </c>
      <c r="G100" s="49">
        <f>'Avg Week Nateete-Ndeeba'!G100+'Avg Week Ndeeba-Nateete'!G100</f>
        <v>1</v>
      </c>
      <c r="H100" s="49">
        <f>'Avg Week Nateete-Ndeeba'!H100+'Avg Week Ndeeba-Nateete'!H100</f>
        <v>0.5</v>
      </c>
      <c r="I100" s="49">
        <f>'Avg Week Nateete-Ndeeba'!I100+'Avg Week Ndeeba-Nateete'!I100</f>
        <v>5</v>
      </c>
      <c r="J100" s="49">
        <f>'Avg Week Nateete-Ndeeba'!J100+'Avg Week Ndeeba-Nateete'!J100</f>
        <v>11</v>
      </c>
      <c r="K100" s="49">
        <f>'Avg Week Nateete-Ndeeba'!K100+'Avg Week Ndeeba-Nateete'!K100</f>
        <v>5</v>
      </c>
      <c r="L100" s="49">
        <f>'Avg Week Nateete-Ndeeba'!L100+'Avg Week Ndeeba-Nateete'!L100</f>
        <v>2.5</v>
      </c>
      <c r="M100" s="49">
        <f>'Avg Week Nateete-Ndeeba'!M100+'Avg Week Ndeeba-Nateete'!M100</f>
        <v>120.5</v>
      </c>
      <c r="N100" s="49">
        <f>'Avg Week Nateete-Ndeeba'!N100+'Avg Week Ndeeba-Nateete'!N100</f>
        <v>0</v>
      </c>
      <c r="O100" s="15">
        <f t="shared" si="35"/>
        <v>99.5</v>
      </c>
      <c r="P100" s="15">
        <f t="shared" si="36"/>
        <v>220</v>
      </c>
      <c r="R100" s="8"/>
      <c r="T100"/>
    </row>
    <row r="101" spans="2:20" ht="23.1" customHeight="1" x14ac:dyDescent="0.25">
      <c r="B101" s="23" t="s">
        <v>141</v>
      </c>
      <c r="C101" s="49">
        <f>'Avg Week Nateete-Ndeeba'!C101+'Avg Week Ndeeba-Nateete'!C101</f>
        <v>36.5</v>
      </c>
      <c r="D101" s="49">
        <f>'Avg Week Nateete-Ndeeba'!D101+'Avg Week Ndeeba-Nateete'!D101</f>
        <v>14.5</v>
      </c>
      <c r="E101" s="49">
        <f>'Avg Week Nateete-Ndeeba'!E101+'Avg Week Ndeeba-Nateete'!E101</f>
        <v>3.5</v>
      </c>
      <c r="F101" s="49">
        <f>'Avg Week Nateete-Ndeeba'!F101+'Avg Week Ndeeba-Nateete'!F101</f>
        <v>51.5</v>
      </c>
      <c r="G101" s="49">
        <f>'Avg Week Nateete-Ndeeba'!G101+'Avg Week Ndeeba-Nateete'!G101</f>
        <v>2.5</v>
      </c>
      <c r="H101" s="49">
        <f>'Avg Week Nateete-Ndeeba'!H101+'Avg Week Ndeeba-Nateete'!H101</f>
        <v>2</v>
      </c>
      <c r="I101" s="49">
        <f>'Avg Week Nateete-Ndeeba'!I101+'Avg Week Ndeeba-Nateete'!I101</f>
        <v>9</v>
      </c>
      <c r="J101" s="49">
        <f>'Avg Week Nateete-Ndeeba'!J101+'Avg Week Ndeeba-Nateete'!J101</f>
        <v>17</v>
      </c>
      <c r="K101" s="49">
        <f>'Avg Week Nateete-Ndeeba'!K101+'Avg Week Ndeeba-Nateete'!K101</f>
        <v>5</v>
      </c>
      <c r="L101" s="49">
        <f>'Avg Week Nateete-Ndeeba'!L101+'Avg Week Ndeeba-Nateete'!L101</f>
        <v>4</v>
      </c>
      <c r="M101" s="49">
        <f>'Avg Week Nateete-Ndeeba'!M101+'Avg Week Ndeeba-Nateete'!M101</f>
        <v>120</v>
      </c>
      <c r="N101" s="49">
        <f>'Avg Week Nateete-Ndeeba'!N101+'Avg Week Ndeeba-Nateete'!N101</f>
        <v>0</v>
      </c>
      <c r="O101" s="15">
        <f t="shared" si="35"/>
        <v>145.5</v>
      </c>
      <c r="P101" s="15">
        <f t="shared" si="36"/>
        <v>265.5</v>
      </c>
      <c r="R101" s="8"/>
      <c r="T101"/>
    </row>
    <row r="102" spans="2:20" ht="23.1" customHeight="1" x14ac:dyDescent="0.25">
      <c r="B102" s="24" t="s">
        <v>142</v>
      </c>
      <c r="C102" s="49">
        <f>'Avg Week Nateete-Ndeeba'!C102+'Avg Week Ndeeba-Nateete'!C102</f>
        <v>35</v>
      </c>
      <c r="D102" s="49">
        <f>'Avg Week Nateete-Ndeeba'!D102+'Avg Week Ndeeba-Nateete'!D102</f>
        <v>6.5</v>
      </c>
      <c r="E102" s="49">
        <f>'Avg Week Nateete-Ndeeba'!E102+'Avg Week Ndeeba-Nateete'!E102</f>
        <v>3</v>
      </c>
      <c r="F102" s="49">
        <f>'Avg Week Nateete-Ndeeba'!F102+'Avg Week Ndeeba-Nateete'!F102</f>
        <v>45</v>
      </c>
      <c r="G102" s="49">
        <f>'Avg Week Nateete-Ndeeba'!G102+'Avg Week Ndeeba-Nateete'!G102</f>
        <v>3</v>
      </c>
      <c r="H102" s="49">
        <f>'Avg Week Nateete-Ndeeba'!H102+'Avg Week Ndeeba-Nateete'!H102</f>
        <v>0.5</v>
      </c>
      <c r="I102" s="49">
        <f>'Avg Week Nateete-Ndeeba'!I102+'Avg Week Ndeeba-Nateete'!I102</f>
        <v>8</v>
      </c>
      <c r="J102" s="49">
        <f>'Avg Week Nateete-Ndeeba'!J102+'Avg Week Ndeeba-Nateete'!J102</f>
        <v>18</v>
      </c>
      <c r="K102" s="49">
        <f>'Avg Week Nateete-Ndeeba'!K102+'Avg Week Ndeeba-Nateete'!K102</f>
        <v>6.5</v>
      </c>
      <c r="L102" s="49">
        <f>'Avg Week Nateete-Ndeeba'!L102+'Avg Week Ndeeba-Nateete'!L102</f>
        <v>1.5</v>
      </c>
      <c r="M102" s="49">
        <f>'Avg Week Nateete-Ndeeba'!M102+'Avg Week Ndeeba-Nateete'!M102</f>
        <v>173</v>
      </c>
      <c r="N102" s="49">
        <f>'Avg Week Nateete-Ndeeba'!N102+'Avg Week Ndeeba-Nateete'!N102</f>
        <v>0</v>
      </c>
      <c r="O102" s="15">
        <f t="shared" si="35"/>
        <v>127</v>
      </c>
      <c r="P102" s="15">
        <f t="shared" si="36"/>
        <v>300</v>
      </c>
      <c r="R102" s="8"/>
      <c r="T102"/>
    </row>
    <row r="103" spans="2:20" ht="23.1" customHeight="1" x14ac:dyDescent="0.25">
      <c r="B103" s="23" t="s">
        <v>143</v>
      </c>
      <c r="C103" s="49">
        <f>'Avg Week Nateete-Ndeeba'!C103+'Avg Week Ndeeba-Nateete'!C103</f>
        <v>38.5</v>
      </c>
      <c r="D103" s="49">
        <f>'Avg Week Nateete-Ndeeba'!D103+'Avg Week Ndeeba-Nateete'!D103</f>
        <v>3.5</v>
      </c>
      <c r="E103" s="49">
        <f>'Avg Week Nateete-Ndeeba'!E103+'Avg Week Ndeeba-Nateete'!E103</f>
        <v>4.5</v>
      </c>
      <c r="F103" s="49">
        <f>'Avg Week Nateete-Ndeeba'!F103+'Avg Week Ndeeba-Nateete'!F103</f>
        <v>42</v>
      </c>
      <c r="G103" s="49">
        <f>'Avg Week Nateete-Ndeeba'!G103+'Avg Week Ndeeba-Nateete'!G103</f>
        <v>2</v>
      </c>
      <c r="H103" s="49">
        <f>'Avg Week Nateete-Ndeeba'!H103+'Avg Week Ndeeba-Nateete'!H103</f>
        <v>0.5</v>
      </c>
      <c r="I103" s="49">
        <f>'Avg Week Nateete-Ndeeba'!I103+'Avg Week Ndeeba-Nateete'!I103</f>
        <v>12</v>
      </c>
      <c r="J103" s="49">
        <f>'Avg Week Nateete-Ndeeba'!J103+'Avg Week Ndeeba-Nateete'!J103</f>
        <v>15.5</v>
      </c>
      <c r="K103" s="49">
        <f>'Avg Week Nateete-Ndeeba'!K103+'Avg Week Ndeeba-Nateete'!K103</f>
        <v>4.5</v>
      </c>
      <c r="L103" s="49">
        <f>'Avg Week Nateete-Ndeeba'!L103+'Avg Week Ndeeba-Nateete'!L103</f>
        <v>3</v>
      </c>
      <c r="M103" s="49">
        <f>'Avg Week Nateete-Ndeeba'!M103+'Avg Week Ndeeba-Nateete'!M103</f>
        <v>231.5</v>
      </c>
      <c r="N103" s="49">
        <f>'Avg Week Nateete-Ndeeba'!N103+'Avg Week Ndeeba-Nateete'!N103</f>
        <v>0</v>
      </c>
      <c r="O103" s="15">
        <f t="shared" si="35"/>
        <v>126</v>
      </c>
      <c r="P103" s="15">
        <f t="shared" si="36"/>
        <v>357.5</v>
      </c>
      <c r="R103" s="8"/>
      <c r="T103"/>
    </row>
    <row r="104" spans="2:20" ht="23.1" customHeight="1" x14ac:dyDescent="0.25">
      <c r="B104" s="25" t="s">
        <v>144</v>
      </c>
      <c r="C104" s="49">
        <f>'Avg Week Nateete-Ndeeba'!C104+'Avg Week Ndeeba-Nateete'!C104</f>
        <v>33</v>
      </c>
      <c r="D104" s="49">
        <f>'Avg Week Nateete-Ndeeba'!D104+'Avg Week Ndeeba-Nateete'!D104</f>
        <v>6</v>
      </c>
      <c r="E104" s="49">
        <f>'Avg Week Nateete-Ndeeba'!E104+'Avg Week Ndeeba-Nateete'!E104</f>
        <v>10</v>
      </c>
      <c r="F104" s="49">
        <f>'Avg Week Nateete-Ndeeba'!F104+'Avg Week Ndeeba-Nateete'!F104</f>
        <v>36.5</v>
      </c>
      <c r="G104" s="49">
        <f>'Avg Week Nateete-Ndeeba'!G104+'Avg Week Ndeeba-Nateete'!G104</f>
        <v>2</v>
      </c>
      <c r="H104" s="49">
        <f>'Avg Week Nateete-Ndeeba'!H104+'Avg Week Ndeeba-Nateete'!H104</f>
        <v>0</v>
      </c>
      <c r="I104" s="49">
        <f>'Avg Week Nateete-Ndeeba'!I104+'Avg Week Ndeeba-Nateete'!I104</f>
        <v>12</v>
      </c>
      <c r="J104" s="49">
        <f>'Avg Week Nateete-Ndeeba'!J104+'Avg Week Ndeeba-Nateete'!J104</f>
        <v>11.5</v>
      </c>
      <c r="K104" s="49">
        <f>'Avg Week Nateete-Ndeeba'!K104+'Avg Week Ndeeba-Nateete'!K104</f>
        <v>4</v>
      </c>
      <c r="L104" s="49">
        <f>'Avg Week Nateete-Ndeeba'!L104+'Avg Week Ndeeba-Nateete'!L104</f>
        <v>1</v>
      </c>
      <c r="M104" s="49">
        <f>'Avg Week Nateete-Ndeeba'!M104+'Avg Week Ndeeba-Nateete'!M104</f>
        <v>234</v>
      </c>
      <c r="N104" s="49">
        <f>'Avg Week Nateete-Ndeeba'!N104+'Avg Week Ndeeba-Nateete'!N104</f>
        <v>0</v>
      </c>
      <c r="O104" s="15">
        <f t="shared" si="35"/>
        <v>116</v>
      </c>
      <c r="P104" s="15">
        <f t="shared" si="36"/>
        <v>350</v>
      </c>
      <c r="R104" s="8"/>
      <c r="T104"/>
    </row>
    <row r="105" spans="2:20" ht="23.1" customHeight="1" x14ac:dyDescent="0.25">
      <c r="B105" s="23" t="s">
        <v>145</v>
      </c>
      <c r="C105" s="49">
        <f>'Avg Week Nateete-Ndeeba'!C105+'Avg Week Ndeeba-Nateete'!C105</f>
        <v>38.5</v>
      </c>
      <c r="D105" s="49">
        <f>'Avg Week Nateete-Ndeeba'!D105+'Avg Week Ndeeba-Nateete'!D105</f>
        <v>7.5</v>
      </c>
      <c r="E105" s="49">
        <f>'Avg Week Nateete-Ndeeba'!E105+'Avg Week Ndeeba-Nateete'!E105</f>
        <v>7</v>
      </c>
      <c r="F105" s="49">
        <f>'Avg Week Nateete-Ndeeba'!F105+'Avg Week Ndeeba-Nateete'!F105</f>
        <v>48.5</v>
      </c>
      <c r="G105" s="49">
        <f>'Avg Week Nateete-Ndeeba'!G105+'Avg Week Ndeeba-Nateete'!G105</f>
        <v>0</v>
      </c>
      <c r="H105" s="49">
        <f>'Avg Week Nateete-Ndeeba'!H105+'Avg Week Ndeeba-Nateete'!H105</f>
        <v>1</v>
      </c>
      <c r="I105" s="49">
        <f>'Avg Week Nateete-Ndeeba'!I105+'Avg Week Ndeeba-Nateete'!I105</f>
        <v>10</v>
      </c>
      <c r="J105" s="49">
        <f>'Avg Week Nateete-Ndeeba'!J105+'Avg Week Ndeeba-Nateete'!J105</f>
        <v>15</v>
      </c>
      <c r="K105" s="49">
        <f>'Avg Week Nateete-Ndeeba'!K105+'Avg Week Ndeeba-Nateete'!K105</f>
        <v>2.5</v>
      </c>
      <c r="L105" s="49">
        <f>'Avg Week Nateete-Ndeeba'!L105+'Avg Week Ndeeba-Nateete'!L105</f>
        <v>2.5</v>
      </c>
      <c r="M105" s="49">
        <f>'Avg Week Nateete-Ndeeba'!M105+'Avg Week Ndeeba-Nateete'!M105</f>
        <v>193</v>
      </c>
      <c r="N105" s="49">
        <f>'Avg Week Nateete-Ndeeba'!N105+'Avg Week Ndeeba-Nateete'!N105</f>
        <v>0</v>
      </c>
      <c r="O105" s="15">
        <f t="shared" si="35"/>
        <v>132.5</v>
      </c>
      <c r="P105" s="15">
        <f t="shared" si="36"/>
        <v>325.5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5559.5</v>
      </c>
      <c r="D106" s="16">
        <f t="shared" ref="D106:P106" si="37">SUM(D10:D105)</f>
        <v>978.35714285714266</v>
      </c>
      <c r="E106" s="16">
        <f t="shared" si="37"/>
        <v>585.21428571428578</v>
      </c>
      <c r="F106" s="16">
        <f t="shared" si="37"/>
        <v>4487.7142857142862</v>
      </c>
      <c r="G106" s="16">
        <f t="shared" si="37"/>
        <v>107.78571428571431</v>
      </c>
      <c r="H106" s="16">
        <f t="shared" si="37"/>
        <v>106.78571428571428</v>
      </c>
      <c r="I106" s="16">
        <f t="shared" si="37"/>
        <v>1273.2857142857142</v>
      </c>
      <c r="J106" s="16">
        <f t="shared" si="37"/>
        <v>1310.0714285714284</v>
      </c>
      <c r="K106" s="16">
        <f t="shared" si="37"/>
        <v>309.35714285714289</v>
      </c>
      <c r="L106" s="16">
        <f t="shared" si="37"/>
        <v>178.78571428571433</v>
      </c>
      <c r="M106" s="16">
        <f t="shared" si="37"/>
        <v>24049.571428571431</v>
      </c>
      <c r="N106" s="16">
        <f t="shared" si="37"/>
        <v>46.357142857142861</v>
      </c>
      <c r="O106" s="16">
        <f t="shared" si="37"/>
        <v>14943.214285714288</v>
      </c>
      <c r="P106" s="16">
        <f t="shared" si="37"/>
        <v>38992.785714285725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0.1425776563063863</v>
      </c>
      <c r="D107" s="43">
        <f t="shared" si="38"/>
        <v>2.5090721910096911E-2</v>
      </c>
      <c r="E107" s="43">
        <f t="shared" si="38"/>
        <v>1.5008270760708481E-2</v>
      </c>
      <c r="F107" s="43">
        <f t="shared" si="38"/>
        <v>0.11509088677575886</v>
      </c>
      <c r="G107" s="43">
        <f t="shared" si="38"/>
        <v>2.7642475989148175E-3</v>
      </c>
      <c r="H107" s="43">
        <f t="shared" si="38"/>
        <v>2.7386018292761107E-3</v>
      </c>
      <c r="I107" s="43">
        <f t="shared" si="38"/>
        <v>3.2654392112826724E-2</v>
      </c>
      <c r="J107" s="43">
        <f t="shared" si="38"/>
        <v>3.3597790067393406E-2</v>
      </c>
      <c r="K107" s="43">
        <f t="shared" si="38"/>
        <v>7.9337020218025658E-3</v>
      </c>
      <c r="L107" s="43">
        <f t="shared" si="38"/>
        <v>4.5850972432629478E-3</v>
      </c>
      <c r="M107" s="43">
        <f t="shared" si="38"/>
        <v>0.61676976876674983</v>
      </c>
      <c r="N107" s="43">
        <f t="shared" si="38"/>
        <v>1.1888646068228736E-3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0.37204177720417764</v>
      </c>
      <c r="D108" s="44">
        <f t="shared" ref="D108:N108" si="39">D106/$O$106</f>
        <v>6.5471666547166629E-2</v>
      </c>
      <c r="E108" s="44">
        <f t="shared" si="39"/>
        <v>3.9162543916254393E-2</v>
      </c>
      <c r="F108" s="44">
        <f t="shared" si="39"/>
        <v>0.300317870031787</v>
      </c>
      <c r="G108" s="44">
        <f t="shared" si="39"/>
        <v>7.2130207213020724E-3</v>
      </c>
      <c r="H108" s="44">
        <f t="shared" si="39"/>
        <v>7.1461007146100698E-3</v>
      </c>
      <c r="I108" s="44">
        <f t="shared" si="39"/>
        <v>8.5208288520828832E-2</v>
      </c>
      <c r="J108" s="44">
        <f t="shared" si="39"/>
        <v>8.7669988766998858E-2</v>
      </c>
      <c r="K108" s="44">
        <f t="shared" si="39"/>
        <v>2.0702182070218206E-2</v>
      </c>
      <c r="L108" s="44">
        <f t="shared" si="39"/>
        <v>1.1964341196434121E-2</v>
      </c>
      <c r="M108" s="44"/>
      <c r="N108" s="44">
        <f t="shared" si="39"/>
        <v>3.1022203102220309E-3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R8:AF8"/>
    <mergeCell ref="D6:E6"/>
    <mergeCell ref="K5:L5"/>
    <mergeCell ref="K6:L6"/>
    <mergeCell ref="D5:E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2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33</vt:i4>
      </vt:variant>
    </vt:vector>
  </HeadingPairs>
  <TitlesOfParts>
    <vt:vector size="50" baseType="lpstr">
      <vt:lpstr>22.07 Nateete-Ndeeba</vt:lpstr>
      <vt:lpstr>22.07 Ndeeba-Nateete</vt:lpstr>
      <vt:lpstr>23.07 Nateete-Ndeeba</vt:lpstr>
      <vt:lpstr>23.07 Ndeeba-Nateete</vt:lpstr>
      <vt:lpstr>24.07 Nateete-Ndeeba</vt:lpstr>
      <vt:lpstr>24.07 Ndeeba-Nateete</vt:lpstr>
      <vt:lpstr>25.07 Nateete-Ndeeba</vt:lpstr>
      <vt:lpstr>25.07 Ndeeba-Nateete</vt:lpstr>
      <vt:lpstr>26.07 Nateete-Ndeeba-24h</vt:lpstr>
      <vt:lpstr>26.07 Ndeeba-Nateete-24h</vt:lpstr>
      <vt:lpstr>27.07 Nateete-Ndeeba-24h</vt:lpstr>
      <vt:lpstr>27.07 Ndeeba-Nateete-24h</vt:lpstr>
      <vt:lpstr>28.07 Nateete-Ndeeba</vt:lpstr>
      <vt:lpstr>28.07 Ndeeba-Nateete</vt:lpstr>
      <vt:lpstr>Avg Week Nateete-Ndeeba</vt:lpstr>
      <vt:lpstr>Avg Week Ndeeba-Nateete</vt:lpstr>
      <vt:lpstr>Avg Week Nateete-Ndeeba-2Dir</vt:lpstr>
      <vt:lpstr>'22.07 Nateete-Ndeeba'!Print_Area</vt:lpstr>
      <vt:lpstr>'22.07 Ndeeba-Nateete'!Print_Area</vt:lpstr>
      <vt:lpstr>'23.07 Nateete-Ndeeba'!Print_Area</vt:lpstr>
      <vt:lpstr>'23.07 Ndeeba-Nateete'!Print_Area</vt:lpstr>
      <vt:lpstr>'24.07 Nateete-Ndeeba'!Print_Area</vt:lpstr>
      <vt:lpstr>'24.07 Ndeeba-Nateete'!Print_Area</vt:lpstr>
      <vt:lpstr>'25.07 Nateete-Ndeeba'!Print_Area</vt:lpstr>
      <vt:lpstr>'25.07 Ndeeba-Nateete'!Print_Area</vt:lpstr>
      <vt:lpstr>'26.07 Nateete-Ndeeba-24h'!Print_Area</vt:lpstr>
      <vt:lpstr>'26.07 Ndeeba-Nateete-24h'!Print_Area</vt:lpstr>
      <vt:lpstr>'27.07 Nateete-Ndeeba-24h'!Print_Area</vt:lpstr>
      <vt:lpstr>'27.07 Ndeeba-Nateete-24h'!Print_Area</vt:lpstr>
      <vt:lpstr>'28.07 Nateete-Ndeeba'!Print_Area</vt:lpstr>
      <vt:lpstr>'28.07 Ndeeba-Nateete'!Print_Area</vt:lpstr>
      <vt:lpstr>'Avg Week Nateete-Ndeeba'!Print_Area</vt:lpstr>
      <vt:lpstr>'Avg Week Ndeeba-Nateete'!Print_Area</vt:lpstr>
      <vt:lpstr>'22.07 Nateete-Ndeeba'!Print_Titles</vt:lpstr>
      <vt:lpstr>'22.07 Ndeeba-Nateete'!Print_Titles</vt:lpstr>
      <vt:lpstr>'23.07 Nateete-Ndeeba'!Print_Titles</vt:lpstr>
      <vt:lpstr>'23.07 Ndeeba-Nateete'!Print_Titles</vt:lpstr>
      <vt:lpstr>'24.07 Nateete-Ndeeba'!Print_Titles</vt:lpstr>
      <vt:lpstr>'24.07 Ndeeba-Nateete'!Print_Titles</vt:lpstr>
      <vt:lpstr>'25.07 Nateete-Ndeeba'!Print_Titles</vt:lpstr>
      <vt:lpstr>'25.07 Ndeeba-Nateete'!Print_Titles</vt:lpstr>
      <vt:lpstr>'26.07 Nateete-Ndeeba-24h'!Print_Titles</vt:lpstr>
      <vt:lpstr>'26.07 Ndeeba-Nateete-24h'!Print_Titles</vt:lpstr>
      <vt:lpstr>'27.07 Nateete-Ndeeba-24h'!Print_Titles</vt:lpstr>
      <vt:lpstr>'27.07 Ndeeba-Nateete-24h'!Print_Titles</vt:lpstr>
      <vt:lpstr>'28.07 Nateete-Ndeeba'!Print_Titles</vt:lpstr>
      <vt:lpstr>'28.07 Ndeeba-Nateete'!Print_Titles</vt:lpstr>
      <vt:lpstr>'Avg Week Nateete-Ndeeba'!Print_Titles</vt:lpstr>
      <vt:lpstr>'Avg Week Nateete-Ndeeba-2Dir'!Print_Titles</vt:lpstr>
      <vt:lpstr>'Avg Week Ndeeba-Nateete'!Print_Titles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steward consultancy</dc:creator>
  <cp:lastModifiedBy>ALLAN</cp:lastModifiedBy>
  <cp:lastPrinted>2019-07-25T18:18:41Z</cp:lastPrinted>
  <dcterms:created xsi:type="dcterms:W3CDTF">2010-07-06T07:39:49Z</dcterms:created>
  <dcterms:modified xsi:type="dcterms:W3CDTF">2020-01-15T18:45:51Z</dcterms:modified>
</cp:coreProperties>
</file>