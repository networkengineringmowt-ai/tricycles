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44-NAKAWA URA\MCC DATA\"/>
    </mc:Choice>
  </mc:AlternateContent>
  <bookViews>
    <workbookView xWindow="-120" yWindow="-120" windowWidth="20730" windowHeight="11160" tabRatio="940" firstSheet="14" activeTab="16"/>
  </bookViews>
  <sheets>
    <sheet name="29.07 Spear Motors -URA" sheetId="93" r:id="rId1"/>
    <sheet name="29.07 URA-Spear Motors" sheetId="94" r:id="rId2"/>
    <sheet name="30.07 Spear Motors-URA" sheetId="95" r:id="rId3"/>
    <sheet name="30.07 URA-Spear Motors" sheetId="96" r:id="rId4"/>
    <sheet name="31.07 Spear Motors-URA" sheetId="97" r:id="rId5"/>
    <sheet name="31.07 URA-Spear Motors" sheetId="98" r:id="rId6"/>
    <sheet name="01.08 Spear Motors-URA-24h" sheetId="101" r:id="rId7"/>
    <sheet name="01.08 URA-Spear Motors-24h" sheetId="109" r:id="rId8"/>
    <sheet name="02.08 Spear Motors-URA" sheetId="99" r:id="rId9"/>
    <sheet name="02.08 URA-Spear Motors" sheetId="100" r:id="rId10"/>
    <sheet name="03.08 Spear Motors-URA-24h" sheetId="105" r:id="rId11"/>
    <sheet name="03.08 URA-Spear Motors-24h" sheetId="110" r:id="rId12"/>
    <sheet name="04.08 Spear Motors-URA" sheetId="103" r:id="rId13"/>
    <sheet name="04.08 URA-Spear Motors" sheetId="104" r:id="rId14"/>
    <sheet name="Avg Week SpearMotors-URA" sheetId="107" r:id="rId15"/>
    <sheet name="Avg Week URA_SpearMotors" sheetId="108" r:id="rId16"/>
    <sheet name="Avg Week SpearMotors-URA-2Dir" sheetId="111" r:id="rId17"/>
  </sheets>
  <definedNames>
    <definedName name="_xlnm.Print_Area" localSheetId="6">'01.08 Spear Motors-URA-24h'!$A$1:$AF$108</definedName>
    <definedName name="_xlnm.Print_Area" localSheetId="7">'01.08 URA-Spear Motors-24h'!$A$1:$AF$108</definedName>
    <definedName name="_xlnm.Print_Area" localSheetId="8">'02.08 Spear Motors-URA'!$A$1:$AF$60</definedName>
    <definedName name="_xlnm.Print_Area" localSheetId="9">'02.08 URA-Spear Motors'!$A$1:$AF$60</definedName>
    <definedName name="_xlnm.Print_Area" localSheetId="10">'03.08 Spear Motors-URA-24h'!$A$1:$AF$108</definedName>
    <definedName name="_xlnm.Print_Area" localSheetId="11">'03.08 URA-Spear Motors-24h'!$A$1:$AF$108</definedName>
    <definedName name="_xlnm.Print_Area" localSheetId="12">'04.08 Spear Motors-URA'!$A$1:$AF$60</definedName>
    <definedName name="_xlnm.Print_Area" localSheetId="13">'04.08 URA-Spear Motors'!$A$1:$AF$60</definedName>
    <definedName name="_xlnm.Print_Area" localSheetId="0">'29.07 Spear Motors -URA'!$A$1:$AF$60</definedName>
    <definedName name="_xlnm.Print_Area" localSheetId="1">'29.07 URA-Spear Motors'!$A$1:$AF$60</definedName>
    <definedName name="_xlnm.Print_Area" localSheetId="2">'30.07 Spear Motors-URA'!$A$1:$AF$60</definedName>
    <definedName name="_xlnm.Print_Area" localSheetId="3">'30.07 URA-Spear Motors'!$A$1:$AF$60</definedName>
    <definedName name="_xlnm.Print_Area" localSheetId="4">'31.07 Spear Motors-URA'!$A$1:$AF$60</definedName>
    <definedName name="_xlnm.Print_Area" localSheetId="5">'31.07 URA-Spear Motors'!$A$1:$AF$60</definedName>
    <definedName name="_xlnm.Print_Area" localSheetId="14">'Avg Week SpearMotors-URA'!$A$1:$AF$108</definedName>
    <definedName name="_xlnm.Print_Area" localSheetId="16">'Avg Week SpearMotors-URA-2Dir'!$A$1:$AF$108</definedName>
    <definedName name="_xlnm.Print_Area" localSheetId="15">'Avg Week URA_SpearMotors'!$A$1:$AF$108</definedName>
    <definedName name="_xlnm.Print_Titles" localSheetId="6">'01.08 Spear Motors-URA-24h'!$1:$8</definedName>
    <definedName name="_xlnm.Print_Titles" localSheetId="7">'01.08 URA-Spear Motors-24h'!$1:$8</definedName>
    <definedName name="_xlnm.Print_Titles" localSheetId="8">'02.08 Spear Motors-URA'!$1:$8</definedName>
    <definedName name="_xlnm.Print_Titles" localSheetId="9">'02.08 URA-Spear Motors'!$1:$8</definedName>
    <definedName name="_xlnm.Print_Titles" localSheetId="10">'03.08 Spear Motors-URA-24h'!$1:$8</definedName>
    <definedName name="_xlnm.Print_Titles" localSheetId="11">'03.08 URA-Spear Motors-24h'!$1:$8</definedName>
    <definedName name="_xlnm.Print_Titles" localSheetId="12">'04.08 Spear Motors-URA'!$1:$8</definedName>
    <definedName name="_xlnm.Print_Titles" localSheetId="13">'04.08 URA-Spear Motors'!$1:$8</definedName>
    <definedName name="_xlnm.Print_Titles" localSheetId="0">'29.07 Spear Motors -URA'!$1:$8</definedName>
    <definedName name="_xlnm.Print_Titles" localSheetId="1">'29.07 URA-Spear Motors'!$1:$8</definedName>
    <definedName name="_xlnm.Print_Titles" localSheetId="2">'30.07 Spear Motors-URA'!$1:$8</definedName>
    <definedName name="_xlnm.Print_Titles" localSheetId="3">'30.07 URA-Spear Motors'!$1:$8</definedName>
    <definedName name="_xlnm.Print_Titles" localSheetId="4">'31.07 Spear Motors-URA'!$1:$8</definedName>
    <definedName name="_xlnm.Print_Titles" localSheetId="5">'31.07 URA-Spear Motors'!$1:$8</definedName>
    <definedName name="_xlnm.Print_Titles" localSheetId="14">'Avg Week SpearMotors-URA'!$1:$8</definedName>
    <definedName name="_xlnm.Print_Titles" localSheetId="16">'Avg Week SpearMotors-URA-2Dir'!$1:$8</definedName>
    <definedName name="_xlnm.Print_Titles" localSheetId="15">'Avg Week URA_SpearMotors'!$1:$8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22" i="108" l="1"/>
  <c r="U22" i="108"/>
  <c r="V22" i="108"/>
  <c r="W22" i="108"/>
  <c r="X22" i="108"/>
  <c r="Y22" i="108"/>
  <c r="Z22" i="108"/>
  <c r="AA22" i="108"/>
  <c r="AB22" i="108"/>
  <c r="AC22" i="108"/>
  <c r="AD22" i="108"/>
  <c r="AE22" i="108"/>
  <c r="AF22" i="108"/>
  <c r="T23" i="108"/>
  <c r="T41" i="108" s="1"/>
  <c r="T42" i="108" s="1"/>
  <c r="U23" i="108"/>
  <c r="V23" i="108"/>
  <c r="V41" i="108" s="1"/>
  <c r="V42" i="108" s="1"/>
  <c r="W23" i="108"/>
  <c r="X23" i="108"/>
  <c r="X41" i="108" s="1"/>
  <c r="X42" i="108" s="1"/>
  <c r="Y23" i="108"/>
  <c r="Z23" i="108"/>
  <c r="Z41" i="108" s="1"/>
  <c r="Z42" i="108" s="1"/>
  <c r="AA23" i="108"/>
  <c r="AB23" i="108"/>
  <c r="AB41" i="108" s="1"/>
  <c r="AB42" i="108" s="1"/>
  <c r="AC23" i="108"/>
  <c r="AD23" i="108"/>
  <c r="AD41" i="108" s="1"/>
  <c r="AD42" i="108" s="1"/>
  <c r="AE23" i="108"/>
  <c r="AF23" i="108"/>
  <c r="AF41" i="108" s="1"/>
  <c r="T24" i="108"/>
  <c r="U24" i="108"/>
  <c r="V24" i="108"/>
  <c r="W24" i="108"/>
  <c r="X24" i="108"/>
  <c r="Y24" i="108"/>
  <c r="Z24" i="108"/>
  <c r="AA24" i="108"/>
  <c r="AB24" i="108"/>
  <c r="AC24" i="108"/>
  <c r="AD24" i="108"/>
  <c r="AE24" i="108"/>
  <c r="AF24" i="108"/>
  <c r="T25" i="108"/>
  <c r="U25" i="108"/>
  <c r="V25" i="108"/>
  <c r="W25" i="108"/>
  <c r="X25" i="108"/>
  <c r="Y25" i="108"/>
  <c r="Z25" i="108"/>
  <c r="AA25" i="108"/>
  <c r="AB25" i="108"/>
  <c r="AC25" i="108"/>
  <c r="AD25" i="108"/>
  <c r="AE25" i="108"/>
  <c r="AF25" i="108"/>
  <c r="T26" i="108"/>
  <c r="U26" i="108"/>
  <c r="V26" i="108"/>
  <c r="W26" i="108"/>
  <c r="X26" i="108"/>
  <c r="Y26" i="108"/>
  <c r="Z26" i="108"/>
  <c r="AA26" i="108"/>
  <c r="AB26" i="108"/>
  <c r="AC26" i="108"/>
  <c r="AD26" i="108"/>
  <c r="AE26" i="108"/>
  <c r="AF26" i="108"/>
  <c r="T27" i="108"/>
  <c r="U27" i="108"/>
  <c r="V27" i="108"/>
  <c r="W27" i="108"/>
  <c r="X27" i="108"/>
  <c r="Y27" i="108"/>
  <c r="Z27" i="108"/>
  <c r="AA27" i="108"/>
  <c r="AB27" i="108"/>
  <c r="AC27" i="108"/>
  <c r="AD27" i="108"/>
  <c r="AE27" i="108"/>
  <c r="AF27" i="108"/>
  <c r="T28" i="108"/>
  <c r="U28" i="108"/>
  <c r="V28" i="108"/>
  <c r="W28" i="108"/>
  <c r="X28" i="108"/>
  <c r="Y28" i="108"/>
  <c r="Z28" i="108"/>
  <c r="AA28" i="108"/>
  <c r="AB28" i="108"/>
  <c r="AC28" i="108"/>
  <c r="AD28" i="108"/>
  <c r="AE28" i="108"/>
  <c r="AF28" i="108"/>
  <c r="T29" i="108"/>
  <c r="U29" i="108"/>
  <c r="V29" i="108"/>
  <c r="W29" i="108"/>
  <c r="X29" i="108"/>
  <c r="Y29" i="108"/>
  <c r="Z29" i="108"/>
  <c r="AA29" i="108"/>
  <c r="AB29" i="108"/>
  <c r="AC29" i="108"/>
  <c r="AD29" i="108"/>
  <c r="AE29" i="108"/>
  <c r="AF29" i="108"/>
  <c r="T30" i="108"/>
  <c r="U30" i="108"/>
  <c r="V30" i="108"/>
  <c r="W30" i="108"/>
  <c r="X30" i="108"/>
  <c r="Y30" i="108"/>
  <c r="Z30" i="108"/>
  <c r="AA30" i="108"/>
  <c r="AB30" i="108"/>
  <c r="AC30" i="108"/>
  <c r="AD30" i="108"/>
  <c r="AE30" i="108"/>
  <c r="AF30" i="108"/>
  <c r="T31" i="108"/>
  <c r="U31" i="108"/>
  <c r="V31" i="108"/>
  <c r="W31" i="108"/>
  <c r="X31" i="108"/>
  <c r="Y31" i="108"/>
  <c r="Z31" i="108"/>
  <c r="AA31" i="108"/>
  <c r="AB31" i="108"/>
  <c r="AC31" i="108"/>
  <c r="AD31" i="108"/>
  <c r="AE31" i="108"/>
  <c r="AF31" i="108"/>
  <c r="T32" i="108"/>
  <c r="U32" i="108"/>
  <c r="V32" i="108"/>
  <c r="W32" i="108"/>
  <c r="X32" i="108"/>
  <c r="Y32" i="108"/>
  <c r="Z32" i="108"/>
  <c r="AA32" i="108"/>
  <c r="AB32" i="108"/>
  <c r="AC32" i="108"/>
  <c r="AD32" i="108"/>
  <c r="AE32" i="108"/>
  <c r="AF32" i="108"/>
  <c r="T33" i="108"/>
  <c r="U33" i="108"/>
  <c r="V33" i="108"/>
  <c r="W33" i="108"/>
  <c r="X33" i="108"/>
  <c r="Y33" i="108"/>
  <c r="Z33" i="108"/>
  <c r="AA33" i="108"/>
  <c r="AB33" i="108"/>
  <c r="AC33" i="108"/>
  <c r="AD33" i="108"/>
  <c r="AE33" i="108"/>
  <c r="AF33" i="108"/>
  <c r="S23" i="108"/>
  <c r="S24" i="108"/>
  <c r="S25" i="108"/>
  <c r="S26" i="108"/>
  <c r="S27" i="108"/>
  <c r="S28" i="108"/>
  <c r="S29" i="108"/>
  <c r="S30" i="108"/>
  <c r="S31" i="108"/>
  <c r="S32" i="108"/>
  <c r="AE41" i="108"/>
  <c r="AC41" i="108"/>
  <c r="AC42" i="108" s="1"/>
  <c r="AA41" i="108"/>
  <c r="AA42" i="108" s="1"/>
  <c r="Y41" i="108"/>
  <c r="Y42" i="108" s="1"/>
  <c r="W41" i="108"/>
  <c r="W42" i="108" s="1"/>
  <c r="U41" i="108"/>
  <c r="U42" i="108" s="1"/>
  <c r="S41" i="108"/>
  <c r="S42" i="108" s="1"/>
  <c r="S33" i="108"/>
  <c r="S22" i="108"/>
  <c r="AF41" i="107"/>
  <c r="AF42" i="107" s="1"/>
  <c r="AE41" i="107"/>
  <c r="AE42" i="107" s="1"/>
  <c r="AD41" i="107"/>
  <c r="AD42" i="107" s="1"/>
  <c r="AC41" i="107"/>
  <c r="AC42" i="107" s="1"/>
  <c r="AB41" i="107"/>
  <c r="AB42" i="107" s="1"/>
  <c r="AA41" i="107"/>
  <c r="AA42" i="107" s="1"/>
  <c r="Z41" i="107"/>
  <c r="Z42" i="107" s="1"/>
  <c r="Y41" i="107"/>
  <c r="Y42" i="107" s="1"/>
  <c r="X41" i="107"/>
  <c r="X42" i="107" s="1"/>
  <c r="W41" i="107"/>
  <c r="W42" i="107" s="1"/>
  <c r="V41" i="107"/>
  <c r="V42" i="107" s="1"/>
  <c r="U41" i="107"/>
  <c r="U42" i="107" s="1"/>
  <c r="T41" i="107"/>
  <c r="T42" i="107" s="1"/>
  <c r="S41" i="107"/>
  <c r="S42" i="107" s="1"/>
  <c r="T22" i="107"/>
  <c r="U22" i="107"/>
  <c r="V22" i="107"/>
  <c r="W22" i="107"/>
  <c r="X22" i="107"/>
  <c r="Y22" i="107"/>
  <c r="Z22" i="107"/>
  <c r="AA22" i="107"/>
  <c r="AB22" i="107"/>
  <c r="AC22" i="107"/>
  <c r="AD22" i="107"/>
  <c r="AE22" i="107"/>
  <c r="AF22" i="107"/>
  <c r="T23" i="107"/>
  <c r="U23" i="107"/>
  <c r="V23" i="107"/>
  <c r="W23" i="107"/>
  <c r="X23" i="107"/>
  <c r="Y23" i="107"/>
  <c r="Z23" i="107"/>
  <c r="AA23" i="107"/>
  <c r="AB23" i="107"/>
  <c r="AC23" i="107"/>
  <c r="AD23" i="107"/>
  <c r="AE23" i="107"/>
  <c r="AF23" i="107"/>
  <c r="T24" i="107"/>
  <c r="U24" i="107"/>
  <c r="V24" i="107"/>
  <c r="W24" i="107"/>
  <c r="X24" i="107"/>
  <c r="Y24" i="107"/>
  <c r="Z24" i="107"/>
  <c r="AA24" i="107"/>
  <c r="AB24" i="107"/>
  <c r="AC24" i="107"/>
  <c r="AD24" i="107"/>
  <c r="AE24" i="107"/>
  <c r="AF24" i="107"/>
  <c r="T25" i="107"/>
  <c r="U25" i="107"/>
  <c r="V25" i="107"/>
  <c r="W25" i="107"/>
  <c r="X25" i="107"/>
  <c r="Y25" i="107"/>
  <c r="Z25" i="107"/>
  <c r="AA25" i="107"/>
  <c r="AB25" i="107"/>
  <c r="AC25" i="107"/>
  <c r="AD25" i="107"/>
  <c r="AE25" i="107"/>
  <c r="AF25" i="107"/>
  <c r="T26" i="107"/>
  <c r="U26" i="107"/>
  <c r="V26" i="107"/>
  <c r="W26" i="107"/>
  <c r="X26" i="107"/>
  <c r="Y26" i="107"/>
  <c r="Z26" i="107"/>
  <c r="AA26" i="107"/>
  <c r="AB26" i="107"/>
  <c r="AC26" i="107"/>
  <c r="AD26" i="107"/>
  <c r="AE26" i="107"/>
  <c r="AF26" i="107"/>
  <c r="T27" i="107"/>
  <c r="U27" i="107"/>
  <c r="V27" i="107"/>
  <c r="W27" i="107"/>
  <c r="X27" i="107"/>
  <c r="Y27" i="107"/>
  <c r="Z27" i="107"/>
  <c r="AA27" i="107"/>
  <c r="AB27" i="107"/>
  <c r="AC27" i="107"/>
  <c r="AD27" i="107"/>
  <c r="AE27" i="107"/>
  <c r="AF27" i="107"/>
  <c r="T28" i="107"/>
  <c r="U28" i="107"/>
  <c r="V28" i="107"/>
  <c r="W28" i="107"/>
  <c r="X28" i="107"/>
  <c r="Y28" i="107"/>
  <c r="Z28" i="107"/>
  <c r="AA28" i="107"/>
  <c r="AB28" i="107"/>
  <c r="AC28" i="107"/>
  <c r="AD28" i="107"/>
  <c r="AE28" i="107"/>
  <c r="AF28" i="107"/>
  <c r="T29" i="107"/>
  <c r="U29" i="107"/>
  <c r="V29" i="107"/>
  <c r="W29" i="107"/>
  <c r="X29" i="107"/>
  <c r="Y29" i="107"/>
  <c r="Z29" i="107"/>
  <c r="AA29" i="107"/>
  <c r="AB29" i="107"/>
  <c r="AC29" i="107"/>
  <c r="AD29" i="107"/>
  <c r="AE29" i="107"/>
  <c r="AF29" i="107"/>
  <c r="T30" i="107"/>
  <c r="U30" i="107"/>
  <c r="V30" i="107"/>
  <c r="W30" i="107"/>
  <c r="X30" i="107"/>
  <c r="Y30" i="107"/>
  <c r="Z30" i="107"/>
  <c r="AA30" i="107"/>
  <c r="AB30" i="107"/>
  <c r="AC30" i="107"/>
  <c r="AD30" i="107"/>
  <c r="AE30" i="107"/>
  <c r="AF30" i="107"/>
  <c r="T31" i="107"/>
  <c r="U31" i="107"/>
  <c r="V31" i="107"/>
  <c r="W31" i="107"/>
  <c r="X31" i="107"/>
  <c r="Y31" i="107"/>
  <c r="Z31" i="107"/>
  <c r="AA31" i="107"/>
  <c r="AB31" i="107"/>
  <c r="AC31" i="107"/>
  <c r="AD31" i="107"/>
  <c r="AE31" i="107"/>
  <c r="AF31" i="107"/>
  <c r="T32" i="107"/>
  <c r="U32" i="107"/>
  <c r="V32" i="107"/>
  <c r="W32" i="107"/>
  <c r="X32" i="107"/>
  <c r="Y32" i="107"/>
  <c r="Z32" i="107"/>
  <c r="AA32" i="107"/>
  <c r="AB32" i="107"/>
  <c r="AC32" i="107"/>
  <c r="AD32" i="107"/>
  <c r="AE32" i="107"/>
  <c r="AF32" i="107"/>
  <c r="T33" i="107"/>
  <c r="U33" i="107"/>
  <c r="V33" i="107"/>
  <c r="W33" i="107"/>
  <c r="X33" i="107"/>
  <c r="Y33" i="107"/>
  <c r="Z33" i="107"/>
  <c r="AA33" i="107"/>
  <c r="AB33" i="107"/>
  <c r="AC33" i="107"/>
  <c r="AD33" i="107"/>
  <c r="AE33" i="107"/>
  <c r="AF33" i="107"/>
  <c r="S33" i="107"/>
  <c r="S32" i="107"/>
  <c r="S31" i="107"/>
  <c r="S30" i="107"/>
  <c r="S29" i="107"/>
  <c r="S28" i="107"/>
  <c r="S27" i="107"/>
  <c r="S26" i="107"/>
  <c r="S25" i="107"/>
  <c r="S24" i="107"/>
  <c r="S23" i="107"/>
  <c r="S22" i="107"/>
  <c r="D58" i="108"/>
  <c r="D58" i="111" s="1"/>
  <c r="E58" i="108"/>
  <c r="E58" i="111" s="1"/>
  <c r="F58" i="108"/>
  <c r="F58" i="111" s="1"/>
  <c r="G58" i="108"/>
  <c r="G58" i="111" s="1"/>
  <c r="H58" i="108"/>
  <c r="H58" i="111" s="1"/>
  <c r="I58" i="108"/>
  <c r="I58" i="111" s="1"/>
  <c r="J58" i="108"/>
  <c r="J58" i="111" s="1"/>
  <c r="K58" i="108"/>
  <c r="K58" i="111" s="1"/>
  <c r="L58" i="108"/>
  <c r="L58" i="111" s="1"/>
  <c r="M58" i="108"/>
  <c r="M58" i="111" s="1"/>
  <c r="N58" i="108"/>
  <c r="N58" i="111" s="1"/>
  <c r="D59" i="108"/>
  <c r="D59" i="111" s="1"/>
  <c r="E59" i="108"/>
  <c r="E59" i="111" s="1"/>
  <c r="F59" i="108"/>
  <c r="F59" i="111" s="1"/>
  <c r="G59" i="108"/>
  <c r="G59" i="111" s="1"/>
  <c r="H59" i="108"/>
  <c r="H59" i="111" s="1"/>
  <c r="I59" i="108"/>
  <c r="I59" i="111" s="1"/>
  <c r="J59" i="108"/>
  <c r="J59" i="111" s="1"/>
  <c r="K59" i="108"/>
  <c r="K59" i="111" s="1"/>
  <c r="L59" i="108"/>
  <c r="L59" i="111" s="1"/>
  <c r="M59" i="108"/>
  <c r="M59" i="111" s="1"/>
  <c r="N59" i="108"/>
  <c r="N59" i="111" s="1"/>
  <c r="D60" i="108"/>
  <c r="D60" i="111" s="1"/>
  <c r="E60" i="108"/>
  <c r="E60" i="111" s="1"/>
  <c r="F60" i="108"/>
  <c r="F60" i="111" s="1"/>
  <c r="G60" i="108"/>
  <c r="G60" i="111" s="1"/>
  <c r="H60" i="108"/>
  <c r="H60" i="111" s="1"/>
  <c r="I60" i="108"/>
  <c r="I60" i="111" s="1"/>
  <c r="J60" i="108"/>
  <c r="J60" i="111" s="1"/>
  <c r="K60" i="108"/>
  <c r="K60" i="111" s="1"/>
  <c r="L60" i="108"/>
  <c r="L60" i="111" s="1"/>
  <c r="M60" i="108"/>
  <c r="M60" i="111" s="1"/>
  <c r="N60" i="108"/>
  <c r="N60" i="111" s="1"/>
  <c r="D61" i="108"/>
  <c r="D61" i="111" s="1"/>
  <c r="E61" i="108"/>
  <c r="E61" i="111" s="1"/>
  <c r="F61" i="108"/>
  <c r="F61" i="111" s="1"/>
  <c r="G61" i="108"/>
  <c r="G61" i="111" s="1"/>
  <c r="H61" i="108"/>
  <c r="H61" i="111" s="1"/>
  <c r="I61" i="108"/>
  <c r="I61" i="111" s="1"/>
  <c r="J61" i="108"/>
  <c r="J61" i="111" s="1"/>
  <c r="K61" i="108"/>
  <c r="K61" i="111" s="1"/>
  <c r="L61" i="108"/>
  <c r="L61" i="111" s="1"/>
  <c r="M61" i="108"/>
  <c r="M61" i="111" s="1"/>
  <c r="N61" i="108"/>
  <c r="N61" i="111" s="1"/>
  <c r="D62" i="108"/>
  <c r="D62" i="111" s="1"/>
  <c r="E62" i="108"/>
  <c r="E62" i="111" s="1"/>
  <c r="F62" i="108"/>
  <c r="F62" i="111" s="1"/>
  <c r="G62" i="108"/>
  <c r="G62" i="111" s="1"/>
  <c r="H62" i="108"/>
  <c r="H62" i="111" s="1"/>
  <c r="I62" i="108"/>
  <c r="I62" i="111" s="1"/>
  <c r="J62" i="108"/>
  <c r="J62" i="111" s="1"/>
  <c r="K62" i="108"/>
  <c r="K62" i="111" s="1"/>
  <c r="L62" i="108"/>
  <c r="L62" i="111" s="1"/>
  <c r="M62" i="108"/>
  <c r="M62" i="111" s="1"/>
  <c r="N62" i="108"/>
  <c r="N62" i="111" s="1"/>
  <c r="D63" i="108"/>
  <c r="D63" i="111" s="1"/>
  <c r="E63" i="108"/>
  <c r="E63" i="111" s="1"/>
  <c r="F63" i="108"/>
  <c r="F63" i="111" s="1"/>
  <c r="G63" i="108"/>
  <c r="G63" i="111" s="1"/>
  <c r="H63" i="108"/>
  <c r="H63" i="111" s="1"/>
  <c r="I63" i="108"/>
  <c r="I63" i="111" s="1"/>
  <c r="J63" i="108"/>
  <c r="J63" i="111" s="1"/>
  <c r="K63" i="108"/>
  <c r="K63" i="111" s="1"/>
  <c r="L63" i="108"/>
  <c r="L63" i="111" s="1"/>
  <c r="M63" i="108"/>
  <c r="M63" i="111" s="1"/>
  <c r="N63" i="108"/>
  <c r="N63" i="111" s="1"/>
  <c r="D64" i="108"/>
  <c r="D64" i="111" s="1"/>
  <c r="E64" i="108"/>
  <c r="E64" i="111" s="1"/>
  <c r="F64" i="108"/>
  <c r="F64" i="111" s="1"/>
  <c r="G64" i="108"/>
  <c r="G64" i="111" s="1"/>
  <c r="H64" i="108"/>
  <c r="H64" i="111" s="1"/>
  <c r="I64" i="108"/>
  <c r="I64" i="111" s="1"/>
  <c r="J64" i="108"/>
  <c r="J64" i="111" s="1"/>
  <c r="K64" i="108"/>
  <c r="K64" i="111" s="1"/>
  <c r="L64" i="108"/>
  <c r="L64" i="111" s="1"/>
  <c r="M64" i="108"/>
  <c r="M64" i="111" s="1"/>
  <c r="N64" i="108"/>
  <c r="N64" i="111" s="1"/>
  <c r="D65" i="108"/>
  <c r="D65" i="111" s="1"/>
  <c r="E65" i="108"/>
  <c r="E65" i="111" s="1"/>
  <c r="F65" i="108"/>
  <c r="F65" i="111" s="1"/>
  <c r="G65" i="108"/>
  <c r="G65" i="111" s="1"/>
  <c r="H65" i="108"/>
  <c r="H65" i="111" s="1"/>
  <c r="I65" i="108"/>
  <c r="I65" i="111" s="1"/>
  <c r="J65" i="108"/>
  <c r="J65" i="111" s="1"/>
  <c r="K65" i="108"/>
  <c r="K65" i="111" s="1"/>
  <c r="L65" i="108"/>
  <c r="L65" i="111" s="1"/>
  <c r="M65" i="108"/>
  <c r="M65" i="111" s="1"/>
  <c r="N65" i="108"/>
  <c r="N65" i="111" s="1"/>
  <c r="D66" i="108"/>
  <c r="D66" i="111" s="1"/>
  <c r="E66" i="108"/>
  <c r="E66" i="111" s="1"/>
  <c r="F66" i="108"/>
  <c r="F66" i="111" s="1"/>
  <c r="G66" i="108"/>
  <c r="G66" i="111" s="1"/>
  <c r="H66" i="108"/>
  <c r="H66" i="111" s="1"/>
  <c r="I66" i="108"/>
  <c r="I66" i="111" s="1"/>
  <c r="J66" i="108"/>
  <c r="J66" i="111" s="1"/>
  <c r="K66" i="108"/>
  <c r="K66" i="111" s="1"/>
  <c r="L66" i="108"/>
  <c r="L66" i="111" s="1"/>
  <c r="M66" i="108"/>
  <c r="M66" i="111" s="1"/>
  <c r="N66" i="108"/>
  <c r="N66" i="111" s="1"/>
  <c r="D67" i="108"/>
  <c r="D67" i="111" s="1"/>
  <c r="E67" i="108"/>
  <c r="E67" i="111" s="1"/>
  <c r="F67" i="108"/>
  <c r="F67" i="111" s="1"/>
  <c r="G67" i="108"/>
  <c r="G67" i="111" s="1"/>
  <c r="H67" i="108"/>
  <c r="H67" i="111" s="1"/>
  <c r="I67" i="108"/>
  <c r="I67" i="111" s="1"/>
  <c r="J67" i="108"/>
  <c r="J67" i="111" s="1"/>
  <c r="K67" i="108"/>
  <c r="K67" i="111" s="1"/>
  <c r="L67" i="108"/>
  <c r="L67" i="111" s="1"/>
  <c r="M67" i="108"/>
  <c r="M67" i="111" s="1"/>
  <c r="N67" i="108"/>
  <c r="N67" i="111" s="1"/>
  <c r="D68" i="108"/>
  <c r="D68" i="111" s="1"/>
  <c r="E68" i="108"/>
  <c r="E68" i="111" s="1"/>
  <c r="F68" i="108"/>
  <c r="F68" i="111" s="1"/>
  <c r="G68" i="108"/>
  <c r="G68" i="111" s="1"/>
  <c r="H68" i="108"/>
  <c r="H68" i="111" s="1"/>
  <c r="I68" i="108"/>
  <c r="I68" i="111" s="1"/>
  <c r="J68" i="108"/>
  <c r="J68" i="111" s="1"/>
  <c r="K68" i="108"/>
  <c r="K68" i="111" s="1"/>
  <c r="L68" i="108"/>
  <c r="L68" i="111" s="1"/>
  <c r="M68" i="108"/>
  <c r="M68" i="111" s="1"/>
  <c r="N68" i="108"/>
  <c r="N68" i="111" s="1"/>
  <c r="D69" i="108"/>
  <c r="D69" i="111" s="1"/>
  <c r="E69" i="108"/>
  <c r="E69" i="111" s="1"/>
  <c r="F69" i="108"/>
  <c r="F69" i="111" s="1"/>
  <c r="G69" i="108"/>
  <c r="G69" i="111" s="1"/>
  <c r="H69" i="108"/>
  <c r="H69" i="111" s="1"/>
  <c r="I69" i="108"/>
  <c r="I69" i="111" s="1"/>
  <c r="J69" i="108"/>
  <c r="J69" i="111" s="1"/>
  <c r="K69" i="108"/>
  <c r="K69" i="111" s="1"/>
  <c r="L69" i="108"/>
  <c r="L69" i="111" s="1"/>
  <c r="M69" i="108"/>
  <c r="M69" i="111" s="1"/>
  <c r="N69" i="108"/>
  <c r="N69" i="111" s="1"/>
  <c r="D70" i="108"/>
  <c r="D70" i="111" s="1"/>
  <c r="E70" i="108"/>
  <c r="E70" i="111" s="1"/>
  <c r="F70" i="108"/>
  <c r="F70" i="111" s="1"/>
  <c r="G70" i="108"/>
  <c r="G70" i="111" s="1"/>
  <c r="H70" i="108"/>
  <c r="H70" i="111" s="1"/>
  <c r="I70" i="108"/>
  <c r="I70" i="111" s="1"/>
  <c r="J70" i="108"/>
  <c r="J70" i="111" s="1"/>
  <c r="K70" i="108"/>
  <c r="K70" i="111" s="1"/>
  <c r="L70" i="108"/>
  <c r="L70" i="111" s="1"/>
  <c r="M70" i="108"/>
  <c r="M70" i="111" s="1"/>
  <c r="N70" i="108"/>
  <c r="N70" i="111" s="1"/>
  <c r="D71" i="108"/>
  <c r="D71" i="111" s="1"/>
  <c r="E71" i="108"/>
  <c r="E71" i="111" s="1"/>
  <c r="F71" i="108"/>
  <c r="F71" i="111" s="1"/>
  <c r="G71" i="108"/>
  <c r="G71" i="111" s="1"/>
  <c r="H71" i="108"/>
  <c r="H71" i="111" s="1"/>
  <c r="I71" i="108"/>
  <c r="I71" i="111" s="1"/>
  <c r="J71" i="108"/>
  <c r="J71" i="111" s="1"/>
  <c r="K71" i="108"/>
  <c r="K71" i="111" s="1"/>
  <c r="L71" i="108"/>
  <c r="L71" i="111" s="1"/>
  <c r="M71" i="108"/>
  <c r="M71" i="111" s="1"/>
  <c r="N71" i="108"/>
  <c r="N71" i="111" s="1"/>
  <c r="D72" i="108"/>
  <c r="D72" i="111" s="1"/>
  <c r="E72" i="108"/>
  <c r="E72" i="111" s="1"/>
  <c r="F72" i="108"/>
  <c r="F72" i="111" s="1"/>
  <c r="G72" i="108"/>
  <c r="G72" i="111" s="1"/>
  <c r="H72" i="108"/>
  <c r="H72" i="111" s="1"/>
  <c r="I72" i="108"/>
  <c r="I72" i="111" s="1"/>
  <c r="J72" i="108"/>
  <c r="J72" i="111" s="1"/>
  <c r="K72" i="108"/>
  <c r="K72" i="111" s="1"/>
  <c r="L72" i="108"/>
  <c r="L72" i="111" s="1"/>
  <c r="M72" i="108"/>
  <c r="M72" i="111" s="1"/>
  <c r="N72" i="108"/>
  <c r="N72" i="111" s="1"/>
  <c r="D73" i="108"/>
  <c r="D73" i="111" s="1"/>
  <c r="E73" i="108"/>
  <c r="E73" i="111" s="1"/>
  <c r="F73" i="108"/>
  <c r="F73" i="111" s="1"/>
  <c r="G73" i="108"/>
  <c r="G73" i="111" s="1"/>
  <c r="H73" i="108"/>
  <c r="H73" i="111" s="1"/>
  <c r="I73" i="108"/>
  <c r="I73" i="111" s="1"/>
  <c r="J73" i="108"/>
  <c r="J73" i="111" s="1"/>
  <c r="K73" i="108"/>
  <c r="K73" i="111" s="1"/>
  <c r="L73" i="108"/>
  <c r="L73" i="111" s="1"/>
  <c r="M73" i="108"/>
  <c r="M73" i="111" s="1"/>
  <c r="N73" i="108"/>
  <c r="N73" i="111" s="1"/>
  <c r="D74" i="108"/>
  <c r="D74" i="111" s="1"/>
  <c r="E74" i="108"/>
  <c r="E74" i="111" s="1"/>
  <c r="F74" i="108"/>
  <c r="F74" i="111" s="1"/>
  <c r="G74" i="108"/>
  <c r="G74" i="111" s="1"/>
  <c r="H74" i="108"/>
  <c r="H74" i="111" s="1"/>
  <c r="I74" i="108"/>
  <c r="I74" i="111" s="1"/>
  <c r="J74" i="108"/>
  <c r="J74" i="111" s="1"/>
  <c r="K74" i="108"/>
  <c r="K74" i="111" s="1"/>
  <c r="L74" i="108"/>
  <c r="L74" i="111" s="1"/>
  <c r="M74" i="108"/>
  <c r="M74" i="111" s="1"/>
  <c r="N74" i="108"/>
  <c r="N74" i="111" s="1"/>
  <c r="D75" i="108"/>
  <c r="D75" i="111" s="1"/>
  <c r="E75" i="108"/>
  <c r="E75" i="111" s="1"/>
  <c r="F75" i="108"/>
  <c r="F75" i="111" s="1"/>
  <c r="G75" i="108"/>
  <c r="G75" i="111" s="1"/>
  <c r="H75" i="108"/>
  <c r="H75" i="111" s="1"/>
  <c r="I75" i="108"/>
  <c r="I75" i="111" s="1"/>
  <c r="J75" i="108"/>
  <c r="J75" i="111" s="1"/>
  <c r="K75" i="108"/>
  <c r="K75" i="111" s="1"/>
  <c r="L75" i="108"/>
  <c r="L75" i="111" s="1"/>
  <c r="M75" i="108"/>
  <c r="M75" i="111" s="1"/>
  <c r="N75" i="108"/>
  <c r="N75" i="111" s="1"/>
  <c r="D76" i="108"/>
  <c r="D76" i="111" s="1"/>
  <c r="E76" i="108"/>
  <c r="E76" i="111" s="1"/>
  <c r="F76" i="108"/>
  <c r="F76" i="111" s="1"/>
  <c r="G76" i="108"/>
  <c r="G76" i="111" s="1"/>
  <c r="H76" i="108"/>
  <c r="H76" i="111" s="1"/>
  <c r="I76" i="108"/>
  <c r="I76" i="111" s="1"/>
  <c r="J76" i="108"/>
  <c r="J76" i="111" s="1"/>
  <c r="K76" i="108"/>
  <c r="K76" i="111" s="1"/>
  <c r="L76" i="108"/>
  <c r="L76" i="111" s="1"/>
  <c r="M76" i="108"/>
  <c r="M76" i="111" s="1"/>
  <c r="N76" i="108"/>
  <c r="N76" i="111" s="1"/>
  <c r="D77" i="108"/>
  <c r="D77" i="111" s="1"/>
  <c r="E77" i="108"/>
  <c r="E77" i="111" s="1"/>
  <c r="F77" i="108"/>
  <c r="F77" i="111" s="1"/>
  <c r="G77" i="108"/>
  <c r="G77" i="111" s="1"/>
  <c r="H77" i="108"/>
  <c r="H77" i="111" s="1"/>
  <c r="I77" i="108"/>
  <c r="I77" i="111" s="1"/>
  <c r="J77" i="108"/>
  <c r="J77" i="111" s="1"/>
  <c r="K77" i="108"/>
  <c r="K77" i="111" s="1"/>
  <c r="L77" i="108"/>
  <c r="L77" i="111" s="1"/>
  <c r="M77" i="108"/>
  <c r="M77" i="111" s="1"/>
  <c r="N77" i="108"/>
  <c r="N77" i="111" s="1"/>
  <c r="D78" i="108"/>
  <c r="D78" i="111" s="1"/>
  <c r="E78" i="108"/>
  <c r="E78" i="111" s="1"/>
  <c r="F78" i="108"/>
  <c r="F78" i="111" s="1"/>
  <c r="G78" i="108"/>
  <c r="G78" i="111" s="1"/>
  <c r="H78" i="108"/>
  <c r="H78" i="111" s="1"/>
  <c r="I78" i="108"/>
  <c r="I78" i="111" s="1"/>
  <c r="J78" i="108"/>
  <c r="J78" i="111" s="1"/>
  <c r="K78" i="108"/>
  <c r="K78" i="111" s="1"/>
  <c r="L78" i="108"/>
  <c r="L78" i="111" s="1"/>
  <c r="M78" i="108"/>
  <c r="M78" i="111" s="1"/>
  <c r="N78" i="108"/>
  <c r="N78" i="111" s="1"/>
  <c r="D79" i="108"/>
  <c r="D79" i="111" s="1"/>
  <c r="E79" i="108"/>
  <c r="E79" i="111" s="1"/>
  <c r="F79" i="108"/>
  <c r="F79" i="111" s="1"/>
  <c r="G79" i="108"/>
  <c r="G79" i="111" s="1"/>
  <c r="H79" i="108"/>
  <c r="H79" i="111" s="1"/>
  <c r="I79" i="108"/>
  <c r="I79" i="111" s="1"/>
  <c r="J79" i="108"/>
  <c r="J79" i="111" s="1"/>
  <c r="K79" i="108"/>
  <c r="K79" i="111" s="1"/>
  <c r="L79" i="108"/>
  <c r="L79" i="111" s="1"/>
  <c r="M79" i="108"/>
  <c r="M79" i="111" s="1"/>
  <c r="N79" i="108"/>
  <c r="N79" i="111" s="1"/>
  <c r="D80" i="108"/>
  <c r="D80" i="111" s="1"/>
  <c r="E80" i="108"/>
  <c r="E80" i="111" s="1"/>
  <c r="F80" i="108"/>
  <c r="F80" i="111" s="1"/>
  <c r="G80" i="108"/>
  <c r="G80" i="111" s="1"/>
  <c r="H80" i="108"/>
  <c r="H80" i="111" s="1"/>
  <c r="I80" i="108"/>
  <c r="I80" i="111" s="1"/>
  <c r="J80" i="108"/>
  <c r="J80" i="111" s="1"/>
  <c r="K80" i="108"/>
  <c r="K80" i="111" s="1"/>
  <c r="L80" i="108"/>
  <c r="L80" i="111" s="1"/>
  <c r="M80" i="108"/>
  <c r="M80" i="111" s="1"/>
  <c r="N80" i="108"/>
  <c r="N80" i="111" s="1"/>
  <c r="D81" i="108"/>
  <c r="D81" i="111" s="1"/>
  <c r="E81" i="108"/>
  <c r="E81" i="111" s="1"/>
  <c r="F81" i="108"/>
  <c r="F81" i="111" s="1"/>
  <c r="G81" i="108"/>
  <c r="G81" i="111" s="1"/>
  <c r="H81" i="108"/>
  <c r="H81" i="111" s="1"/>
  <c r="I81" i="108"/>
  <c r="I81" i="111" s="1"/>
  <c r="J81" i="108"/>
  <c r="J81" i="111" s="1"/>
  <c r="K81" i="108"/>
  <c r="K81" i="111" s="1"/>
  <c r="L81" i="108"/>
  <c r="L81" i="111" s="1"/>
  <c r="M81" i="108"/>
  <c r="M81" i="111" s="1"/>
  <c r="N81" i="108"/>
  <c r="N81" i="111" s="1"/>
  <c r="D82" i="108"/>
  <c r="D82" i="111" s="1"/>
  <c r="E82" i="108"/>
  <c r="E82" i="111" s="1"/>
  <c r="F82" i="108"/>
  <c r="F82" i="111" s="1"/>
  <c r="G82" i="108"/>
  <c r="G82" i="111" s="1"/>
  <c r="H82" i="108"/>
  <c r="H82" i="111" s="1"/>
  <c r="I82" i="108"/>
  <c r="I82" i="111" s="1"/>
  <c r="J82" i="108"/>
  <c r="J82" i="111" s="1"/>
  <c r="K82" i="108"/>
  <c r="K82" i="111" s="1"/>
  <c r="L82" i="108"/>
  <c r="L82" i="111" s="1"/>
  <c r="M82" i="108"/>
  <c r="M82" i="111" s="1"/>
  <c r="N82" i="108"/>
  <c r="N82" i="111" s="1"/>
  <c r="D83" i="108"/>
  <c r="D83" i="111" s="1"/>
  <c r="E83" i="108"/>
  <c r="E83" i="111" s="1"/>
  <c r="F83" i="108"/>
  <c r="F83" i="111" s="1"/>
  <c r="G83" i="108"/>
  <c r="G83" i="111" s="1"/>
  <c r="H83" i="108"/>
  <c r="H83" i="111" s="1"/>
  <c r="I83" i="108"/>
  <c r="I83" i="111" s="1"/>
  <c r="J83" i="108"/>
  <c r="J83" i="111" s="1"/>
  <c r="K83" i="108"/>
  <c r="K83" i="111" s="1"/>
  <c r="L83" i="108"/>
  <c r="L83" i="111" s="1"/>
  <c r="M83" i="108"/>
  <c r="M83" i="111" s="1"/>
  <c r="N83" i="108"/>
  <c r="N83" i="111" s="1"/>
  <c r="D84" i="108"/>
  <c r="D84" i="111" s="1"/>
  <c r="E84" i="108"/>
  <c r="E84" i="111" s="1"/>
  <c r="F84" i="108"/>
  <c r="F84" i="111" s="1"/>
  <c r="G84" i="108"/>
  <c r="G84" i="111" s="1"/>
  <c r="H84" i="108"/>
  <c r="H84" i="111" s="1"/>
  <c r="I84" i="108"/>
  <c r="I84" i="111" s="1"/>
  <c r="J84" i="108"/>
  <c r="J84" i="111" s="1"/>
  <c r="K84" i="108"/>
  <c r="K84" i="111" s="1"/>
  <c r="L84" i="108"/>
  <c r="L84" i="111" s="1"/>
  <c r="M84" i="108"/>
  <c r="M84" i="111" s="1"/>
  <c r="N84" i="108"/>
  <c r="N84" i="111" s="1"/>
  <c r="D85" i="108"/>
  <c r="D85" i="111" s="1"/>
  <c r="E85" i="108"/>
  <c r="E85" i="111" s="1"/>
  <c r="F85" i="108"/>
  <c r="F85" i="111" s="1"/>
  <c r="G85" i="108"/>
  <c r="G85" i="111" s="1"/>
  <c r="H85" i="108"/>
  <c r="H85" i="111" s="1"/>
  <c r="I85" i="108"/>
  <c r="I85" i="111" s="1"/>
  <c r="J85" i="108"/>
  <c r="J85" i="111" s="1"/>
  <c r="K85" i="108"/>
  <c r="K85" i="111" s="1"/>
  <c r="L85" i="108"/>
  <c r="L85" i="111" s="1"/>
  <c r="M85" i="108"/>
  <c r="M85" i="111" s="1"/>
  <c r="N85" i="108"/>
  <c r="N85" i="111" s="1"/>
  <c r="D86" i="108"/>
  <c r="D86" i="111" s="1"/>
  <c r="E86" i="108"/>
  <c r="E86" i="111" s="1"/>
  <c r="F86" i="108"/>
  <c r="F86" i="111" s="1"/>
  <c r="G86" i="108"/>
  <c r="G86" i="111" s="1"/>
  <c r="H86" i="108"/>
  <c r="H86" i="111" s="1"/>
  <c r="I86" i="108"/>
  <c r="I86" i="111" s="1"/>
  <c r="J86" i="108"/>
  <c r="J86" i="111" s="1"/>
  <c r="K86" i="108"/>
  <c r="K86" i="111" s="1"/>
  <c r="L86" i="108"/>
  <c r="L86" i="111" s="1"/>
  <c r="M86" i="108"/>
  <c r="M86" i="111" s="1"/>
  <c r="N86" i="108"/>
  <c r="N86" i="111" s="1"/>
  <c r="D87" i="108"/>
  <c r="D87" i="111" s="1"/>
  <c r="E87" i="108"/>
  <c r="E87" i="111" s="1"/>
  <c r="F87" i="108"/>
  <c r="F87" i="111" s="1"/>
  <c r="G87" i="108"/>
  <c r="G87" i="111" s="1"/>
  <c r="H87" i="108"/>
  <c r="H87" i="111" s="1"/>
  <c r="I87" i="108"/>
  <c r="I87" i="111" s="1"/>
  <c r="J87" i="108"/>
  <c r="J87" i="111" s="1"/>
  <c r="K87" i="108"/>
  <c r="K87" i="111" s="1"/>
  <c r="L87" i="108"/>
  <c r="L87" i="111" s="1"/>
  <c r="M87" i="108"/>
  <c r="M87" i="111" s="1"/>
  <c r="N87" i="108"/>
  <c r="N87" i="111" s="1"/>
  <c r="D88" i="108"/>
  <c r="D88" i="111" s="1"/>
  <c r="E88" i="108"/>
  <c r="E88" i="111" s="1"/>
  <c r="F88" i="108"/>
  <c r="F88" i="111" s="1"/>
  <c r="G88" i="108"/>
  <c r="G88" i="111" s="1"/>
  <c r="H88" i="108"/>
  <c r="H88" i="111" s="1"/>
  <c r="I88" i="108"/>
  <c r="I88" i="111" s="1"/>
  <c r="J88" i="108"/>
  <c r="J88" i="111" s="1"/>
  <c r="K88" i="108"/>
  <c r="K88" i="111" s="1"/>
  <c r="L88" i="108"/>
  <c r="L88" i="111" s="1"/>
  <c r="M88" i="108"/>
  <c r="M88" i="111" s="1"/>
  <c r="N88" i="108"/>
  <c r="N88" i="111" s="1"/>
  <c r="D89" i="108"/>
  <c r="D89" i="111" s="1"/>
  <c r="E89" i="108"/>
  <c r="E89" i="111" s="1"/>
  <c r="F89" i="108"/>
  <c r="F89" i="111" s="1"/>
  <c r="G89" i="108"/>
  <c r="G89" i="111" s="1"/>
  <c r="H89" i="108"/>
  <c r="H89" i="111" s="1"/>
  <c r="I89" i="108"/>
  <c r="I89" i="111" s="1"/>
  <c r="J89" i="108"/>
  <c r="J89" i="111" s="1"/>
  <c r="K89" i="108"/>
  <c r="K89" i="111" s="1"/>
  <c r="L89" i="108"/>
  <c r="L89" i="111" s="1"/>
  <c r="M89" i="108"/>
  <c r="M89" i="111" s="1"/>
  <c r="N89" i="108"/>
  <c r="N89" i="111" s="1"/>
  <c r="D90" i="108"/>
  <c r="D90" i="111" s="1"/>
  <c r="E90" i="108"/>
  <c r="E90" i="111" s="1"/>
  <c r="F90" i="108"/>
  <c r="F90" i="111" s="1"/>
  <c r="G90" i="108"/>
  <c r="G90" i="111" s="1"/>
  <c r="H90" i="108"/>
  <c r="H90" i="111" s="1"/>
  <c r="I90" i="108"/>
  <c r="I90" i="111" s="1"/>
  <c r="J90" i="108"/>
  <c r="J90" i="111" s="1"/>
  <c r="K90" i="108"/>
  <c r="K90" i="111" s="1"/>
  <c r="L90" i="108"/>
  <c r="L90" i="111" s="1"/>
  <c r="M90" i="108"/>
  <c r="M90" i="111" s="1"/>
  <c r="N90" i="108"/>
  <c r="N90" i="111" s="1"/>
  <c r="D91" i="108"/>
  <c r="D91" i="111" s="1"/>
  <c r="E91" i="108"/>
  <c r="E91" i="111" s="1"/>
  <c r="F91" i="108"/>
  <c r="F91" i="111" s="1"/>
  <c r="G91" i="108"/>
  <c r="G91" i="111" s="1"/>
  <c r="H91" i="108"/>
  <c r="H91" i="111" s="1"/>
  <c r="I91" i="108"/>
  <c r="I91" i="111" s="1"/>
  <c r="J91" i="108"/>
  <c r="J91" i="111" s="1"/>
  <c r="K91" i="108"/>
  <c r="K91" i="111" s="1"/>
  <c r="L91" i="108"/>
  <c r="L91" i="111" s="1"/>
  <c r="M91" i="108"/>
  <c r="M91" i="111" s="1"/>
  <c r="N91" i="108"/>
  <c r="N91" i="111" s="1"/>
  <c r="D92" i="108"/>
  <c r="D92" i="111" s="1"/>
  <c r="E92" i="108"/>
  <c r="E92" i="111" s="1"/>
  <c r="F92" i="108"/>
  <c r="F92" i="111" s="1"/>
  <c r="G92" i="108"/>
  <c r="G92" i="111" s="1"/>
  <c r="H92" i="108"/>
  <c r="H92" i="111" s="1"/>
  <c r="I92" i="108"/>
  <c r="I92" i="111" s="1"/>
  <c r="J92" i="108"/>
  <c r="J92" i="111" s="1"/>
  <c r="K92" i="108"/>
  <c r="K92" i="111" s="1"/>
  <c r="L92" i="108"/>
  <c r="L92" i="111" s="1"/>
  <c r="M92" i="108"/>
  <c r="M92" i="111" s="1"/>
  <c r="N92" i="108"/>
  <c r="N92" i="111" s="1"/>
  <c r="D93" i="108"/>
  <c r="D93" i="111" s="1"/>
  <c r="E93" i="108"/>
  <c r="E93" i="111" s="1"/>
  <c r="F93" i="108"/>
  <c r="F93" i="111" s="1"/>
  <c r="G93" i="108"/>
  <c r="G93" i="111" s="1"/>
  <c r="H93" i="108"/>
  <c r="H93" i="111" s="1"/>
  <c r="I93" i="108"/>
  <c r="I93" i="111" s="1"/>
  <c r="J93" i="108"/>
  <c r="J93" i="111" s="1"/>
  <c r="K93" i="108"/>
  <c r="K93" i="111" s="1"/>
  <c r="L93" i="108"/>
  <c r="L93" i="111" s="1"/>
  <c r="M93" i="108"/>
  <c r="M93" i="111" s="1"/>
  <c r="N93" i="108"/>
  <c r="N93" i="111" s="1"/>
  <c r="D94" i="108"/>
  <c r="D94" i="111" s="1"/>
  <c r="E94" i="108"/>
  <c r="E94" i="111" s="1"/>
  <c r="F94" i="108"/>
  <c r="F94" i="111" s="1"/>
  <c r="G94" i="108"/>
  <c r="G94" i="111" s="1"/>
  <c r="H94" i="108"/>
  <c r="H94" i="111" s="1"/>
  <c r="I94" i="108"/>
  <c r="I94" i="111" s="1"/>
  <c r="J94" i="108"/>
  <c r="J94" i="111" s="1"/>
  <c r="K94" i="108"/>
  <c r="K94" i="111" s="1"/>
  <c r="L94" i="108"/>
  <c r="L94" i="111" s="1"/>
  <c r="M94" i="108"/>
  <c r="M94" i="111" s="1"/>
  <c r="N94" i="108"/>
  <c r="N94" i="111" s="1"/>
  <c r="D95" i="108"/>
  <c r="D95" i="111" s="1"/>
  <c r="E95" i="108"/>
  <c r="E95" i="111" s="1"/>
  <c r="F95" i="108"/>
  <c r="F95" i="111" s="1"/>
  <c r="G95" i="108"/>
  <c r="G95" i="111" s="1"/>
  <c r="H95" i="108"/>
  <c r="H95" i="111" s="1"/>
  <c r="I95" i="108"/>
  <c r="I95" i="111" s="1"/>
  <c r="J95" i="108"/>
  <c r="J95" i="111" s="1"/>
  <c r="K95" i="108"/>
  <c r="K95" i="111" s="1"/>
  <c r="L95" i="108"/>
  <c r="L95" i="111" s="1"/>
  <c r="M95" i="108"/>
  <c r="M95" i="111" s="1"/>
  <c r="N95" i="108"/>
  <c r="N95" i="111" s="1"/>
  <c r="D96" i="108"/>
  <c r="D96" i="111" s="1"/>
  <c r="E96" i="108"/>
  <c r="E96" i="111" s="1"/>
  <c r="F96" i="108"/>
  <c r="F96" i="111" s="1"/>
  <c r="G96" i="108"/>
  <c r="G96" i="111" s="1"/>
  <c r="H96" i="108"/>
  <c r="H96" i="111" s="1"/>
  <c r="I96" i="108"/>
  <c r="I96" i="111" s="1"/>
  <c r="J96" i="108"/>
  <c r="J96" i="111" s="1"/>
  <c r="K96" i="108"/>
  <c r="K96" i="111" s="1"/>
  <c r="L96" i="108"/>
  <c r="L96" i="111" s="1"/>
  <c r="M96" i="108"/>
  <c r="M96" i="111" s="1"/>
  <c r="N96" i="108"/>
  <c r="N96" i="111" s="1"/>
  <c r="D97" i="108"/>
  <c r="D97" i="111" s="1"/>
  <c r="E97" i="108"/>
  <c r="E97" i="111" s="1"/>
  <c r="F97" i="108"/>
  <c r="F97" i="111" s="1"/>
  <c r="G97" i="108"/>
  <c r="G97" i="111" s="1"/>
  <c r="H97" i="108"/>
  <c r="H97" i="111" s="1"/>
  <c r="I97" i="108"/>
  <c r="I97" i="111" s="1"/>
  <c r="J97" i="108"/>
  <c r="J97" i="111" s="1"/>
  <c r="K97" i="108"/>
  <c r="K97" i="111" s="1"/>
  <c r="L97" i="108"/>
  <c r="L97" i="111" s="1"/>
  <c r="M97" i="108"/>
  <c r="M97" i="111" s="1"/>
  <c r="N97" i="108"/>
  <c r="N97" i="111" s="1"/>
  <c r="D98" i="108"/>
  <c r="D98" i="111" s="1"/>
  <c r="E98" i="108"/>
  <c r="E98" i="111" s="1"/>
  <c r="F98" i="108"/>
  <c r="F98" i="111" s="1"/>
  <c r="G98" i="108"/>
  <c r="G98" i="111" s="1"/>
  <c r="H98" i="108"/>
  <c r="H98" i="111" s="1"/>
  <c r="I98" i="108"/>
  <c r="I98" i="111" s="1"/>
  <c r="J98" i="108"/>
  <c r="J98" i="111" s="1"/>
  <c r="K98" i="108"/>
  <c r="K98" i="111" s="1"/>
  <c r="L98" i="108"/>
  <c r="L98" i="111" s="1"/>
  <c r="M98" i="108"/>
  <c r="M98" i="111" s="1"/>
  <c r="N98" i="108"/>
  <c r="N98" i="111" s="1"/>
  <c r="D99" i="108"/>
  <c r="D99" i="111" s="1"/>
  <c r="E99" i="108"/>
  <c r="E99" i="111" s="1"/>
  <c r="F99" i="108"/>
  <c r="F99" i="111" s="1"/>
  <c r="G99" i="108"/>
  <c r="G99" i="111" s="1"/>
  <c r="H99" i="108"/>
  <c r="H99" i="111" s="1"/>
  <c r="I99" i="108"/>
  <c r="I99" i="111" s="1"/>
  <c r="J99" i="108"/>
  <c r="J99" i="111" s="1"/>
  <c r="K99" i="108"/>
  <c r="K99" i="111" s="1"/>
  <c r="L99" i="108"/>
  <c r="L99" i="111" s="1"/>
  <c r="M99" i="108"/>
  <c r="M99" i="111" s="1"/>
  <c r="N99" i="108"/>
  <c r="N99" i="111" s="1"/>
  <c r="D100" i="108"/>
  <c r="D100" i="111" s="1"/>
  <c r="E100" i="108"/>
  <c r="E100" i="111" s="1"/>
  <c r="F100" i="108"/>
  <c r="F100" i="111" s="1"/>
  <c r="G100" i="108"/>
  <c r="G100" i="111" s="1"/>
  <c r="H100" i="108"/>
  <c r="H100" i="111" s="1"/>
  <c r="I100" i="108"/>
  <c r="I100" i="111" s="1"/>
  <c r="J100" i="108"/>
  <c r="J100" i="111" s="1"/>
  <c r="K100" i="108"/>
  <c r="K100" i="111" s="1"/>
  <c r="L100" i="108"/>
  <c r="L100" i="111" s="1"/>
  <c r="M100" i="108"/>
  <c r="M100" i="111" s="1"/>
  <c r="N100" i="108"/>
  <c r="N100" i="111" s="1"/>
  <c r="D101" i="108"/>
  <c r="D101" i="111" s="1"/>
  <c r="E101" i="108"/>
  <c r="E101" i="111" s="1"/>
  <c r="F101" i="108"/>
  <c r="F101" i="111" s="1"/>
  <c r="G101" i="108"/>
  <c r="G101" i="111" s="1"/>
  <c r="H101" i="108"/>
  <c r="H101" i="111" s="1"/>
  <c r="I101" i="108"/>
  <c r="I101" i="111" s="1"/>
  <c r="J101" i="108"/>
  <c r="J101" i="111" s="1"/>
  <c r="K101" i="108"/>
  <c r="K101" i="111" s="1"/>
  <c r="L101" i="108"/>
  <c r="L101" i="111" s="1"/>
  <c r="M101" i="108"/>
  <c r="M101" i="111" s="1"/>
  <c r="N101" i="108"/>
  <c r="N101" i="111" s="1"/>
  <c r="D102" i="108"/>
  <c r="D102" i="111" s="1"/>
  <c r="E102" i="108"/>
  <c r="E102" i="111" s="1"/>
  <c r="F102" i="108"/>
  <c r="F102" i="111" s="1"/>
  <c r="G102" i="108"/>
  <c r="G102" i="111" s="1"/>
  <c r="H102" i="108"/>
  <c r="H102" i="111" s="1"/>
  <c r="I102" i="108"/>
  <c r="I102" i="111" s="1"/>
  <c r="J102" i="108"/>
  <c r="J102" i="111" s="1"/>
  <c r="K102" i="108"/>
  <c r="K102" i="111" s="1"/>
  <c r="L102" i="108"/>
  <c r="L102" i="111" s="1"/>
  <c r="M102" i="108"/>
  <c r="M102" i="111" s="1"/>
  <c r="N102" i="108"/>
  <c r="N102" i="111" s="1"/>
  <c r="D103" i="108"/>
  <c r="D103" i="111" s="1"/>
  <c r="E103" i="108"/>
  <c r="E103" i="111" s="1"/>
  <c r="F103" i="108"/>
  <c r="F103" i="111" s="1"/>
  <c r="G103" i="108"/>
  <c r="G103" i="111" s="1"/>
  <c r="H103" i="108"/>
  <c r="H103" i="111" s="1"/>
  <c r="I103" i="108"/>
  <c r="I103" i="111" s="1"/>
  <c r="J103" i="108"/>
  <c r="J103" i="111" s="1"/>
  <c r="K103" i="108"/>
  <c r="K103" i="111" s="1"/>
  <c r="L103" i="108"/>
  <c r="L103" i="111" s="1"/>
  <c r="M103" i="108"/>
  <c r="M103" i="111" s="1"/>
  <c r="N103" i="108"/>
  <c r="N103" i="111" s="1"/>
  <c r="D104" i="108"/>
  <c r="D104" i="111" s="1"/>
  <c r="E104" i="108"/>
  <c r="E104" i="111" s="1"/>
  <c r="F104" i="108"/>
  <c r="F104" i="111" s="1"/>
  <c r="G104" i="108"/>
  <c r="G104" i="111" s="1"/>
  <c r="H104" i="108"/>
  <c r="H104" i="111" s="1"/>
  <c r="I104" i="108"/>
  <c r="I104" i="111" s="1"/>
  <c r="J104" i="108"/>
  <c r="J104" i="111" s="1"/>
  <c r="K104" i="108"/>
  <c r="K104" i="111" s="1"/>
  <c r="L104" i="108"/>
  <c r="L104" i="111" s="1"/>
  <c r="M104" i="108"/>
  <c r="M104" i="111" s="1"/>
  <c r="N104" i="108"/>
  <c r="N104" i="111" s="1"/>
  <c r="D105" i="108"/>
  <c r="D105" i="111" s="1"/>
  <c r="E105" i="108"/>
  <c r="E105" i="111" s="1"/>
  <c r="F105" i="108"/>
  <c r="F105" i="111" s="1"/>
  <c r="G105" i="108"/>
  <c r="G105" i="111" s="1"/>
  <c r="H105" i="108"/>
  <c r="H105" i="111" s="1"/>
  <c r="I105" i="108"/>
  <c r="I105" i="111" s="1"/>
  <c r="J105" i="108"/>
  <c r="J105" i="111" s="1"/>
  <c r="K105" i="108"/>
  <c r="K105" i="111" s="1"/>
  <c r="L105" i="108"/>
  <c r="L105" i="111" s="1"/>
  <c r="M105" i="108"/>
  <c r="M105" i="111" s="1"/>
  <c r="N105" i="108"/>
  <c r="N105" i="111" s="1"/>
  <c r="C59" i="108"/>
  <c r="C60" i="108"/>
  <c r="P60" i="108" s="1"/>
  <c r="C61" i="108"/>
  <c r="C62" i="108"/>
  <c r="P62" i="108" s="1"/>
  <c r="C63" i="108"/>
  <c r="C64" i="108"/>
  <c r="P64" i="108" s="1"/>
  <c r="C65" i="108"/>
  <c r="C66" i="108"/>
  <c r="P66" i="108" s="1"/>
  <c r="C67" i="108"/>
  <c r="C68" i="108"/>
  <c r="P68" i="108" s="1"/>
  <c r="C69" i="108"/>
  <c r="C70" i="108"/>
  <c r="P70" i="108" s="1"/>
  <c r="C71" i="108"/>
  <c r="C72" i="108"/>
  <c r="P72" i="108" s="1"/>
  <c r="C73" i="108"/>
  <c r="C74" i="108"/>
  <c r="P74" i="108" s="1"/>
  <c r="C75" i="108"/>
  <c r="C76" i="108"/>
  <c r="P76" i="108" s="1"/>
  <c r="C77" i="108"/>
  <c r="C78" i="108"/>
  <c r="P78" i="108" s="1"/>
  <c r="C79" i="108"/>
  <c r="C80" i="108"/>
  <c r="P80" i="108" s="1"/>
  <c r="C81" i="108"/>
  <c r="C82" i="108"/>
  <c r="P82" i="108" s="1"/>
  <c r="C83" i="108"/>
  <c r="C84" i="108"/>
  <c r="P84" i="108" s="1"/>
  <c r="C85" i="108"/>
  <c r="C86" i="108"/>
  <c r="P86" i="108" s="1"/>
  <c r="C87" i="108"/>
  <c r="C88" i="108"/>
  <c r="P88" i="108" s="1"/>
  <c r="C89" i="108"/>
  <c r="C90" i="108"/>
  <c r="P90" i="108" s="1"/>
  <c r="C91" i="108"/>
  <c r="C92" i="108"/>
  <c r="P92" i="108" s="1"/>
  <c r="C93" i="108"/>
  <c r="C94" i="108"/>
  <c r="P94" i="108" s="1"/>
  <c r="C95" i="108"/>
  <c r="C96" i="108"/>
  <c r="P96" i="108" s="1"/>
  <c r="C97" i="108"/>
  <c r="C98" i="108"/>
  <c r="P98" i="108" s="1"/>
  <c r="C99" i="108"/>
  <c r="C100" i="108"/>
  <c r="P100" i="108" s="1"/>
  <c r="C101" i="108"/>
  <c r="C102" i="108"/>
  <c r="P102" i="108" s="1"/>
  <c r="C103" i="108"/>
  <c r="C104" i="108"/>
  <c r="P104" i="108" s="1"/>
  <c r="C105" i="108"/>
  <c r="C58" i="108"/>
  <c r="P58" i="108" s="1"/>
  <c r="D106" i="107"/>
  <c r="E106" i="107"/>
  <c r="F106" i="107"/>
  <c r="G106" i="107"/>
  <c r="H106" i="107"/>
  <c r="I106" i="107"/>
  <c r="J106" i="107"/>
  <c r="K106" i="107"/>
  <c r="L106" i="107"/>
  <c r="M106" i="107"/>
  <c r="N106" i="107"/>
  <c r="O106" i="107"/>
  <c r="P106" i="107"/>
  <c r="C106" i="107"/>
  <c r="P105" i="107"/>
  <c r="O105" i="107"/>
  <c r="P104" i="107"/>
  <c r="O104" i="107"/>
  <c r="P103" i="107"/>
  <c r="O103" i="107"/>
  <c r="P102" i="107"/>
  <c r="O102" i="107"/>
  <c r="P101" i="107"/>
  <c r="O101" i="107"/>
  <c r="P100" i="107"/>
  <c r="O100" i="107"/>
  <c r="P99" i="107"/>
  <c r="O99" i="107"/>
  <c r="P98" i="107"/>
  <c r="O98" i="107"/>
  <c r="P97" i="107"/>
  <c r="O97" i="107"/>
  <c r="P96" i="107"/>
  <c r="O96" i="107"/>
  <c r="P95" i="107"/>
  <c r="O95" i="107"/>
  <c r="P94" i="107"/>
  <c r="O94" i="107"/>
  <c r="P93" i="107"/>
  <c r="O93" i="107"/>
  <c r="P92" i="107"/>
  <c r="O92" i="107"/>
  <c r="P91" i="107"/>
  <c r="O91" i="107"/>
  <c r="P90" i="107"/>
  <c r="O90" i="107"/>
  <c r="P89" i="107"/>
  <c r="O89" i="107"/>
  <c r="P88" i="107"/>
  <c r="O88" i="107"/>
  <c r="P87" i="107"/>
  <c r="O87" i="107"/>
  <c r="P86" i="107"/>
  <c r="O86" i="107"/>
  <c r="P85" i="107"/>
  <c r="O85" i="107"/>
  <c r="P84" i="107"/>
  <c r="O84" i="107"/>
  <c r="P83" i="107"/>
  <c r="O83" i="107"/>
  <c r="P82" i="107"/>
  <c r="O82" i="107"/>
  <c r="P81" i="107"/>
  <c r="O81" i="107"/>
  <c r="P80" i="107"/>
  <c r="O80" i="107"/>
  <c r="P79" i="107"/>
  <c r="O79" i="107"/>
  <c r="P78" i="107"/>
  <c r="O78" i="107"/>
  <c r="P77" i="107"/>
  <c r="O77" i="107"/>
  <c r="P76" i="107"/>
  <c r="O76" i="107"/>
  <c r="P75" i="107"/>
  <c r="O75" i="107"/>
  <c r="P74" i="107"/>
  <c r="O74" i="107"/>
  <c r="P73" i="107"/>
  <c r="O73" i="107"/>
  <c r="P72" i="107"/>
  <c r="O72" i="107"/>
  <c r="P71" i="107"/>
  <c r="O71" i="107"/>
  <c r="P70" i="107"/>
  <c r="O70" i="107"/>
  <c r="P69" i="107"/>
  <c r="O69" i="107"/>
  <c r="P68" i="107"/>
  <c r="O68" i="107"/>
  <c r="P67" i="107"/>
  <c r="O67" i="107"/>
  <c r="P66" i="107"/>
  <c r="O66" i="107"/>
  <c r="P65" i="107"/>
  <c r="O65" i="107"/>
  <c r="P64" i="107"/>
  <c r="O64" i="107"/>
  <c r="P63" i="107"/>
  <c r="O63" i="107"/>
  <c r="P62" i="107"/>
  <c r="O62" i="107"/>
  <c r="P61" i="107"/>
  <c r="O61" i="107"/>
  <c r="P60" i="107"/>
  <c r="O60" i="107"/>
  <c r="P59" i="107"/>
  <c r="O59" i="107"/>
  <c r="P58" i="107"/>
  <c r="O58" i="107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H67" i="107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M76" i="107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E79" i="107"/>
  <c r="F79" i="107"/>
  <c r="G79" i="107"/>
  <c r="H79" i="107"/>
  <c r="I79" i="107"/>
  <c r="J79" i="107"/>
  <c r="K79" i="107"/>
  <c r="L79" i="107"/>
  <c r="M79" i="107"/>
  <c r="N79" i="107"/>
  <c r="D80" i="107"/>
  <c r="E80" i="107"/>
  <c r="F80" i="107"/>
  <c r="G80" i="107"/>
  <c r="H80" i="107"/>
  <c r="I80" i="107"/>
  <c r="J80" i="107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G82" i="107"/>
  <c r="H82" i="107"/>
  <c r="I82" i="107"/>
  <c r="J82" i="107"/>
  <c r="K82" i="107"/>
  <c r="L82" i="107"/>
  <c r="M82" i="107"/>
  <c r="N82" i="107"/>
  <c r="D83" i="107"/>
  <c r="E83" i="107"/>
  <c r="F83" i="107"/>
  <c r="G83" i="107"/>
  <c r="H83" i="107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K85" i="107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F87" i="107"/>
  <c r="G87" i="107"/>
  <c r="H87" i="107"/>
  <c r="I87" i="107"/>
  <c r="J87" i="107"/>
  <c r="K87" i="107"/>
  <c r="L87" i="107"/>
  <c r="M87" i="107"/>
  <c r="N87" i="107"/>
  <c r="D88" i="107"/>
  <c r="E88" i="107"/>
  <c r="F88" i="107"/>
  <c r="G88" i="107"/>
  <c r="H88" i="107"/>
  <c r="I88" i="107"/>
  <c r="J88" i="107"/>
  <c r="K88" i="107"/>
  <c r="L88" i="107"/>
  <c r="M88" i="107"/>
  <c r="N88" i="107"/>
  <c r="D89" i="107"/>
  <c r="E89" i="107"/>
  <c r="F89" i="107"/>
  <c r="G89" i="107"/>
  <c r="H89" i="107"/>
  <c r="I89" i="107"/>
  <c r="J89" i="107"/>
  <c r="K89" i="107"/>
  <c r="L89" i="107"/>
  <c r="M89" i="107"/>
  <c r="N89" i="107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E91" i="107"/>
  <c r="F91" i="107"/>
  <c r="G91" i="107"/>
  <c r="H91" i="107"/>
  <c r="I91" i="107"/>
  <c r="J91" i="107"/>
  <c r="K91" i="107"/>
  <c r="L91" i="107"/>
  <c r="M91" i="107"/>
  <c r="N91" i="107"/>
  <c r="D92" i="107"/>
  <c r="E92" i="107"/>
  <c r="F92" i="107"/>
  <c r="G92" i="107"/>
  <c r="H92" i="107"/>
  <c r="I92" i="107"/>
  <c r="J92" i="107"/>
  <c r="K92" i="107"/>
  <c r="L92" i="107"/>
  <c r="M92" i="107"/>
  <c r="N92" i="107"/>
  <c r="D93" i="107"/>
  <c r="E93" i="107"/>
  <c r="F93" i="107"/>
  <c r="G93" i="107"/>
  <c r="H93" i="107"/>
  <c r="I93" i="107"/>
  <c r="J93" i="107"/>
  <c r="K93" i="107"/>
  <c r="L93" i="107"/>
  <c r="M93" i="107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E95" i="107"/>
  <c r="F95" i="107"/>
  <c r="G95" i="107"/>
  <c r="H95" i="107"/>
  <c r="I95" i="107"/>
  <c r="J95" i="107"/>
  <c r="K95" i="107"/>
  <c r="L95" i="107"/>
  <c r="M95" i="107"/>
  <c r="N95" i="107"/>
  <c r="D96" i="107"/>
  <c r="E96" i="107"/>
  <c r="F96" i="107"/>
  <c r="G96" i="107"/>
  <c r="H96" i="107"/>
  <c r="I96" i="107"/>
  <c r="J96" i="107"/>
  <c r="K96" i="107"/>
  <c r="L96" i="107"/>
  <c r="M96" i="107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F98" i="107"/>
  <c r="G98" i="107"/>
  <c r="H98" i="107"/>
  <c r="I98" i="107"/>
  <c r="J98" i="107"/>
  <c r="K98" i="107"/>
  <c r="L98" i="107"/>
  <c r="M98" i="107"/>
  <c r="N98" i="107"/>
  <c r="D99" i="107"/>
  <c r="E99" i="107"/>
  <c r="F99" i="107"/>
  <c r="G99" i="107"/>
  <c r="H99" i="107"/>
  <c r="I99" i="107"/>
  <c r="J99" i="107"/>
  <c r="K99" i="107"/>
  <c r="L99" i="107"/>
  <c r="M99" i="107"/>
  <c r="N99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6" i="107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C99" i="107"/>
  <c r="C100" i="107"/>
  <c r="C101" i="107"/>
  <c r="C102" i="107"/>
  <c r="C103" i="107"/>
  <c r="C104" i="107"/>
  <c r="C105" i="107"/>
  <c r="C58" i="107"/>
  <c r="C105" i="111" l="1"/>
  <c r="P105" i="108"/>
  <c r="C103" i="111"/>
  <c r="P103" i="108"/>
  <c r="C101" i="111"/>
  <c r="P101" i="108"/>
  <c r="C99" i="111"/>
  <c r="P99" i="108"/>
  <c r="C97" i="111"/>
  <c r="P97" i="108"/>
  <c r="C95" i="111"/>
  <c r="P95" i="108"/>
  <c r="C93" i="111"/>
  <c r="P93" i="108"/>
  <c r="C91" i="111"/>
  <c r="P91" i="108"/>
  <c r="C89" i="111"/>
  <c r="P89" i="108"/>
  <c r="C87" i="111"/>
  <c r="P87" i="108"/>
  <c r="C85" i="111"/>
  <c r="P85" i="108"/>
  <c r="C83" i="111"/>
  <c r="P83" i="108"/>
  <c r="C81" i="111"/>
  <c r="P81" i="108"/>
  <c r="C79" i="111"/>
  <c r="P79" i="108"/>
  <c r="C77" i="111"/>
  <c r="P77" i="108"/>
  <c r="C75" i="111"/>
  <c r="P75" i="108"/>
  <c r="C73" i="111"/>
  <c r="P73" i="108"/>
  <c r="C71" i="111"/>
  <c r="P71" i="108"/>
  <c r="C69" i="111"/>
  <c r="P69" i="108"/>
  <c r="C67" i="111"/>
  <c r="P67" i="108"/>
  <c r="C65" i="111"/>
  <c r="P65" i="108"/>
  <c r="C63" i="111"/>
  <c r="P63" i="108"/>
  <c r="C61" i="111"/>
  <c r="P61" i="108"/>
  <c r="C59" i="111"/>
  <c r="P59" i="108"/>
  <c r="O59" i="108"/>
  <c r="O61" i="108"/>
  <c r="O63" i="108"/>
  <c r="O65" i="108"/>
  <c r="O67" i="108"/>
  <c r="O69" i="108"/>
  <c r="O71" i="108"/>
  <c r="O73" i="108"/>
  <c r="O75" i="108"/>
  <c r="O77" i="108"/>
  <c r="O79" i="108"/>
  <c r="O81" i="108"/>
  <c r="O83" i="108"/>
  <c r="O85" i="108"/>
  <c r="O87" i="108"/>
  <c r="O89" i="108"/>
  <c r="O91" i="108"/>
  <c r="O93" i="108"/>
  <c r="O95" i="108"/>
  <c r="O97" i="108"/>
  <c r="O99" i="108"/>
  <c r="O101" i="108"/>
  <c r="O103" i="108"/>
  <c r="O105" i="108"/>
  <c r="C58" i="111"/>
  <c r="P58" i="111" s="1"/>
  <c r="C102" i="111"/>
  <c r="O102" i="111" s="1"/>
  <c r="C98" i="111"/>
  <c r="P98" i="111" s="1"/>
  <c r="C94" i="111"/>
  <c r="S31" i="111" s="1"/>
  <c r="C90" i="111"/>
  <c r="P90" i="111" s="1"/>
  <c r="C86" i="111"/>
  <c r="O86" i="111" s="1"/>
  <c r="C82" i="111"/>
  <c r="P82" i="111" s="1"/>
  <c r="C78" i="111"/>
  <c r="P78" i="111" s="1"/>
  <c r="C74" i="111"/>
  <c r="P74" i="111" s="1"/>
  <c r="C70" i="111"/>
  <c r="O70" i="111" s="1"/>
  <c r="C66" i="111"/>
  <c r="P66" i="111" s="1"/>
  <c r="C62" i="111"/>
  <c r="S23" i="111" s="1"/>
  <c r="O58" i="108"/>
  <c r="O60" i="108"/>
  <c r="O62" i="108"/>
  <c r="O64" i="108"/>
  <c r="O66" i="108"/>
  <c r="O68" i="108"/>
  <c r="O70" i="108"/>
  <c r="O72" i="108"/>
  <c r="O74" i="108"/>
  <c r="O76" i="108"/>
  <c r="O78" i="108"/>
  <c r="O80" i="108"/>
  <c r="O82" i="108"/>
  <c r="O84" i="108"/>
  <c r="O86" i="108"/>
  <c r="O88" i="108"/>
  <c r="O90" i="108"/>
  <c r="O92" i="108"/>
  <c r="O94" i="108"/>
  <c r="O96" i="108"/>
  <c r="O98" i="108"/>
  <c r="O100" i="108"/>
  <c r="O102" i="108"/>
  <c r="O104" i="108"/>
  <c r="C104" i="111"/>
  <c r="O104" i="111" s="1"/>
  <c r="C100" i="111"/>
  <c r="O100" i="111" s="1"/>
  <c r="C96" i="111"/>
  <c r="O96" i="111" s="1"/>
  <c r="C92" i="111"/>
  <c r="O92" i="111" s="1"/>
  <c r="C88" i="111"/>
  <c r="O88" i="111" s="1"/>
  <c r="C84" i="111"/>
  <c r="O84" i="111" s="1"/>
  <c r="C80" i="111"/>
  <c r="O80" i="111" s="1"/>
  <c r="C76" i="111"/>
  <c r="O76" i="111" s="1"/>
  <c r="C72" i="111"/>
  <c r="O72" i="111" s="1"/>
  <c r="C68" i="111"/>
  <c r="O68" i="111" s="1"/>
  <c r="C64" i="111"/>
  <c r="O64" i="111" s="1"/>
  <c r="C60" i="111"/>
  <c r="O60" i="111" s="1"/>
  <c r="AA32" i="111"/>
  <c r="W32" i="111"/>
  <c r="AC30" i="111"/>
  <c r="Y30" i="111"/>
  <c r="U30" i="111"/>
  <c r="AA28" i="111"/>
  <c r="W28" i="111"/>
  <c r="AC26" i="111"/>
  <c r="Y26" i="111"/>
  <c r="U26" i="111"/>
  <c r="AA24" i="111"/>
  <c r="W24" i="111"/>
  <c r="AC22" i="111"/>
  <c r="Y22" i="111"/>
  <c r="U22" i="111"/>
  <c r="P86" i="111"/>
  <c r="P104" i="111"/>
  <c r="AB33" i="111"/>
  <c r="P96" i="111"/>
  <c r="P88" i="111"/>
  <c r="P64" i="111"/>
  <c r="P72" i="111"/>
  <c r="P80" i="111"/>
  <c r="O105" i="111"/>
  <c r="P105" i="111"/>
  <c r="O103" i="111"/>
  <c r="P103" i="111"/>
  <c r="O101" i="111"/>
  <c r="P101" i="111"/>
  <c r="O99" i="111"/>
  <c r="P99" i="111"/>
  <c r="O97" i="111"/>
  <c r="P97" i="111"/>
  <c r="O95" i="111"/>
  <c r="P95" i="111"/>
  <c r="O93" i="111"/>
  <c r="P93" i="111"/>
  <c r="O91" i="111"/>
  <c r="P91" i="111"/>
  <c r="O89" i="111"/>
  <c r="P89" i="111"/>
  <c r="O87" i="111"/>
  <c r="P87" i="111"/>
  <c r="O85" i="111"/>
  <c r="P85" i="111"/>
  <c r="O83" i="111"/>
  <c r="P83" i="111"/>
  <c r="O81" i="111"/>
  <c r="P81" i="111"/>
  <c r="O79" i="111"/>
  <c r="P79" i="111"/>
  <c r="O77" i="111"/>
  <c r="P77" i="111"/>
  <c r="O75" i="111"/>
  <c r="P75" i="111"/>
  <c r="O73" i="111"/>
  <c r="P73" i="111"/>
  <c r="O71" i="111"/>
  <c r="P71" i="111"/>
  <c r="O69" i="111"/>
  <c r="P69" i="111"/>
  <c r="O67" i="111"/>
  <c r="P67" i="111"/>
  <c r="O65" i="111"/>
  <c r="P65" i="111"/>
  <c r="O63" i="111"/>
  <c r="P63" i="111"/>
  <c r="O61" i="111"/>
  <c r="P61" i="111"/>
  <c r="O59" i="111"/>
  <c r="P59" i="111"/>
  <c r="AD33" i="111"/>
  <c r="Z33" i="111"/>
  <c r="X33" i="111"/>
  <c r="V33" i="111"/>
  <c r="T33" i="111"/>
  <c r="AC32" i="111"/>
  <c r="Y32" i="111"/>
  <c r="U32" i="111"/>
  <c r="AD32" i="111"/>
  <c r="AB32" i="111"/>
  <c r="Z32" i="111"/>
  <c r="X32" i="111"/>
  <c r="V32" i="111"/>
  <c r="T32" i="111"/>
  <c r="AD31" i="111"/>
  <c r="AB31" i="111"/>
  <c r="Z31" i="111"/>
  <c r="X31" i="111"/>
  <c r="V31" i="111"/>
  <c r="T31" i="111"/>
  <c r="AA30" i="111"/>
  <c r="W30" i="111"/>
  <c r="AD30" i="111"/>
  <c r="AB30" i="111"/>
  <c r="Z30" i="111"/>
  <c r="X30" i="111"/>
  <c r="V30" i="111"/>
  <c r="T30" i="111"/>
  <c r="AD29" i="111"/>
  <c r="AB29" i="111"/>
  <c r="Z29" i="111"/>
  <c r="X29" i="111"/>
  <c r="V29" i="111"/>
  <c r="T29" i="111"/>
  <c r="AC28" i="111"/>
  <c r="Y28" i="111"/>
  <c r="U28" i="111"/>
  <c r="AD28" i="111"/>
  <c r="AB28" i="111"/>
  <c r="Z28" i="111"/>
  <c r="X28" i="111"/>
  <c r="V28" i="111"/>
  <c r="T28" i="111"/>
  <c r="AD27" i="111"/>
  <c r="AB27" i="111"/>
  <c r="Z27" i="111"/>
  <c r="X27" i="111"/>
  <c r="V27" i="111"/>
  <c r="T27" i="111"/>
  <c r="AA26" i="111"/>
  <c r="W26" i="111"/>
  <c r="AD26" i="111"/>
  <c r="AB26" i="111"/>
  <c r="Z26" i="111"/>
  <c r="X26" i="111"/>
  <c r="V26" i="111"/>
  <c r="T26" i="111"/>
  <c r="AD25" i="111"/>
  <c r="AB25" i="111"/>
  <c r="Z25" i="111"/>
  <c r="X25" i="111"/>
  <c r="V25" i="111"/>
  <c r="T25" i="111"/>
  <c r="AC24" i="111"/>
  <c r="Y24" i="111"/>
  <c r="U24" i="111"/>
  <c r="AD24" i="111"/>
  <c r="AB24" i="111"/>
  <c r="Z24" i="111"/>
  <c r="X24" i="111"/>
  <c r="V24" i="111"/>
  <c r="T24" i="111"/>
  <c r="AD23" i="111"/>
  <c r="AB23" i="111"/>
  <c r="Z23" i="111"/>
  <c r="X23" i="111"/>
  <c r="V23" i="111"/>
  <c r="T23" i="111"/>
  <c r="AA22" i="111"/>
  <c r="W22" i="111"/>
  <c r="AD22" i="111"/>
  <c r="AB22" i="111"/>
  <c r="Z22" i="111"/>
  <c r="X22" i="111"/>
  <c r="V22" i="111"/>
  <c r="T22" i="111"/>
  <c r="S32" i="111"/>
  <c r="AC33" i="111"/>
  <c r="AA33" i="111"/>
  <c r="Y33" i="111"/>
  <c r="W33" i="111"/>
  <c r="U33" i="111"/>
  <c r="AC31" i="111"/>
  <c r="AA31" i="111"/>
  <c r="Y31" i="111"/>
  <c r="W31" i="111"/>
  <c r="U31" i="111"/>
  <c r="AC29" i="111"/>
  <c r="AA29" i="111"/>
  <c r="Y29" i="111"/>
  <c r="W29" i="111"/>
  <c r="U29" i="111"/>
  <c r="AC27" i="111"/>
  <c r="AA27" i="111"/>
  <c r="Y27" i="111"/>
  <c r="W27" i="111"/>
  <c r="U27" i="111"/>
  <c r="AC25" i="111"/>
  <c r="AA25" i="111"/>
  <c r="Y25" i="111"/>
  <c r="W25" i="111"/>
  <c r="U25" i="111"/>
  <c r="AC23" i="111"/>
  <c r="AA23" i="111"/>
  <c r="Y23" i="111"/>
  <c r="W23" i="111"/>
  <c r="U23" i="111"/>
  <c r="O58" i="111"/>
  <c r="O66" i="111"/>
  <c r="O74" i="111"/>
  <c r="O82" i="111"/>
  <c r="O90" i="111"/>
  <c r="O98" i="111"/>
  <c r="G5" i="94"/>
  <c r="O11" i="93"/>
  <c r="C58" i="93"/>
  <c r="D58" i="93"/>
  <c r="C106" i="105"/>
  <c r="C58" i="99"/>
  <c r="D5" i="110"/>
  <c r="C3" i="94"/>
  <c r="AE26" i="111" l="1"/>
  <c r="O62" i="111"/>
  <c r="AE23" i="111" s="1"/>
  <c r="S24" i="111"/>
  <c r="O94" i="111"/>
  <c r="AE28" i="111"/>
  <c r="S28" i="111"/>
  <c r="S33" i="111"/>
  <c r="AE25" i="111"/>
  <c r="S29" i="111"/>
  <c r="S25" i="111"/>
  <c r="P102" i="111"/>
  <c r="AF33" i="111" s="1"/>
  <c r="P70" i="111"/>
  <c r="AF25" i="111" s="1"/>
  <c r="S27" i="111"/>
  <c r="AE32" i="111"/>
  <c r="AE30" i="111"/>
  <c r="O78" i="111"/>
  <c r="AE27" i="111" s="1"/>
  <c r="S26" i="111"/>
  <c r="S30" i="111"/>
  <c r="S22" i="111"/>
  <c r="AE29" i="111"/>
  <c r="AE33" i="111"/>
  <c r="P84" i="111"/>
  <c r="AF28" i="111" s="1"/>
  <c r="P76" i="111"/>
  <c r="AF26" i="111" s="1"/>
  <c r="P68" i="111"/>
  <c r="AF24" i="111" s="1"/>
  <c r="P60" i="111"/>
  <c r="AF22" i="111" s="1"/>
  <c r="P92" i="111"/>
  <c r="AF30" i="111" s="1"/>
  <c r="P100" i="111"/>
  <c r="AF32" i="111" s="1"/>
  <c r="P94" i="111"/>
  <c r="AF31" i="111" s="1"/>
  <c r="P62" i="111"/>
  <c r="AE24" i="111"/>
  <c r="AE22" i="111"/>
  <c r="AF23" i="111"/>
  <c r="AF27" i="111"/>
  <c r="AF29" i="111"/>
  <c r="AE31" i="111"/>
  <c r="K6" i="98"/>
  <c r="K6" i="100" s="1"/>
  <c r="K6" i="109" s="1"/>
  <c r="K6" i="110" s="1"/>
  <c r="G5" i="98"/>
  <c r="G5" i="99" s="1"/>
  <c r="G5" i="100" s="1"/>
  <c r="G5" i="101" s="1"/>
  <c r="G5" i="109" s="1"/>
  <c r="G5" i="105" s="1"/>
  <c r="G5" i="110" s="1"/>
  <c r="G5" i="103" s="1"/>
  <c r="K6" i="97"/>
  <c r="G5" i="97"/>
  <c r="K6" i="96"/>
  <c r="G5" i="96"/>
  <c r="K6" i="95"/>
  <c r="G5" i="95"/>
  <c r="G6" i="108"/>
  <c r="G6" i="103"/>
  <c r="G6" i="107" s="1"/>
  <c r="G6" i="105"/>
  <c r="G6" i="101"/>
  <c r="G6" i="99"/>
  <c r="G6" i="97"/>
  <c r="G6" i="95"/>
  <c r="D6" i="108"/>
  <c r="D6" i="103"/>
  <c r="D6" i="107" s="1"/>
  <c r="D6" i="105"/>
  <c r="D6" i="101"/>
  <c r="D6" i="99"/>
  <c r="D6" i="97"/>
  <c r="D6" i="95"/>
  <c r="D5" i="109"/>
  <c r="D5" i="100"/>
  <c r="D5" i="98"/>
  <c r="D5" i="96"/>
  <c r="D5" i="94"/>
  <c r="K6" i="104" l="1"/>
  <c r="K6" i="108" s="1"/>
  <c r="K6" i="111" s="1"/>
  <c r="K6" i="107"/>
  <c r="K5" i="107"/>
  <c r="K5" i="108"/>
  <c r="K5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Y39" i="109" s="1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Z19" i="105"/>
  <c r="Y19" i="105"/>
  <c r="X19" i="105"/>
  <c r="X39" i="105" s="1"/>
  <c r="W19" i="105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AA27" i="99" s="1"/>
  <c r="Z19" i="99"/>
  <c r="Y19" i="99"/>
  <c r="X19" i="99"/>
  <c r="W19" i="99"/>
  <c r="W27" i="99" s="1"/>
  <c r="V19" i="99"/>
  <c r="V27" i="99" s="1"/>
  <c r="U19" i="99"/>
  <c r="T19" i="99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T27" i="99" l="1"/>
  <c r="V39" i="105"/>
  <c r="Z39" i="105"/>
  <c r="W39" i="105"/>
  <c r="AA39" i="105"/>
  <c r="X26" i="98"/>
  <c r="AA39" i="101"/>
  <c r="AA26" i="9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L106" i="108" s="1"/>
  <c r="H10" i="108"/>
  <c r="H106" i="108" s="1"/>
  <c r="D10" i="108"/>
  <c r="D106" i="108" s="1"/>
  <c r="V13" i="109"/>
  <c r="AD13" i="109"/>
  <c r="V15" i="109"/>
  <c r="AD15" i="109"/>
  <c r="C10" i="108"/>
  <c r="C106" i="108" s="1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W38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U38" i="109" s="1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Y38" i="105" s="1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N106" i="108" l="1"/>
  <c r="F106" i="108"/>
  <c r="M106" i="108"/>
  <c r="I106" i="108"/>
  <c r="E106" i="108"/>
  <c r="J106" i="108"/>
  <c r="K106" i="108"/>
  <c r="G106" i="108"/>
  <c r="AF32" i="101"/>
  <c r="AF33" i="101"/>
  <c r="Z26" i="95"/>
  <c r="T36" i="105"/>
  <c r="S38" i="105"/>
  <c r="V19" i="108"/>
  <c r="AB26" i="98"/>
  <c r="X26" i="96"/>
  <c r="X36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AD12" i="111" s="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Y34" i="108" s="1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AD39" i="107" s="1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U36" i="107" s="1"/>
  <c r="S19" i="107"/>
  <c r="S36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O10" i="107"/>
  <c r="X35" i="105"/>
  <c r="U39" i="107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P106" i="108" l="1"/>
  <c r="O106" i="108"/>
  <c r="G106" i="111"/>
  <c r="H106" i="111"/>
  <c r="I106" i="111"/>
  <c r="C106" i="111"/>
  <c r="J106" i="111"/>
  <c r="K106" i="111"/>
  <c r="F106" i="111"/>
  <c r="N106" i="111"/>
  <c r="E106" i="111"/>
  <c r="M106" i="111"/>
  <c r="D106" i="111"/>
  <c r="L106" i="111"/>
  <c r="V36" i="108"/>
  <c r="X42" i="109"/>
  <c r="T12" i="111"/>
  <c r="T13" i="111"/>
  <c r="V22" i="93"/>
  <c r="AE24" i="98"/>
  <c r="V39" i="107"/>
  <c r="AF10" i="108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AA41" i="111" s="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D41" i="111" l="1"/>
  <c r="X41" i="111"/>
  <c r="T41" i="111"/>
  <c r="Y41" i="111"/>
  <c r="U41" i="111"/>
  <c r="AB41" i="111"/>
  <c r="V41" i="111"/>
  <c r="W41" i="111"/>
  <c r="Z41" i="111"/>
  <c r="AC41" i="111"/>
  <c r="S41" i="111"/>
  <c r="O106" i="111"/>
  <c r="P106" i="111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AD42" i="111" s="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T42" i="111" s="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42" i="111" s="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AF42" i="108" s="1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E42" i="108" s="1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X42" i="111" l="1"/>
  <c r="AE41" i="111"/>
  <c r="S42" i="111"/>
  <c r="AC42" i="111"/>
  <c r="W42" i="111"/>
  <c r="AB42" i="111"/>
  <c r="U42" i="111"/>
  <c r="Y42" i="111"/>
  <c r="AF34" i="111"/>
  <c r="AF41" i="111"/>
  <c r="Z42" i="111"/>
  <c r="V42" i="111"/>
  <c r="AF37" i="111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AF42" i="111" s="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E42" i="111" l="1"/>
</calcChain>
</file>

<file path=xl/sharedStrings.xml><?xml version="1.0" encoding="utf-8"?>
<sst xmlns="http://schemas.openxmlformats.org/spreadsheetml/2006/main" count="2357" uniqueCount="194">
  <si>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</si>
  <si>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</si>
  <si>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</si>
  <si>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</si>
  <si>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</si>
  <si>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</si>
  <si>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</si>
  <si>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</si>
  <si>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</si>
  <si>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</si>
  <si>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</si>
  <si>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</si>
  <si>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</si>
  <si>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</si>
  <si>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</si>
  <si>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</si>
  <si>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</si>
  <si>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</si>
  <si>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</si>
  <si>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</si>
  <si>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</si>
  <si>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</si>
  <si>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</si>
  <si>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</si>
  <si>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</si>
  <si>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</si>
  <si>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</si>
  <si>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</si>
  <si>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</si>
  <si>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</si>
  <si>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</si>
  <si>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</si>
  <si>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</si>
  <si>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</si>
  <si>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</si>
  <si>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</si>
  <si>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</si>
  <si>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</si>
  <si>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</si>
  <si>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</si>
  <si>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</si>
  <si>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</si>
  <si>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</si>
  <si>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</si>
  <si>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</si>
  <si>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</si>
  <si>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</si>
  <si>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</si>
  <si>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</si>
  <si>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</si>
  <si>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</si>
  <si>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</si>
  <si>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</si>
  <si>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</si>
  <si>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</si>
  <si>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</si>
  <si>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</si>
  <si>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</si>
  <si>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</si>
  <si>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</si>
  <si>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</si>
  <si>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</si>
  <si>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</si>
  <si>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</si>
  <si>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</si>
  <si>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</si>
  <si>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</si>
  <si>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</si>
  <si>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</si>
  <si>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</si>
  <si>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</si>
  <si>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</si>
  <si>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</si>
  <si>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</si>
  <si>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</si>
  <si>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</si>
  <si>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</si>
  <si>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</si>
  <si>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</si>
  <si>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</si>
  <si>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</si>
  <si>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</si>
  <si>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</si>
  <si>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</si>
  <si>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</si>
  <si>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</si>
  <si>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</si>
  <si>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</si>
  <si>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</si>
  <si>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</si>
  <si>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</si>
  <si>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</si>
  <si>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</si>
  <si>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</si>
  <si>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</si>
  <si>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</si>
  <si>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</si>
  <si>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</si>
  <si>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</si>
  <si>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</si>
  <si>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</si>
  <si>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</si>
  <si>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</si>
  <si>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</si>
  <si>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</si>
  <si>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</si>
  <si>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</si>
  <si>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</si>
  <si>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</si>
  <si>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</si>
  <si>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</si>
  <si>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</si>
  <si>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</si>
  <si>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</si>
  <si>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</si>
  <si>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</si>
  <si>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</si>
  <si>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</si>
  <si>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</si>
  <si>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</si>
  <si>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</si>
  <si>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</si>
  <si>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</si>
  <si>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</si>
  <si>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</si>
  <si>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</si>
  <si>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</si>
  <si>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</si>
  <si>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</si>
  <si>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</si>
  <si>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</si>
  <si>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</si>
  <si>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</si>
  <si>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</si>
  <si>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</si>
  <si>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</si>
  <si>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</si>
  <si>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</si>
  <si>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</si>
  <si>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</si>
  <si>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</si>
  <si>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</si>
  <si>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</si>
  <si>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</si>
  <si>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</si>
  <si>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</si>
  <si>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</si>
  <si>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</si>
  <si>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</si>
  <si>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</si>
  <si>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</si>
  <si>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</si>
  <si>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</si>
  <si>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</si>
  <si>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</si>
  <si>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</si>
  <si>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</si>
  <si>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</si>
  <si>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</si>
  <si>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</si>
  <si>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</si>
  <si>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</si>
  <si>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</si>
  <si>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MCC - CI - STN03 - KALINDA ROAD</t>
  </si>
  <si>
    <t>Kizito Geofrey</t>
  </si>
  <si>
    <t>01.08.19</t>
  </si>
  <si>
    <t>04.08.19</t>
  </si>
  <si>
    <t>03.08.19</t>
  </si>
  <si>
    <t xml:space="preserve"> </t>
  </si>
  <si>
    <t>02.08.19</t>
  </si>
  <si>
    <t>Babirye Phiona</t>
  </si>
  <si>
    <t>31.07.19</t>
  </si>
  <si>
    <t>30.07.19</t>
  </si>
  <si>
    <t>29.07.19</t>
  </si>
  <si>
    <t>MCC - C1 - STN44- NAKAWA-JINJA ROAD</t>
  </si>
  <si>
    <t>Spear Motors Limited</t>
  </si>
  <si>
    <t>Spear Motors</t>
  </si>
  <si>
    <t>URA</t>
  </si>
  <si>
    <t>Ntombi Ivan</t>
  </si>
  <si>
    <t>Felix</t>
  </si>
  <si>
    <t xml:space="preserve">Spear Motors   </t>
  </si>
  <si>
    <t xml:space="preserve">Spear Motors  </t>
  </si>
  <si>
    <t>Ahimbisibwe faith &amp; Asibazoyo Jennipher</t>
  </si>
  <si>
    <t>Asibazuyo Jennipher &amp; Ahimbisibwe Faith</t>
  </si>
  <si>
    <t>Asibazuyo</t>
  </si>
  <si>
    <t>Laira &amp; Daniel Munanura</t>
  </si>
  <si>
    <t>Nusulah</t>
  </si>
  <si>
    <t>Nanjamba Catherine &amp; Nyombi Ivan</t>
  </si>
  <si>
    <t>Opio Dickson &amp;Nyombi Ivan</t>
  </si>
  <si>
    <t>Nusurah</t>
  </si>
  <si>
    <t>Nyombi Ivan &amp; Opio Dickson</t>
  </si>
  <si>
    <t>Asibazuyo &amp; Ahimbisibwe</t>
  </si>
  <si>
    <t>Opio Dickson &amp; Bright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</si>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</sst>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69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Spear Motors -URA'!$AE$9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Spear Motors 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Spear Motors -URA'!$AE$10:$AE$21</c:f>
              <c:numCache>
                <c:formatCode>0</c:formatCode>
                <c:ptCount val="12"/>
                <c:pt idx="0">
                  <c:v>283</c:v>
                </c:pt>
                <c:pt idx="1">
                  <c:v>309</c:v>
                </c:pt>
                <c:pt idx="2">
                  <c:v>218</c:v>
                </c:pt>
                <c:pt idx="3">
                  <c:v>237</c:v>
                </c:pt>
                <c:pt idx="4">
                  <c:v>282</c:v>
                </c:pt>
                <c:pt idx="5">
                  <c:v>271</c:v>
                </c:pt>
                <c:pt idx="6">
                  <c:v>290</c:v>
                </c:pt>
                <c:pt idx="7">
                  <c:v>297</c:v>
                </c:pt>
                <c:pt idx="8">
                  <c:v>292</c:v>
                </c:pt>
                <c:pt idx="9">
                  <c:v>279</c:v>
                </c:pt>
                <c:pt idx="10">
                  <c:v>251</c:v>
                </c:pt>
                <c:pt idx="11">
                  <c:v>239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'29.07 Spear Motors -URA'!$AF$9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Spear Motors 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Spear Motors -URA'!$AF$10:$AF$21</c:f>
              <c:numCache>
                <c:formatCode>0</c:formatCode>
                <c:ptCount val="12"/>
                <c:pt idx="0">
                  <c:v>1059</c:v>
                </c:pt>
                <c:pt idx="1">
                  <c:v>1207</c:v>
                </c:pt>
                <c:pt idx="2">
                  <c:v>1633</c:v>
                </c:pt>
                <c:pt idx="3">
                  <c:v>1327</c:v>
                </c:pt>
                <c:pt idx="4">
                  <c:v>949</c:v>
                </c:pt>
                <c:pt idx="5">
                  <c:v>910</c:v>
                </c:pt>
                <c:pt idx="6">
                  <c:v>891</c:v>
                </c:pt>
                <c:pt idx="7">
                  <c:v>747</c:v>
                </c:pt>
                <c:pt idx="8">
                  <c:v>662</c:v>
                </c:pt>
                <c:pt idx="9">
                  <c:v>833</c:v>
                </c:pt>
                <c:pt idx="10">
                  <c:v>968</c:v>
                </c:pt>
                <c:pt idx="11">
                  <c:v>946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635200"/>
        <c:axId val="79637120"/>
      </c:lineChart>
      <c:catAx>
        <c:axId val="796352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9637120"/>
        <c:crosses val="autoZero"/>
        <c:auto val="1"/>
        <c:lblAlgn val="ctr"/>
        <c:lblOffset val="100"/>
        <c:noMultiLvlLbl val="0"/>
      </c:catAx>
      <c:valAx>
        <c:axId val="796371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963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Spear Motors 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Spear Motors -URA'!$C$59:$N$59</c:f>
              <c:numCache>
                <c:formatCode>0.0%</c:formatCode>
                <c:ptCount val="12"/>
                <c:pt idx="0">
                  <c:v>0.13097593142103528</c:v>
                </c:pt>
                <c:pt idx="1">
                  <c:v>4.4098252555225849E-2</c:v>
                </c:pt>
                <c:pt idx="2">
                  <c:v>2.7035938015166502E-2</c:v>
                </c:pt>
                <c:pt idx="3">
                  <c:v>2.4151005605011541E-2</c:v>
                </c:pt>
                <c:pt idx="4">
                  <c:v>5.3577316188592149E-3</c:v>
                </c:pt>
                <c:pt idx="5">
                  <c:v>2.4727992087042531E-4</c:v>
                </c:pt>
                <c:pt idx="6">
                  <c:v>5.9347181008902079E-3</c:v>
                </c:pt>
                <c:pt idx="7">
                  <c:v>7.2535443455324757E-3</c:v>
                </c:pt>
                <c:pt idx="8">
                  <c:v>7.5008242664029012E-3</c:v>
                </c:pt>
                <c:pt idx="9">
                  <c:v>1.5166501813386087E-2</c:v>
                </c:pt>
                <c:pt idx="10">
                  <c:v>0.73227827233761955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Spear Motors 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Spear Motors -URA'!$C$60:$N$60</c:f>
              <c:numCache>
                <c:formatCode>0.00%</c:formatCode>
                <c:ptCount val="12"/>
                <c:pt idx="0">
                  <c:v>0.48922413793103448</c:v>
                </c:pt>
                <c:pt idx="1">
                  <c:v>0.16471674876847289</c:v>
                </c:pt>
                <c:pt idx="2">
                  <c:v>0.10098522167487685</c:v>
                </c:pt>
                <c:pt idx="3">
                  <c:v>9.0209359605911324E-2</c:v>
                </c:pt>
                <c:pt idx="4">
                  <c:v>2.001231527093596E-2</c:v>
                </c:pt>
                <c:pt idx="5">
                  <c:v>9.2364532019704429E-4</c:v>
                </c:pt>
                <c:pt idx="6">
                  <c:v>2.2167487684729065E-2</c:v>
                </c:pt>
                <c:pt idx="7">
                  <c:v>2.7093596059113302E-2</c:v>
                </c:pt>
                <c:pt idx="8">
                  <c:v>2.8017241379310345E-2</c:v>
                </c:pt>
                <c:pt idx="9">
                  <c:v>5.6650246305418719E-2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URA-Spear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URA-Spear Motors'!$AE$10:$AE$21</c:f>
              <c:numCache>
                <c:formatCode>0</c:formatCode>
                <c:ptCount val="12"/>
                <c:pt idx="0">
                  <c:v>85</c:v>
                </c:pt>
                <c:pt idx="1">
                  <c:v>218</c:v>
                </c:pt>
                <c:pt idx="2">
                  <c:v>221</c:v>
                </c:pt>
                <c:pt idx="3">
                  <c:v>269</c:v>
                </c:pt>
                <c:pt idx="4">
                  <c:v>272</c:v>
                </c:pt>
                <c:pt idx="5">
                  <c:v>219</c:v>
                </c:pt>
                <c:pt idx="6">
                  <c:v>220</c:v>
                </c:pt>
                <c:pt idx="7">
                  <c:v>253</c:v>
                </c:pt>
                <c:pt idx="8">
                  <c:v>285</c:v>
                </c:pt>
                <c:pt idx="9">
                  <c:v>309</c:v>
                </c:pt>
                <c:pt idx="10">
                  <c:v>467</c:v>
                </c:pt>
                <c:pt idx="11">
                  <c:v>537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'29.07 URA-Spear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URA-Spear Motors'!$AF$10:$AF$21</c:f>
              <c:numCache>
                <c:formatCode>0</c:formatCode>
                <c:ptCount val="12"/>
                <c:pt idx="0">
                  <c:v>462</c:v>
                </c:pt>
                <c:pt idx="1">
                  <c:v>866</c:v>
                </c:pt>
                <c:pt idx="2">
                  <c:v>720</c:v>
                </c:pt>
                <c:pt idx="3">
                  <c:v>739</c:v>
                </c:pt>
                <c:pt idx="4">
                  <c:v>688</c:v>
                </c:pt>
                <c:pt idx="5">
                  <c:v>608</c:v>
                </c:pt>
                <c:pt idx="6">
                  <c:v>484</c:v>
                </c:pt>
                <c:pt idx="7">
                  <c:v>566</c:v>
                </c:pt>
                <c:pt idx="8">
                  <c:v>483</c:v>
                </c:pt>
                <c:pt idx="9">
                  <c:v>542</c:v>
                </c:pt>
                <c:pt idx="10">
                  <c:v>640</c:v>
                </c:pt>
                <c:pt idx="11">
                  <c:v>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129024"/>
        <c:axId val="81282176"/>
      </c:lineChart>
      <c:catAx>
        <c:axId val="801290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282176"/>
        <c:crosses val="autoZero"/>
        <c:auto val="1"/>
        <c:lblAlgn val="ctr"/>
        <c:lblOffset val="100"/>
        <c:noMultiLvlLbl val="0"/>
      </c:catAx>
      <c:valAx>
        <c:axId val="812821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0129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URA-Spear Motors'!$C$59:$N$59</c:f>
              <c:numCache>
                <c:formatCode>0.0%</c:formatCode>
                <c:ptCount val="12"/>
                <c:pt idx="0">
                  <c:v>0.28937087430957836</c:v>
                </c:pt>
                <c:pt idx="1">
                  <c:v>4.2166240064663879E-2</c:v>
                </c:pt>
                <c:pt idx="2">
                  <c:v>4.0010777313754547E-2</c:v>
                </c:pt>
                <c:pt idx="3">
                  <c:v>3.2870806951367369E-2</c:v>
                </c:pt>
                <c:pt idx="4">
                  <c:v>2.9637612825003366E-3</c:v>
                </c:pt>
                <c:pt idx="5">
                  <c:v>2.6943284386366699E-4</c:v>
                </c:pt>
                <c:pt idx="6">
                  <c:v>2.3710090260002693E-2</c:v>
                </c:pt>
                <c:pt idx="7">
                  <c:v>5.7928061430688399E-3</c:v>
                </c:pt>
                <c:pt idx="8">
                  <c:v>6.1969554088643405E-3</c:v>
                </c:pt>
                <c:pt idx="9">
                  <c:v>8.6218510036373437E-3</c:v>
                </c:pt>
                <c:pt idx="10">
                  <c:v>0.54802640441869865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65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URA-Spear Motors'!$S$9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URA-Spear Motors'!$S$10:$S$21</c:f>
              <c:numCache>
                <c:formatCode>0</c:formatCode>
                <c:ptCount val="12"/>
                <c:pt idx="0">
                  <c:v>55</c:v>
                </c:pt>
                <c:pt idx="1">
                  <c:v>138</c:v>
                </c:pt>
                <c:pt idx="2">
                  <c:v>116</c:v>
                </c:pt>
                <c:pt idx="3">
                  <c:v>129</c:v>
                </c:pt>
                <c:pt idx="4">
                  <c:v>136</c:v>
                </c:pt>
                <c:pt idx="5">
                  <c:v>135</c:v>
                </c:pt>
                <c:pt idx="6">
                  <c:v>128</c:v>
                </c:pt>
                <c:pt idx="7">
                  <c:v>135</c:v>
                </c:pt>
                <c:pt idx="8">
                  <c:v>159</c:v>
                </c:pt>
                <c:pt idx="9">
                  <c:v>196</c:v>
                </c:pt>
                <c:pt idx="10">
                  <c:v>386</c:v>
                </c:pt>
                <c:pt idx="11">
                  <c:v>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'29.07 URA-Spear Motors'!$T$9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URA-Spear Motors'!$T$10:$T$21</c:f>
              <c:numCache>
                <c:formatCode>0</c:formatCode>
                <c:ptCount val="12"/>
                <c:pt idx="0">
                  <c:v>7</c:v>
                </c:pt>
                <c:pt idx="1">
                  <c:v>27</c:v>
                </c:pt>
                <c:pt idx="2">
                  <c:v>13</c:v>
                </c:pt>
                <c:pt idx="3">
                  <c:v>29</c:v>
                </c:pt>
                <c:pt idx="4">
                  <c:v>31</c:v>
                </c:pt>
                <c:pt idx="5">
                  <c:v>34</c:v>
                </c:pt>
                <c:pt idx="6">
                  <c:v>29</c:v>
                </c:pt>
                <c:pt idx="7">
                  <c:v>22</c:v>
                </c:pt>
                <c:pt idx="8">
                  <c:v>25</c:v>
                </c:pt>
                <c:pt idx="9">
                  <c:v>27</c:v>
                </c:pt>
                <c:pt idx="10">
                  <c:v>31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'29.07 URA-Spear Motors'!$U$9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Motors'!$U$10:$U$21</c:f>
              <c:numCache>
                <c:formatCode>0</c:formatCode>
                <c:ptCount val="12"/>
                <c:pt idx="0">
                  <c:v>6</c:v>
                </c:pt>
                <c:pt idx="1">
                  <c:v>20</c:v>
                </c:pt>
                <c:pt idx="2">
                  <c:v>22</c:v>
                </c:pt>
                <c:pt idx="3">
                  <c:v>39</c:v>
                </c:pt>
                <c:pt idx="4">
                  <c:v>33</c:v>
                </c:pt>
                <c:pt idx="5">
                  <c:v>21</c:v>
                </c:pt>
                <c:pt idx="6">
                  <c:v>20</c:v>
                </c:pt>
                <c:pt idx="7">
                  <c:v>21</c:v>
                </c:pt>
                <c:pt idx="8">
                  <c:v>35</c:v>
                </c:pt>
                <c:pt idx="9">
                  <c:v>35</c:v>
                </c:pt>
                <c:pt idx="10">
                  <c:v>29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'29.07 URA-Spear Motors'!$V$9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Motors'!$V$10:$V$21</c:f>
              <c:numCache>
                <c:formatCode>0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34</c:v>
                </c:pt>
                <c:pt idx="3">
                  <c:v>30</c:v>
                </c:pt>
                <c:pt idx="4">
                  <c:v>31</c:v>
                </c:pt>
                <c:pt idx="5">
                  <c:v>14</c:v>
                </c:pt>
                <c:pt idx="6">
                  <c:v>22</c:v>
                </c:pt>
                <c:pt idx="7">
                  <c:v>31</c:v>
                </c:pt>
                <c:pt idx="8">
                  <c:v>25</c:v>
                </c:pt>
                <c:pt idx="9">
                  <c:v>15</c:v>
                </c:pt>
                <c:pt idx="10">
                  <c:v>8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'29.07 URA-Spear Motors'!$W$9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Motors'!$W$10:$W$21</c:f>
              <c:numCache>
                <c:formatCode>0</c:formatCode>
                <c:ptCount val="12"/>
                <c:pt idx="0">
                  <c:v>0</c:v>
                </c:pt>
                <c:pt idx="1">
                  <c:v>8</c:v>
                </c:pt>
                <c:pt idx="2">
                  <c:v>7</c:v>
                </c:pt>
                <c:pt idx="3">
                  <c:v>3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'29.07 URA-Spear Motors'!$X$9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'29.07 URA-Spear Motors'!$Y$9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Motors'!$Y$10:$Y$21</c:f>
              <c:numCache>
                <c:formatCode>0</c:formatCode>
                <c:ptCount val="12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21</c:v>
                </c:pt>
                <c:pt idx="4">
                  <c:v>17</c:v>
                </c:pt>
                <c:pt idx="5">
                  <c:v>10</c:v>
                </c:pt>
                <c:pt idx="6">
                  <c:v>8</c:v>
                </c:pt>
                <c:pt idx="7">
                  <c:v>23</c:v>
                </c:pt>
                <c:pt idx="8">
                  <c:v>17</c:v>
                </c:pt>
                <c:pt idx="9">
                  <c:v>18</c:v>
                </c:pt>
                <c:pt idx="10">
                  <c:v>7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'29.07 URA-Spear Motors'!$Z$9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8</c:v>
                </c:pt>
                <c:pt idx="5">
                  <c:v>0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11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'29.07 URA-Spear Motors'!$AA$9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Motors'!$AA$10:$AA$21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12</c:v>
                </c:pt>
                <c:pt idx="5">
                  <c:v>0</c:v>
                </c:pt>
                <c:pt idx="6">
                  <c:v>1</c:v>
                </c:pt>
                <c:pt idx="7">
                  <c:v>5</c:v>
                </c:pt>
                <c:pt idx="8">
                  <c:v>11</c:v>
                </c:pt>
                <c:pt idx="9">
                  <c:v>5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'29.07 URA-Spear Motors'!$AB$9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10</c:v>
                </c:pt>
                <c:pt idx="3">
                  <c:v>7</c:v>
                </c:pt>
                <c:pt idx="4">
                  <c:v>4</c:v>
                </c:pt>
                <c:pt idx="5">
                  <c:v>4</c:v>
                </c:pt>
                <c:pt idx="6">
                  <c:v>8</c:v>
                </c:pt>
                <c:pt idx="7">
                  <c:v>13</c:v>
                </c:pt>
                <c:pt idx="8">
                  <c:v>11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'29.07 URA-Spear Motors'!$AC$9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Motors'!$AC$10:$AC$21</c:f>
              <c:numCache>
                <c:formatCode>0</c:formatCode>
                <c:ptCount val="12"/>
                <c:pt idx="0">
                  <c:v>377</c:v>
                </c:pt>
                <c:pt idx="1">
                  <c:v>648</c:v>
                </c:pt>
                <c:pt idx="2">
                  <c:v>499</c:v>
                </c:pt>
                <c:pt idx="3">
                  <c:v>470</c:v>
                </c:pt>
                <c:pt idx="4">
                  <c:v>416</c:v>
                </c:pt>
                <c:pt idx="5">
                  <c:v>389</c:v>
                </c:pt>
                <c:pt idx="6">
                  <c:v>264</c:v>
                </c:pt>
                <c:pt idx="7">
                  <c:v>313</c:v>
                </c:pt>
                <c:pt idx="8">
                  <c:v>198</c:v>
                </c:pt>
                <c:pt idx="9">
                  <c:v>233</c:v>
                </c:pt>
                <c:pt idx="10">
                  <c:v>173</c:v>
                </c:pt>
                <c:pt idx="11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'29.07 URA-Spear Motors'!$AD$9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55520"/>
        <c:axId val="81357056"/>
      </c:lineChart>
      <c:catAx>
        <c:axId val="81355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357056"/>
        <c:crosses val="autoZero"/>
        <c:auto val="1"/>
        <c:lblAlgn val="ctr"/>
        <c:lblOffset val="100"/>
        <c:noMultiLvlLbl val="0"/>
      </c:catAx>
      <c:valAx>
        <c:axId val="8135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35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URA-Spear Motors'!$C$60:$N$60</c:f>
              <c:numCache>
                <c:formatCode>0.00%</c:formatCode>
                <c:ptCount val="12"/>
                <c:pt idx="0">
                  <c:v>0.64023845007451563</c:v>
                </c:pt>
                <c:pt idx="1">
                  <c:v>9.3293591654247388E-2</c:v>
                </c:pt>
                <c:pt idx="2">
                  <c:v>8.8524590163934422E-2</c:v>
                </c:pt>
                <c:pt idx="3">
                  <c:v>7.2727272727272724E-2</c:v>
                </c:pt>
                <c:pt idx="4">
                  <c:v>6.5573770491803279E-3</c:v>
                </c:pt>
                <c:pt idx="5">
                  <c:v>5.9612518628912071E-4</c:v>
                </c:pt>
                <c:pt idx="6">
                  <c:v>5.2459016393442623E-2</c:v>
                </c:pt>
                <c:pt idx="7">
                  <c:v>1.2816691505216096E-2</c:v>
                </c:pt>
                <c:pt idx="8">
                  <c:v>1.3710879284649776E-2</c:v>
                </c:pt>
                <c:pt idx="9">
                  <c:v>1.9076005961251863E-2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Spear Motors-URA'!$AE$9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Spear Motors-URA'!$AE$10:$AE$21</c:f>
              <c:numCache>
                <c:formatCode>0</c:formatCode>
                <c:ptCount val="12"/>
                <c:pt idx="0">
                  <c:v>331</c:v>
                </c:pt>
                <c:pt idx="1">
                  <c:v>401</c:v>
                </c:pt>
                <c:pt idx="2">
                  <c:v>271</c:v>
                </c:pt>
                <c:pt idx="3">
                  <c:v>235</c:v>
                </c:pt>
                <c:pt idx="4">
                  <c:v>280</c:v>
                </c:pt>
                <c:pt idx="5">
                  <c:v>275</c:v>
                </c:pt>
                <c:pt idx="6">
                  <c:v>231</c:v>
                </c:pt>
                <c:pt idx="7">
                  <c:v>258</c:v>
                </c:pt>
                <c:pt idx="8">
                  <c:v>266</c:v>
                </c:pt>
                <c:pt idx="9">
                  <c:v>234</c:v>
                </c:pt>
                <c:pt idx="10">
                  <c:v>206</c:v>
                </c:pt>
                <c:pt idx="11">
                  <c:v>194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'30.07 Spear Motors-URA'!$AF$9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Spear Motors-URA'!$AF$10:$AF$21</c:f>
              <c:numCache>
                <c:formatCode>0</c:formatCode>
                <c:ptCount val="12"/>
                <c:pt idx="0">
                  <c:v>1372</c:v>
                </c:pt>
                <c:pt idx="1">
                  <c:v>1470</c:v>
                </c:pt>
                <c:pt idx="2">
                  <c:v>1458</c:v>
                </c:pt>
                <c:pt idx="3">
                  <c:v>998</c:v>
                </c:pt>
                <c:pt idx="4">
                  <c:v>1090</c:v>
                </c:pt>
                <c:pt idx="5">
                  <c:v>671</c:v>
                </c:pt>
                <c:pt idx="6">
                  <c:v>670</c:v>
                </c:pt>
                <c:pt idx="7">
                  <c:v>634</c:v>
                </c:pt>
                <c:pt idx="8">
                  <c:v>959</c:v>
                </c:pt>
                <c:pt idx="9">
                  <c:v>644</c:v>
                </c:pt>
                <c:pt idx="10">
                  <c:v>732</c:v>
                </c:pt>
                <c:pt idx="11">
                  <c:v>1220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685504"/>
        <c:axId val="81712256"/>
      </c:lineChart>
      <c:catAx>
        <c:axId val="816855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712256"/>
        <c:crosses val="autoZero"/>
        <c:auto val="1"/>
        <c:lblAlgn val="ctr"/>
        <c:lblOffset val="100"/>
        <c:noMultiLvlLbl val="0"/>
      </c:catAx>
      <c:valAx>
        <c:axId val="817122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685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Spear 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Spear Motors-URA'!$C$59:$N$59</c:f>
              <c:numCache>
                <c:formatCode>0.0%</c:formatCode>
                <c:ptCount val="12"/>
                <c:pt idx="0">
                  <c:v>0.13315992616210773</c:v>
                </c:pt>
                <c:pt idx="1">
                  <c:v>3.4989092129551938E-2</c:v>
                </c:pt>
                <c:pt idx="2">
                  <c:v>2.7521396207417351E-2</c:v>
                </c:pt>
                <c:pt idx="3">
                  <c:v>2.0724953851317333E-2</c:v>
                </c:pt>
                <c:pt idx="4">
                  <c:v>5.4539352240308781E-3</c:v>
                </c:pt>
                <c:pt idx="5">
                  <c:v>4.1953347877160595E-4</c:v>
                </c:pt>
                <c:pt idx="6">
                  <c:v>9.1458298372210107E-3</c:v>
                </c:pt>
                <c:pt idx="7">
                  <c:v>8.7262963584494035E-3</c:v>
                </c:pt>
                <c:pt idx="8">
                  <c:v>7.9711360966605131E-3</c:v>
                </c:pt>
                <c:pt idx="9">
                  <c:v>1.8795099848967947E-2</c:v>
                </c:pt>
                <c:pt idx="10">
                  <c:v>0.73300889410975001</c:v>
                </c:pt>
                <c:pt idx="11">
                  <c:v>8.39066957543212E-5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65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Spear Motors-URA'!$S$9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Spear Motors-URA'!$S$10:$S$21</c:f>
              <c:numCache>
                <c:formatCode>0</c:formatCode>
                <c:ptCount val="12"/>
                <c:pt idx="0">
                  <c:v>186</c:v>
                </c:pt>
                <c:pt idx="1">
                  <c:v>251</c:v>
                </c:pt>
                <c:pt idx="2">
                  <c:v>132</c:v>
                </c:pt>
                <c:pt idx="3">
                  <c:v>110</c:v>
                </c:pt>
                <c:pt idx="4">
                  <c:v>121</c:v>
                </c:pt>
                <c:pt idx="5">
                  <c:v>130</c:v>
                </c:pt>
                <c:pt idx="6">
                  <c:v>114</c:v>
                </c:pt>
                <c:pt idx="7">
                  <c:v>117</c:v>
                </c:pt>
                <c:pt idx="8">
                  <c:v>121</c:v>
                </c:pt>
                <c:pt idx="9">
                  <c:v>101</c:v>
                </c:pt>
                <c:pt idx="10">
                  <c:v>104</c:v>
                </c:pt>
                <c:pt idx="11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'30.07 Spear Motors-URA'!$T$9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Spear Motors-URA'!$T$10:$T$21</c:f>
              <c:numCache>
                <c:formatCode>0</c:formatCode>
                <c:ptCount val="12"/>
                <c:pt idx="0">
                  <c:v>55</c:v>
                </c:pt>
                <c:pt idx="1">
                  <c:v>45</c:v>
                </c:pt>
                <c:pt idx="2">
                  <c:v>35</c:v>
                </c:pt>
                <c:pt idx="3">
                  <c:v>30</c:v>
                </c:pt>
                <c:pt idx="4">
                  <c:v>48</c:v>
                </c:pt>
                <c:pt idx="5">
                  <c:v>19</c:v>
                </c:pt>
                <c:pt idx="6">
                  <c:v>21</c:v>
                </c:pt>
                <c:pt idx="7">
                  <c:v>40</c:v>
                </c:pt>
                <c:pt idx="8">
                  <c:v>39</c:v>
                </c:pt>
                <c:pt idx="9">
                  <c:v>26</c:v>
                </c:pt>
                <c:pt idx="10">
                  <c:v>23</c:v>
                </c:pt>
                <c:pt idx="11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'30.07 Spear Motors-URA'!$U$9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Motors-URA'!$U$10:$U$21</c:f>
              <c:numCache>
                <c:formatCode>0</c:formatCode>
                <c:ptCount val="12"/>
                <c:pt idx="0">
                  <c:v>26</c:v>
                </c:pt>
                <c:pt idx="1">
                  <c:v>23</c:v>
                </c:pt>
                <c:pt idx="2">
                  <c:v>35</c:v>
                </c:pt>
                <c:pt idx="3">
                  <c:v>22</c:v>
                </c:pt>
                <c:pt idx="4">
                  <c:v>26</c:v>
                </c:pt>
                <c:pt idx="5">
                  <c:v>23</c:v>
                </c:pt>
                <c:pt idx="6">
                  <c:v>28</c:v>
                </c:pt>
                <c:pt idx="7">
                  <c:v>43</c:v>
                </c:pt>
                <c:pt idx="8">
                  <c:v>33</c:v>
                </c:pt>
                <c:pt idx="9">
                  <c:v>31</c:v>
                </c:pt>
                <c:pt idx="10">
                  <c:v>23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'30.07 Spear Motors-URA'!$V$9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Motors-URA'!$V$10:$V$21</c:f>
              <c:numCache>
                <c:formatCode>0</c:formatCode>
                <c:ptCount val="12"/>
                <c:pt idx="0">
                  <c:v>21</c:v>
                </c:pt>
                <c:pt idx="1">
                  <c:v>38</c:v>
                </c:pt>
                <c:pt idx="2">
                  <c:v>27</c:v>
                </c:pt>
                <c:pt idx="3">
                  <c:v>33</c:v>
                </c:pt>
                <c:pt idx="4">
                  <c:v>21</c:v>
                </c:pt>
                <c:pt idx="5">
                  <c:v>13</c:v>
                </c:pt>
                <c:pt idx="6">
                  <c:v>12</c:v>
                </c:pt>
                <c:pt idx="7">
                  <c:v>17</c:v>
                </c:pt>
                <c:pt idx="8">
                  <c:v>20</c:v>
                </c:pt>
                <c:pt idx="9">
                  <c:v>16</c:v>
                </c:pt>
                <c:pt idx="10">
                  <c:v>12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'30.07 Spear Motors-URA'!$W$9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Motors-URA'!$W$10:$W$21</c:f>
              <c:numCache>
                <c:formatCode>0</c:formatCode>
                <c:ptCount val="12"/>
                <c:pt idx="0">
                  <c:v>8</c:v>
                </c:pt>
                <c:pt idx="1">
                  <c:v>14</c:v>
                </c:pt>
                <c:pt idx="2">
                  <c:v>9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8</c:v>
                </c:pt>
                <c:pt idx="8">
                  <c:v>4</c:v>
                </c:pt>
                <c:pt idx="9">
                  <c:v>5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'30.07 Spear Motors-URA'!$X$9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Motors-URA'!$X$10:$X$21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'30.07 Spear Motors-URA'!$Y$9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Motors-URA'!$Y$10:$Y$21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3</c:v>
                </c:pt>
                <c:pt idx="3">
                  <c:v>6</c:v>
                </c:pt>
                <c:pt idx="4">
                  <c:v>9</c:v>
                </c:pt>
                <c:pt idx="5">
                  <c:v>33</c:v>
                </c:pt>
                <c:pt idx="6">
                  <c:v>11</c:v>
                </c:pt>
                <c:pt idx="7">
                  <c:v>4</c:v>
                </c:pt>
                <c:pt idx="8">
                  <c:v>10</c:v>
                </c:pt>
                <c:pt idx="9">
                  <c:v>12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'30.07 Spear Motors-URA'!$Z$9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Motors-URA'!$Z$10:$Z$21</c:f>
              <c:numCache>
                <c:formatCode>0</c:formatCode>
                <c:ptCount val="12"/>
                <c:pt idx="0">
                  <c:v>8</c:v>
                </c:pt>
                <c:pt idx="1">
                  <c:v>5</c:v>
                </c:pt>
                <c:pt idx="2">
                  <c:v>10</c:v>
                </c:pt>
                <c:pt idx="3">
                  <c:v>10</c:v>
                </c:pt>
                <c:pt idx="4">
                  <c:v>12</c:v>
                </c:pt>
                <c:pt idx="5">
                  <c:v>3</c:v>
                </c:pt>
                <c:pt idx="6">
                  <c:v>16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'30.07 Spear Motors-URA'!$AA$9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Motors-URA'!$AA$10:$AA$21</c:f>
              <c:numCache>
                <c:formatCode>0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9</c:v>
                </c:pt>
                <c:pt idx="3">
                  <c:v>6</c:v>
                </c:pt>
                <c:pt idx="4">
                  <c:v>16</c:v>
                </c:pt>
                <c:pt idx="5">
                  <c:v>9</c:v>
                </c:pt>
                <c:pt idx="6">
                  <c:v>9</c:v>
                </c:pt>
                <c:pt idx="7">
                  <c:v>5</c:v>
                </c:pt>
                <c:pt idx="8">
                  <c:v>10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'30.07 Spear Motors-URA'!$AB$9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Motors-URA'!$AB$10:$AB$21</c:f>
              <c:numCache>
                <c:formatCode>0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11</c:v>
                </c:pt>
                <c:pt idx="3">
                  <c:v>13</c:v>
                </c:pt>
                <c:pt idx="4">
                  <c:v>23</c:v>
                </c:pt>
                <c:pt idx="5">
                  <c:v>41</c:v>
                </c:pt>
                <c:pt idx="6">
                  <c:v>17</c:v>
                </c:pt>
                <c:pt idx="7">
                  <c:v>15</c:v>
                </c:pt>
                <c:pt idx="8">
                  <c:v>18</c:v>
                </c:pt>
                <c:pt idx="9">
                  <c:v>29</c:v>
                </c:pt>
                <c:pt idx="10">
                  <c:v>25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'30.07 Spear Motors-URA'!$AC$9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Motors-URA'!$AC$10:$AC$21</c:f>
              <c:numCache>
                <c:formatCode>0</c:formatCode>
                <c:ptCount val="12"/>
                <c:pt idx="0">
                  <c:v>1041</c:v>
                </c:pt>
                <c:pt idx="1">
                  <c:v>1069</c:v>
                </c:pt>
                <c:pt idx="2">
                  <c:v>1187</c:v>
                </c:pt>
                <c:pt idx="3">
                  <c:v>763</c:v>
                </c:pt>
                <c:pt idx="4">
                  <c:v>810</c:v>
                </c:pt>
                <c:pt idx="5">
                  <c:v>396</c:v>
                </c:pt>
                <c:pt idx="6">
                  <c:v>439</c:v>
                </c:pt>
                <c:pt idx="7">
                  <c:v>376</c:v>
                </c:pt>
                <c:pt idx="8">
                  <c:v>693</c:v>
                </c:pt>
                <c:pt idx="9">
                  <c:v>410</c:v>
                </c:pt>
                <c:pt idx="10">
                  <c:v>526</c:v>
                </c:pt>
                <c:pt idx="11">
                  <c:v>1026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'30.07 Spear Motors-URA'!$AD$9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904384"/>
        <c:axId val="81905920"/>
      </c:lineChart>
      <c:catAx>
        <c:axId val="81904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905920"/>
        <c:crosses val="autoZero"/>
        <c:auto val="1"/>
        <c:lblAlgn val="ctr"/>
        <c:lblOffset val="100"/>
        <c:noMultiLvlLbl val="0"/>
      </c:catAx>
      <c:valAx>
        <c:axId val="8190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90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Spear 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Spear Motors-URA'!$C$60:$N$60</c:f>
              <c:numCache>
                <c:formatCode>0.00%</c:formatCode>
                <c:ptCount val="12"/>
                <c:pt idx="0">
                  <c:v>0.49874292897548711</c:v>
                </c:pt>
                <c:pt idx="1">
                  <c:v>0.13104965430546825</c:v>
                </c:pt>
                <c:pt idx="2">
                  <c:v>0.10307982401005657</c:v>
                </c:pt>
                <c:pt idx="3">
                  <c:v>7.7624135763670651E-2</c:v>
                </c:pt>
                <c:pt idx="4">
                  <c:v>2.0427404148334379E-2</c:v>
                </c:pt>
                <c:pt idx="5">
                  <c:v>1.5713387806411063E-3</c:v>
                </c:pt>
                <c:pt idx="6">
                  <c:v>3.4255185417976113E-2</c:v>
                </c:pt>
                <c:pt idx="7">
                  <c:v>3.2683846637335007E-2</c:v>
                </c:pt>
                <c:pt idx="8">
                  <c:v>2.9855436832181018E-2</c:v>
                </c:pt>
                <c:pt idx="9">
                  <c:v>7.039597737272156E-2</c:v>
                </c:pt>
                <c:pt idx="11">
                  <c:v>3.1426775612822125E-4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URA-Spear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URA-Spear Motors'!$AE$10:$AE$21</c:f>
              <c:numCache>
                <c:formatCode>0</c:formatCode>
                <c:ptCount val="12"/>
                <c:pt idx="0">
                  <c:v>247</c:v>
                </c:pt>
                <c:pt idx="1">
                  <c:v>363</c:v>
                </c:pt>
                <c:pt idx="2">
                  <c:v>488</c:v>
                </c:pt>
                <c:pt idx="3">
                  <c:v>274</c:v>
                </c:pt>
                <c:pt idx="4">
                  <c:v>284</c:v>
                </c:pt>
                <c:pt idx="5">
                  <c:v>222</c:v>
                </c:pt>
                <c:pt idx="6">
                  <c:v>175</c:v>
                </c:pt>
                <c:pt idx="7">
                  <c:v>248</c:v>
                </c:pt>
                <c:pt idx="8">
                  <c:v>264</c:v>
                </c:pt>
                <c:pt idx="9">
                  <c:v>331</c:v>
                </c:pt>
                <c:pt idx="10">
                  <c:v>707</c:v>
                </c:pt>
                <c:pt idx="11">
                  <c:v>379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'30.07 URA-Spear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URA-Spear Motors'!$AF$10:$AF$21</c:f>
              <c:numCache>
                <c:formatCode>0</c:formatCode>
                <c:ptCount val="12"/>
                <c:pt idx="0">
                  <c:v>819</c:v>
                </c:pt>
                <c:pt idx="1">
                  <c:v>1216</c:v>
                </c:pt>
                <c:pt idx="2">
                  <c:v>1118</c:v>
                </c:pt>
                <c:pt idx="3">
                  <c:v>656</c:v>
                </c:pt>
                <c:pt idx="4">
                  <c:v>657</c:v>
                </c:pt>
                <c:pt idx="5">
                  <c:v>450</c:v>
                </c:pt>
                <c:pt idx="6">
                  <c:v>456</c:v>
                </c:pt>
                <c:pt idx="7">
                  <c:v>441</c:v>
                </c:pt>
                <c:pt idx="8">
                  <c:v>583</c:v>
                </c:pt>
                <c:pt idx="9">
                  <c:v>638</c:v>
                </c:pt>
                <c:pt idx="10">
                  <c:v>1076</c:v>
                </c:pt>
                <c:pt idx="11">
                  <c:v>703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989632"/>
        <c:axId val="81991168"/>
      </c:lineChart>
      <c:catAx>
        <c:axId val="819896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991168"/>
        <c:crosses val="autoZero"/>
        <c:auto val="1"/>
        <c:lblAlgn val="ctr"/>
        <c:lblOffset val="100"/>
        <c:noMultiLvlLbl val="0"/>
      </c:catAx>
      <c:valAx>
        <c:axId val="819911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98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URA-Spear Motors'!$C$59:$N$59</c:f>
              <c:numCache>
                <c:formatCode>0.0%</c:formatCode>
                <c:ptCount val="12"/>
                <c:pt idx="0">
                  <c:v>0.29808237830477702</c:v>
                </c:pt>
                <c:pt idx="1">
                  <c:v>4.4252808351299217E-2</c:v>
                </c:pt>
                <c:pt idx="2">
                  <c:v>3.472143424486554E-2</c:v>
                </c:pt>
                <c:pt idx="3">
                  <c:v>2.9501872234199478E-2</c:v>
                </c:pt>
                <c:pt idx="4">
                  <c:v>3.0636559627822534E-3</c:v>
                </c:pt>
                <c:pt idx="5">
                  <c:v>2.2693747872461136E-4</c:v>
                </c:pt>
                <c:pt idx="6">
                  <c:v>2.5190060138431863E-2</c:v>
                </c:pt>
                <c:pt idx="7">
                  <c:v>5.4464994893906726E-3</c:v>
                </c:pt>
                <c:pt idx="8">
                  <c:v>5.1060932713037554E-3</c:v>
                </c:pt>
                <c:pt idx="9">
                  <c:v>6.2407806649268129E-3</c:v>
                </c:pt>
                <c:pt idx="10">
                  <c:v>0.54816747985929881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65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URA-Spear Motors'!$S$9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URA-Spear Motors'!$S$10:$S$21</c:f>
              <c:numCache>
                <c:formatCode>0</c:formatCode>
                <c:ptCount val="12"/>
                <c:pt idx="0">
                  <c:v>133</c:v>
                </c:pt>
                <c:pt idx="1">
                  <c:v>228</c:v>
                </c:pt>
                <c:pt idx="2">
                  <c:v>337</c:v>
                </c:pt>
                <c:pt idx="3">
                  <c:v>132</c:v>
                </c:pt>
                <c:pt idx="4">
                  <c:v>171</c:v>
                </c:pt>
                <c:pt idx="5">
                  <c:v>124</c:v>
                </c:pt>
                <c:pt idx="6">
                  <c:v>112</c:v>
                </c:pt>
                <c:pt idx="7">
                  <c:v>146</c:v>
                </c:pt>
                <c:pt idx="8">
                  <c:v>150</c:v>
                </c:pt>
                <c:pt idx="9">
                  <c:v>207</c:v>
                </c:pt>
                <c:pt idx="10">
                  <c:v>602</c:v>
                </c:pt>
                <c:pt idx="11">
                  <c:v>285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'30.07 URA-Spear Motors'!$T$9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URA-Spear Motors'!$T$10:$T$21</c:f>
              <c:numCache>
                <c:formatCode>0</c:formatCode>
                <c:ptCount val="12"/>
                <c:pt idx="0">
                  <c:v>44</c:v>
                </c:pt>
                <c:pt idx="1">
                  <c:v>26</c:v>
                </c:pt>
                <c:pt idx="2">
                  <c:v>48</c:v>
                </c:pt>
                <c:pt idx="3">
                  <c:v>34</c:v>
                </c:pt>
                <c:pt idx="4">
                  <c:v>29</c:v>
                </c:pt>
                <c:pt idx="5">
                  <c:v>34</c:v>
                </c:pt>
                <c:pt idx="6">
                  <c:v>18</c:v>
                </c:pt>
                <c:pt idx="7">
                  <c:v>20</c:v>
                </c:pt>
                <c:pt idx="8">
                  <c:v>27</c:v>
                </c:pt>
                <c:pt idx="9">
                  <c:v>41</c:v>
                </c:pt>
                <c:pt idx="10">
                  <c:v>43</c:v>
                </c:pt>
                <c:pt idx="11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'30.07 URA-Spear Motors'!$U$9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Motors'!$U$10:$U$21</c:f>
              <c:numCache>
                <c:formatCode>0</c:formatCode>
                <c:ptCount val="12"/>
                <c:pt idx="0">
                  <c:v>35</c:v>
                </c:pt>
                <c:pt idx="1">
                  <c:v>24</c:v>
                </c:pt>
                <c:pt idx="2">
                  <c:v>35</c:v>
                </c:pt>
                <c:pt idx="3">
                  <c:v>27</c:v>
                </c:pt>
                <c:pt idx="4">
                  <c:v>21</c:v>
                </c:pt>
                <c:pt idx="5">
                  <c:v>15</c:v>
                </c:pt>
                <c:pt idx="6">
                  <c:v>19</c:v>
                </c:pt>
                <c:pt idx="7">
                  <c:v>24</c:v>
                </c:pt>
                <c:pt idx="8">
                  <c:v>32</c:v>
                </c:pt>
                <c:pt idx="9">
                  <c:v>23</c:v>
                </c:pt>
                <c:pt idx="10">
                  <c:v>30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'30.07 URA-Spear Motors'!$V$9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Motors'!$V$10:$V$21</c:f>
              <c:numCache>
                <c:formatCode>0</c:formatCode>
                <c:ptCount val="12"/>
                <c:pt idx="0">
                  <c:v>22</c:v>
                </c:pt>
                <c:pt idx="1">
                  <c:v>32</c:v>
                </c:pt>
                <c:pt idx="2">
                  <c:v>30</c:v>
                </c:pt>
                <c:pt idx="3">
                  <c:v>27</c:v>
                </c:pt>
                <c:pt idx="4">
                  <c:v>23</c:v>
                </c:pt>
                <c:pt idx="5">
                  <c:v>16</c:v>
                </c:pt>
                <c:pt idx="6">
                  <c:v>7</c:v>
                </c:pt>
                <c:pt idx="7">
                  <c:v>22</c:v>
                </c:pt>
                <c:pt idx="8">
                  <c:v>19</c:v>
                </c:pt>
                <c:pt idx="9">
                  <c:v>26</c:v>
                </c:pt>
                <c:pt idx="10">
                  <c:v>12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'30.07 URA-Spear Motors'!$W$9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Motors'!$W$10:$W$21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4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'30.07 URA-Spear Motors'!$X$9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Motors'!$X$10:$X$21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'30.07 URA-Spear Motors'!$Y$9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Motors'!$Y$10:$Y$21</c:f>
              <c:numCache>
                <c:formatCode>0</c:formatCode>
                <c:ptCount val="12"/>
                <c:pt idx="0">
                  <c:v>5</c:v>
                </c:pt>
                <c:pt idx="1">
                  <c:v>40</c:v>
                </c:pt>
                <c:pt idx="2">
                  <c:v>26</c:v>
                </c:pt>
                <c:pt idx="3">
                  <c:v>22</c:v>
                </c:pt>
                <c:pt idx="4">
                  <c:v>22</c:v>
                </c:pt>
                <c:pt idx="5">
                  <c:v>16</c:v>
                </c:pt>
                <c:pt idx="6">
                  <c:v>13</c:v>
                </c:pt>
                <c:pt idx="7">
                  <c:v>27</c:v>
                </c:pt>
                <c:pt idx="8">
                  <c:v>20</c:v>
                </c:pt>
                <c:pt idx="9">
                  <c:v>17</c:v>
                </c:pt>
                <c:pt idx="10">
                  <c:v>0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'30.07 URA-Spear Motors'!$Z$9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Motors'!$Z$10:$Z$21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8</c:v>
                </c:pt>
                <c:pt idx="6">
                  <c:v>3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12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'30.07 URA-Spear Motors'!$AA$9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10</c:v>
                </c:pt>
                <c:pt idx="5">
                  <c:v>6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5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'30.07 URA-Spear Motors'!$AB$9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Motors'!$AB$10:$AB$21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12</c:v>
                </c:pt>
                <c:pt idx="4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'30.07 URA-Spear Motors'!$AC$9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Motors'!$AC$10:$AC$21</c:f>
              <c:numCache>
                <c:formatCode>0</c:formatCode>
                <c:ptCount val="12"/>
                <c:pt idx="0">
                  <c:v>572</c:v>
                </c:pt>
                <c:pt idx="1">
                  <c:v>853</c:v>
                </c:pt>
                <c:pt idx="2">
                  <c:v>630</c:v>
                </c:pt>
                <c:pt idx="3">
                  <c:v>382</c:v>
                </c:pt>
                <c:pt idx="4">
                  <c:v>373</c:v>
                </c:pt>
                <c:pt idx="5">
                  <c:v>228</c:v>
                </c:pt>
                <c:pt idx="6">
                  <c:v>281</c:v>
                </c:pt>
                <c:pt idx="7">
                  <c:v>193</c:v>
                </c:pt>
                <c:pt idx="8">
                  <c:v>319</c:v>
                </c:pt>
                <c:pt idx="9">
                  <c:v>307</c:v>
                </c:pt>
                <c:pt idx="10">
                  <c:v>369</c:v>
                </c:pt>
                <c:pt idx="11">
                  <c:v>324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'30.07 URA-Spear Motors'!$AD$9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650048"/>
        <c:axId val="103651584"/>
      </c:lineChart>
      <c:catAx>
        <c:axId val="10365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651584"/>
        <c:crosses val="autoZero"/>
        <c:auto val="1"/>
        <c:lblAlgn val="ctr"/>
        <c:lblOffset val="100"/>
        <c:noMultiLvlLbl val="0"/>
      </c:catAx>
      <c:valAx>
        <c:axId val="10365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6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URA-Spear Motors'!$C$60:$N$60</c:f>
              <c:numCache>
                <c:formatCode>0.00%</c:formatCode>
                <c:ptCount val="12"/>
                <c:pt idx="0">
                  <c:v>0.65971873430436967</c:v>
                </c:pt>
                <c:pt idx="1">
                  <c:v>9.7940733299849328E-2</c:v>
                </c:pt>
                <c:pt idx="2">
                  <c:v>7.6845806127574079E-2</c:v>
                </c:pt>
                <c:pt idx="3">
                  <c:v>6.5293822199899543E-2</c:v>
                </c:pt>
                <c:pt idx="4">
                  <c:v>6.7805123053741841E-3</c:v>
                </c:pt>
                <c:pt idx="5">
                  <c:v>5.0226017076845811E-4</c:v>
                </c:pt>
                <c:pt idx="6">
                  <c:v>5.5750878955298844E-2</c:v>
                </c:pt>
                <c:pt idx="7">
                  <c:v>1.2054244098442994E-2</c:v>
                </c:pt>
                <c:pt idx="8">
                  <c:v>1.1300853842290307E-2</c:v>
                </c:pt>
                <c:pt idx="9">
                  <c:v>1.3812154696132596E-2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Spear Motors-URA'!$AE$9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Spear Motors-URA'!$AE$10:$AE$21</c:f>
              <c:numCache>
                <c:formatCode>0</c:formatCode>
                <c:ptCount val="12"/>
                <c:pt idx="0">
                  <c:v>256</c:v>
                </c:pt>
                <c:pt idx="1">
                  <c:v>274</c:v>
                </c:pt>
                <c:pt idx="2">
                  <c:v>289</c:v>
                </c:pt>
                <c:pt idx="3">
                  <c:v>282</c:v>
                </c:pt>
                <c:pt idx="4">
                  <c:v>320</c:v>
                </c:pt>
                <c:pt idx="5">
                  <c:v>272</c:v>
                </c:pt>
                <c:pt idx="6">
                  <c:v>287</c:v>
                </c:pt>
                <c:pt idx="7">
                  <c:v>251</c:v>
                </c:pt>
                <c:pt idx="8">
                  <c:v>296</c:v>
                </c:pt>
                <c:pt idx="9">
                  <c:v>248</c:v>
                </c:pt>
                <c:pt idx="10">
                  <c:v>226</c:v>
                </c:pt>
                <c:pt idx="11">
                  <c:v>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'31.07 Spear Motors-URA'!$AF$9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Spear Motors-URA'!$AF$10:$AF$21</c:f>
              <c:numCache>
                <c:formatCode>0</c:formatCode>
                <c:ptCount val="12"/>
                <c:pt idx="0">
                  <c:v>877</c:v>
                </c:pt>
                <c:pt idx="1">
                  <c:v>1314</c:v>
                </c:pt>
                <c:pt idx="2">
                  <c:v>1332</c:v>
                </c:pt>
                <c:pt idx="3">
                  <c:v>990</c:v>
                </c:pt>
                <c:pt idx="4">
                  <c:v>980</c:v>
                </c:pt>
                <c:pt idx="5">
                  <c:v>929</c:v>
                </c:pt>
                <c:pt idx="6">
                  <c:v>712</c:v>
                </c:pt>
                <c:pt idx="7">
                  <c:v>566</c:v>
                </c:pt>
                <c:pt idx="8">
                  <c:v>761</c:v>
                </c:pt>
                <c:pt idx="9">
                  <c:v>691</c:v>
                </c:pt>
                <c:pt idx="10">
                  <c:v>688</c:v>
                </c:pt>
                <c:pt idx="11">
                  <c:v>877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795712"/>
        <c:axId val="103888000"/>
      </c:lineChart>
      <c:catAx>
        <c:axId val="1037957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888000"/>
        <c:crosses val="autoZero"/>
        <c:auto val="1"/>
        <c:lblAlgn val="ctr"/>
        <c:lblOffset val="100"/>
        <c:noMultiLvlLbl val="0"/>
      </c:catAx>
      <c:valAx>
        <c:axId val="1038880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79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Spear 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Spear Motors-URA'!$C$59:$N$59</c:f>
              <c:numCache>
                <c:formatCode>0.0%</c:formatCode>
                <c:ptCount val="12"/>
                <c:pt idx="0">
                  <c:v>0.15340113837827751</c:v>
                </c:pt>
                <c:pt idx="1">
                  <c:v>3.7790426425305591E-2</c:v>
                </c:pt>
                <c:pt idx="2">
                  <c:v>3.1352057478772045E-2</c:v>
                </c:pt>
                <c:pt idx="3">
                  <c:v>2.3980591583465521E-2</c:v>
                </c:pt>
                <c:pt idx="4">
                  <c:v>5.4119623028832699E-3</c:v>
                </c:pt>
                <c:pt idx="5">
                  <c:v>0</c:v>
                </c:pt>
                <c:pt idx="6">
                  <c:v>1.0357376131380051E-2</c:v>
                </c:pt>
                <c:pt idx="7">
                  <c:v>1.0543995521134646E-2</c:v>
                </c:pt>
                <c:pt idx="8">
                  <c:v>8.9577307082205834E-3</c:v>
                </c:pt>
                <c:pt idx="9">
                  <c:v>1.8382009890827656E-2</c:v>
                </c:pt>
                <c:pt idx="10">
                  <c:v>0.69982271157973308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65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Spear Motors-URA'!$S$9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Spear Motors-URA'!$S$10:$S$21</c:f>
              <c:numCache>
                <c:formatCode>0</c:formatCode>
                <c:ptCount val="12"/>
                <c:pt idx="0">
                  <c:v>157</c:v>
                </c:pt>
                <c:pt idx="1">
                  <c:v>167</c:v>
                </c:pt>
                <c:pt idx="2">
                  <c:v>170</c:v>
                </c:pt>
                <c:pt idx="3">
                  <c:v>128</c:v>
                </c:pt>
                <c:pt idx="4">
                  <c:v>132</c:v>
                </c:pt>
                <c:pt idx="5">
                  <c:v>116</c:v>
                </c:pt>
                <c:pt idx="6">
                  <c:v>132</c:v>
                </c:pt>
                <c:pt idx="7">
                  <c:v>137</c:v>
                </c:pt>
                <c:pt idx="8">
                  <c:v>156</c:v>
                </c:pt>
                <c:pt idx="9">
                  <c:v>125</c:v>
                </c:pt>
                <c:pt idx="10">
                  <c:v>117</c:v>
                </c:pt>
                <c:pt idx="11">
                  <c:v>107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'31.07 Spear Motors-URA'!$T$9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Spear Motors-URA'!$T$10:$T$21</c:f>
              <c:numCache>
                <c:formatCode>0</c:formatCode>
                <c:ptCount val="12"/>
                <c:pt idx="0">
                  <c:v>33</c:v>
                </c:pt>
                <c:pt idx="1">
                  <c:v>28</c:v>
                </c:pt>
                <c:pt idx="2">
                  <c:v>38</c:v>
                </c:pt>
                <c:pt idx="3">
                  <c:v>35</c:v>
                </c:pt>
                <c:pt idx="4">
                  <c:v>47</c:v>
                </c:pt>
                <c:pt idx="5">
                  <c:v>46</c:v>
                </c:pt>
                <c:pt idx="6">
                  <c:v>34</c:v>
                </c:pt>
                <c:pt idx="7">
                  <c:v>35</c:v>
                </c:pt>
                <c:pt idx="8">
                  <c:v>26</c:v>
                </c:pt>
                <c:pt idx="9">
                  <c:v>24</c:v>
                </c:pt>
                <c:pt idx="10">
                  <c:v>24</c:v>
                </c:pt>
                <c:pt idx="11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'31.07 Spear Motors-URA'!$U$9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Motors-URA'!$U$10:$U$21</c:f>
              <c:numCache>
                <c:formatCode>0</c:formatCode>
                <c:ptCount val="12"/>
                <c:pt idx="0">
                  <c:v>22</c:v>
                </c:pt>
                <c:pt idx="1">
                  <c:v>24</c:v>
                </c:pt>
                <c:pt idx="2">
                  <c:v>25</c:v>
                </c:pt>
                <c:pt idx="3">
                  <c:v>29</c:v>
                </c:pt>
                <c:pt idx="4">
                  <c:v>56</c:v>
                </c:pt>
                <c:pt idx="5">
                  <c:v>28</c:v>
                </c:pt>
                <c:pt idx="6">
                  <c:v>25</c:v>
                </c:pt>
                <c:pt idx="7">
                  <c:v>22</c:v>
                </c:pt>
                <c:pt idx="8">
                  <c:v>28</c:v>
                </c:pt>
                <c:pt idx="9">
                  <c:v>31</c:v>
                </c:pt>
                <c:pt idx="10">
                  <c:v>29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'31.07 Spear Motors-URA'!$V$9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Motors-URA'!$V$10:$V$21</c:f>
              <c:numCache>
                <c:formatCode>0</c:formatCode>
                <c:ptCount val="12"/>
                <c:pt idx="0">
                  <c:v>16</c:v>
                </c:pt>
                <c:pt idx="1">
                  <c:v>20</c:v>
                </c:pt>
                <c:pt idx="2">
                  <c:v>25</c:v>
                </c:pt>
                <c:pt idx="3">
                  <c:v>32</c:v>
                </c:pt>
                <c:pt idx="4">
                  <c:v>28</c:v>
                </c:pt>
                <c:pt idx="5">
                  <c:v>25</c:v>
                </c:pt>
                <c:pt idx="6">
                  <c:v>35</c:v>
                </c:pt>
                <c:pt idx="7">
                  <c:v>16</c:v>
                </c:pt>
                <c:pt idx="8">
                  <c:v>20</c:v>
                </c:pt>
                <c:pt idx="9">
                  <c:v>20</c:v>
                </c:pt>
                <c:pt idx="10">
                  <c:v>10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'31.07 Spear Motors-URA'!$W$9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Motors-URA'!$W$10:$W$21</c:f>
              <c:numCache>
                <c:formatCode>0</c:formatCode>
                <c:ptCount val="12"/>
                <c:pt idx="0">
                  <c:v>9</c:v>
                </c:pt>
                <c:pt idx="1">
                  <c:v>5</c:v>
                </c:pt>
                <c:pt idx="2">
                  <c:v>3</c:v>
                </c:pt>
                <c:pt idx="3">
                  <c:v>4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6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'31.07 Spear Motors-URA'!$X$9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'31.07 Spear Motors-URA'!$Y$9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Motors-URA'!$Y$10:$Y$21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6</c:v>
                </c:pt>
                <c:pt idx="3">
                  <c:v>16</c:v>
                </c:pt>
                <c:pt idx="4">
                  <c:v>10</c:v>
                </c:pt>
                <c:pt idx="5">
                  <c:v>9</c:v>
                </c:pt>
                <c:pt idx="6">
                  <c:v>13</c:v>
                </c:pt>
                <c:pt idx="7">
                  <c:v>10</c:v>
                </c:pt>
                <c:pt idx="8">
                  <c:v>14</c:v>
                </c:pt>
                <c:pt idx="9">
                  <c:v>8</c:v>
                </c:pt>
                <c:pt idx="10">
                  <c:v>9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'31.07 Spear Motors-URA'!$Z$9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Motors-URA'!$Z$10:$Z$21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14</c:v>
                </c:pt>
                <c:pt idx="5">
                  <c:v>16</c:v>
                </c:pt>
                <c:pt idx="6">
                  <c:v>16</c:v>
                </c:pt>
                <c:pt idx="7">
                  <c:v>8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'31.07 Spear Motors-URA'!$AA$9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Motors-URA'!$AA$10:$AA$21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6</c:v>
                </c:pt>
                <c:pt idx="3">
                  <c:v>13</c:v>
                </c:pt>
                <c:pt idx="4">
                  <c:v>14</c:v>
                </c:pt>
                <c:pt idx="5">
                  <c:v>16</c:v>
                </c:pt>
                <c:pt idx="6">
                  <c:v>13</c:v>
                </c:pt>
                <c:pt idx="7">
                  <c:v>6</c:v>
                </c:pt>
                <c:pt idx="8">
                  <c:v>3</c:v>
                </c:pt>
                <c:pt idx="9">
                  <c:v>4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'31.07 Spear Motors-URA'!$AB$9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Motors-URA'!$AB$10:$AB$21</c:f>
              <c:numCache>
                <c:formatCode>0</c:formatCode>
                <c:ptCount val="12"/>
                <c:pt idx="0">
                  <c:v>14</c:v>
                </c:pt>
                <c:pt idx="1">
                  <c:v>13</c:v>
                </c:pt>
                <c:pt idx="2">
                  <c:v>11</c:v>
                </c:pt>
                <c:pt idx="3">
                  <c:v>19</c:v>
                </c:pt>
                <c:pt idx="4">
                  <c:v>13</c:v>
                </c:pt>
                <c:pt idx="5">
                  <c:v>11</c:v>
                </c:pt>
                <c:pt idx="6">
                  <c:v>15</c:v>
                </c:pt>
                <c:pt idx="7">
                  <c:v>12</c:v>
                </c:pt>
                <c:pt idx="8">
                  <c:v>30</c:v>
                </c:pt>
                <c:pt idx="9">
                  <c:v>17</c:v>
                </c:pt>
                <c:pt idx="10">
                  <c:v>20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'31.07 Spear Motors-URA'!$AC$9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Motors-URA'!$AC$10:$AC$21</c:f>
              <c:numCache>
                <c:formatCode>0</c:formatCode>
                <c:ptCount val="12"/>
                <c:pt idx="0">
                  <c:v>621</c:v>
                </c:pt>
                <c:pt idx="1">
                  <c:v>1040</c:v>
                </c:pt>
                <c:pt idx="2">
                  <c:v>1043</c:v>
                </c:pt>
                <c:pt idx="3">
                  <c:v>708</c:v>
                </c:pt>
                <c:pt idx="4">
                  <c:v>660</c:v>
                </c:pt>
                <c:pt idx="5">
                  <c:v>657</c:v>
                </c:pt>
                <c:pt idx="6">
                  <c:v>425</c:v>
                </c:pt>
                <c:pt idx="7">
                  <c:v>315</c:v>
                </c:pt>
                <c:pt idx="8">
                  <c:v>465</c:v>
                </c:pt>
                <c:pt idx="9">
                  <c:v>443</c:v>
                </c:pt>
                <c:pt idx="10">
                  <c:v>462</c:v>
                </c:pt>
                <c:pt idx="11">
                  <c:v>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'31.07 Spear Motors-URA'!$AD$9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953152"/>
        <c:axId val="103954688"/>
      </c:lineChart>
      <c:catAx>
        <c:axId val="103953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954688"/>
        <c:crosses val="autoZero"/>
        <c:auto val="1"/>
        <c:lblAlgn val="ctr"/>
        <c:lblOffset val="100"/>
        <c:noMultiLvlLbl val="0"/>
      </c:catAx>
      <c:valAx>
        <c:axId val="10395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953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Spear 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Spear Motors-URA'!$C$60:$N$60</c:f>
              <c:numCache>
                <c:formatCode>0.00%</c:formatCode>
                <c:ptCount val="12"/>
                <c:pt idx="0">
                  <c:v>0.51103512589368982</c:v>
                </c:pt>
                <c:pt idx="1">
                  <c:v>0.12589368977308052</c:v>
                </c:pt>
                <c:pt idx="2">
                  <c:v>0.10444513521914828</c:v>
                </c:pt>
                <c:pt idx="3">
                  <c:v>7.9888094497979484E-2</c:v>
                </c:pt>
                <c:pt idx="4">
                  <c:v>1.8029219769972023E-2</c:v>
                </c:pt>
                <c:pt idx="5">
                  <c:v>0</c:v>
                </c:pt>
                <c:pt idx="6">
                  <c:v>3.450419645632577E-2</c:v>
                </c:pt>
                <c:pt idx="7">
                  <c:v>3.5125893689773077E-2</c:v>
                </c:pt>
                <c:pt idx="8">
                  <c:v>2.9841467205470935E-2</c:v>
                </c:pt>
                <c:pt idx="9">
                  <c:v>6.1237177494560147E-2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URA-Spear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URA-Spear Motors'!$AE$10:$AE$21</c:f>
              <c:numCache>
                <c:formatCode>0</c:formatCode>
                <c:ptCount val="12"/>
                <c:pt idx="0">
                  <c:v>247</c:v>
                </c:pt>
                <c:pt idx="1">
                  <c:v>268</c:v>
                </c:pt>
                <c:pt idx="2">
                  <c:v>279</c:v>
                </c:pt>
                <c:pt idx="3">
                  <c:v>296</c:v>
                </c:pt>
                <c:pt idx="4">
                  <c:v>331</c:v>
                </c:pt>
                <c:pt idx="5">
                  <c:v>238</c:v>
                </c:pt>
                <c:pt idx="6">
                  <c:v>235</c:v>
                </c:pt>
                <c:pt idx="7">
                  <c:v>221</c:v>
                </c:pt>
                <c:pt idx="8">
                  <c:v>304</c:v>
                </c:pt>
                <c:pt idx="9">
                  <c:v>402</c:v>
                </c:pt>
                <c:pt idx="10">
                  <c:v>388</c:v>
                </c:pt>
                <c:pt idx="11">
                  <c:v>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'31.07 URA-Spear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URA-Spear Motors'!$AF$10:$AF$21</c:f>
              <c:numCache>
                <c:formatCode>0</c:formatCode>
                <c:ptCount val="12"/>
                <c:pt idx="0">
                  <c:v>518</c:v>
                </c:pt>
                <c:pt idx="1">
                  <c:v>727</c:v>
                </c:pt>
                <c:pt idx="2">
                  <c:v>767</c:v>
                </c:pt>
                <c:pt idx="3">
                  <c:v>652</c:v>
                </c:pt>
                <c:pt idx="4">
                  <c:v>678</c:v>
                </c:pt>
                <c:pt idx="5">
                  <c:v>640</c:v>
                </c:pt>
                <c:pt idx="6">
                  <c:v>425</c:v>
                </c:pt>
                <c:pt idx="7">
                  <c:v>389</c:v>
                </c:pt>
                <c:pt idx="8">
                  <c:v>754</c:v>
                </c:pt>
                <c:pt idx="9">
                  <c:v>912</c:v>
                </c:pt>
                <c:pt idx="10">
                  <c:v>737</c:v>
                </c:pt>
                <c:pt idx="11">
                  <c:v>635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233984"/>
        <c:axId val="104281216"/>
      </c:lineChart>
      <c:catAx>
        <c:axId val="1042339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281216"/>
        <c:crosses val="autoZero"/>
        <c:auto val="1"/>
        <c:lblAlgn val="ctr"/>
        <c:lblOffset val="100"/>
        <c:noMultiLvlLbl val="0"/>
      </c:catAx>
      <c:valAx>
        <c:axId val="1042812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23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URA-Spear Motors'!$C$59:$N$59</c:f>
              <c:numCache>
                <c:formatCode>0.0%</c:formatCode>
                <c:ptCount val="12"/>
                <c:pt idx="0">
                  <c:v>0.27367883584375796</c:v>
                </c:pt>
                <c:pt idx="1">
                  <c:v>4.6081184580035739E-2</c:v>
                </c:pt>
                <c:pt idx="2">
                  <c:v>3.8549910645902477E-2</c:v>
                </c:pt>
                <c:pt idx="3">
                  <c:v>2.9869798315037017E-2</c:v>
                </c:pt>
                <c:pt idx="4">
                  <c:v>3.5741639009446006E-3</c:v>
                </c:pt>
                <c:pt idx="5">
                  <c:v>2.5529742149604291E-4</c:v>
                </c:pt>
                <c:pt idx="6">
                  <c:v>3.1273934133265256E-2</c:v>
                </c:pt>
                <c:pt idx="7">
                  <c:v>8.807761041613479E-3</c:v>
                </c:pt>
                <c:pt idx="8">
                  <c:v>5.7441919836609652E-3</c:v>
                </c:pt>
                <c:pt idx="9">
                  <c:v>6.8930303803931585E-3</c:v>
                </c:pt>
                <c:pt idx="10">
                  <c:v>0.55527189175389324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URA-Spear Motors'!$C$60:$N$60</c:f>
              <c:numCache>
                <c:formatCode>0.00%</c:formatCode>
                <c:ptCount val="12"/>
                <c:pt idx="0">
                  <c:v>0.61538461538461542</c:v>
                </c:pt>
                <c:pt idx="1">
                  <c:v>0.10361653272101033</c:v>
                </c:pt>
                <c:pt idx="2">
                  <c:v>8.6681974741676229E-2</c:v>
                </c:pt>
                <c:pt idx="3">
                  <c:v>6.7164179104477612E-2</c:v>
                </c:pt>
                <c:pt idx="4">
                  <c:v>8.0367393800229621E-3</c:v>
                </c:pt>
                <c:pt idx="5">
                  <c:v>5.7405281285878302E-4</c:v>
                </c:pt>
                <c:pt idx="6">
                  <c:v>7.0321469575200912E-2</c:v>
                </c:pt>
                <c:pt idx="7">
                  <c:v>1.9804822043628014E-2</c:v>
                </c:pt>
                <c:pt idx="8">
                  <c:v>1.2916188289322618E-2</c:v>
                </c:pt>
                <c:pt idx="9">
                  <c:v>1.5499425947187142E-2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Spear Motors-URA-24h'!$AE$9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Spear Motors-URA-24h'!$R$10:$R$33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Spear Motors-URA-24h'!$AE$10:$AE$33</c:f>
              <c:numCache>
                <c:formatCode>0</c:formatCode>
                <c:ptCount val="24"/>
                <c:pt idx="0">
                  <c:v>227</c:v>
                </c:pt>
                <c:pt idx="1">
                  <c:v>247</c:v>
                </c:pt>
                <c:pt idx="2">
                  <c:v>268</c:v>
                </c:pt>
                <c:pt idx="3">
                  <c:v>270</c:v>
                </c:pt>
                <c:pt idx="4">
                  <c:v>302</c:v>
                </c:pt>
                <c:pt idx="5">
                  <c:v>303</c:v>
                </c:pt>
                <c:pt idx="6">
                  <c:v>244</c:v>
                </c:pt>
                <c:pt idx="7">
                  <c:v>304</c:v>
                </c:pt>
                <c:pt idx="8">
                  <c:v>270</c:v>
                </c:pt>
                <c:pt idx="9">
                  <c:v>280</c:v>
                </c:pt>
                <c:pt idx="10">
                  <c:v>244</c:v>
                </c:pt>
                <c:pt idx="11">
                  <c:v>219</c:v>
                </c:pt>
                <c:pt idx="12">
                  <c:v>286</c:v>
                </c:pt>
                <c:pt idx="13">
                  <c:v>271</c:v>
                </c:pt>
                <c:pt idx="14">
                  <c:v>252</c:v>
                </c:pt>
                <c:pt idx="15">
                  <c:v>153</c:v>
                </c:pt>
                <c:pt idx="16">
                  <c:v>107</c:v>
                </c:pt>
                <c:pt idx="17">
                  <c:v>55</c:v>
                </c:pt>
                <c:pt idx="18">
                  <c:v>41</c:v>
                </c:pt>
                <c:pt idx="19">
                  <c:v>26</c:v>
                </c:pt>
                <c:pt idx="20">
                  <c:v>16</c:v>
                </c:pt>
                <c:pt idx="21">
                  <c:v>17</c:v>
                </c:pt>
                <c:pt idx="22">
                  <c:v>58</c:v>
                </c:pt>
                <c:pt idx="23">
                  <c:v>286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'01.08 Spear Motors-URA-24h'!$AF$9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Spear Motors-URA-24h'!$R$10:$R$33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Spear Motors-URA-24h'!$AF$10:$AF$33</c:f>
              <c:numCache>
                <c:formatCode>0</c:formatCode>
                <c:ptCount val="24"/>
                <c:pt idx="0">
                  <c:v>1039</c:v>
                </c:pt>
                <c:pt idx="1">
                  <c:v>1025</c:v>
                </c:pt>
                <c:pt idx="2">
                  <c:v>956</c:v>
                </c:pt>
                <c:pt idx="3">
                  <c:v>974</c:v>
                </c:pt>
                <c:pt idx="4">
                  <c:v>763</c:v>
                </c:pt>
                <c:pt idx="5">
                  <c:v>722</c:v>
                </c:pt>
                <c:pt idx="6">
                  <c:v>638</c:v>
                </c:pt>
                <c:pt idx="7">
                  <c:v>626</c:v>
                </c:pt>
                <c:pt idx="8">
                  <c:v>493</c:v>
                </c:pt>
                <c:pt idx="9">
                  <c:v>711</c:v>
                </c:pt>
                <c:pt idx="10">
                  <c:v>397</c:v>
                </c:pt>
                <c:pt idx="11">
                  <c:v>514</c:v>
                </c:pt>
                <c:pt idx="12">
                  <c:v>1339</c:v>
                </c:pt>
                <c:pt idx="13">
                  <c:v>1089</c:v>
                </c:pt>
                <c:pt idx="14">
                  <c:v>549</c:v>
                </c:pt>
                <c:pt idx="15">
                  <c:v>439</c:v>
                </c:pt>
                <c:pt idx="16">
                  <c:v>347</c:v>
                </c:pt>
                <c:pt idx="17">
                  <c:v>190</c:v>
                </c:pt>
                <c:pt idx="18">
                  <c:v>113</c:v>
                </c:pt>
                <c:pt idx="19">
                  <c:v>84</c:v>
                </c:pt>
                <c:pt idx="20">
                  <c:v>53</c:v>
                </c:pt>
                <c:pt idx="21">
                  <c:v>96</c:v>
                </c:pt>
                <c:pt idx="22">
                  <c:v>271</c:v>
                </c:pt>
                <c:pt idx="23">
                  <c:v>737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465920"/>
        <c:axId val="104467840"/>
      </c:lineChart>
      <c:catAx>
        <c:axId val="1044659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467840"/>
        <c:crosses val="autoZero"/>
        <c:auto val="1"/>
        <c:lblAlgn val="ctr"/>
        <c:lblOffset val="100"/>
        <c:noMultiLvlLbl val="0"/>
      </c:catAx>
      <c:valAx>
        <c:axId val="1044678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465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Spear Motors-URA-24h'!$C$9:$N$9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Spear Motors-URA-24h'!$C$107:$N$107</c:f>
              <c:numCache>
                <c:formatCode>0.0%</c:formatCode>
                <c:ptCount val="12"/>
                <c:pt idx="0">
                  <c:v>0.17147899752912107</c:v>
                </c:pt>
                <c:pt idx="1">
                  <c:v>4.2287327920931872E-2</c:v>
                </c:pt>
                <c:pt idx="2">
                  <c:v>2.8803388633956935E-2</c:v>
                </c:pt>
                <c:pt idx="3">
                  <c:v>3.5015884221673135E-2</c:v>
                </c:pt>
                <c:pt idx="4">
                  <c:v>6.0713025061771972E-3</c:v>
                </c:pt>
                <c:pt idx="5">
                  <c:v>4.2357924461701376E-4</c:v>
                </c:pt>
                <c:pt idx="6">
                  <c:v>1.4048711613130956E-2</c:v>
                </c:pt>
                <c:pt idx="7">
                  <c:v>1.1154253441581363E-2</c:v>
                </c:pt>
                <c:pt idx="8">
                  <c:v>8.7539710554182838E-3</c:v>
                </c:pt>
                <c:pt idx="9">
                  <c:v>1.6943169784680551E-2</c:v>
                </c:pt>
                <c:pt idx="10">
                  <c:v>0.6649488175079421</c:v>
                </c:pt>
                <c:pt idx="11">
                  <c:v>7.0596540769502297E-5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Spear Motors-URA-24h'!$C$9:$N$9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Spear Motors-URA-24h'!$C$108:$N$108</c:f>
              <c:numCache>
                <c:formatCode>0.00%</c:formatCode>
                <c:ptCount val="12"/>
                <c:pt idx="0">
                  <c:v>0.51179941002949858</c:v>
                </c:pt>
                <c:pt idx="1">
                  <c:v>0.12621154656552885</c:v>
                </c:pt>
                <c:pt idx="2">
                  <c:v>8.5967130214917822E-2</c:v>
                </c:pt>
                <c:pt idx="3">
                  <c:v>0.10450906026127266</c:v>
                </c:pt>
                <c:pt idx="4">
                  <c:v>1.8120522545301308E-2</c:v>
                </c:pt>
                <c:pt idx="5">
                  <c:v>1.2642225031605564E-3</c:v>
                </c:pt>
                <c:pt idx="6">
                  <c:v>4.1930046354825119E-2</c:v>
                </c:pt>
                <c:pt idx="7">
                  <c:v>3.3291192583227984E-2</c:v>
                </c:pt>
                <c:pt idx="8">
                  <c:v>2.6127265065318164E-2</c:v>
                </c:pt>
                <c:pt idx="9">
                  <c:v>5.0568900126422248E-2</c:v>
                </c:pt>
                <c:pt idx="11">
                  <c:v>2.1070375052675939E-4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URA-Spear Motors-24h'!$AE$9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URA-Spear Motors-24h'!$R$10:$R$33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URA-Spear Motors-24h'!$AE$10:$AE$33</c:f>
              <c:numCache>
                <c:formatCode>0</c:formatCode>
                <c:ptCount val="24"/>
                <c:pt idx="0">
                  <c:v>269</c:v>
                </c:pt>
                <c:pt idx="1">
                  <c:v>243</c:v>
                </c:pt>
                <c:pt idx="2">
                  <c:v>218</c:v>
                </c:pt>
                <c:pt idx="3">
                  <c:v>241</c:v>
                </c:pt>
                <c:pt idx="4">
                  <c:v>235</c:v>
                </c:pt>
                <c:pt idx="5">
                  <c:v>346</c:v>
                </c:pt>
                <c:pt idx="6">
                  <c:v>372</c:v>
                </c:pt>
                <c:pt idx="7">
                  <c:v>364</c:v>
                </c:pt>
                <c:pt idx="8">
                  <c:v>314</c:v>
                </c:pt>
                <c:pt idx="9">
                  <c:v>351</c:v>
                </c:pt>
                <c:pt idx="10">
                  <c:v>351</c:v>
                </c:pt>
                <c:pt idx="11">
                  <c:v>368</c:v>
                </c:pt>
                <c:pt idx="12">
                  <c:v>81</c:v>
                </c:pt>
                <c:pt idx="13">
                  <c:v>211</c:v>
                </c:pt>
                <c:pt idx="14">
                  <c:v>167</c:v>
                </c:pt>
                <c:pt idx="15">
                  <c:v>112</c:v>
                </c:pt>
                <c:pt idx="16">
                  <c:v>89</c:v>
                </c:pt>
                <c:pt idx="17">
                  <c:v>47</c:v>
                </c:pt>
                <c:pt idx="18">
                  <c:v>27</c:v>
                </c:pt>
                <c:pt idx="19">
                  <c:v>16</c:v>
                </c:pt>
                <c:pt idx="20">
                  <c:v>15</c:v>
                </c:pt>
                <c:pt idx="21">
                  <c:v>24</c:v>
                </c:pt>
                <c:pt idx="22">
                  <c:v>35</c:v>
                </c:pt>
                <c:pt idx="23">
                  <c:v>191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'01.08 URA-Spear Motors-24h'!$AF$9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URA-Spear Motors-24h'!$R$10:$R$33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URA-Spear Motors-24h'!$AF$10:$AF$33</c:f>
              <c:numCache>
                <c:formatCode>0</c:formatCode>
                <c:ptCount val="24"/>
                <c:pt idx="0">
                  <c:v>539</c:v>
                </c:pt>
                <c:pt idx="1">
                  <c:v>648</c:v>
                </c:pt>
                <c:pt idx="2">
                  <c:v>677</c:v>
                </c:pt>
                <c:pt idx="3">
                  <c:v>715</c:v>
                </c:pt>
                <c:pt idx="4">
                  <c:v>538</c:v>
                </c:pt>
                <c:pt idx="5">
                  <c:v>614</c:v>
                </c:pt>
                <c:pt idx="6">
                  <c:v>630</c:v>
                </c:pt>
                <c:pt idx="7">
                  <c:v>605</c:v>
                </c:pt>
                <c:pt idx="8">
                  <c:v>497</c:v>
                </c:pt>
                <c:pt idx="9">
                  <c:v>599</c:v>
                </c:pt>
                <c:pt idx="10">
                  <c:v>719</c:v>
                </c:pt>
                <c:pt idx="11">
                  <c:v>659</c:v>
                </c:pt>
                <c:pt idx="12">
                  <c:v>1039</c:v>
                </c:pt>
                <c:pt idx="13">
                  <c:v>693</c:v>
                </c:pt>
                <c:pt idx="14">
                  <c:v>528</c:v>
                </c:pt>
                <c:pt idx="15">
                  <c:v>268</c:v>
                </c:pt>
                <c:pt idx="16">
                  <c:v>249</c:v>
                </c:pt>
                <c:pt idx="17">
                  <c:v>185</c:v>
                </c:pt>
                <c:pt idx="18">
                  <c:v>77</c:v>
                </c:pt>
                <c:pt idx="19">
                  <c:v>67</c:v>
                </c:pt>
                <c:pt idx="20">
                  <c:v>65</c:v>
                </c:pt>
                <c:pt idx="21">
                  <c:v>112</c:v>
                </c:pt>
                <c:pt idx="22">
                  <c:v>253</c:v>
                </c:pt>
                <c:pt idx="23">
                  <c:v>583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606720"/>
        <c:axId val="104653952"/>
      </c:lineChart>
      <c:catAx>
        <c:axId val="1046067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653952"/>
        <c:crosses val="autoZero"/>
        <c:auto val="1"/>
        <c:lblAlgn val="ctr"/>
        <c:lblOffset val="100"/>
        <c:noMultiLvlLbl val="0"/>
      </c:catAx>
      <c:valAx>
        <c:axId val="1046539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60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URA-Spear Motors-24h'!$C$9:$N$9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URA-Spear Motors-24h'!$C$107:$N$107</c:f>
              <c:numCache>
                <c:formatCode>0.0%</c:formatCode>
                <c:ptCount val="12"/>
                <c:pt idx="0">
                  <c:v>0.22822043429362401</c:v>
                </c:pt>
                <c:pt idx="1">
                  <c:v>5.7703953629206682E-2</c:v>
                </c:pt>
                <c:pt idx="2">
                  <c:v>3.0106410589151311E-2</c:v>
                </c:pt>
                <c:pt idx="3">
                  <c:v>3.6594861147158056E-2</c:v>
                </c:pt>
                <c:pt idx="4">
                  <c:v>2.8549182455229693E-3</c:v>
                </c:pt>
                <c:pt idx="5">
                  <c:v>4.3256337053378319E-4</c:v>
                </c:pt>
                <c:pt idx="6">
                  <c:v>2.5780776883813479E-2</c:v>
                </c:pt>
                <c:pt idx="7">
                  <c:v>8.9108054329959333E-3</c:v>
                </c:pt>
                <c:pt idx="8">
                  <c:v>5.0177350981918849E-3</c:v>
                </c:pt>
                <c:pt idx="9">
                  <c:v>9.7759321740635008E-3</c:v>
                </c:pt>
                <c:pt idx="10">
                  <c:v>0.59451509646163159</c:v>
                </c:pt>
                <c:pt idx="11">
                  <c:v>8.6512674106756636E-5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URA-Spear Motors-24h'!$C$9:$N$9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URA-Spear Motors-24h'!$C$108:$N$108</c:f>
              <c:numCache>
                <c:formatCode>0.00%</c:formatCode>
                <c:ptCount val="12"/>
                <c:pt idx="0">
                  <c:v>0.56283336889268187</c:v>
                </c:pt>
                <c:pt idx="1">
                  <c:v>0.14230851290804353</c:v>
                </c:pt>
                <c:pt idx="2">
                  <c:v>7.4247919778109669E-2</c:v>
                </c:pt>
                <c:pt idx="3">
                  <c:v>9.024962662684019E-2</c:v>
                </c:pt>
                <c:pt idx="4">
                  <c:v>7.0407510134414333E-3</c:v>
                </c:pt>
                <c:pt idx="5">
                  <c:v>1.0667804565820354E-3</c:v>
                </c:pt>
                <c:pt idx="6">
                  <c:v>6.3580115212289318E-2</c:v>
                </c:pt>
                <c:pt idx="7">
                  <c:v>2.1975677405589929E-2</c:v>
                </c:pt>
                <c:pt idx="8">
                  <c:v>1.2374653296351611E-2</c:v>
                </c:pt>
                <c:pt idx="9">
                  <c:v>2.4109238318754E-2</c:v>
                </c:pt>
                <c:pt idx="11">
                  <c:v>2.1335609131640709E-4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Spear Motors-URA'!$AE$9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Spear Motors-URA'!$AE$10:$AE$21</c:f>
              <c:numCache>
                <c:formatCode>0</c:formatCode>
                <c:ptCount val="12"/>
                <c:pt idx="0">
                  <c:v>241</c:v>
                </c:pt>
                <c:pt idx="1">
                  <c:v>267</c:v>
                </c:pt>
                <c:pt idx="2">
                  <c:v>295</c:v>
                </c:pt>
                <c:pt idx="3">
                  <c:v>260</c:v>
                </c:pt>
                <c:pt idx="4">
                  <c:v>326</c:v>
                </c:pt>
                <c:pt idx="5">
                  <c:v>261</c:v>
                </c:pt>
                <c:pt idx="6">
                  <c:v>227</c:v>
                </c:pt>
                <c:pt idx="7">
                  <c:v>272</c:v>
                </c:pt>
                <c:pt idx="8">
                  <c:v>279</c:v>
                </c:pt>
                <c:pt idx="9">
                  <c:v>276</c:v>
                </c:pt>
                <c:pt idx="10">
                  <c:v>272</c:v>
                </c:pt>
                <c:pt idx="11">
                  <c:v>266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'02.08 Spear Motors-URA'!$AF$9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Spear Motors-URA'!$AF$10:$AF$21</c:f>
              <c:numCache>
                <c:formatCode>0</c:formatCode>
                <c:ptCount val="12"/>
                <c:pt idx="0">
                  <c:v>594</c:v>
                </c:pt>
                <c:pt idx="1">
                  <c:v>757</c:v>
                </c:pt>
                <c:pt idx="2">
                  <c:v>743</c:v>
                </c:pt>
                <c:pt idx="3">
                  <c:v>724</c:v>
                </c:pt>
                <c:pt idx="4">
                  <c:v>801</c:v>
                </c:pt>
                <c:pt idx="5">
                  <c:v>504</c:v>
                </c:pt>
                <c:pt idx="6">
                  <c:v>372</c:v>
                </c:pt>
                <c:pt idx="7">
                  <c:v>644</c:v>
                </c:pt>
                <c:pt idx="8">
                  <c:v>512</c:v>
                </c:pt>
                <c:pt idx="9">
                  <c:v>477</c:v>
                </c:pt>
                <c:pt idx="10">
                  <c:v>777</c:v>
                </c:pt>
                <c:pt idx="11">
                  <c:v>476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152512"/>
        <c:axId val="105154432"/>
      </c:lineChart>
      <c:catAx>
        <c:axId val="1051525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154432"/>
        <c:crosses val="autoZero"/>
        <c:auto val="1"/>
        <c:lblAlgn val="ctr"/>
        <c:lblOffset val="100"/>
        <c:noMultiLvlLbl val="0"/>
      </c:catAx>
      <c:valAx>
        <c:axId val="1051544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15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Spear 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Spear Motors-URA'!$C$59:$N$59</c:f>
              <c:numCache>
                <c:formatCode>0.0%</c:formatCode>
                <c:ptCount val="12"/>
                <c:pt idx="0">
                  <c:v>0.24617260533803006</c:v>
                </c:pt>
                <c:pt idx="1">
                  <c:v>4.7825497900013551E-2</c:v>
                </c:pt>
                <c:pt idx="2">
                  <c:v>4.1186831052702884E-2</c:v>
                </c:pt>
                <c:pt idx="3">
                  <c:v>3.6173960167998918E-2</c:v>
                </c:pt>
                <c:pt idx="4">
                  <c:v>7.8580138192656818E-3</c:v>
                </c:pt>
                <c:pt idx="5">
                  <c:v>0</c:v>
                </c:pt>
                <c:pt idx="6">
                  <c:v>1.5174095650995799E-2</c:v>
                </c:pt>
                <c:pt idx="7">
                  <c:v>1.3548299688389108E-2</c:v>
                </c:pt>
                <c:pt idx="8">
                  <c:v>1.0838639750711285E-2</c:v>
                </c:pt>
                <c:pt idx="9">
                  <c:v>2.0322449532583661E-2</c:v>
                </c:pt>
                <c:pt idx="10">
                  <c:v>0.56076412410242515</c:v>
                </c:pt>
                <c:pt idx="11">
                  <c:v>1.3548299688389108E-4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65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Spear Motors-URA'!$S$9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Spear Motors-URA'!$S$10:$S$21</c:f>
              <c:numCache>
                <c:formatCode>0</c:formatCode>
                <c:ptCount val="12"/>
                <c:pt idx="0">
                  <c:v>135</c:v>
                </c:pt>
                <c:pt idx="1">
                  <c:v>161</c:v>
                </c:pt>
                <c:pt idx="2">
                  <c:v>173</c:v>
                </c:pt>
                <c:pt idx="3">
                  <c:v>136</c:v>
                </c:pt>
                <c:pt idx="4">
                  <c:v>167</c:v>
                </c:pt>
                <c:pt idx="5">
                  <c:v>133</c:v>
                </c:pt>
                <c:pt idx="6">
                  <c:v>132</c:v>
                </c:pt>
                <c:pt idx="7">
                  <c:v>158</c:v>
                </c:pt>
                <c:pt idx="8">
                  <c:v>170</c:v>
                </c:pt>
                <c:pt idx="9">
                  <c:v>149</c:v>
                </c:pt>
                <c:pt idx="10">
                  <c:v>151</c:v>
                </c:pt>
                <c:pt idx="11">
                  <c:v>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'02.08 Spear Motors-URA'!$T$9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Spear Motors-URA'!$T$10:$T$21</c:f>
              <c:numCache>
                <c:formatCode>0</c:formatCode>
                <c:ptCount val="12"/>
                <c:pt idx="0">
                  <c:v>33</c:v>
                </c:pt>
                <c:pt idx="1">
                  <c:v>26</c:v>
                </c:pt>
                <c:pt idx="2">
                  <c:v>29</c:v>
                </c:pt>
                <c:pt idx="3">
                  <c:v>29</c:v>
                </c:pt>
                <c:pt idx="4">
                  <c:v>31</c:v>
                </c:pt>
                <c:pt idx="5">
                  <c:v>25</c:v>
                </c:pt>
                <c:pt idx="6">
                  <c:v>36</c:v>
                </c:pt>
                <c:pt idx="7">
                  <c:v>34</c:v>
                </c:pt>
                <c:pt idx="8">
                  <c:v>19</c:v>
                </c:pt>
                <c:pt idx="9">
                  <c:v>31</c:v>
                </c:pt>
                <c:pt idx="10">
                  <c:v>34</c:v>
                </c:pt>
                <c:pt idx="11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'02.08 Spear Motors-URA'!$U$9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Motors-URA'!$U$10:$U$21</c:f>
              <c:numCache>
                <c:formatCode>0</c:formatCode>
                <c:ptCount val="12"/>
                <c:pt idx="0">
                  <c:v>33</c:v>
                </c:pt>
                <c:pt idx="1">
                  <c:v>18</c:v>
                </c:pt>
                <c:pt idx="2">
                  <c:v>24</c:v>
                </c:pt>
                <c:pt idx="3">
                  <c:v>19</c:v>
                </c:pt>
                <c:pt idx="4">
                  <c:v>33</c:v>
                </c:pt>
                <c:pt idx="5">
                  <c:v>30</c:v>
                </c:pt>
                <c:pt idx="6">
                  <c:v>15</c:v>
                </c:pt>
                <c:pt idx="7">
                  <c:v>24</c:v>
                </c:pt>
                <c:pt idx="8">
                  <c:v>19</c:v>
                </c:pt>
                <c:pt idx="9">
                  <c:v>31</c:v>
                </c:pt>
                <c:pt idx="10">
                  <c:v>32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'02.08 Spear Motors-URA'!$V$9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Motors-URA'!$V$10:$V$21</c:f>
              <c:numCache>
                <c:formatCode>0</c:formatCode>
                <c:ptCount val="12"/>
                <c:pt idx="0">
                  <c:v>22</c:v>
                </c:pt>
                <c:pt idx="1">
                  <c:v>31</c:v>
                </c:pt>
                <c:pt idx="2">
                  <c:v>22</c:v>
                </c:pt>
                <c:pt idx="3">
                  <c:v>19</c:v>
                </c:pt>
                <c:pt idx="4">
                  <c:v>32</c:v>
                </c:pt>
                <c:pt idx="5">
                  <c:v>23</c:v>
                </c:pt>
                <c:pt idx="6">
                  <c:v>9</c:v>
                </c:pt>
                <c:pt idx="7">
                  <c:v>18</c:v>
                </c:pt>
                <c:pt idx="8">
                  <c:v>16</c:v>
                </c:pt>
                <c:pt idx="9">
                  <c:v>27</c:v>
                </c:pt>
                <c:pt idx="10">
                  <c:v>21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'02.08 Spear Motors-URA'!$W$9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Motors-URA'!$W$10:$W$21</c:f>
              <c:numCache>
                <c:formatCode>0</c:formatCode>
                <c:ptCount val="12"/>
                <c:pt idx="0">
                  <c:v>7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5</c:v>
                </c:pt>
                <c:pt idx="7">
                  <c:v>3</c:v>
                </c:pt>
                <c:pt idx="8">
                  <c:v>5</c:v>
                </c:pt>
                <c:pt idx="9">
                  <c:v>5</c:v>
                </c:pt>
                <c:pt idx="10">
                  <c:v>9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'02.08 Spear Motors-URA'!$X$9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'02.08 Spear Motors-URA'!$Y$9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Motors-URA'!$Y$10:$Y$21</c:f>
              <c:numCache>
                <c:formatCode>0</c:formatCode>
                <c:ptCount val="12"/>
                <c:pt idx="0">
                  <c:v>2</c:v>
                </c:pt>
                <c:pt idx="1">
                  <c:v>9</c:v>
                </c:pt>
                <c:pt idx="2">
                  <c:v>15</c:v>
                </c:pt>
                <c:pt idx="3">
                  <c:v>15</c:v>
                </c:pt>
                <c:pt idx="4">
                  <c:v>11</c:v>
                </c:pt>
                <c:pt idx="5">
                  <c:v>8</c:v>
                </c:pt>
                <c:pt idx="6">
                  <c:v>8</c:v>
                </c:pt>
                <c:pt idx="7">
                  <c:v>11</c:v>
                </c:pt>
                <c:pt idx="8">
                  <c:v>13</c:v>
                </c:pt>
                <c:pt idx="9">
                  <c:v>10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'02.08 Spear Motors-URA'!$Z$9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Motors-URA'!$Z$10:$Z$21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15</c:v>
                </c:pt>
                <c:pt idx="3">
                  <c:v>9</c:v>
                </c:pt>
                <c:pt idx="4">
                  <c:v>11</c:v>
                </c:pt>
                <c:pt idx="5">
                  <c:v>10</c:v>
                </c:pt>
                <c:pt idx="6">
                  <c:v>7</c:v>
                </c:pt>
                <c:pt idx="7">
                  <c:v>7</c:v>
                </c:pt>
                <c:pt idx="8">
                  <c:v>9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'02.08 Spear Motors-URA'!$AA$9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Motors-URA'!$AA$10:$AA$21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0</c:v>
                </c:pt>
                <c:pt idx="3">
                  <c:v>9</c:v>
                </c:pt>
                <c:pt idx="4">
                  <c:v>16</c:v>
                </c:pt>
                <c:pt idx="5">
                  <c:v>14</c:v>
                </c:pt>
                <c:pt idx="6">
                  <c:v>3</c:v>
                </c:pt>
                <c:pt idx="7">
                  <c:v>8</c:v>
                </c:pt>
                <c:pt idx="8">
                  <c:v>9</c:v>
                </c:pt>
                <c:pt idx="9">
                  <c:v>5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'02.08 Spear Motors-URA'!$AB$9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Motors-URA'!$AB$10:$AB$21</c:f>
              <c:numCache>
                <c:formatCode>0</c:formatCode>
                <c:ptCount val="12"/>
                <c:pt idx="0">
                  <c:v>2</c:v>
                </c:pt>
                <c:pt idx="1">
                  <c:v>11</c:v>
                </c:pt>
                <c:pt idx="2">
                  <c:v>14</c:v>
                </c:pt>
                <c:pt idx="3">
                  <c:v>18</c:v>
                </c:pt>
                <c:pt idx="4">
                  <c:v>20</c:v>
                </c:pt>
                <c:pt idx="5">
                  <c:v>14</c:v>
                </c:pt>
                <c:pt idx="6">
                  <c:v>12</c:v>
                </c:pt>
                <c:pt idx="7">
                  <c:v>9</c:v>
                </c:pt>
                <c:pt idx="8">
                  <c:v>19</c:v>
                </c:pt>
                <c:pt idx="9">
                  <c:v>10</c:v>
                </c:pt>
                <c:pt idx="10">
                  <c:v>8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'02.08 Spear Motors-URA'!$AC$9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Motors-URA'!$AC$10:$AC$21</c:f>
              <c:numCache>
                <c:formatCode>0</c:formatCode>
                <c:ptCount val="12"/>
                <c:pt idx="0">
                  <c:v>353</c:v>
                </c:pt>
                <c:pt idx="1">
                  <c:v>490</c:v>
                </c:pt>
                <c:pt idx="2">
                  <c:v>448</c:v>
                </c:pt>
                <c:pt idx="3">
                  <c:v>464</c:v>
                </c:pt>
                <c:pt idx="4">
                  <c:v>475</c:v>
                </c:pt>
                <c:pt idx="5">
                  <c:v>243</c:v>
                </c:pt>
                <c:pt idx="6">
                  <c:v>145</c:v>
                </c:pt>
                <c:pt idx="7">
                  <c:v>372</c:v>
                </c:pt>
                <c:pt idx="8">
                  <c:v>233</c:v>
                </c:pt>
                <c:pt idx="9">
                  <c:v>201</c:v>
                </c:pt>
                <c:pt idx="10">
                  <c:v>505</c:v>
                </c:pt>
                <c:pt idx="11">
                  <c:v>210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'02.08 Spear Motors-URA'!$AD$9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207296"/>
        <c:axId val="105208832"/>
      </c:lineChart>
      <c:catAx>
        <c:axId val="10520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208832"/>
        <c:crosses val="autoZero"/>
        <c:auto val="1"/>
        <c:lblAlgn val="ctr"/>
        <c:lblOffset val="100"/>
        <c:noMultiLvlLbl val="0"/>
      </c:catAx>
      <c:valAx>
        <c:axId val="10520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20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Spear 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Spear Motors-URA'!$C$60:$N$60</c:f>
              <c:numCache>
                <c:formatCode>0.00%</c:formatCode>
                <c:ptCount val="12"/>
                <c:pt idx="0">
                  <c:v>0.56045650832819249</c:v>
                </c:pt>
                <c:pt idx="1">
                  <c:v>0.10888340530536705</c:v>
                </c:pt>
                <c:pt idx="2">
                  <c:v>9.3769278223318944E-2</c:v>
                </c:pt>
                <c:pt idx="3">
                  <c:v>8.2356570018507089E-2</c:v>
                </c:pt>
                <c:pt idx="4">
                  <c:v>1.7890191239975324E-2</c:v>
                </c:pt>
                <c:pt idx="5">
                  <c:v>0</c:v>
                </c:pt>
                <c:pt idx="6">
                  <c:v>3.4546576187538557E-2</c:v>
                </c:pt>
                <c:pt idx="7">
                  <c:v>3.0845157310302282E-2</c:v>
                </c:pt>
                <c:pt idx="8">
                  <c:v>2.4676125848241828E-2</c:v>
                </c:pt>
                <c:pt idx="9">
                  <c:v>4.6267735965453423E-2</c:v>
                </c:pt>
                <c:pt idx="11">
                  <c:v>3.0845157310302283E-4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URA-Spear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URA-Spear Motors'!$AE$10:$AE$21</c:f>
              <c:numCache>
                <c:formatCode>0</c:formatCode>
                <c:ptCount val="12"/>
                <c:pt idx="0">
                  <c:v>229</c:v>
                </c:pt>
                <c:pt idx="1">
                  <c:v>233</c:v>
                </c:pt>
                <c:pt idx="2">
                  <c:v>317</c:v>
                </c:pt>
                <c:pt idx="3">
                  <c:v>288</c:v>
                </c:pt>
                <c:pt idx="4">
                  <c:v>276</c:v>
                </c:pt>
                <c:pt idx="5">
                  <c:v>266</c:v>
                </c:pt>
                <c:pt idx="6">
                  <c:v>285</c:v>
                </c:pt>
                <c:pt idx="7">
                  <c:v>271</c:v>
                </c:pt>
                <c:pt idx="8">
                  <c:v>281</c:v>
                </c:pt>
                <c:pt idx="9">
                  <c:v>307</c:v>
                </c:pt>
                <c:pt idx="10">
                  <c:v>432</c:v>
                </c:pt>
                <c:pt idx="11">
                  <c:v>205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'02.08 URA-Spear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URA-Spear Motors'!$AF$10:$AF$21</c:f>
              <c:numCache>
                <c:formatCode>0</c:formatCode>
                <c:ptCount val="12"/>
                <c:pt idx="0">
                  <c:v>744</c:v>
                </c:pt>
                <c:pt idx="1">
                  <c:v>634</c:v>
                </c:pt>
                <c:pt idx="2">
                  <c:v>760</c:v>
                </c:pt>
                <c:pt idx="3">
                  <c:v>648</c:v>
                </c:pt>
                <c:pt idx="4">
                  <c:v>671</c:v>
                </c:pt>
                <c:pt idx="5">
                  <c:v>611</c:v>
                </c:pt>
                <c:pt idx="6">
                  <c:v>702</c:v>
                </c:pt>
                <c:pt idx="7">
                  <c:v>502</c:v>
                </c:pt>
                <c:pt idx="8">
                  <c:v>663</c:v>
                </c:pt>
                <c:pt idx="9">
                  <c:v>644</c:v>
                </c:pt>
                <c:pt idx="10">
                  <c:v>719</c:v>
                </c:pt>
                <c:pt idx="11">
                  <c:v>460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846272"/>
        <c:axId val="103847808"/>
      </c:lineChart>
      <c:catAx>
        <c:axId val="1038462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847808"/>
        <c:crosses val="autoZero"/>
        <c:auto val="1"/>
        <c:lblAlgn val="ctr"/>
        <c:lblOffset val="100"/>
        <c:noMultiLvlLbl val="0"/>
      </c:catAx>
      <c:valAx>
        <c:axId val="1038478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84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URA-Spear Motors'!$C$59:$N$59</c:f>
              <c:numCache>
                <c:formatCode>0.0%</c:formatCode>
                <c:ptCount val="12"/>
                <c:pt idx="0">
                  <c:v>0.2531580304202114</c:v>
                </c:pt>
                <c:pt idx="1">
                  <c:v>4.6274813096158801E-2</c:v>
                </c:pt>
                <c:pt idx="2">
                  <c:v>4.1247744263985565E-2</c:v>
                </c:pt>
                <c:pt idx="3">
                  <c:v>3.660737303428719E-2</c:v>
                </c:pt>
                <c:pt idx="4">
                  <c:v>3.0935808197989174E-3</c:v>
                </c:pt>
                <c:pt idx="5">
                  <c:v>1.8045888115493685E-3</c:v>
                </c:pt>
                <c:pt idx="6">
                  <c:v>3.3255993812838364E-2</c:v>
                </c:pt>
                <c:pt idx="7">
                  <c:v>1.082753286929621E-2</c:v>
                </c:pt>
                <c:pt idx="8">
                  <c:v>2.9646816189739622E-3</c:v>
                </c:pt>
                <c:pt idx="9">
                  <c:v>7.4761536478473835E-3</c:v>
                </c:pt>
                <c:pt idx="10">
                  <c:v>0.56303170920340295</c:v>
                </c:pt>
                <c:pt idx="11">
                  <c:v>2.5779840164990978E-4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65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URA-Spear Motors'!$S$9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URA-Spear Motors'!$S$10:$S$21</c:f>
              <c:numCache>
                <c:formatCode>0</c:formatCode>
                <c:ptCount val="12"/>
                <c:pt idx="0">
                  <c:v>130</c:v>
                </c:pt>
                <c:pt idx="1">
                  <c:v>135</c:v>
                </c:pt>
                <c:pt idx="2">
                  <c:v>143</c:v>
                </c:pt>
                <c:pt idx="3">
                  <c:v>162</c:v>
                </c:pt>
                <c:pt idx="4">
                  <c:v>139</c:v>
                </c:pt>
                <c:pt idx="5">
                  <c:v>152</c:v>
                </c:pt>
                <c:pt idx="6">
                  <c:v>161</c:v>
                </c:pt>
                <c:pt idx="7">
                  <c:v>167</c:v>
                </c:pt>
                <c:pt idx="8">
                  <c:v>159</c:v>
                </c:pt>
                <c:pt idx="9">
                  <c:v>224</c:v>
                </c:pt>
                <c:pt idx="10">
                  <c:v>271</c:v>
                </c:pt>
                <c:pt idx="11">
                  <c:v>121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'02.08 URA-Spear Motors'!$T$9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URA-Spear Motors'!$T$10:$T$21</c:f>
              <c:numCache>
                <c:formatCode>0</c:formatCode>
                <c:ptCount val="12"/>
                <c:pt idx="0">
                  <c:v>23</c:v>
                </c:pt>
                <c:pt idx="1">
                  <c:v>29</c:v>
                </c:pt>
                <c:pt idx="2">
                  <c:v>31</c:v>
                </c:pt>
                <c:pt idx="3">
                  <c:v>28</c:v>
                </c:pt>
                <c:pt idx="4">
                  <c:v>40</c:v>
                </c:pt>
                <c:pt idx="5">
                  <c:v>31</c:v>
                </c:pt>
                <c:pt idx="6">
                  <c:v>32</c:v>
                </c:pt>
                <c:pt idx="7">
                  <c:v>26</c:v>
                </c:pt>
                <c:pt idx="8">
                  <c:v>28</c:v>
                </c:pt>
                <c:pt idx="9">
                  <c:v>19</c:v>
                </c:pt>
                <c:pt idx="10">
                  <c:v>52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'02.08 URA-Spear Motors'!$U$9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Motors'!$U$10:$U$21</c:f>
              <c:numCache>
                <c:formatCode>0</c:formatCode>
                <c:ptCount val="12"/>
                <c:pt idx="0">
                  <c:v>24</c:v>
                </c:pt>
                <c:pt idx="1">
                  <c:v>24</c:v>
                </c:pt>
                <c:pt idx="2">
                  <c:v>37</c:v>
                </c:pt>
                <c:pt idx="3">
                  <c:v>30</c:v>
                </c:pt>
                <c:pt idx="4">
                  <c:v>20</c:v>
                </c:pt>
                <c:pt idx="5">
                  <c:v>25</c:v>
                </c:pt>
                <c:pt idx="6">
                  <c:v>25</c:v>
                </c:pt>
                <c:pt idx="7">
                  <c:v>24</c:v>
                </c:pt>
                <c:pt idx="8">
                  <c:v>31</c:v>
                </c:pt>
                <c:pt idx="9">
                  <c:v>23</c:v>
                </c:pt>
                <c:pt idx="10">
                  <c:v>44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'02.08 URA-Spear Motors'!$V$9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Motors'!$V$10:$V$21</c:f>
              <c:numCache>
                <c:formatCode>0</c:formatCode>
                <c:ptCount val="12"/>
                <c:pt idx="0">
                  <c:v>21</c:v>
                </c:pt>
                <c:pt idx="1">
                  <c:v>14</c:v>
                </c:pt>
                <c:pt idx="2">
                  <c:v>32</c:v>
                </c:pt>
                <c:pt idx="3">
                  <c:v>24</c:v>
                </c:pt>
                <c:pt idx="4">
                  <c:v>54</c:v>
                </c:pt>
                <c:pt idx="5">
                  <c:v>23</c:v>
                </c:pt>
                <c:pt idx="6">
                  <c:v>28</c:v>
                </c:pt>
                <c:pt idx="7">
                  <c:v>22</c:v>
                </c:pt>
                <c:pt idx="8">
                  <c:v>18</c:v>
                </c:pt>
                <c:pt idx="9">
                  <c:v>20</c:v>
                </c:pt>
                <c:pt idx="10">
                  <c:v>20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'02.08 URA-Spear Motors'!$W$9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Motors'!$W$10:$W$21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4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'02.08 URA-Spear Motors'!$X$9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12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'02.08 URA-Spear Motors'!$Y$9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Motors'!$Y$10:$Y$21</c:f>
              <c:numCache>
                <c:formatCode>0</c:formatCode>
                <c:ptCount val="12"/>
                <c:pt idx="0">
                  <c:v>24</c:v>
                </c:pt>
                <c:pt idx="1">
                  <c:v>23</c:v>
                </c:pt>
                <c:pt idx="2">
                  <c:v>25</c:v>
                </c:pt>
                <c:pt idx="3">
                  <c:v>23</c:v>
                </c:pt>
                <c:pt idx="4">
                  <c:v>13</c:v>
                </c:pt>
                <c:pt idx="5">
                  <c:v>16</c:v>
                </c:pt>
                <c:pt idx="6">
                  <c:v>31</c:v>
                </c:pt>
                <c:pt idx="7">
                  <c:v>18</c:v>
                </c:pt>
                <c:pt idx="8">
                  <c:v>30</c:v>
                </c:pt>
                <c:pt idx="9">
                  <c:v>14</c:v>
                </c:pt>
                <c:pt idx="10">
                  <c:v>19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'02.08 URA-Spear Motors'!$Z$9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Motors'!$Z$10:$Z$21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17</c:v>
                </c:pt>
                <c:pt idx="3">
                  <c:v>7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8</c:v>
                </c:pt>
                <c:pt idx="8">
                  <c:v>10</c:v>
                </c:pt>
                <c:pt idx="9">
                  <c:v>3</c:v>
                </c:pt>
                <c:pt idx="10">
                  <c:v>17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'02.08 URA-Spear Motors'!$AA$9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'02.08 URA-Spear Motors'!$AB$9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11</c:v>
                </c:pt>
                <c:pt idx="3">
                  <c:v>7</c:v>
                </c:pt>
                <c:pt idx="4">
                  <c:v>2</c:v>
                </c:pt>
                <c:pt idx="5">
                  <c:v>12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3</c:v>
                </c:pt>
                <c:pt idx="10">
                  <c:v>5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'02.08 URA-Spear Motors'!$AC$9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Motors'!$AC$10:$AC$21</c:f>
              <c:numCache>
                <c:formatCode>0</c:formatCode>
                <c:ptCount val="12"/>
                <c:pt idx="0">
                  <c:v>515</c:v>
                </c:pt>
                <c:pt idx="1">
                  <c:v>401</c:v>
                </c:pt>
                <c:pt idx="2">
                  <c:v>443</c:v>
                </c:pt>
                <c:pt idx="3">
                  <c:v>360</c:v>
                </c:pt>
                <c:pt idx="4">
                  <c:v>395</c:v>
                </c:pt>
                <c:pt idx="5">
                  <c:v>345</c:v>
                </c:pt>
                <c:pt idx="6">
                  <c:v>417</c:v>
                </c:pt>
                <c:pt idx="7">
                  <c:v>231</c:v>
                </c:pt>
                <c:pt idx="8">
                  <c:v>382</c:v>
                </c:pt>
                <c:pt idx="9">
                  <c:v>337</c:v>
                </c:pt>
                <c:pt idx="10">
                  <c:v>287</c:v>
                </c:pt>
                <c:pt idx="11">
                  <c:v>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'02.08 URA-Spear Motors'!$AD$9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797120"/>
        <c:axId val="105798656"/>
      </c:lineChart>
      <c:catAx>
        <c:axId val="105797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798656"/>
        <c:crosses val="autoZero"/>
        <c:auto val="1"/>
        <c:lblAlgn val="ctr"/>
        <c:lblOffset val="100"/>
        <c:noMultiLvlLbl val="0"/>
      </c:catAx>
      <c:valAx>
        <c:axId val="10579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797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URA-Spear Motors'!$C$60:$N$60</c:f>
              <c:numCache>
                <c:formatCode>0.00%</c:formatCode>
                <c:ptCount val="12"/>
                <c:pt idx="0">
                  <c:v>0.5793510324483776</c:v>
                </c:pt>
                <c:pt idx="1">
                  <c:v>0.10589970501474927</c:v>
                </c:pt>
                <c:pt idx="2">
                  <c:v>9.4395280235988199E-2</c:v>
                </c:pt>
                <c:pt idx="3">
                  <c:v>8.3775811209439527E-2</c:v>
                </c:pt>
                <c:pt idx="4">
                  <c:v>7.0796460176991149E-3</c:v>
                </c:pt>
                <c:pt idx="5">
                  <c:v>4.1297935103244837E-3</c:v>
                </c:pt>
                <c:pt idx="6">
                  <c:v>7.6106194690265486E-2</c:v>
                </c:pt>
                <c:pt idx="7">
                  <c:v>2.4778761061946902E-2</c:v>
                </c:pt>
                <c:pt idx="8">
                  <c:v>6.7846607669616518E-3</c:v>
                </c:pt>
                <c:pt idx="9">
                  <c:v>1.7109144542772861E-2</c:v>
                </c:pt>
                <c:pt idx="11">
                  <c:v>5.8997050147492625E-4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Spear Motors-URA-24h'!$AE$9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Spear Motors-URA-24h'!$R$10:$R$33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Spear Motors-URA-24h'!$AE$10:$AE$33</c:f>
              <c:numCache>
                <c:formatCode>0</c:formatCode>
                <c:ptCount val="24"/>
                <c:pt idx="0">
                  <c:v>192</c:v>
                </c:pt>
                <c:pt idx="1">
                  <c:v>237</c:v>
                </c:pt>
                <c:pt idx="2">
                  <c:v>225</c:v>
                </c:pt>
                <c:pt idx="3">
                  <c:v>255</c:v>
                </c:pt>
                <c:pt idx="4">
                  <c:v>266</c:v>
                </c:pt>
                <c:pt idx="5">
                  <c:v>264</c:v>
                </c:pt>
                <c:pt idx="6">
                  <c:v>286</c:v>
                </c:pt>
                <c:pt idx="7">
                  <c:v>206</c:v>
                </c:pt>
                <c:pt idx="8">
                  <c:v>263</c:v>
                </c:pt>
                <c:pt idx="9">
                  <c:v>263</c:v>
                </c:pt>
                <c:pt idx="10">
                  <c:v>299</c:v>
                </c:pt>
                <c:pt idx="11">
                  <c:v>254</c:v>
                </c:pt>
                <c:pt idx="12">
                  <c:v>235</c:v>
                </c:pt>
                <c:pt idx="13">
                  <c:v>294</c:v>
                </c:pt>
                <c:pt idx="14">
                  <c:v>320</c:v>
                </c:pt>
                <c:pt idx="15">
                  <c:v>211</c:v>
                </c:pt>
                <c:pt idx="16">
                  <c:v>141</c:v>
                </c:pt>
                <c:pt idx="17">
                  <c:v>78</c:v>
                </c:pt>
                <c:pt idx="18">
                  <c:v>58</c:v>
                </c:pt>
                <c:pt idx="19">
                  <c:v>54</c:v>
                </c:pt>
                <c:pt idx="20">
                  <c:v>33</c:v>
                </c:pt>
                <c:pt idx="21">
                  <c:v>34</c:v>
                </c:pt>
                <c:pt idx="22">
                  <c:v>23</c:v>
                </c:pt>
                <c:pt idx="23">
                  <c:v>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'03.08 Spear Motors-URA-24h'!$AF$9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Spear Motors-URA-24h'!$R$10:$R$33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Spear Motors-URA-24h'!$AF$10:$AF$33</c:f>
              <c:numCache>
                <c:formatCode>0</c:formatCode>
                <c:ptCount val="24"/>
                <c:pt idx="0">
                  <c:v>774</c:v>
                </c:pt>
                <c:pt idx="1">
                  <c:v>518</c:v>
                </c:pt>
                <c:pt idx="2">
                  <c:v>782</c:v>
                </c:pt>
                <c:pt idx="3">
                  <c:v>615</c:v>
                </c:pt>
                <c:pt idx="4">
                  <c:v>580</c:v>
                </c:pt>
                <c:pt idx="5">
                  <c:v>433</c:v>
                </c:pt>
                <c:pt idx="6">
                  <c:v>510</c:v>
                </c:pt>
                <c:pt idx="7">
                  <c:v>378</c:v>
                </c:pt>
                <c:pt idx="8">
                  <c:v>456</c:v>
                </c:pt>
                <c:pt idx="9">
                  <c:v>417</c:v>
                </c:pt>
                <c:pt idx="10">
                  <c:v>490</c:v>
                </c:pt>
                <c:pt idx="11">
                  <c:v>412</c:v>
                </c:pt>
                <c:pt idx="12">
                  <c:v>630</c:v>
                </c:pt>
                <c:pt idx="13">
                  <c:v>944</c:v>
                </c:pt>
                <c:pt idx="14">
                  <c:v>865</c:v>
                </c:pt>
                <c:pt idx="15">
                  <c:v>601</c:v>
                </c:pt>
                <c:pt idx="16">
                  <c:v>309</c:v>
                </c:pt>
                <c:pt idx="17">
                  <c:v>228</c:v>
                </c:pt>
                <c:pt idx="18">
                  <c:v>132</c:v>
                </c:pt>
                <c:pt idx="19">
                  <c:v>85</c:v>
                </c:pt>
                <c:pt idx="20">
                  <c:v>67</c:v>
                </c:pt>
                <c:pt idx="21">
                  <c:v>88</c:v>
                </c:pt>
                <c:pt idx="22">
                  <c:v>94</c:v>
                </c:pt>
                <c:pt idx="23">
                  <c:v>264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911040"/>
        <c:axId val="105912960"/>
      </c:lineChart>
      <c:catAx>
        <c:axId val="1059110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912960"/>
        <c:crosses val="autoZero"/>
        <c:auto val="1"/>
        <c:lblAlgn val="ctr"/>
        <c:lblOffset val="100"/>
        <c:noMultiLvlLbl val="0"/>
      </c:catAx>
      <c:valAx>
        <c:axId val="1059129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911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Spear Motors-URA-24h'!$C$9:$N$9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Spear Motors-URA-24h'!$C$107:$N$107</c:f>
              <c:numCache>
                <c:formatCode>0.0%</c:formatCode>
                <c:ptCount val="12"/>
                <c:pt idx="0">
                  <c:v>0.23444527736131934</c:v>
                </c:pt>
                <c:pt idx="1">
                  <c:v>5.0974512743628186E-2</c:v>
                </c:pt>
                <c:pt idx="2">
                  <c:v>3.5982008995502246E-2</c:v>
                </c:pt>
                <c:pt idx="3">
                  <c:v>3.9730134932533731E-2</c:v>
                </c:pt>
                <c:pt idx="4">
                  <c:v>6.5592203898050972E-3</c:v>
                </c:pt>
                <c:pt idx="5">
                  <c:v>1.8740629685157421E-4</c:v>
                </c:pt>
                <c:pt idx="6">
                  <c:v>1.7335082458770613E-2</c:v>
                </c:pt>
                <c:pt idx="7">
                  <c:v>1.0494752623688156E-2</c:v>
                </c:pt>
                <c:pt idx="8">
                  <c:v>1.1244377811094454E-2</c:v>
                </c:pt>
                <c:pt idx="9">
                  <c:v>1.8740629685157422E-2</c:v>
                </c:pt>
                <c:pt idx="10">
                  <c:v>0.57430659670164919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Spear Motors-URA-24h'!$C$9:$N$9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Spear Motors-URA-24h'!$C$108:$N$108</c:f>
              <c:numCache>
                <c:formatCode>0.00%</c:formatCode>
                <c:ptCount val="12"/>
                <c:pt idx="0">
                  <c:v>0.55073739819502532</c:v>
                </c:pt>
                <c:pt idx="1">
                  <c:v>0.11974466211754348</c:v>
                </c:pt>
                <c:pt idx="2">
                  <c:v>8.4525643847677745E-2</c:v>
                </c:pt>
                <c:pt idx="3">
                  <c:v>9.3330398415144178E-2</c:v>
                </c:pt>
                <c:pt idx="4">
                  <c:v>1.5408320493066256E-2</c:v>
                </c:pt>
                <c:pt idx="5">
                  <c:v>4.4023772837332157E-4</c:v>
                </c:pt>
                <c:pt idx="6">
                  <c:v>4.0721989874532245E-2</c:v>
                </c:pt>
                <c:pt idx="7">
                  <c:v>2.465331278890601E-2</c:v>
                </c:pt>
                <c:pt idx="8">
                  <c:v>2.6414263702399295E-2</c:v>
                </c:pt>
                <c:pt idx="9">
                  <c:v>4.4023772837332158E-2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URA-Spear Motors-24h'!$AE$9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URA-Spear Motors-24h'!$R$10:$R$33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URA-Spear Motors-24h'!$AE$10:$AE$33</c:f>
              <c:numCache>
                <c:formatCode>0</c:formatCode>
                <c:ptCount val="24"/>
                <c:pt idx="0">
                  <c:v>228</c:v>
                </c:pt>
                <c:pt idx="1">
                  <c:v>246</c:v>
                </c:pt>
                <c:pt idx="2">
                  <c:v>316</c:v>
                </c:pt>
                <c:pt idx="3">
                  <c:v>276</c:v>
                </c:pt>
                <c:pt idx="4">
                  <c:v>247</c:v>
                </c:pt>
                <c:pt idx="5">
                  <c:v>288</c:v>
                </c:pt>
                <c:pt idx="6">
                  <c:v>266</c:v>
                </c:pt>
                <c:pt idx="7">
                  <c:v>350</c:v>
                </c:pt>
                <c:pt idx="8">
                  <c:v>311</c:v>
                </c:pt>
                <c:pt idx="9">
                  <c:v>275</c:v>
                </c:pt>
                <c:pt idx="10">
                  <c:v>237</c:v>
                </c:pt>
                <c:pt idx="11">
                  <c:v>251</c:v>
                </c:pt>
                <c:pt idx="12">
                  <c:v>188</c:v>
                </c:pt>
                <c:pt idx="13">
                  <c:v>205</c:v>
                </c:pt>
                <c:pt idx="14">
                  <c:v>365</c:v>
                </c:pt>
                <c:pt idx="15">
                  <c:v>181</c:v>
                </c:pt>
                <c:pt idx="16">
                  <c:v>157</c:v>
                </c:pt>
                <c:pt idx="17">
                  <c:v>88</c:v>
                </c:pt>
                <c:pt idx="18">
                  <c:v>60</c:v>
                </c:pt>
                <c:pt idx="19">
                  <c:v>43</c:v>
                </c:pt>
                <c:pt idx="20">
                  <c:v>34</c:v>
                </c:pt>
                <c:pt idx="21">
                  <c:v>24</c:v>
                </c:pt>
                <c:pt idx="22">
                  <c:v>62</c:v>
                </c:pt>
                <c:pt idx="23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'03.08 URA-Spear Motors-24h'!$AF$9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URA-Spear Motors-24h'!$R$10:$R$33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URA-Spear Motors-24h'!$AF$10:$AF$33</c:f>
              <c:numCache>
                <c:formatCode>0</c:formatCode>
                <c:ptCount val="24"/>
                <c:pt idx="0">
                  <c:v>751</c:v>
                </c:pt>
                <c:pt idx="1">
                  <c:v>650</c:v>
                </c:pt>
                <c:pt idx="2">
                  <c:v>598</c:v>
                </c:pt>
                <c:pt idx="3">
                  <c:v>682</c:v>
                </c:pt>
                <c:pt idx="4">
                  <c:v>542</c:v>
                </c:pt>
                <c:pt idx="5">
                  <c:v>464</c:v>
                </c:pt>
                <c:pt idx="6">
                  <c:v>435</c:v>
                </c:pt>
                <c:pt idx="7">
                  <c:v>674</c:v>
                </c:pt>
                <c:pt idx="8">
                  <c:v>496</c:v>
                </c:pt>
                <c:pt idx="9">
                  <c:v>657</c:v>
                </c:pt>
                <c:pt idx="10">
                  <c:v>595</c:v>
                </c:pt>
                <c:pt idx="11">
                  <c:v>532</c:v>
                </c:pt>
                <c:pt idx="12">
                  <c:v>657</c:v>
                </c:pt>
                <c:pt idx="13">
                  <c:v>797</c:v>
                </c:pt>
                <c:pt idx="14">
                  <c:v>785</c:v>
                </c:pt>
                <c:pt idx="15">
                  <c:v>454</c:v>
                </c:pt>
                <c:pt idx="16">
                  <c:v>353</c:v>
                </c:pt>
                <c:pt idx="17">
                  <c:v>229</c:v>
                </c:pt>
                <c:pt idx="18">
                  <c:v>166</c:v>
                </c:pt>
                <c:pt idx="19">
                  <c:v>101</c:v>
                </c:pt>
                <c:pt idx="20">
                  <c:v>70</c:v>
                </c:pt>
                <c:pt idx="21">
                  <c:v>74</c:v>
                </c:pt>
                <c:pt idx="22">
                  <c:v>149</c:v>
                </c:pt>
                <c:pt idx="23">
                  <c:v>351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436288"/>
        <c:axId val="107467136"/>
      </c:lineChart>
      <c:catAx>
        <c:axId val="107436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467136"/>
        <c:crosses val="autoZero"/>
        <c:auto val="1"/>
        <c:lblAlgn val="ctr"/>
        <c:lblOffset val="100"/>
        <c:noMultiLvlLbl val="0"/>
      </c:catAx>
      <c:valAx>
        <c:axId val="107467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43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URA-Spear Motors-24h'!$C$9:$N$9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URA-Spear Motors-24h'!$C$107:$N$107</c:f>
              <c:numCache>
                <c:formatCode>0.0%</c:formatCode>
                <c:ptCount val="12"/>
                <c:pt idx="0">
                  <c:v>0</c:v>
                </c:pt>
                <c:pt idx="1">
                  <c:v>7.0058604155567389E-2</c:v>
                </c:pt>
                <c:pt idx="2">
                  <c:v>3.0012431184514295E-2</c:v>
                </c:pt>
                <c:pt idx="3">
                  <c:v>6.4198188598827921E-2</c:v>
                </c:pt>
                <c:pt idx="4">
                  <c:v>5.1500621559225713E-3</c:v>
                </c:pt>
                <c:pt idx="5">
                  <c:v>7.9914757591901967E-4</c:v>
                </c:pt>
                <c:pt idx="6">
                  <c:v>2.2820103001243118E-2</c:v>
                </c:pt>
                <c:pt idx="7">
                  <c:v>6.5707689575563843E-3</c:v>
                </c:pt>
                <c:pt idx="8">
                  <c:v>1.9534718522464926E-3</c:v>
                </c:pt>
                <c:pt idx="9">
                  <c:v>7.0147398330669512E-3</c:v>
                </c:pt>
                <c:pt idx="10">
                  <c:v>0.57396554786006038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URA-Spear Motors-24h'!$C$9:$N$9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URA-Spear Motors-24h'!$C$108:$N$108</c:f>
              <c:numCache>
                <c:formatCode>0.00%</c:formatCode>
                <c:ptCount val="12"/>
                <c:pt idx="0">
                  <c:v>0</c:v>
                </c:pt>
                <c:pt idx="1">
                  <c:v>0.16444351813255523</c:v>
                </c:pt>
                <c:pt idx="2">
                  <c:v>7.0446019174656108E-2</c:v>
                </c:pt>
                <c:pt idx="3">
                  <c:v>0.15068778657774073</c:v>
                </c:pt>
                <c:pt idx="4">
                  <c:v>1.2088370154230929E-2</c:v>
                </c:pt>
                <c:pt idx="5">
                  <c:v>1.8757815756565235E-3</c:v>
                </c:pt>
                <c:pt idx="6">
                  <c:v>5.3563984993747392E-2</c:v>
                </c:pt>
                <c:pt idx="7">
                  <c:v>1.5423092955398083E-2</c:v>
                </c:pt>
                <c:pt idx="8">
                  <c:v>4.5852438516048354E-3</c:v>
                </c:pt>
                <c:pt idx="9">
                  <c:v>1.6465193830762819E-2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Spear Motors-URA'!$AE$9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Spear Motors-URA'!$AE$10:$AE$21</c:f>
              <c:numCache>
                <c:formatCode>0</c:formatCode>
                <c:ptCount val="12"/>
                <c:pt idx="0">
                  <c:v>102</c:v>
                </c:pt>
                <c:pt idx="1">
                  <c:v>111</c:v>
                </c:pt>
                <c:pt idx="2">
                  <c:v>137</c:v>
                </c:pt>
                <c:pt idx="3">
                  <c:v>169</c:v>
                </c:pt>
                <c:pt idx="4">
                  <c:v>368</c:v>
                </c:pt>
                <c:pt idx="5">
                  <c:v>197</c:v>
                </c:pt>
                <c:pt idx="6">
                  <c:v>194</c:v>
                </c:pt>
                <c:pt idx="7">
                  <c:v>228</c:v>
                </c:pt>
                <c:pt idx="8">
                  <c:v>207</c:v>
                </c:pt>
                <c:pt idx="9">
                  <c:v>258</c:v>
                </c:pt>
                <c:pt idx="10">
                  <c:v>183</c:v>
                </c:pt>
                <c:pt idx="11">
                  <c:v>237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'04.08 Spear Motors-URA'!$AF$9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Spear Motors-URA'!$AF$10:$AF$21</c:f>
              <c:numCache>
                <c:formatCode>0</c:formatCode>
                <c:ptCount val="12"/>
                <c:pt idx="0">
                  <c:v>428</c:v>
                </c:pt>
                <c:pt idx="1">
                  <c:v>614</c:v>
                </c:pt>
                <c:pt idx="2">
                  <c:v>607</c:v>
                </c:pt>
                <c:pt idx="3">
                  <c:v>596</c:v>
                </c:pt>
                <c:pt idx="4">
                  <c:v>899</c:v>
                </c:pt>
                <c:pt idx="5">
                  <c:v>638</c:v>
                </c:pt>
                <c:pt idx="6">
                  <c:v>674</c:v>
                </c:pt>
                <c:pt idx="7">
                  <c:v>652</c:v>
                </c:pt>
                <c:pt idx="8">
                  <c:v>642</c:v>
                </c:pt>
                <c:pt idx="9">
                  <c:v>729</c:v>
                </c:pt>
                <c:pt idx="10">
                  <c:v>593</c:v>
                </c:pt>
                <c:pt idx="11">
                  <c:v>636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654144"/>
        <c:axId val="107693184"/>
      </c:lineChart>
      <c:catAx>
        <c:axId val="1076541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693184"/>
        <c:crosses val="autoZero"/>
        <c:auto val="1"/>
        <c:lblAlgn val="ctr"/>
        <c:lblOffset val="100"/>
        <c:noMultiLvlLbl val="0"/>
      </c:catAx>
      <c:valAx>
        <c:axId val="107693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65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Spear 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Spear Motors-URA'!$C$59:$N$59</c:f>
              <c:numCache>
                <c:formatCode>0.0%</c:formatCode>
                <c:ptCount val="12"/>
                <c:pt idx="0">
                  <c:v>0.16761805915931499</c:v>
                </c:pt>
                <c:pt idx="1">
                  <c:v>5.2283341982355992E-2</c:v>
                </c:pt>
                <c:pt idx="2">
                  <c:v>2.5168655941878566E-2</c:v>
                </c:pt>
                <c:pt idx="3">
                  <c:v>3.4250129735339904E-2</c:v>
                </c:pt>
                <c:pt idx="4">
                  <c:v>5.4488842760768031E-3</c:v>
                </c:pt>
                <c:pt idx="5">
                  <c:v>0</c:v>
                </c:pt>
                <c:pt idx="6">
                  <c:v>8.1733264141152055E-3</c:v>
                </c:pt>
                <c:pt idx="7">
                  <c:v>5.3191489361702126E-3</c:v>
                </c:pt>
                <c:pt idx="8">
                  <c:v>1.1676180591593151E-3</c:v>
                </c:pt>
                <c:pt idx="9">
                  <c:v>1.0768033212247017E-2</c:v>
                </c:pt>
                <c:pt idx="10">
                  <c:v>0.68980280228334201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65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Spear Motors-URA'!$S$9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Spear Motors-URA'!$S$10:$S$21</c:f>
              <c:numCache>
                <c:formatCode>0</c:formatCode>
                <c:ptCount val="12"/>
                <c:pt idx="0">
                  <c:v>24</c:v>
                </c:pt>
                <c:pt idx="1">
                  <c:v>42</c:v>
                </c:pt>
                <c:pt idx="2">
                  <c:v>71</c:v>
                </c:pt>
                <c:pt idx="3">
                  <c:v>99</c:v>
                </c:pt>
                <c:pt idx="4">
                  <c:v>111</c:v>
                </c:pt>
                <c:pt idx="5">
                  <c:v>116</c:v>
                </c:pt>
                <c:pt idx="6">
                  <c:v>133</c:v>
                </c:pt>
                <c:pt idx="7">
                  <c:v>139</c:v>
                </c:pt>
                <c:pt idx="8">
                  <c:v>135</c:v>
                </c:pt>
                <c:pt idx="9">
                  <c:v>155</c:v>
                </c:pt>
                <c:pt idx="10">
                  <c:v>114</c:v>
                </c:pt>
                <c:pt idx="11">
                  <c:v>153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'04.08 Spear Motors-URA'!$T$9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Spear Motors-URA'!$T$10:$T$21</c:f>
              <c:numCache>
                <c:formatCode>0</c:formatCode>
                <c:ptCount val="12"/>
                <c:pt idx="0">
                  <c:v>17</c:v>
                </c:pt>
                <c:pt idx="1">
                  <c:v>10</c:v>
                </c:pt>
                <c:pt idx="2">
                  <c:v>19</c:v>
                </c:pt>
                <c:pt idx="3">
                  <c:v>20</c:v>
                </c:pt>
                <c:pt idx="4">
                  <c:v>169</c:v>
                </c:pt>
                <c:pt idx="5">
                  <c:v>20</c:v>
                </c:pt>
                <c:pt idx="6">
                  <c:v>14</c:v>
                </c:pt>
                <c:pt idx="7">
                  <c:v>31</c:v>
                </c:pt>
                <c:pt idx="8">
                  <c:v>20</c:v>
                </c:pt>
                <c:pt idx="9">
                  <c:v>34</c:v>
                </c:pt>
                <c:pt idx="10">
                  <c:v>21</c:v>
                </c:pt>
                <c:pt idx="11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'04.08 Spear Motors-URA'!$U$9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Motors-URA'!$U$10:$U$21</c:f>
              <c:numCache>
                <c:formatCode>0</c:formatCode>
                <c:ptCount val="12"/>
                <c:pt idx="0">
                  <c:v>17</c:v>
                </c:pt>
                <c:pt idx="1">
                  <c:v>15</c:v>
                </c:pt>
                <c:pt idx="2">
                  <c:v>13</c:v>
                </c:pt>
                <c:pt idx="3">
                  <c:v>12</c:v>
                </c:pt>
                <c:pt idx="4">
                  <c:v>21</c:v>
                </c:pt>
                <c:pt idx="5">
                  <c:v>18</c:v>
                </c:pt>
                <c:pt idx="6">
                  <c:v>14</c:v>
                </c:pt>
                <c:pt idx="7">
                  <c:v>16</c:v>
                </c:pt>
                <c:pt idx="8">
                  <c:v>11</c:v>
                </c:pt>
                <c:pt idx="9">
                  <c:v>23</c:v>
                </c:pt>
                <c:pt idx="10">
                  <c:v>13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'04.08 Spear Motors-URA'!$V$9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Motors-URA'!$V$10:$V$21</c:f>
              <c:numCache>
                <c:formatCode>0</c:formatCode>
                <c:ptCount val="12"/>
                <c:pt idx="0">
                  <c:v>33</c:v>
                </c:pt>
                <c:pt idx="1">
                  <c:v>27</c:v>
                </c:pt>
                <c:pt idx="2">
                  <c:v>22</c:v>
                </c:pt>
                <c:pt idx="3">
                  <c:v>17</c:v>
                </c:pt>
                <c:pt idx="4">
                  <c:v>35</c:v>
                </c:pt>
                <c:pt idx="5">
                  <c:v>21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24</c:v>
                </c:pt>
                <c:pt idx="10">
                  <c:v>15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'04.08 Spear Motors-URA'!$W$9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13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'04.08 Spear Motors-URA'!$X$9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'04.08 Spear Motors-URA'!$Y$9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Motors-URA'!$Y$10:$Y$21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7</c:v>
                </c:pt>
                <c:pt idx="3">
                  <c:v>4</c:v>
                </c:pt>
                <c:pt idx="4">
                  <c:v>6</c:v>
                </c:pt>
                <c:pt idx="5">
                  <c:v>7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7</c:v>
                </c:pt>
                <c:pt idx="10">
                  <c:v>4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'04.08 Spear Motors-URA'!$Z$9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Motors-URA'!$Z$10:$Z$21</c:f>
              <c:numCache>
                <c:formatCode>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6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'04.08 Spear Motors-URA'!$AA$9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'04.08 Spear Motors-URA'!$AB$9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Motors-URA'!$AB$10:$AB$21</c:f>
              <c:numCache>
                <c:formatCode>0</c:formatCode>
                <c:ptCount val="12"/>
                <c:pt idx="0">
                  <c:v>4</c:v>
                </c:pt>
                <c:pt idx="1">
                  <c:v>11</c:v>
                </c:pt>
                <c:pt idx="2">
                  <c:v>3</c:v>
                </c:pt>
                <c:pt idx="3">
                  <c:v>8</c:v>
                </c:pt>
                <c:pt idx="4">
                  <c:v>11</c:v>
                </c:pt>
                <c:pt idx="5">
                  <c:v>8</c:v>
                </c:pt>
                <c:pt idx="6">
                  <c:v>3</c:v>
                </c:pt>
                <c:pt idx="7">
                  <c:v>8</c:v>
                </c:pt>
                <c:pt idx="8">
                  <c:v>11</c:v>
                </c:pt>
                <c:pt idx="9">
                  <c:v>5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'04.08 Spear Motors-URA'!$AC$9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Motors-URA'!$AC$10:$AC$21</c:f>
              <c:numCache>
                <c:formatCode>0</c:formatCode>
                <c:ptCount val="12"/>
                <c:pt idx="0">
                  <c:v>326</c:v>
                </c:pt>
                <c:pt idx="1">
                  <c:v>503</c:v>
                </c:pt>
                <c:pt idx="2">
                  <c:v>470</c:v>
                </c:pt>
                <c:pt idx="3">
                  <c:v>427</c:v>
                </c:pt>
                <c:pt idx="4">
                  <c:v>531</c:v>
                </c:pt>
                <c:pt idx="5">
                  <c:v>441</c:v>
                </c:pt>
                <c:pt idx="6">
                  <c:v>480</c:v>
                </c:pt>
                <c:pt idx="7">
                  <c:v>424</c:v>
                </c:pt>
                <c:pt idx="8">
                  <c:v>435</c:v>
                </c:pt>
                <c:pt idx="9">
                  <c:v>471</c:v>
                </c:pt>
                <c:pt idx="10">
                  <c:v>410</c:v>
                </c:pt>
                <c:pt idx="11">
                  <c:v>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'04.08 Spear Motors-URA'!$AD$9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483904"/>
        <c:axId val="107485440"/>
      </c:lineChart>
      <c:catAx>
        <c:axId val="107483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485440"/>
        <c:crosses val="autoZero"/>
        <c:auto val="1"/>
        <c:lblAlgn val="ctr"/>
        <c:lblOffset val="100"/>
        <c:noMultiLvlLbl val="0"/>
      </c:catAx>
      <c:valAx>
        <c:axId val="10748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483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Spear 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Spear Motors-URA'!$C$60:$N$60</c:f>
              <c:numCache>
                <c:formatCode>0.00%</c:formatCode>
                <c:ptCount val="12"/>
                <c:pt idx="0">
                  <c:v>0.54035968214136343</c:v>
                </c:pt>
                <c:pt idx="1">
                  <c:v>0.16854872438310331</c:v>
                </c:pt>
                <c:pt idx="2">
                  <c:v>8.1137599330823929E-2</c:v>
                </c:pt>
                <c:pt idx="3">
                  <c:v>0.11041405269761606</c:v>
                </c:pt>
                <c:pt idx="4">
                  <c:v>1.7565872020075281E-2</c:v>
                </c:pt>
                <c:pt idx="5">
                  <c:v>0</c:v>
                </c:pt>
                <c:pt idx="6">
                  <c:v>2.6348808030112924E-2</c:v>
                </c:pt>
                <c:pt idx="7">
                  <c:v>1.7147636971978252E-2</c:v>
                </c:pt>
                <c:pt idx="8">
                  <c:v>3.7641154328732747E-3</c:v>
                </c:pt>
                <c:pt idx="9">
                  <c:v>3.4713508992053534E-2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URA-Spear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URA-Spear Motors'!$AE$10:$AE$21</c:f>
              <c:numCache>
                <c:formatCode>0</c:formatCode>
                <c:ptCount val="12"/>
                <c:pt idx="0">
                  <c:v>160</c:v>
                </c:pt>
                <c:pt idx="1">
                  <c:v>174</c:v>
                </c:pt>
                <c:pt idx="2">
                  <c:v>200</c:v>
                </c:pt>
                <c:pt idx="3">
                  <c:v>195</c:v>
                </c:pt>
                <c:pt idx="4">
                  <c:v>185</c:v>
                </c:pt>
                <c:pt idx="5">
                  <c:v>189</c:v>
                </c:pt>
                <c:pt idx="6">
                  <c:v>199</c:v>
                </c:pt>
                <c:pt idx="7">
                  <c:v>176</c:v>
                </c:pt>
                <c:pt idx="8">
                  <c:v>195</c:v>
                </c:pt>
                <c:pt idx="9">
                  <c:v>220</c:v>
                </c:pt>
                <c:pt idx="10">
                  <c:v>278</c:v>
                </c:pt>
                <c:pt idx="11">
                  <c:v>214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'04.08 URA-Spear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URA-Spear Motors'!$AF$10:$AF$21</c:f>
              <c:numCache>
                <c:formatCode>0</c:formatCode>
                <c:ptCount val="12"/>
                <c:pt idx="0">
                  <c:v>407</c:v>
                </c:pt>
                <c:pt idx="1">
                  <c:v>335</c:v>
                </c:pt>
                <c:pt idx="2">
                  <c:v>442</c:v>
                </c:pt>
                <c:pt idx="3">
                  <c:v>407</c:v>
                </c:pt>
                <c:pt idx="4">
                  <c:v>365</c:v>
                </c:pt>
                <c:pt idx="5">
                  <c:v>352</c:v>
                </c:pt>
                <c:pt idx="6">
                  <c:v>381</c:v>
                </c:pt>
                <c:pt idx="7">
                  <c:v>397</c:v>
                </c:pt>
                <c:pt idx="8">
                  <c:v>403</c:v>
                </c:pt>
                <c:pt idx="9">
                  <c:v>445</c:v>
                </c:pt>
                <c:pt idx="10">
                  <c:v>493</c:v>
                </c:pt>
                <c:pt idx="11">
                  <c:v>445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133376"/>
        <c:axId val="108160128"/>
      </c:lineChart>
      <c:catAx>
        <c:axId val="1081333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160128"/>
        <c:crosses val="autoZero"/>
        <c:auto val="1"/>
        <c:lblAlgn val="ctr"/>
        <c:lblOffset val="100"/>
        <c:noMultiLvlLbl val="0"/>
      </c:catAx>
      <c:valAx>
        <c:axId val="1081601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13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URA-Spear Motors'!$C$59:$N$59</c:f>
              <c:numCache>
                <c:formatCode>0.0%</c:formatCode>
                <c:ptCount val="12"/>
                <c:pt idx="0">
                  <c:v>0.24363711001642036</c:v>
                </c:pt>
                <c:pt idx="1">
                  <c:v>4.4129720853858787E-2</c:v>
                </c:pt>
                <c:pt idx="2">
                  <c:v>3.715106732348112E-2</c:v>
                </c:pt>
                <c:pt idx="3">
                  <c:v>0.1307471264367816</c:v>
                </c:pt>
                <c:pt idx="4">
                  <c:v>2.052545155993432E-3</c:v>
                </c:pt>
                <c:pt idx="5">
                  <c:v>2.0525451559934318E-4</c:v>
                </c:pt>
                <c:pt idx="6">
                  <c:v>1.8267651888341542E-2</c:v>
                </c:pt>
                <c:pt idx="7">
                  <c:v>5.5418719211822662E-3</c:v>
                </c:pt>
                <c:pt idx="8">
                  <c:v>6.1576354679802956E-4</c:v>
                </c:pt>
                <c:pt idx="9">
                  <c:v>7.1839080459770114E-3</c:v>
                </c:pt>
                <c:pt idx="10">
                  <c:v>0.5104679802955665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65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URA-Spear Motors'!$S$9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URA-Spear Motors'!$S$10:$S$21</c:f>
              <c:numCache>
                <c:formatCode>0</c:formatCode>
                <c:ptCount val="12"/>
                <c:pt idx="0">
                  <c:v>40</c:v>
                </c:pt>
                <c:pt idx="1">
                  <c:v>64</c:v>
                </c:pt>
                <c:pt idx="2">
                  <c:v>97</c:v>
                </c:pt>
                <c:pt idx="3">
                  <c:v>99</c:v>
                </c:pt>
                <c:pt idx="4">
                  <c:v>102</c:v>
                </c:pt>
                <c:pt idx="5">
                  <c:v>97</c:v>
                </c:pt>
                <c:pt idx="6">
                  <c:v>118</c:v>
                </c:pt>
                <c:pt idx="7">
                  <c:v>102</c:v>
                </c:pt>
                <c:pt idx="8">
                  <c:v>104</c:v>
                </c:pt>
                <c:pt idx="9">
                  <c:v>118</c:v>
                </c:pt>
                <c:pt idx="10">
                  <c:v>144</c:v>
                </c:pt>
                <c:pt idx="11">
                  <c:v>102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'04.08 URA-Spear Motors'!$T$9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URA-Spear Motors'!$T$10:$T$21</c:f>
              <c:numCache>
                <c:formatCode>0</c:formatCode>
                <c:ptCount val="12"/>
                <c:pt idx="0">
                  <c:v>5</c:v>
                </c:pt>
                <c:pt idx="1">
                  <c:v>11</c:v>
                </c:pt>
                <c:pt idx="2">
                  <c:v>15</c:v>
                </c:pt>
                <c:pt idx="3">
                  <c:v>12</c:v>
                </c:pt>
                <c:pt idx="4">
                  <c:v>17</c:v>
                </c:pt>
                <c:pt idx="5">
                  <c:v>15</c:v>
                </c:pt>
                <c:pt idx="6">
                  <c:v>14</c:v>
                </c:pt>
                <c:pt idx="7">
                  <c:v>12</c:v>
                </c:pt>
                <c:pt idx="8">
                  <c:v>24</c:v>
                </c:pt>
                <c:pt idx="9">
                  <c:v>26</c:v>
                </c:pt>
                <c:pt idx="10">
                  <c:v>31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'04.08 URA-Spear Motors'!$U$9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Motors'!$U$10:$U$21</c:f>
              <c:numCache>
                <c:formatCode>0</c:formatCode>
                <c:ptCount val="12"/>
                <c:pt idx="0">
                  <c:v>12</c:v>
                </c:pt>
                <c:pt idx="1">
                  <c:v>15</c:v>
                </c:pt>
                <c:pt idx="2">
                  <c:v>15</c:v>
                </c:pt>
                <c:pt idx="3">
                  <c:v>12</c:v>
                </c:pt>
                <c:pt idx="4">
                  <c:v>13</c:v>
                </c:pt>
                <c:pt idx="5">
                  <c:v>12</c:v>
                </c:pt>
                <c:pt idx="6">
                  <c:v>11</c:v>
                </c:pt>
                <c:pt idx="7">
                  <c:v>16</c:v>
                </c:pt>
                <c:pt idx="8">
                  <c:v>15</c:v>
                </c:pt>
                <c:pt idx="9">
                  <c:v>17</c:v>
                </c:pt>
                <c:pt idx="10">
                  <c:v>22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'04.08 URA-Spear Motors'!$V$9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Motors'!$V$10:$V$21</c:f>
              <c:numCache>
                <c:formatCode>0</c:formatCode>
                <c:ptCount val="12"/>
                <c:pt idx="0">
                  <c:v>92</c:v>
                </c:pt>
                <c:pt idx="1">
                  <c:v>77</c:v>
                </c:pt>
                <c:pt idx="2">
                  <c:v>55</c:v>
                </c:pt>
                <c:pt idx="3">
                  <c:v>60</c:v>
                </c:pt>
                <c:pt idx="4">
                  <c:v>41</c:v>
                </c:pt>
                <c:pt idx="5">
                  <c:v>44</c:v>
                </c:pt>
                <c:pt idx="6">
                  <c:v>42</c:v>
                </c:pt>
                <c:pt idx="7">
                  <c:v>33</c:v>
                </c:pt>
                <c:pt idx="8">
                  <c:v>36</c:v>
                </c:pt>
                <c:pt idx="9">
                  <c:v>37</c:v>
                </c:pt>
                <c:pt idx="10">
                  <c:v>68</c:v>
                </c:pt>
                <c:pt idx="11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'04.08 URA-Spear Motors'!$W$9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Motors'!$W$10:$W$21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'04.08 URA-Spear Motors'!$X$9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'04.08 URA-Spear Motors'!$Y$9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Motors'!$Y$10:$Y$21</c:f>
              <c:numCache>
                <c:formatCode>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3</c:v>
                </c:pt>
                <c:pt idx="3">
                  <c:v>10</c:v>
                </c:pt>
                <c:pt idx="4">
                  <c:v>7</c:v>
                </c:pt>
                <c:pt idx="5">
                  <c:v>8</c:v>
                </c:pt>
                <c:pt idx="6">
                  <c:v>7</c:v>
                </c:pt>
                <c:pt idx="7">
                  <c:v>6</c:v>
                </c:pt>
                <c:pt idx="8">
                  <c:v>10</c:v>
                </c:pt>
                <c:pt idx="9">
                  <c:v>21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'04.08 URA-Spear Motors'!$Z$9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Motors'!$Z$10:$Z$21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11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  <c:pt idx="7">
                  <c:v>4</c:v>
                </c:pt>
                <c:pt idx="8">
                  <c:v>1</c:v>
                </c:pt>
                <c:pt idx="9">
                  <c:v>0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'04.08 URA-Spear Motors'!$AA$9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'04.08 URA-Spear Motors'!$AB$9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Motors'!$AB$10:$AB$21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11</c:v>
                </c:pt>
                <c:pt idx="6">
                  <c:v>4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'04.08 URA-Spear Motors'!$AC$9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Motors'!$AC$10:$AC$21</c:f>
              <c:numCache>
                <c:formatCode>0</c:formatCode>
                <c:ptCount val="12"/>
                <c:pt idx="0">
                  <c:v>247</c:v>
                </c:pt>
                <c:pt idx="1">
                  <c:v>161</c:v>
                </c:pt>
                <c:pt idx="2">
                  <c:v>242</c:v>
                </c:pt>
                <c:pt idx="3">
                  <c:v>212</c:v>
                </c:pt>
                <c:pt idx="4">
                  <c:v>180</c:v>
                </c:pt>
                <c:pt idx="5">
                  <c:v>163</c:v>
                </c:pt>
                <c:pt idx="6">
                  <c:v>182</c:v>
                </c:pt>
                <c:pt idx="7">
                  <c:v>221</c:v>
                </c:pt>
                <c:pt idx="8">
                  <c:v>208</c:v>
                </c:pt>
                <c:pt idx="9">
                  <c:v>225</c:v>
                </c:pt>
                <c:pt idx="10">
                  <c:v>215</c:v>
                </c:pt>
                <c:pt idx="11">
                  <c:v>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'04.08 URA-Spear Motors'!$AD$9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08896"/>
        <c:axId val="108210432"/>
      </c:lineChart>
      <c:catAx>
        <c:axId val="108208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210432"/>
        <c:crosses val="autoZero"/>
        <c:auto val="1"/>
        <c:lblAlgn val="ctr"/>
        <c:lblOffset val="100"/>
        <c:noMultiLvlLbl val="0"/>
      </c:catAx>
      <c:valAx>
        <c:axId val="10821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208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URA-Spear Motors'!$C$60:$N$60</c:f>
              <c:numCache>
                <c:formatCode>0.00%</c:formatCode>
                <c:ptCount val="12"/>
                <c:pt idx="0">
                  <c:v>0.49769392033542975</c:v>
                </c:pt>
                <c:pt idx="1">
                  <c:v>9.0146750524109018E-2</c:v>
                </c:pt>
                <c:pt idx="2">
                  <c:v>7.5890985324947591E-2</c:v>
                </c:pt>
                <c:pt idx="3">
                  <c:v>0.26708595387840672</c:v>
                </c:pt>
                <c:pt idx="4">
                  <c:v>4.1928721174004195E-3</c:v>
                </c:pt>
                <c:pt idx="5">
                  <c:v>4.1928721174004191E-4</c:v>
                </c:pt>
                <c:pt idx="6">
                  <c:v>3.7316561844863733E-2</c:v>
                </c:pt>
                <c:pt idx="7">
                  <c:v>1.1320754716981131E-2</c:v>
                </c:pt>
                <c:pt idx="8">
                  <c:v>1.2578616352201257E-3</c:v>
                </c:pt>
                <c:pt idx="9">
                  <c:v>1.4675052410901468E-2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SpearMotors-URA'!$AE$9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SpearMotors-URA'!$R$10:$R$33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SpearMotors-URA'!$AE$10:$AE$33</c:f>
              <c:numCache>
                <c:formatCode>0</c:formatCode>
                <c:ptCount val="24"/>
                <c:pt idx="0">
                  <c:v>233.14285714285714</c:v>
                </c:pt>
                <c:pt idx="1">
                  <c:v>263.71428571428572</c:v>
                </c:pt>
                <c:pt idx="2">
                  <c:v>243.28571428571431</c:v>
                </c:pt>
                <c:pt idx="3">
                  <c:v>244.00000000000003</c:v>
                </c:pt>
                <c:pt idx="4">
                  <c:v>306.28571428571428</c:v>
                </c:pt>
                <c:pt idx="5">
                  <c:v>263.28571428571433</c:v>
                </c:pt>
                <c:pt idx="6">
                  <c:v>251.28571428571428</c:v>
                </c:pt>
                <c:pt idx="7">
                  <c:v>259.42857142857144</c:v>
                </c:pt>
                <c:pt idx="8">
                  <c:v>267.57142857142856</c:v>
                </c:pt>
                <c:pt idx="9">
                  <c:v>262.57142857142861</c:v>
                </c:pt>
                <c:pt idx="10">
                  <c:v>240.14285714285717</c:v>
                </c:pt>
                <c:pt idx="11">
                  <c:v>232.14285714285714</c:v>
                </c:pt>
                <c:pt idx="12">
                  <c:v>260.5</c:v>
                </c:pt>
                <c:pt idx="13">
                  <c:v>282.5</c:v>
                </c:pt>
                <c:pt idx="14">
                  <c:v>286</c:v>
                </c:pt>
                <c:pt idx="15">
                  <c:v>182</c:v>
                </c:pt>
                <c:pt idx="16">
                  <c:v>124</c:v>
                </c:pt>
                <c:pt idx="17">
                  <c:v>66.5</c:v>
                </c:pt>
                <c:pt idx="18">
                  <c:v>49.5</c:v>
                </c:pt>
                <c:pt idx="19">
                  <c:v>40</c:v>
                </c:pt>
                <c:pt idx="20">
                  <c:v>24.5</c:v>
                </c:pt>
                <c:pt idx="21">
                  <c:v>25.5</c:v>
                </c:pt>
                <c:pt idx="22">
                  <c:v>40.5</c:v>
                </c:pt>
                <c:pt idx="23">
                  <c:v>169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SpearMotors-URA'!$AF$9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SpearMotors-URA'!$R$10:$R$33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SpearMotors-URA'!$AF$10:$AF$33</c:f>
              <c:numCache>
                <c:formatCode>0</c:formatCode>
                <c:ptCount val="24"/>
                <c:pt idx="0">
                  <c:v>877.57142857142867</c:v>
                </c:pt>
                <c:pt idx="1">
                  <c:v>986.42857142857133</c:v>
                </c:pt>
                <c:pt idx="2">
                  <c:v>1073</c:v>
                </c:pt>
                <c:pt idx="3">
                  <c:v>889.14285714285711</c:v>
                </c:pt>
                <c:pt idx="4">
                  <c:v>866</c:v>
                </c:pt>
                <c:pt idx="5">
                  <c:v>686.71428571428578</c:v>
                </c:pt>
                <c:pt idx="6">
                  <c:v>638.14285714285711</c:v>
                </c:pt>
                <c:pt idx="7">
                  <c:v>606.71428571428578</c:v>
                </c:pt>
                <c:pt idx="8">
                  <c:v>640.71428571428567</c:v>
                </c:pt>
                <c:pt idx="9">
                  <c:v>643.14285714285711</c:v>
                </c:pt>
                <c:pt idx="10">
                  <c:v>663.57142857142856</c:v>
                </c:pt>
                <c:pt idx="11">
                  <c:v>725.85714285714289</c:v>
                </c:pt>
                <c:pt idx="12">
                  <c:v>984.5</c:v>
                </c:pt>
                <c:pt idx="13">
                  <c:v>1016.5</c:v>
                </c:pt>
                <c:pt idx="14">
                  <c:v>707</c:v>
                </c:pt>
                <c:pt idx="15">
                  <c:v>520</c:v>
                </c:pt>
                <c:pt idx="16">
                  <c:v>328</c:v>
                </c:pt>
                <c:pt idx="17">
                  <c:v>209</c:v>
                </c:pt>
                <c:pt idx="18">
                  <c:v>122.5</c:v>
                </c:pt>
                <c:pt idx="19">
                  <c:v>84.5</c:v>
                </c:pt>
                <c:pt idx="20">
                  <c:v>60</c:v>
                </c:pt>
                <c:pt idx="21">
                  <c:v>92</c:v>
                </c:pt>
                <c:pt idx="22">
                  <c:v>182.5</c:v>
                </c:pt>
                <c:pt idx="23">
                  <c:v>500.5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411904"/>
        <c:axId val="108418176"/>
      </c:lineChart>
      <c:catAx>
        <c:axId val="1084119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418176"/>
        <c:crosses val="autoZero"/>
        <c:auto val="1"/>
        <c:lblAlgn val="ctr"/>
        <c:lblOffset val="100"/>
        <c:noMultiLvlLbl val="0"/>
      </c:catAx>
      <c:valAx>
        <c:axId val="1084181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41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SpearMotors-URA'!$C$9:$N$9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SpearMotors-URA'!$C$107:$N$107</c:f>
              <c:numCache>
                <c:formatCode>0.0%</c:formatCode>
                <c:ptCount val="12"/>
                <c:pt idx="0">
                  <c:v>0.17469714771898551</c:v>
                </c:pt>
                <c:pt idx="1">
                  <c:v>4.2247386759581881E-2</c:v>
                </c:pt>
                <c:pt idx="2">
                  <c:v>2.9469856575642165E-2</c:v>
                </c:pt>
                <c:pt idx="3">
                  <c:v>3.2164127704399963E-2</c:v>
                </c:pt>
                <c:pt idx="4">
                  <c:v>5.9912081678956328E-3</c:v>
                </c:pt>
                <c:pt idx="5">
                  <c:v>2.8867190665262131E-4</c:v>
                </c:pt>
                <c:pt idx="6">
                  <c:v>1.1531683007859981E-2</c:v>
                </c:pt>
                <c:pt idx="7">
                  <c:v>9.0501174945304252E-3</c:v>
                </c:pt>
                <c:pt idx="8">
                  <c:v>7.1408313750911589E-3</c:v>
                </c:pt>
                <c:pt idx="9">
                  <c:v>1.4767847014018313E-2</c:v>
                </c:pt>
                <c:pt idx="10">
                  <c:v>0.67262073575885251</c:v>
                </c:pt>
                <c:pt idx="11">
                  <c:v>3.0386516489749614E-5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9493858169916063E-2"/>
          <c:y val="0.23855473284224252"/>
          <c:w val="0.82101228366016787"/>
          <c:h val="0.7584601396456998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SpearMotors-URA'!$C$9:$N$9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SpearMotors-URA'!$C$108:$N$108</c:f>
              <c:numCache>
                <c:formatCode>0.00%</c:formatCode>
                <c:ptCount val="12"/>
                <c:pt idx="0">
                  <c:v>0.53362313011462958</c:v>
                </c:pt>
                <c:pt idx="1">
                  <c:v>0.12904722862490911</c:v>
                </c:pt>
                <c:pt idx="2">
                  <c:v>9.0017480624352206E-2</c:v>
                </c:pt>
                <c:pt idx="3">
                  <c:v>9.8247296691057029E-2</c:v>
                </c:pt>
                <c:pt idx="4">
                  <c:v>1.8300512043067308E-2</c:v>
                </c:pt>
                <c:pt idx="5">
                  <c:v>8.8176600714694544E-4</c:v>
                </c:pt>
                <c:pt idx="6">
                  <c:v>3.5224231548659564E-2</c:v>
                </c:pt>
                <c:pt idx="7">
                  <c:v>2.7644137803010373E-2</c:v>
                </c:pt>
                <c:pt idx="8">
                  <c:v>2.1812106492582334E-2</c:v>
                </c:pt>
                <c:pt idx="9">
                  <c:v>4.5109292576148999E-2</c:v>
                </c:pt>
                <c:pt idx="11">
                  <c:v>9.2817474436520577E-5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URA_SpearMotors'!$AE$9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URA_SpearMotors'!$R$10:$R$33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URA_SpearMotors'!$AE$10:$AE$33</c:f>
              <c:numCache>
                <c:formatCode>0</c:formatCode>
                <c:ptCount val="24"/>
                <c:pt idx="0">
                  <c:v>209.28571428571431</c:v>
                </c:pt>
                <c:pt idx="1">
                  <c:v>249.28571428571428</c:v>
                </c:pt>
                <c:pt idx="2">
                  <c:v>291.28571428571433</c:v>
                </c:pt>
                <c:pt idx="3">
                  <c:v>262.71428571428572</c:v>
                </c:pt>
                <c:pt idx="4">
                  <c:v>261.42857142857144</c:v>
                </c:pt>
                <c:pt idx="5">
                  <c:v>252.57142857142861</c:v>
                </c:pt>
                <c:pt idx="6">
                  <c:v>250.28571428571433</c:v>
                </c:pt>
                <c:pt idx="7">
                  <c:v>269</c:v>
                </c:pt>
                <c:pt idx="8">
                  <c:v>279.14285714285717</c:v>
                </c:pt>
                <c:pt idx="9">
                  <c:v>313.57142857142856</c:v>
                </c:pt>
                <c:pt idx="10">
                  <c:v>408.5714285714285</c:v>
                </c:pt>
                <c:pt idx="11">
                  <c:v>318.42857142857144</c:v>
                </c:pt>
                <c:pt idx="12">
                  <c:v>134.5</c:v>
                </c:pt>
                <c:pt idx="13">
                  <c:v>208</c:v>
                </c:pt>
                <c:pt idx="14">
                  <c:v>266</c:v>
                </c:pt>
                <c:pt idx="15">
                  <c:v>146.5</c:v>
                </c:pt>
                <c:pt idx="16">
                  <c:v>123</c:v>
                </c:pt>
                <c:pt idx="17">
                  <c:v>67.5</c:v>
                </c:pt>
                <c:pt idx="18">
                  <c:v>43.5</c:v>
                </c:pt>
                <c:pt idx="19">
                  <c:v>29.5</c:v>
                </c:pt>
                <c:pt idx="20">
                  <c:v>24.5</c:v>
                </c:pt>
                <c:pt idx="21">
                  <c:v>24</c:v>
                </c:pt>
                <c:pt idx="22">
                  <c:v>48.5</c:v>
                </c:pt>
                <c:pt idx="23">
                  <c:v>145.5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URA_SpearMotors'!$AF$9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URA_SpearMotors'!$R$10:$R$33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URA_SpearMotors'!$AF$10:$AF$33</c:f>
              <c:numCache>
                <c:formatCode>0</c:formatCode>
                <c:ptCount val="24"/>
                <c:pt idx="0">
                  <c:v>605.71428571428578</c:v>
                </c:pt>
                <c:pt idx="1">
                  <c:v>725.14285714285711</c:v>
                </c:pt>
                <c:pt idx="2">
                  <c:v>726</c:v>
                </c:pt>
                <c:pt idx="3">
                  <c:v>642.71428571428578</c:v>
                </c:pt>
                <c:pt idx="4">
                  <c:v>591.28571428571422</c:v>
                </c:pt>
                <c:pt idx="5">
                  <c:v>534.14285714285722</c:v>
                </c:pt>
                <c:pt idx="6">
                  <c:v>501.85714285714289</c:v>
                </c:pt>
                <c:pt idx="7">
                  <c:v>510.57142857142856</c:v>
                </c:pt>
                <c:pt idx="8">
                  <c:v>554.14285714285711</c:v>
                </c:pt>
                <c:pt idx="9">
                  <c:v>633.85714285714289</c:v>
                </c:pt>
                <c:pt idx="10">
                  <c:v>711.28571428571422</c:v>
                </c:pt>
                <c:pt idx="11">
                  <c:v>579.85714285714289</c:v>
                </c:pt>
                <c:pt idx="12">
                  <c:v>848</c:v>
                </c:pt>
                <c:pt idx="13">
                  <c:v>745</c:v>
                </c:pt>
                <c:pt idx="14">
                  <c:v>656.5</c:v>
                </c:pt>
                <c:pt idx="15">
                  <c:v>361</c:v>
                </c:pt>
                <c:pt idx="16">
                  <c:v>301</c:v>
                </c:pt>
                <c:pt idx="17">
                  <c:v>207</c:v>
                </c:pt>
                <c:pt idx="18">
                  <c:v>121.5</c:v>
                </c:pt>
                <c:pt idx="19">
                  <c:v>84</c:v>
                </c:pt>
                <c:pt idx="20">
                  <c:v>67.5</c:v>
                </c:pt>
                <c:pt idx="21">
                  <c:v>93</c:v>
                </c:pt>
                <c:pt idx="22">
                  <c:v>201</c:v>
                </c:pt>
                <c:pt idx="23">
                  <c:v>467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001728"/>
        <c:axId val="109020288"/>
      </c:lineChart>
      <c:catAx>
        <c:axId val="1090017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9020288"/>
        <c:crosses val="autoZero"/>
        <c:auto val="1"/>
        <c:lblAlgn val="ctr"/>
        <c:lblOffset val="100"/>
        <c:noMultiLvlLbl val="0"/>
      </c:catAx>
      <c:valAx>
        <c:axId val="1090202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900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URA_SpearMotors'!$C$9:$N$9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URA_SpearMotors'!$C$107:$N$107</c:f>
              <c:numCache>
                <c:formatCode>0.0%</c:formatCode>
                <c:ptCount val="12"/>
                <c:pt idx="0">
                  <c:v>0.22370100954741634</c:v>
                </c:pt>
                <c:pt idx="1">
                  <c:v>5.8280966823818101E-2</c:v>
                </c:pt>
                <c:pt idx="2">
                  <c:v>3.1257979535022767E-2</c:v>
                </c:pt>
                <c:pt idx="3">
                  <c:v>4.8422153991791596E-2</c:v>
                </c:pt>
                <c:pt idx="4">
                  <c:v>2.9208990639421548E-3</c:v>
                </c:pt>
                <c:pt idx="5">
                  <c:v>4.3595508417047091E-4</c:v>
                </c:pt>
                <c:pt idx="6">
                  <c:v>2.083242509357465E-2</c:v>
                </c:pt>
                <c:pt idx="7">
                  <c:v>6.5144145434616078E-3</c:v>
                </c:pt>
                <c:pt idx="8">
                  <c:v>3.5436920413285419E-3</c:v>
                </c:pt>
                <c:pt idx="9">
                  <c:v>7.4486040095411883E-3</c:v>
                </c:pt>
                <c:pt idx="10">
                  <c:v>0.59660453268728941</c:v>
                </c:pt>
                <c:pt idx="11">
                  <c:v>3.7367578643183217E-5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URA_SpearMotors'!$C$9:$N$9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URA_SpearMotors'!$C$108:$N$108</c:f>
              <c:numCache>
                <c:formatCode>0.00%</c:formatCode>
                <c:ptCount val="12"/>
                <c:pt idx="0">
                  <c:v>0.55454517384054824</c:v>
                </c:pt>
                <c:pt idx="1">
                  <c:v>0.14447600815167044</c:v>
                </c:pt>
                <c:pt idx="2">
                  <c:v>7.7487185821033769E-2</c:v>
                </c:pt>
                <c:pt idx="3">
                  <c:v>0.1200364354968196</c:v>
                </c:pt>
                <c:pt idx="4">
                  <c:v>7.2407830544062224E-3</c:v>
                </c:pt>
                <c:pt idx="5">
                  <c:v>1.0807138887173467E-3</c:v>
                </c:pt>
                <c:pt idx="6">
                  <c:v>5.1642685110850364E-2</c:v>
                </c:pt>
                <c:pt idx="7">
                  <c:v>1.6148953251404925E-2</c:v>
                </c:pt>
                <c:pt idx="8">
                  <c:v>8.7846600382881466E-3</c:v>
                </c:pt>
                <c:pt idx="9">
                  <c:v>1.8464768727227809E-2</c:v>
                </c:pt>
                <c:pt idx="11">
                  <c:v>9.2632619032915439E-5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9778857430055656E-4"/>
          <c:y val="0.14133245844269465"/>
          <c:w val="0.91968101859607976"/>
          <c:h val="0.8417935258092738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SpearMotors-URA-2Dir'!$C$9:$N$9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SpearMotors-URA-2Dir'!$C$107:$N$107</c:f>
              <c:numCache>
                <c:formatCode>0.0%</c:formatCode>
                <c:ptCount val="12"/>
                <c:pt idx="0">
                  <c:v>0.19667451532443442</c:v>
                </c:pt>
                <c:pt idx="1">
                  <c:v>4.9438164587191323E-2</c:v>
                </c:pt>
                <c:pt idx="2">
                  <c:v>3.0271798180563823E-2</c:v>
                </c:pt>
                <c:pt idx="3">
                  <c:v>3.9455565703879363E-2</c:v>
                </c:pt>
                <c:pt idx="4">
                  <c:v>4.6142286948045235E-3</c:v>
                </c:pt>
                <c:pt idx="5">
                  <c:v>3.5472581370470617E-4</c:v>
                </c:pt>
                <c:pt idx="6">
                  <c:v>1.570290176888077E-2</c:v>
                </c:pt>
                <c:pt idx="7">
                  <c:v>7.9128994505939538E-3</c:v>
                </c:pt>
                <c:pt idx="8">
                  <c:v>5.5275778371780574E-3</c:v>
                </c:pt>
                <c:pt idx="9">
                  <c:v>1.1485295637431113E-2</c:v>
                </c:pt>
                <c:pt idx="10">
                  <c:v>0.63852880960161784</c:v>
                </c:pt>
                <c:pt idx="11">
                  <c:v>3.3517399720129708E-5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533774501591557"/>
          <c:y val="0.23388828899834652"/>
          <c:w val="0.82101228366016787"/>
          <c:h val="0.7608385582170568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SpearMotors-URA-2Dir'!$C$9:$N$9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SpearMotors-URA-2Dir'!$C$108:$N$108</c:f>
              <c:numCache>
                <c:formatCode>0.00%</c:formatCode>
                <c:ptCount val="12"/>
                <c:pt idx="0">
                  <c:v>0.54409457945369555</c:v>
                </c:pt>
                <c:pt idx="1">
                  <c:v>0.13676930804002629</c:v>
                </c:pt>
                <c:pt idx="2">
                  <c:v>8.37460881659777E-2</c:v>
                </c:pt>
                <c:pt idx="3">
                  <c:v>0.10915272572731141</c:v>
                </c:pt>
                <c:pt idx="4">
                  <c:v>1.2765135417069121E-2</c:v>
                </c:pt>
                <c:pt idx="5">
                  <c:v>9.8133910288606459E-4</c:v>
                </c:pt>
                <c:pt idx="6">
                  <c:v>4.3441641231696491E-2</c:v>
                </c:pt>
                <c:pt idx="7">
                  <c:v>2.1890816365954489E-2</c:v>
                </c:pt>
                <c:pt idx="8">
                  <c:v>1.5291890430011978E-2</c:v>
                </c:pt>
                <c:pt idx="9">
                  <c:v>3.177375111076769E-2</c:v>
                </c:pt>
                <c:pt idx="11">
                  <c:v>9.2724954603407649E-5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2205989512129785E-2"/>
          <c:y val="9.5768624478110825E-2"/>
          <c:w val="0.88636855234397283"/>
          <c:h val="0.65054452836231913"/>
        </c:manualLayout>
      </c:layout>
      <c:lineChart>
        <c:grouping val="standard"/>
        <c:varyColors val="0"/>
        <c:ser>
          <c:idx val="0"/>
          <c:order val="0"/>
          <c:tx>
            <c:strRef>
              <c:f>'Avg Week SpearMotors-URA-2Dir'!$AE$9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SpearMotors-URA-2Dir'!$R$10:$R$33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SpearMotors-URA-2Dir'!$AE$10:$AE$33</c:f>
              <c:numCache>
                <c:formatCode>0</c:formatCode>
                <c:ptCount val="24"/>
                <c:pt idx="0">
                  <c:v>442.42857142857144</c:v>
                </c:pt>
                <c:pt idx="1">
                  <c:v>513.00000000000011</c:v>
                </c:pt>
                <c:pt idx="2">
                  <c:v>534.57142857142856</c:v>
                </c:pt>
                <c:pt idx="3">
                  <c:v>506.71428571428567</c:v>
                </c:pt>
                <c:pt idx="4">
                  <c:v>567.71428571428567</c:v>
                </c:pt>
                <c:pt idx="5">
                  <c:v>515.85714285714289</c:v>
                </c:pt>
                <c:pt idx="6">
                  <c:v>501.57142857142856</c:v>
                </c:pt>
                <c:pt idx="7">
                  <c:v>528.42857142857156</c:v>
                </c:pt>
                <c:pt idx="8">
                  <c:v>546.71428571428578</c:v>
                </c:pt>
                <c:pt idx="9">
                  <c:v>576.14285714285711</c:v>
                </c:pt>
                <c:pt idx="10">
                  <c:v>648.71428571428578</c:v>
                </c:pt>
                <c:pt idx="11">
                  <c:v>550.57142857142856</c:v>
                </c:pt>
                <c:pt idx="12">
                  <c:v>395</c:v>
                </c:pt>
                <c:pt idx="13">
                  <c:v>490.5</c:v>
                </c:pt>
                <c:pt idx="14">
                  <c:v>552</c:v>
                </c:pt>
                <c:pt idx="15">
                  <c:v>328.5</c:v>
                </c:pt>
                <c:pt idx="16">
                  <c:v>247</c:v>
                </c:pt>
                <c:pt idx="17">
                  <c:v>134</c:v>
                </c:pt>
                <c:pt idx="18">
                  <c:v>93</c:v>
                </c:pt>
                <c:pt idx="19">
                  <c:v>69.5</c:v>
                </c:pt>
                <c:pt idx="20">
                  <c:v>49</c:v>
                </c:pt>
                <c:pt idx="21">
                  <c:v>49.5</c:v>
                </c:pt>
                <c:pt idx="22">
                  <c:v>89</c:v>
                </c:pt>
                <c:pt idx="23">
                  <c:v>314.5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0B-428F-9999-FE2D9CED14FA}"/>
            </c:ext>
          </c:extLst>
        </c:ser>
        <c:ser>
          <c:idx val="1"/>
          <c:order val="1"/>
          <c:tx>
            <c:strRef>
              <c:f>'Avg Week SpearMotors-URA-2Dir'!$AF$9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SpearMotors-URA-2Dir'!$R$10:$R$33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SpearMotors-URA-2Dir'!$AF$10:$AF$33</c:f>
              <c:numCache>
                <c:formatCode>0</c:formatCode>
                <c:ptCount val="24"/>
                <c:pt idx="0">
                  <c:v>1483.2857142857142</c:v>
                </c:pt>
                <c:pt idx="1">
                  <c:v>1711.5714285714287</c:v>
                </c:pt>
                <c:pt idx="2">
                  <c:v>1799</c:v>
                </c:pt>
                <c:pt idx="3">
                  <c:v>1531.8571428571431</c:v>
                </c:pt>
                <c:pt idx="4">
                  <c:v>1457.2857142857142</c:v>
                </c:pt>
                <c:pt idx="5">
                  <c:v>1220.8571428571427</c:v>
                </c:pt>
                <c:pt idx="6">
                  <c:v>1140</c:v>
                </c:pt>
                <c:pt idx="7">
                  <c:v>1117.2857142857142</c:v>
                </c:pt>
                <c:pt idx="8">
                  <c:v>1194.8571428571429</c:v>
                </c:pt>
                <c:pt idx="9">
                  <c:v>1277</c:v>
                </c:pt>
                <c:pt idx="10">
                  <c:v>1374.8571428571429</c:v>
                </c:pt>
                <c:pt idx="11">
                  <c:v>1305.7142857142858</c:v>
                </c:pt>
                <c:pt idx="12">
                  <c:v>1832.5</c:v>
                </c:pt>
                <c:pt idx="13">
                  <c:v>1761.5</c:v>
                </c:pt>
                <c:pt idx="14">
                  <c:v>1363.5</c:v>
                </c:pt>
                <c:pt idx="15">
                  <c:v>881</c:v>
                </c:pt>
                <c:pt idx="16">
                  <c:v>629</c:v>
                </c:pt>
                <c:pt idx="17">
                  <c:v>416</c:v>
                </c:pt>
                <c:pt idx="18">
                  <c:v>244</c:v>
                </c:pt>
                <c:pt idx="19">
                  <c:v>168.5</c:v>
                </c:pt>
                <c:pt idx="20">
                  <c:v>127.5</c:v>
                </c:pt>
                <c:pt idx="21">
                  <c:v>185</c:v>
                </c:pt>
                <c:pt idx="22">
                  <c:v>383.5</c:v>
                </c:pt>
                <c:pt idx="23">
                  <c:v>967.5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20B-428F-9999-FE2D9CED14FA}"/>
            </c:ext>
          </c:extLst>
        </c:ser>
        <c:ser>
          <c:idx val="5"/>
          <c:order val="2"/>
          <c:tx>
            <c:strRef>
              <c:f>'Avg Week SpearMotors-URA-2Dir'!$AC$9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SpearMotors-URA-2Dir'!$R$10:$R$33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SpearMotors-URA-2Dir'!$AC$10:$AC$33</c:f>
              <c:numCache>
                <c:formatCode>0</c:formatCode>
                <c:ptCount val="24"/>
                <c:pt idx="0">
                  <c:v>1040.8571428571429</c:v>
                </c:pt>
                <c:pt idx="1">
                  <c:v>1198.5714285714284</c:v>
                </c:pt>
                <c:pt idx="2">
                  <c:v>1264.4285714285713</c:v>
                </c:pt>
                <c:pt idx="3">
                  <c:v>1025.1428571428571</c:v>
                </c:pt>
                <c:pt idx="4">
                  <c:v>889.57142857142844</c:v>
                </c:pt>
                <c:pt idx="5">
                  <c:v>705</c:v>
                </c:pt>
                <c:pt idx="6">
                  <c:v>638.42857142857144</c:v>
                </c:pt>
                <c:pt idx="7">
                  <c:v>588.85714285714289</c:v>
                </c:pt>
                <c:pt idx="8">
                  <c:v>648.14285714285711</c:v>
                </c:pt>
                <c:pt idx="9">
                  <c:v>700.85714285714289</c:v>
                </c:pt>
                <c:pt idx="10">
                  <c:v>726.14285714285711</c:v>
                </c:pt>
                <c:pt idx="11">
                  <c:v>755.14285714285711</c:v>
                </c:pt>
                <c:pt idx="12">
                  <c:v>1437.5</c:v>
                </c:pt>
                <c:pt idx="13">
                  <c:v>1271</c:v>
                </c:pt>
                <c:pt idx="14">
                  <c:v>811.5</c:v>
                </c:pt>
                <c:pt idx="15">
                  <c:v>552.5</c:v>
                </c:pt>
                <c:pt idx="16">
                  <c:v>382</c:v>
                </c:pt>
                <c:pt idx="17">
                  <c:v>282</c:v>
                </c:pt>
                <c:pt idx="18">
                  <c:v>151</c:v>
                </c:pt>
                <c:pt idx="19">
                  <c:v>99</c:v>
                </c:pt>
                <c:pt idx="20">
                  <c:v>78.5</c:v>
                </c:pt>
                <c:pt idx="21">
                  <c:v>135.5</c:v>
                </c:pt>
                <c:pt idx="22">
                  <c:v>294.5</c:v>
                </c:pt>
                <c:pt idx="23">
                  <c:v>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0B-428F-9999-FE2D9CED14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SpearMotors-URA-2Dir'!$S$9:$AF$9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SpearMotors-URA-2Dir'!$S$41:$AF$41</c:f>
              <c:numCache>
                <c:formatCode>_(* #,##0_);_(* \(#,##0\);_(* "-"_);_(@_)</c:formatCode>
                <c:ptCount val="14"/>
                <c:pt idx="0">
                  <c:v>5029.5714285714284</c:v>
                </c:pt>
                <c:pt idx="1">
                  <c:v>1264.2857142857142</c:v>
                </c:pt>
                <c:pt idx="2">
                  <c:v>774.14285714285722</c:v>
                </c:pt>
                <c:pt idx="3">
                  <c:v>1009</c:v>
                </c:pt>
                <c:pt idx="4">
                  <c:v>118</c:v>
                </c:pt>
                <c:pt idx="5">
                  <c:v>9.0714285714285712</c:v>
                </c:pt>
                <c:pt idx="6">
                  <c:v>401.57142857142861</c:v>
                </c:pt>
                <c:pt idx="7">
                  <c:v>202.35714285714283</c:v>
                </c:pt>
                <c:pt idx="8">
                  <c:v>141.35714285714283</c:v>
                </c:pt>
                <c:pt idx="9">
                  <c:v>293.71428571428578</c:v>
                </c:pt>
                <c:pt idx="10">
                  <c:v>16329.142857142857</c:v>
                </c:pt>
                <c:pt idx="11">
                  <c:v>0.85714285714285698</c:v>
                </c:pt>
                <c:pt idx="12">
                  <c:v>9243.9285714285725</c:v>
                </c:pt>
                <c:pt idx="13">
                  <c:v>25573.071428571428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14-4B84-9124-C91F4DCCC79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SpearMotors-URA-2Dir'!$S$9:$AF$9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SpearMotors-URA-2Dir'!$S$42:$AF$42</c:f>
              <c:numCache>
                <c:formatCode>0.000</c:formatCode>
                <c:ptCount val="14"/>
                <c:pt idx="0">
                  <c:v>1.4003818463863809</c:v>
                </c:pt>
                <c:pt idx="1">
                  <c:v>1.6542056074766354</c:v>
                </c:pt>
                <c:pt idx="2">
                  <c:v>1.3698179979777552</c:v>
                </c:pt>
                <c:pt idx="3">
                  <c:v>1.6622734761120264</c:v>
                </c:pt>
                <c:pt idx="4">
                  <c:v>1.4390243902439024</c:v>
                </c:pt>
                <c:pt idx="5">
                  <c:v>1.3804347826086956</c:v>
                </c:pt>
                <c:pt idx="6">
                  <c:v>1.2605381165919283</c:v>
                </c:pt>
                <c:pt idx="7">
                  <c:v>1.3325493885230479</c:v>
                </c:pt>
                <c:pt idx="8">
                  <c:v>1.2307213930348258</c:v>
                </c:pt>
                <c:pt idx="9">
                  <c:v>1.2786069651741294</c:v>
                </c:pt>
                <c:pt idx="10">
                  <c:v>1.6038614806084077</c:v>
                </c:pt>
                <c:pt idx="11">
                  <c:v>1</c:v>
                </c:pt>
                <c:pt idx="12">
                  <c:v>1.4370821951273682</c:v>
                </c:pt>
                <c:pt idx="13">
                  <c:v>1.5392880175415968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1D-4557-9593-D2FC778F4F8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7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9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337461</xdr:colOff>
      <xdr:row>29</xdr:row>
      <xdr:rowOff>260349</xdr:rowOff>
    </xdr:from>
    <xdr:to>
      <xdr:col>26</xdr:col>
      <xdr:colOff>317501</xdr:colOff>
      <xdr:row>44</xdr:row>
      <xdr:rowOff>53524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956586</xdr:colOff>
      <xdr:row>29</xdr:row>
      <xdr:rowOff>196849</xdr:rowOff>
    </xdr:from>
    <xdr:to>
      <xdr:col>25</xdr:col>
      <xdr:colOff>682626</xdr:colOff>
      <xdr:row>43</xdr:row>
      <xdr:rowOff>275774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448586</xdr:colOff>
      <xdr:row>31</xdr:row>
      <xdr:rowOff>85724</xdr:rowOff>
    </xdr:from>
    <xdr:to>
      <xdr:col>26</xdr:col>
      <xdr:colOff>428626</xdr:colOff>
      <xdr:row>45</xdr:row>
      <xdr:rowOff>164649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58</xdr:row>
      <xdr:rowOff>279400</xdr:rowOff>
    </xdr:from>
    <xdr:to>
      <xdr:col>31</xdr:col>
      <xdr:colOff>539751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23</xdr:col>
      <xdr:colOff>698500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58</xdr:row>
      <xdr:rowOff>279400</xdr:rowOff>
    </xdr:from>
    <xdr:to>
      <xdr:col>31</xdr:col>
      <xdr:colOff>555625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24</xdr:col>
      <xdr:colOff>0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75</xdr:row>
      <xdr:rowOff>1</xdr:rowOff>
    </xdr:from>
    <xdr:to>
      <xdr:col>25</xdr:col>
      <xdr:colOff>0</xdr:colOff>
      <xdr:row>91</xdr:row>
      <xdr:rowOff>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25</xdr:col>
      <xdr:colOff>0</xdr:colOff>
      <xdr:row>75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0</xdr:colOff>
      <xdr:row>58</xdr:row>
      <xdr:rowOff>285749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0</xdr:colOff>
      <xdr:row>59</xdr:row>
      <xdr:rowOff>0</xdr:rowOff>
    </xdr:from>
    <xdr:to>
      <xdr:col>31</xdr:col>
      <xdr:colOff>698500</xdr:colOff>
      <xdr:row>74</xdr:row>
      <xdr:rowOff>284163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74</xdr:row>
      <xdr:rowOff>269875</xdr:rowOff>
    </xdr:from>
    <xdr:to>
      <xdr:col>31</xdr:col>
      <xdr:colOff>698500</xdr:colOff>
      <xdr:row>90</xdr:row>
      <xdr:rowOff>284163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G5" sqref="G5:H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1" t="s">
        <v>96</v>
      </c>
      <c r="C3" s="59" t="s">
        <v>174</v>
      </c>
      <c r="D3" s="59"/>
      <c r="E3" s="59"/>
      <c r="F3" s="59"/>
      <c r="G3" s="59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54" t="s">
        <v>175</v>
      </c>
      <c r="H5" s="55"/>
      <c r="I5" s="14"/>
      <c r="J5" s="2" t="s">
        <v>5</v>
      </c>
      <c r="K5" s="54" t="s">
        <v>178</v>
      </c>
      <c r="L5" s="55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176</v>
      </c>
      <c r="E6" s="55"/>
      <c r="F6" s="2" t="s">
        <v>2</v>
      </c>
      <c r="G6" s="54" t="s">
        <v>177</v>
      </c>
      <c r="H6" s="55"/>
      <c r="J6" s="2" t="s">
        <v>21</v>
      </c>
      <c r="K6" s="54" t="s">
        <v>179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32</v>
      </c>
      <c r="D10" s="50">
        <v>14</v>
      </c>
      <c r="E10" s="50">
        <v>5</v>
      </c>
      <c r="F10" s="50">
        <v>8</v>
      </c>
      <c r="G10" s="50">
        <v>3</v>
      </c>
      <c r="H10" s="50">
        <v>0</v>
      </c>
      <c r="I10" s="50">
        <v>1</v>
      </c>
      <c r="J10" s="50">
        <v>1</v>
      </c>
      <c r="K10" s="50">
        <v>2</v>
      </c>
      <c r="L10" s="50">
        <v>3</v>
      </c>
      <c r="M10" s="50">
        <v>182</v>
      </c>
      <c r="N10" s="50">
        <v>0</v>
      </c>
      <c r="O10" s="15">
        <f t="shared" ref="O10:O57" si="0">SUM(C10:L10,N10)</f>
        <v>69</v>
      </c>
      <c r="P10" s="15">
        <f t="shared" ref="P10:P57" si="1">SUM(C10:N10)</f>
        <v>251</v>
      </c>
      <c r="R10" s="1" t="s">
        <v>6</v>
      </c>
      <c r="S10" s="17">
        <f t="shared" ref="S10:AF10" si="2">SUM(C10:C13)</f>
        <v>125</v>
      </c>
      <c r="T10" s="17">
        <f t="shared" si="2"/>
        <v>57</v>
      </c>
      <c r="U10" s="17">
        <f t="shared" si="2"/>
        <v>25</v>
      </c>
      <c r="V10" s="17">
        <f t="shared" si="2"/>
        <v>32</v>
      </c>
      <c r="W10" s="17">
        <f t="shared" si="2"/>
        <v>5</v>
      </c>
      <c r="X10" s="17">
        <f t="shared" si="2"/>
        <v>0</v>
      </c>
      <c r="Y10" s="17">
        <f t="shared" si="2"/>
        <v>3</v>
      </c>
      <c r="Z10" s="17">
        <f t="shared" si="2"/>
        <v>3</v>
      </c>
      <c r="AA10" s="17">
        <f t="shared" si="2"/>
        <v>10</v>
      </c>
      <c r="AB10" s="17">
        <f t="shared" si="2"/>
        <v>23</v>
      </c>
      <c r="AC10" s="17">
        <f t="shared" si="2"/>
        <v>776</v>
      </c>
      <c r="AD10" s="17">
        <f t="shared" si="2"/>
        <v>0</v>
      </c>
      <c r="AE10" s="31">
        <f t="shared" si="2"/>
        <v>283</v>
      </c>
      <c r="AF10" s="31">
        <f t="shared" si="2"/>
        <v>1059</v>
      </c>
    </row>
    <row r="11" spans="2:32" s="6" customFormat="1" ht="23.1" customHeight="1" x14ac:dyDescent="0.25">
      <c r="B11" s="23" t="s">
        <v>38</v>
      </c>
      <c r="C11" s="50">
        <v>40</v>
      </c>
      <c r="D11" s="50">
        <v>12</v>
      </c>
      <c r="E11" s="50">
        <v>11</v>
      </c>
      <c r="F11" s="50">
        <v>11</v>
      </c>
      <c r="G11" s="50">
        <v>0</v>
      </c>
      <c r="H11" s="50">
        <v>0</v>
      </c>
      <c r="I11" s="50">
        <v>0</v>
      </c>
      <c r="J11" s="50">
        <v>0</v>
      </c>
      <c r="K11" s="50">
        <v>5</v>
      </c>
      <c r="L11" s="50">
        <v>4</v>
      </c>
      <c r="M11" s="50">
        <v>186</v>
      </c>
      <c r="N11" s="50">
        <v>0</v>
      </c>
      <c r="O11" s="15">
        <f>SUM(C11:L11,N11)</f>
        <v>83</v>
      </c>
      <c r="P11" s="15">
        <f t="shared" si="1"/>
        <v>269</v>
      </c>
      <c r="R11" s="1" t="s">
        <v>7</v>
      </c>
      <c r="S11" s="17">
        <f t="shared" ref="S11:AF11" si="3">SUM(C14:C17)</f>
        <v>156</v>
      </c>
      <c r="T11" s="17">
        <f t="shared" si="3"/>
        <v>39</v>
      </c>
      <c r="U11" s="17">
        <f t="shared" si="3"/>
        <v>21</v>
      </c>
      <c r="V11" s="17">
        <f t="shared" si="3"/>
        <v>62</v>
      </c>
      <c r="W11" s="17">
        <f t="shared" si="3"/>
        <v>6</v>
      </c>
      <c r="X11" s="17">
        <f t="shared" si="3"/>
        <v>0</v>
      </c>
      <c r="Y11" s="17">
        <f t="shared" si="3"/>
        <v>5</v>
      </c>
      <c r="Z11" s="17">
        <f t="shared" si="3"/>
        <v>3</v>
      </c>
      <c r="AA11" s="17">
        <f t="shared" si="3"/>
        <v>8</v>
      </c>
      <c r="AB11" s="17">
        <f t="shared" si="3"/>
        <v>9</v>
      </c>
      <c r="AC11" s="17">
        <f t="shared" si="3"/>
        <v>898</v>
      </c>
      <c r="AD11" s="17">
        <f t="shared" si="3"/>
        <v>0</v>
      </c>
      <c r="AE11" s="31">
        <f t="shared" si="3"/>
        <v>309</v>
      </c>
      <c r="AF11" s="31">
        <f t="shared" si="3"/>
        <v>1207</v>
      </c>
    </row>
    <row r="12" spans="2:32" ht="23.1" customHeight="1" x14ac:dyDescent="0.25">
      <c r="B12" s="23" t="s">
        <v>39</v>
      </c>
      <c r="C12" s="50">
        <v>30</v>
      </c>
      <c r="D12" s="50">
        <v>20</v>
      </c>
      <c r="E12" s="50">
        <v>3</v>
      </c>
      <c r="F12" s="50">
        <v>5</v>
      </c>
      <c r="G12" s="50">
        <v>2</v>
      </c>
      <c r="H12" s="50">
        <v>0</v>
      </c>
      <c r="I12" s="50">
        <v>2</v>
      </c>
      <c r="J12" s="50">
        <v>2</v>
      </c>
      <c r="K12" s="50">
        <v>2</v>
      </c>
      <c r="L12" s="50">
        <v>1</v>
      </c>
      <c r="M12" s="50">
        <v>214</v>
      </c>
      <c r="N12" s="50">
        <v>0</v>
      </c>
      <c r="O12" s="15">
        <f t="shared" si="0"/>
        <v>67</v>
      </c>
      <c r="P12" s="15">
        <f t="shared" si="1"/>
        <v>281</v>
      </c>
      <c r="R12" s="1" t="s">
        <v>8</v>
      </c>
      <c r="S12" s="17">
        <f t="shared" ref="S12:AF12" si="4">SUM(C18:C21)</f>
        <v>129</v>
      </c>
      <c r="T12" s="17">
        <f t="shared" si="4"/>
        <v>32</v>
      </c>
      <c r="U12" s="17">
        <f t="shared" si="4"/>
        <v>20</v>
      </c>
      <c r="V12" s="17">
        <f t="shared" si="4"/>
        <v>12</v>
      </c>
      <c r="W12" s="17">
        <f t="shared" si="4"/>
        <v>4</v>
      </c>
      <c r="X12" s="17">
        <f t="shared" si="4"/>
        <v>0</v>
      </c>
      <c r="Y12" s="17">
        <f t="shared" si="4"/>
        <v>2</v>
      </c>
      <c r="Z12" s="17">
        <f t="shared" si="4"/>
        <v>4</v>
      </c>
      <c r="AA12" s="17">
        <f t="shared" si="4"/>
        <v>5</v>
      </c>
      <c r="AB12" s="17">
        <f t="shared" si="4"/>
        <v>10</v>
      </c>
      <c r="AC12" s="17">
        <f t="shared" si="4"/>
        <v>1415</v>
      </c>
      <c r="AD12" s="17">
        <f t="shared" si="4"/>
        <v>0</v>
      </c>
      <c r="AE12" s="31">
        <f t="shared" si="4"/>
        <v>218</v>
      </c>
      <c r="AF12" s="31">
        <f t="shared" si="4"/>
        <v>1633</v>
      </c>
    </row>
    <row r="13" spans="2:32" ht="23.1" customHeight="1" x14ac:dyDescent="0.25">
      <c r="B13" s="23" t="s">
        <v>40</v>
      </c>
      <c r="C13" s="50">
        <v>23</v>
      </c>
      <c r="D13" s="50">
        <v>11</v>
      </c>
      <c r="E13" s="50">
        <v>6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v>1</v>
      </c>
      <c r="L13" s="50">
        <v>15</v>
      </c>
      <c r="M13" s="50">
        <v>194</v>
      </c>
      <c r="N13" s="50">
        <v>0</v>
      </c>
      <c r="O13" s="15">
        <f t="shared" si="0"/>
        <v>64</v>
      </c>
      <c r="P13" s="15">
        <f t="shared" si="1"/>
        <v>258</v>
      </c>
      <c r="R13" s="1" t="s">
        <v>9</v>
      </c>
      <c r="S13" s="17">
        <f t="shared" ref="S13:AF13" si="5">SUM(C22:C25)</f>
        <v>122</v>
      </c>
      <c r="T13" s="17">
        <f t="shared" si="5"/>
        <v>40</v>
      </c>
      <c r="U13" s="17">
        <f t="shared" si="5"/>
        <v>33</v>
      </c>
      <c r="V13" s="17">
        <f t="shared" si="5"/>
        <v>21</v>
      </c>
      <c r="W13" s="17">
        <f t="shared" si="5"/>
        <v>4</v>
      </c>
      <c r="X13" s="17">
        <f t="shared" si="5"/>
        <v>0</v>
      </c>
      <c r="Y13" s="17">
        <f t="shared" si="5"/>
        <v>2</v>
      </c>
      <c r="Z13" s="17">
        <f t="shared" si="5"/>
        <v>5</v>
      </c>
      <c r="AA13" s="17">
        <f t="shared" si="5"/>
        <v>2</v>
      </c>
      <c r="AB13" s="17">
        <f t="shared" si="5"/>
        <v>8</v>
      </c>
      <c r="AC13" s="17">
        <f t="shared" si="5"/>
        <v>1090</v>
      </c>
      <c r="AD13" s="17">
        <f t="shared" si="5"/>
        <v>0</v>
      </c>
      <c r="AE13" s="31">
        <f t="shared" si="5"/>
        <v>237</v>
      </c>
      <c r="AF13" s="31">
        <f t="shared" si="5"/>
        <v>1327</v>
      </c>
    </row>
    <row r="14" spans="2:32" ht="23.1" customHeight="1" x14ac:dyDescent="0.25">
      <c r="B14" s="23" t="s">
        <v>41</v>
      </c>
      <c r="C14" s="50">
        <v>36</v>
      </c>
      <c r="D14" s="50">
        <v>6</v>
      </c>
      <c r="E14" s="50">
        <v>4</v>
      </c>
      <c r="F14" s="50">
        <v>22</v>
      </c>
      <c r="G14" s="50">
        <v>2</v>
      </c>
      <c r="H14" s="50">
        <v>0</v>
      </c>
      <c r="I14" s="50">
        <v>1</v>
      </c>
      <c r="J14" s="50">
        <v>0</v>
      </c>
      <c r="K14" s="50">
        <v>1</v>
      </c>
      <c r="L14" s="50">
        <v>2</v>
      </c>
      <c r="M14" s="50">
        <v>245</v>
      </c>
      <c r="N14" s="50">
        <v>0</v>
      </c>
      <c r="O14" s="15">
        <f t="shared" si="0"/>
        <v>74</v>
      </c>
      <c r="P14" s="15">
        <f t="shared" si="1"/>
        <v>319</v>
      </c>
      <c r="R14" s="1" t="s">
        <v>10</v>
      </c>
      <c r="S14" s="17">
        <f t="shared" ref="S14:AF14" si="6">SUM(C26:C29)</f>
        <v>140</v>
      </c>
      <c r="T14" s="17">
        <f t="shared" si="6"/>
        <v>23</v>
      </c>
      <c r="U14" s="17">
        <f t="shared" si="6"/>
        <v>32</v>
      </c>
      <c r="V14" s="17">
        <f t="shared" si="6"/>
        <v>34</v>
      </c>
      <c r="W14" s="17">
        <f t="shared" si="6"/>
        <v>7</v>
      </c>
      <c r="X14" s="17">
        <f t="shared" si="6"/>
        <v>2</v>
      </c>
      <c r="Y14" s="17">
        <f t="shared" si="6"/>
        <v>8</v>
      </c>
      <c r="Z14" s="17">
        <f t="shared" si="6"/>
        <v>14</v>
      </c>
      <c r="AA14" s="17">
        <f t="shared" si="6"/>
        <v>8</v>
      </c>
      <c r="AB14" s="17">
        <f t="shared" si="6"/>
        <v>14</v>
      </c>
      <c r="AC14" s="17">
        <f t="shared" si="6"/>
        <v>667</v>
      </c>
      <c r="AD14" s="17">
        <f t="shared" si="6"/>
        <v>0</v>
      </c>
      <c r="AE14" s="31">
        <f t="shared" si="6"/>
        <v>282</v>
      </c>
      <c r="AF14" s="31">
        <f t="shared" si="6"/>
        <v>949</v>
      </c>
    </row>
    <row r="15" spans="2:32" ht="23.1" customHeight="1" x14ac:dyDescent="0.25">
      <c r="B15" s="23" t="s">
        <v>42</v>
      </c>
      <c r="C15" s="50">
        <v>37</v>
      </c>
      <c r="D15" s="50">
        <v>17</v>
      </c>
      <c r="E15" s="50">
        <v>8</v>
      </c>
      <c r="F15" s="50">
        <v>22</v>
      </c>
      <c r="G15" s="50">
        <v>3</v>
      </c>
      <c r="H15" s="50">
        <v>0</v>
      </c>
      <c r="I15" s="50">
        <v>0</v>
      </c>
      <c r="J15" s="50">
        <v>1</v>
      </c>
      <c r="K15" s="50">
        <v>1</v>
      </c>
      <c r="L15" s="50">
        <v>2</v>
      </c>
      <c r="M15" s="50">
        <v>233</v>
      </c>
      <c r="N15" s="50">
        <v>0</v>
      </c>
      <c r="O15" s="15">
        <f t="shared" si="0"/>
        <v>91</v>
      </c>
      <c r="P15" s="15">
        <f t="shared" si="1"/>
        <v>324</v>
      </c>
      <c r="R15" s="1" t="s">
        <v>11</v>
      </c>
      <c r="S15" s="17">
        <f t="shared" ref="S15:AF15" si="7">SUM(C30:C33)</f>
        <v>135</v>
      </c>
      <c r="T15" s="17">
        <f t="shared" si="7"/>
        <v>33</v>
      </c>
      <c r="U15" s="17">
        <f t="shared" si="7"/>
        <v>20</v>
      </c>
      <c r="V15" s="17">
        <f t="shared" si="7"/>
        <v>37</v>
      </c>
      <c r="W15" s="17">
        <f t="shared" si="7"/>
        <v>5</v>
      </c>
      <c r="X15" s="17">
        <f t="shared" si="7"/>
        <v>1</v>
      </c>
      <c r="Y15" s="17">
        <f t="shared" si="7"/>
        <v>5</v>
      </c>
      <c r="Z15" s="17">
        <f t="shared" si="7"/>
        <v>9</v>
      </c>
      <c r="AA15" s="17">
        <f t="shared" si="7"/>
        <v>12</v>
      </c>
      <c r="AB15" s="17">
        <f t="shared" si="7"/>
        <v>14</v>
      </c>
      <c r="AC15" s="17">
        <f t="shared" si="7"/>
        <v>639</v>
      </c>
      <c r="AD15" s="17">
        <f t="shared" si="7"/>
        <v>0</v>
      </c>
      <c r="AE15" s="31">
        <f t="shared" si="7"/>
        <v>271</v>
      </c>
      <c r="AF15" s="31">
        <f t="shared" si="7"/>
        <v>910</v>
      </c>
    </row>
    <row r="16" spans="2:32" ht="23.1" customHeight="1" x14ac:dyDescent="0.25">
      <c r="B16" s="23" t="s">
        <v>43</v>
      </c>
      <c r="C16" s="50">
        <v>32</v>
      </c>
      <c r="D16" s="50">
        <v>7</v>
      </c>
      <c r="E16" s="50">
        <v>3</v>
      </c>
      <c r="F16" s="50">
        <v>7</v>
      </c>
      <c r="G16" s="50">
        <v>0</v>
      </c>
      <c r="H16" s="50">
        <v>0</v>
      </c>
      <c r="I16" s="50">
        <v>1</v>
      </c>
      <c r="J16" s="50">
        <v>0</v>
      </c>
      <c r="K16" s="50">
        <v>2</v>
      </c>
      <c r="L16" s="50">
        <v>3</v>
      </c>
      <c r="M16" s="50">
        <v>220</v>
      </c>
      <c r="N16" s="50">
        <v>0</v>
      </c>
      <c r="O16" s="15">
        <f t="shared" si="0"/>
        <v>55</v>
      </c>
      <c r="P16" s="15">
        <f t="shared" si="1"/>
        <v>275</v>
      </c>
      <c r="R16" s="1" t="s">
        <v>12</v>
      </c>
      <c r="S16" s="17">
        <f t="shared" ref="S16:AF16" si="8">SUM(C34:C37)</f>
        <v>145</v>
      </c>
      <c r="T16" s="17">
        <f t="shared" si="8"/>
        <v>41</v>
      </c>
      <c r="U16" s="17">
        <f t="shared" si="8"/>
        <v>30</v>
      </c>
      <c r="V16" s="17">
        <f t="shared" si="8"/>
        <v>24</v>
      </c>
      <c r="W16" s="17">
        <f t="shared" si="8"/>
        <v>4</v>
      </c>
      <c r="X16" s="17">
        <f t="shared" si="8"/>
        <v>0</v>
      </c>
      <c r="Y16" s="17">
        <f t="shared" si="8"/>
        <v>14</v>
      </c>
      <c r="Z16" s="17">
        <f t="shared" si="8"/>
        <v>6</v>
      </c>
      <c r="AA16" s="17">
        <f t="shared" si="8"/>
        <v>10</v>
      </c>
      <c r="AB16" s="17">
        <f t="shared" si="8"/>
        <v>16</v>
      </c>
      <c r="AC16" s="17">
        <f t="shared" si="8"/>
        <v>601</v>
      </c>
      <c r="AD16" s="17">
        <f t="shared" si="8"/>
        <v>0</v>
      </c>
      <c r="AE16" s="31">
        <f t="shared" si="8"/>
        <v>290</v>
      </c>
      <c r="AF16" s="31">
        <f t="shared" si="8"/>
        <v>891</v>
      </c>
    </row>
    <row r="17" spans="2:32" ht="23.1" customHeight="1" x14ac:dyDescent="0.25">
      <c r="B17" s="23" t="s">
        <v>44</v>
      </c>
      <c r="C17" s="50">
        <v>51</v>
      </c>
      <c r="D17" s="50">
        <v>9</v>
      </c>
      <c r="E17" s="50">
        <v>6</v>
      </c>
      <c r="F17" s="50">
        <v>11</v>
      </c>
      <c r="G17" s="50">
        <v>1</v>
      </c>
      <c r="H17" s="50">
        <v>0</v>
      </c>
      <c r="I17" s="50">
        <v>3</v>
      </c>
      <c r="J17" s="50">
        <v>2</v>
      </c>
      <c r="K17" s="50">
        <v>4</v>
      </c>
      <c r="L17" s="50">
        <v>2</v>
      </c>
      <c r="M17" s="50">
        <v>200</v>
      </c>
      <c r="N17" s="50">
        <v>0</v>
      </c>
      <c r="O17" s="15">
        <f t="shared" si="0"/>
        <v>89</v>
      </c>
      <c r="P17" s="15">
        <f t="shared" si="1"/>
        <v>289</v>
      </c>
      <c r="R17" s="1" t="s">
        <v>13</v>
      </c>
      <c r="S17" s="17">
        <f t="shared" ref="S17:AF17" si="9">SUM(C38:C41)</f>
        <v>116</v>
      </c>
      <c r="T17" s="17">
        <f t="shared" si="9"/>
        <v>75</v>
      </c>
      <c r="U17" s="17">
        <f t="shared" si="9"/>
        <v>36</v>
      </c>
      <c r="V17" s="17">
        <f t="shared" si="9"/>
        <v>22</v>
      </c>
      <c r="W17" s="17">
        <f t="shared" si="9"/>
        <v>6</v>
      </c>
      <c r="X17" s="17">
        <f t="shared" si="9"/>
        <v>0</v>
      </c>
      <c r="Y17" s="17">
        <f t="shared" si="9"/>
        <v>12</v>
      </c>
      <c r="Z17" s="17">
        <f t="shared" si="9"/>
        <v>8</v>
      </c>
      <c r="AA17" s="17">
        <f t="shared" si="9"/>
        <v>7</v>
      </c>
      <c r="AB17" s="17">
        <f t="shared" si="9"/>
        <v>15</v>
      </c>
      <c r="AC17" s="17">
        <f t="shared" si="9"/>
        <v>450</v>
      </c>
      <c r="AD17" s="17">
        <f t="shared" si="9"/>
        <v>0</v>
      </c>
      <c r="AE17" s="31">
        <f t="shared" si="9"/>
        <v>297</v>
      </c>
      <c r="AF17" s="31">
        <f t="shared" si="9"/>
        <v>747</v>
      </c>
    </row>
    <row r="18" spans="2:32" ht="23.1" customHeight="1" x14ac:dyDescent="0.25">
      <c r="B18" s="23" t="s">
        <v>45</v>
      </c>
      <c r="C18" s="50">
        <v>45</v>
      </c>
      <c r="D18" s="50">
        <v>10</v>
      </c>
      <c r="E18" s="50">
        <v>5</v>
      </c>
      <c r="F18" s="50">
        <v>1</v>
      </c>
      <c r="G18" s="50">
        <v>1</v>
      </c>
      <c r="H18" s="50">
        <v>0</v>
      </c>
      <c r="I18" s="50">
        <v>1</v>
      </c>
      <c r="J18" s="50">
        <v>0</v>
      </c>
      <c r="K18" s="50">
        <v>1</v>
      </c>
      <c r="L18" s="50">
        <v>2</v>
      </c>
      <c r="M18" s="50">
        <v>400</v>
      </c>
      <c r="N18" s="50">
        <v>0</v>
      </c>
      <c r="O18" s="15">
        <f t="shared" si="0"/>
        <v>66</v>
      </c>
      <c r="P18" s="15">
        <f t="shared" si="1"/>
        <v>466</v>
      </c>
      <c r="R18" s="1" t="s">
        <v>14</v>
      </c>
      <c r="S18" s="17">
        <f t="shared" ref="S18:AF18" si="10">SUM(C42:C45)</f>
        <v>136</v>
      </c>
      <c r="T18" s="17">
        <f t="shared" si="10"/>
        <v>34</v>
      </c>
      <c r="U18" s="17">
        <f t="shared" si="10"/>
        <v>43</v>
      </c>
      <c r="V18" s="17">
        <f t="shared" si="10"/>
        <v>19</v>
      </c>
      <c r="W18" s="17">
        <f t="shared" si="10"/>
        <v>8</v>
      </c>
      <c r="X18" s="17">
        <f t="shared" si="10"/>
        <v>0</v>
      </c>
      <c r="Y18" s="17">
        <f t="shared" si="10"/>
        <v>9</v>
      </c>
      <c r="Z18" s="17">
        <f t="shared" si="10"/>
        <v>9</v>
      </c>
      <c r="AA18" s="17">
        <f t="shared" si="10"/>
        <v>10</v>
      </c>
      <c r="AB18" s="17">
        <f t="shared" si="10"/>
        <v>24</v>
      </c>
      <c r="AC18" s="17">
        <f t="shared" si="10"/>
        <v>370</v>
      </c>
      <c r="AD18" s="17">
        <f t="shared" si="10"/>
        <v>0</v>
      </c>
      <c r="AE18" s="31">
        <f t="shared" si="10"/>
        <v>292</v>
      </c>
      <c r="AF18" s="31">
        <f t="shared" si="10"/>
        <v>662</v>
      </c>
    </row>
    <row r="19" spans="2:32" ht="23.1" customHeight="1" x14ac:dyDescent="0.25">
      <c r="B19" s="23" t="s">
        <v>46</v>
      </c>
      <c r="C19" s="50">
        <v>36</v>
      </c>
      <c r="D19" s="50">
        <v>2</v>
      </c>
      <c r="E19" s="50">
        <v>6</v>
      </c>
      <c r="F19" s="50">
        <v>0</v>
      </c>
      <c r="G19" s="50">
        <v>0</v>
      </c>
      <c r="H19" s="50">
        <v>0</v>
      </c>
      <c r="I19" s="50">
        <v>0</v>
      </c>
      <c r="J19" s="50">
        <v>1</v>
      </c>
      <c r="K19" s="50">
        <v>3</v>
      </c>
      <c r="L19" s="50">
        <v>5</v>
      </c>
      <c r="M19" s="50">
        <v>455</v>
      </c>
      <c r="N19" s="50">
        <v>0</v>
      </c>
      <c r="O19" s="15">
        <f t="shared" si="0"/>
        <v>53</v>
      </c>
      <c r="P19" s="15">
        <f t="shared" si="1"/>
        <v>508</v>
      </c>
      <c r="R19" s="1" t="s">
        <v>15</v>
      </c>
      <c r="S19" s="17">
        <f t="shared" ref="S19:AF19" si="11">SUM(C46:C49)</f>
        <v>145</v>
      </c>
      <c r="T19" s="17">
        <f t="shared" si="11"/>
        <v>38</v>
      </c>
      <c r="U19" s="17">
        <f t="shared" si="11"/>
        <v>26</v>
      </c>
      <c r="V19" s="17">
        <f t="shared" si="11"/>
        <v>14</v>
      </c>
      <c r="W19" s="17">
        <f t="shared" si="11"/>
        <v>5</v>
      </c>
      <c r="X19" s="17">
        <f t="shared" si="11"/>
        <v>0</v>
      </c>
      <c r="Y19" s="17">
        <f t="shared" si="11"/>
        <v>7</v>
      </c>
      <c r="Z19" s="17">
        <f t="shared" si="11"/>
        <v>13</v>
      </c>
      <c r="AA19" s="17">
        <f t="shared" si="11"/>
        <v>8</v>
      </c>
      <c r="AB19" s="17">
        <f t="shared" si="11"/>
        <v>23</v>
      </c>
      <c r="AC19" s="17">
        <f t="shared" si="11"/>
        <v>554</v>
      </c>
      <c r="AD19" s="17">
        <f t="shared" si="11"/>
        <v>0</v>
      </c>
      <c r="AE19" s="31">
        <f t="shared" si="11"/>
        <v>279</v>
      </c>
      <c r="AF19" s="31">
        <f t="shared" si="11"/>
        <v>833</v>
      </c>
    </row>
    <row r="20" spans="2:32" ht="23.1" customHeight="1" x14ac:dyDescent="0.25">
      <c r="B20" s="23" t="s">
        <v>47</v>
      </c>
      <c r="C20" s="50">
        <v>30</v>
      </c>
      <c r="D20" s="50">
        <v>5</v>
      </c>
      <c r="E20" s="50">
        <v>2</v>
      </c>
      <c r="F20" s="50">
        <v>6</v>
      </c>
      <c r="G20" s="50">
        <v>1</v>
      </c>
      <c r="H20" s="50">
        <v>0</v>
      </c>
      <c r="I20" s="50">
        <v>1</v>
      </c>
      <c r="J20" s="50">
        <v>2</v>
      </c>
      <c r="K20" s="50">
        <v>0</v>
      </c>
      <c r="L20" s="50">
        <v>1</v>
      </c>
      <c r="M20" s="50">
        <v>265</v>
      </c>
      <c r="N20" s="50">
        <v>0</v>
      </c>
      <c r="O20" s="15">
        <f t="shared" si="0"/>
        <v>48</v>
      </c>
      <c r="P20" s="15">
        <f t="shared" si="1"/>
        <v>313</v>
      </c>
      <c r="R20" s="1" t="s">
        <v>16</v>
      </c>
      <c r="S20" s="17">
        <f t="shared" ref="S20:AF20" si="12">SUM(C50:C53)</f>
        <v>126</v>
      </c>
      <c r="T20" s="17">
        <f t="shared" si="12"/>
        <v>52</v>
      </c>
      <c r="U20" s="17">
        <f t="shared" si="12"/>
        <v>31</v>
      </c>
      <c r="V20" s="17">
        <f t="shared" si="12"/>
        <v>8</v>
      </c>
      <c r="W20" s="17">
        <f t="shared" si="12"/>
        <v>5</v>
      </c>
      <c r="X20" s="17">
        <f t="shared" si="12"/>
        <v>0</v>
      </c>
      <c r="Y20" s="17">
        <f t="shared" si="12"/>
        <v>3</v>
      </c>
      <c r="Z20" s="17">
        <f t="shared" si="12"/>
        <v>4</v>
      </c>
      <c r="AA20" s="17">
        <f t="shared" si="12"/>
        <v>4</v>
      </c>
      <c r="AB20" s="17">
        <f t="shared" si="12"/>
        <v>18</v>
      </c>
      <c r="AC20" s="17">
        <f t="shared" si="12"/>
        <v>717</v>
      </c>
      <c r="AD20" s="17">
        <f t="shared" si="12"/>
        <v>0</v>
      </c>
      <c r="AE20" s="31">
        <f t="shared" si="12"/>
        <v>251</v>
      </c>
      <c r="AF20" s="31">
        <f t="shared" si="12"/>
        <v>968</v>
      </c>
    </row>
    <row r="21" spans="2:32" ht="23.1" customHeight="1" x14ac:dyDescent="0.25">
      <c r="B21" s="23" t="s">
        <v>48</v>
      </c>
      <c r="C21" s="50">
        <v>18</v>
      </c>
      <c r="D21" s="50">
        <v>15</v>
      </c>
      <c r="E21" s="50">
        <v>7</v>
      </c>
      <c r="F21" s="50">
        <v>5</v>
      </c>
      <c r="G21" s="50">
        <v>2</v>
      </c>
      <c r="H21" s="50">
        <v>0</v>
      </c>
      <c r="I21" s="50">
        <v>0</v>
      </c>
      <c r="J21" s="50">
        <v>1</v>
      </c>
      <c r="K21" s="50">
        <v>1</v>
      </c>
      <c r="L21" s="50">
        <v>2</v>
      </c>
      <c r="M21" s="50">
        <v>295</v>
      </c>
      <c r="N21" s="50">
        <v>0</v>
      </c>
      <c r="O21" s="15">
        <f t="shared" si="0"/>
        <v>51</v>
      </c>
      <c r="P21" s="15">
        <f t="shared" si="1"/>
        <v>346</v>
      </c>
      <c r="R21" s="36" t="s">
        <v>20</v>
      </c>
      <c r="S21" s="34">
        <f t="shared" ref="S21:AF21" si="13">SUM(C54:C57)</f>
        <v>114</v>
      </c>
      <c r="T21" s="17">
        <f t="shared" si="13"/>
        <v>71</v>
      </c>
      <c r="U21" s="17">
        <f t="shared" si="13"/>
        <v>11</v>
      </c>
      <c r="V21" s="17">
        <f t="shared" si="13"/>
        <v>8</v>
      </c>
      <c r="W21" s="17">
        <f t="shared" si="13"/>
        <v>6</v>
      </c>
      <c r="X21" s="17">
        <f t="shared" si="13"/>
        <v>0</v>
      </c>
      <c r="Y21" s="17">
        <f t="shared" si="13"/>
        <v>2</v>
      </c>
      <c r="Z21" s="17">
        <f t="shared" si="13"/>
        <v>10</v>
      </c>
      <c r="AA21" s="17">
        <f t="shared" si="13"/>
        <v>7</v>
      </c>
      <c r="AB21" s="17">
        <f t="shared" si="13"/>
        <v>10</v>
      </c>
      <c r="AC21" s="17">
        <f t="shared" si="13"/>
        <v>707</v>
      </c>
      <c r="AD21" s="17">
        <f t="shared" si="13"/>
        <v>0</v>
      </c>
      <c r="AE21" s="31">
        <f t="shared" si="13"/>
        <v>239</v>
      </c>
      <c r="AF21" s="31">
        <f t="shared" si="13"/>
        <v>946</v>
      </c>
    </row>
    <row r="22" spans="2:32" ht="23.1" customHeight="1" x14ac:dyDescent="0.25">
      <c r="B22" s="23" t="s">
        <v>49</v>
      </c>
      <c r="C22" s="50">
        <v>30</v>
      </c>
      <c r="D22" s="50">
        <v>16</v>
      </c>
      <c r="E22" s="50">
        <v>7</v>
      </c>
      <c r="F22" s="50">
        <v>6</v>
      </c>
      <c r="G22" s="50">
        <v>3</v>
      </c>
      <c r="H22" s="50">
        <v>0</v>
      </c>
      <c r="I22" s="50">
        <v>1</v>
      </c>
      <c r="J22" s="50">
        <v>1</v>
      </c>
      <c r="K22" s="50">
        <v>1</v>
      </c>
      <c r="L22" s="50">
        <v>1</v>
      </c>
      <c r="M22" s="50">
        <v>435</v>
      </c>
      <c r="N22" s="50">
        <v>0</v>
      </c>
      <c r="O22" s="15">
        <f t="shared" si="0"/>
        <v>66</v>
      </c>
      <c r="P22" s="15">
        <f t="shared" si="1"/>
        <v>501</v>
      </c>
      <c r="R22" s="38" t="s">
        <v>90</v>
      </c>
      <c r="S22" s="39">
        <f>MAX(S10:S12)</f>
        <v>156</v>
      </c>
      <c r="T22" s="39">
        <f t="shared" ref="T22:AF22" si="14">MAX(T10:T12)</f>
        <v>57</v>
      </c>
      <c r="U22" s="39">
        <f t="shared" si="14"/>
        <v>25</v>
      </c>
      <c r="V22" s="39">
        <f t="shared" si="14"/>
        <v>62</v>
      </c>
      <c r="W22" s="39">
        <f t="shared" si="14"/>
        <v>6</v>
      </c>
      <c r="X22" s="39">
        <f t="shared" si="14"/>
        <v>0</v>
      </c>
      <c r="Y22" s="39">
        <f t="shared" si="14"/>
        <v>5</v>
      </c>
      <c r="Z22" s="39">
        <f t="shared" si="14"/>
        <v>4</v>
      </c>
      <c r="AA22" s="39">
        <f t="shared" si="14"/>
        <v>10</v>
      </c>
      <c r="AB22" s="39">
        <f t="shared" si="14"/>
        <v>23</v>
      </c>
      <c r="AC22" s="39">
        <f t="shared" si="14"/>
        <v>1415</v>
      </c>
      <c r="AD22" s="39">
        <f t="shared" si="14"/>
        <v>0</v>
      </c>
      <c r="AE22" s="40">
        <f t="shared" si="14"/>
        <v>309</v>
      </c>
      <c r="AF22" s="40">
        <f t="shared" si="14"/>
        <v>1633</v>
      </c>
    </row>
    <row r="23" spans="2:32" ht="23.1" customHeight="1" x14ac:dyDescent="0.25">
      <c r="B23" s="23" t="s">
        <v>50</v>
      </c>
      <c r="C23" s="50">
        <v>20</v>
      </c>
      <c r="D23" s="50">
        <v>7</v>
      </c>
      <c r="E23" s="50">
        <v>4</v>
      </c>
      <c r="F23" s="50">
        <v>7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1</v>
      </c>
      <c r="M23" s="50">
        <v>193</v>
      </c>
      <c r="N23" s="50">
        <v>0</v>
      </c>
      <c r="O23" s="15">
        <f t="shared" si="0"/>
        <v>40</v>
      </c>
      <c r="P23" s="15">
        <f t="shared" si="1"/>
        <v>233</v>
      </c>
      <c r="R23" s="38" t="s">
        <v>91</v>
      </c>
      <c r="S23" s="39">
        <f>MAX(S13:S18)</f>
        <v>145</v>
      </c>
      <c r="T23" s="39">
        <f t="shared" ref="T23:AF23" si="15">MAX(T13:T18)</f>
        <v>75</v>
      </c>
      <c r="U23" s="39">
        <f t="shared" si="15"/>
        <v>43</v>
      </c>
      <c r="V23" s="39">
        <f t="shared" si="15"/>
        <v>37</v>
      </c>
      <c r="W23" s="39">
        <f t="shared" si="15"/>
        <v>8</v>
      </c>
      <c r="X23" s="39">
        <f t="shared" si="15"/>
        <v>2</v>
      </c>
      <c r="Y23" s="39">
        <f t="shared" si="15"/>
        <v>14</v>
      </c>
      <c r="Z23" s="39">
        <f t="shared" si="15"/>
        <v>14</v>
      </c>
      <c r="AA23" s="39">
        <f t="shared" si="15"/>
        <v>12</v>
      </c>
      <c r="AB23" s="39">
        <f t="shared" si="15"/>
        <v>24</v>
      </c>
      <c r="AC23" s="39">
        <f t="shared" si="15"/>
        <v>1090</v>
      </c>
      <c r="AD23" s="39">
        <f t="shared" si="15"/>
        <v>0</v>
      </c>
      <c r="AE23" s="40">
        <f t="shared" si="15"/>
        <v>297</v>
      </c>
      <c r="AF23" s="40">
        <f t="shared" si="15"/>
        <v>1327</v>
      </c>
    </row>
    <row r="24" spans="2:32" ht="23.1" customHeight="1" x14ac:dyDescent="0.25">
      <c r="B24" s="23" t="s">
        <v>51</v>
      </c>
      <c r="C24" s="50">
        <v>42</v>
      </c>
      <c r="D24" s="50">
        <v>8</v>
      </c>
      <c r="E24" s="50">
        <v>11</v>
      </c>
      <c r="F24" s="50">
        <v>2</v>
      </c>
      <c r="G24" s="50">
        <v>0</v>
      </c>
      <c r="H24" s="50">
        <v>0</v>
      </c>
      <c r="I24" s="50">
        <v>1</v>
      </c>
      <c r="J24" s="50">
        <v>3</v>
      </c>
      <c r="K24" s="50">
        <v>1</v>
      </c>
      <c r="L24" s="50">
        <v>4</v>
      </c>
      <c r="M24" s="50">
        <v>218</v>
      </c>
      <c r="N24" s="50">
        <v>0</v>
      </c>
      <c r="O24" s="15">
        <f t="shared" si="0"/>
        <v>72</v>
      </c>
      <c r="P24" s="15">
        <f t="shared" si="1"/>
        <v>290</v>
      </c>
      <c r="R24" s="38" t="s">
        <v>92</v>
      </c>
      <c r="S24" s="39">
        <f>MAX(S19:S21)</f>
        <v>145</v>
      </c>
      <c r="T24" s="39">
        <f t="shared" ref="T24:AF24" si="16">MAX(T19:T21)</f>
        <v>71</v>
      </c>
      <c r="U24" s="39">
        <f t="shared" si="16"/>
        <v>31</v>
      </c>
      <c r="V24" s="39">
        <f t="shared" si="16"/>
        <v>14</v>
      </c>
      <c r="W24" s="39">
        <f t="shared" si="16"/>
        <v>6</v>
      </c>
      <c r="X24" s="39">
        <f t="shared" si="16"/>
        <v>0</v>
      </c>
      <c r="Y24" s="39">
        <f t="shared" si="16"/>
        <v>7</v>
      </c>
      <c r="Z24" s="39">
        <f t="shared" si="16"/>
        <v>13</v>
      </c>
      <c r="AA24" s="39">
        <f t="shared" si="16"/>
        <v>8</v>
      </c>
      <c r="AB24" s="39">
        <f t="shared" si="16"/>
        <v>23</v>
      </c>
      <c r="AC24" s="39">
        <f t="shared" si="16"/>
        <v>717</v>
      </c>
      <c r="AD24" s="39">
        <f t="shared" si="16"/>
        <v>0</v>
      </c>
      <c r="AE24" s="40">
        <f t="shared" si="16"/>
        <v>279</v>
      </c>
      <c r="AF24" s="40">
        <f t="shared" si="16"/>
        <v>968</v>
      </c>
    </row>
    <row r="25" spans="2:32" ht="23.1" customHeight="1" x14ac:dyDescent="0.25">
      <c r="B25" s="23" t="s">
        <v>52</v>
      </c>
      <c r="C25" s="50">
        <v>30</v>
      </c>
      <c r="D25" s="50">
        <v>9</v>
      </c>
      <c r="E25" s="50">
        <v>11</v>
      </c>
      <c r="F25" s="50">
        <v>6</v>
      </c>
      <c r="G25" s="50">
        <v>1</v>
      </c>
      <c r="H25" s="50">
        <v>0</v>
      </c>
      <c r="I25" s="50">
        <v>0</v>
      </c>
      <c r="J25" s="50">
        <v>0</v>
      </c>
      <c r="K25" s="50">
        <v>0</v>
      </c>
      <c r="L25" s="50">
        <v>2</v>
      </c>
      <c r="M25" s="50">
        <v>244</v>
      </c>
      <c r="N25" s="50">
        <v>0</v>
      </c>
      <c r="O25" s="15">
        <f t="shared" si="0"/>
        <v>59</v>
      </c>
      <c r="P25" s="15">
        <f t="shared" si="1"/>
        <v>303</v>
      </c>
      <c r="R25" s="37" t="s">
        <v>85</v>
      </c>
      <c r="S25" s="35">
        <f t="shared" ref="S25:AF25" si="17">SUM(S10:S12)</f>
        <v>410</v>
      </c>
      <c r="T25" s="16">
        <f t="shared" si="17"/>
        <v>128</v>
      </c>
      <c r="U25" s="16">
        <f t="shared" si="17"/>
        <v>66</v>
      </c>
      <c r="V25" s="16">
        <f t="shared" si="17"/>
        <v>106</v>
      </c>
      <c r="W25" s="16">
        <f t="shared" si="17"/>
        <v>15</v>
      </c>
      <c r="X25" s="16">
        <f t="shared" si="17"/>
        <v>0</v>
      </c>
      <c r="Y25" s="16">
        <f t="shared" si="17"/>
        <v>10</v>
      </c>
      <c r="Z25" s="16">
        <f t="shared" si="17"/>
        <v>10</v>
      </c>
      <c r="AA25" s="16">
        <f t="shared" si="17"/>
        <v>23</v>
      </c>
      <c r="AB25" s="16">
        <f t="shared" si="17"/>
        <v>42</v>
      </c>
      <c r="AC25" s="16">
        <f t="shared" si="17"/>
        <v>3089</v>
      </c>
      <c r="AD25" s="16">
        <f t="shared" si="17"/>
        <v>0</v>
      </c>
      <c r="AE25" s="32">
        <f t="shared" si="17"/>
        <v>810</v>
      </c>
      <c r="AF25" s="32">
        <f t="shared" si="17"/>
        <v>3899</v>
      </c>
    </row>
    <row r="26" spans="2:32" ht="23.1" customHeight="1" x14ac:dyDescent="0.25">
      <c r="B26" s="23" t="s">
        <v>53</v>
      </c>
      <c r="C26" s="50">
        <v>31</v>
      </c>
      <c r="D26" s="50">
        <v>6</v>
      </c>
      <c r="E26" s="50">
        <v>7</v>
      </c>
      <c r="F26" s="50">
        <v>18</v>
      </c>
      <c r="G26" s="50">
        <v>2</v>
      </c>
      <c r="H26" s="50">
        <v>0</v>
      </c>
      <c r="I26" s="50">
        <v>1</v>
      </c>
      <c r="J26" s="50">
        <v>7</v>
      </c>
      <c r="K26" s="50">
        <v>1</v>
      </c>
      <c r="L26" s="50">
        <v>3</v>
      </c>
      <c r="M26" s="50">
        <v>190</v>
      </c>
      <c r="N26" s="50">
        <v>0</v>
      </c>
      <c r="O26" s="15">
        <f t="shared" si="0"/>
        <v>76</v>
      </c>
      <c r="P26" s="15">
        <f t="shared" si="1"/>
        <v>266</v>
      </c>
      <c r="R26" s="28" t="s">
        <v>86</v>
      </c>
      <c r="S26" s="16">
        <f t="shared" ref="S26:AF26" si="18">SUM(S13:S18)</f>
        <v>794</v>
      </c>
      <c r="T26" s="16">
        <f t="shared" si="18"/>
        <v>246</v>
      </c>
      <c r="U26" s="16">
        <f t="shared" si="18"/>
        <v>194</v>
      </c>
      <c r="V26" s="16">
        <f t="shared" si="18"/>
        <v>157</v>
      </c>
      <c r="W26" s="16">
        <f t="shared" si="18"/>
        <v>34</v>
      </c>
      <c r="X26" s="16">
        <f t="shared" si="18"/>
        <v>3</v>
      </c>
      <c r="Y26" s="16">
        <f t="shared" si="18"/>
        <v>50</v>
      </c>
      <c r="Z26" s="16">
        <f t="shared" si="18"/>
        <v>51</v>
      </c>
      <c r="AA26" s="16">
        <f t="shared" si="18"/>
        <v>49</v>
      </c>
      <c r="AB26" s="16">
        <f t="shared" si="18"/>
        <v>91</v>
      </c>
      <c r="AC26" s="16">
        <f t="shared" si="18"/>
        <v>3817</v>
      </c>
      <c r="AD26" s="16">
        <f t="shared" si="18"/>
        <v>0</v>
      </c>
      <c r="AE26" s="32">
        <f t="shared" si="18"/>
        <v>1669</v>
      </c>
      <c r="AF26" s="32">
        <f t="shared" si="18"/>
        <v>5486</v>
      </c>
    </row>
    <row r="27" spans="2:32" ht="23.1" customHeight="1" x14ac:dyDescent="0.25">
      <c r="B27" s="23" t="s">
        <v>54</v>
      </c>
      <c r="C27" s="50">
        <v>39</v>
      </c>
      <c r="D27" s="50">
        <v>6</v>
      </c>
      <c r="E27" s="50">
        <v>11</v>
      </c>
      <c r="F27" s="50">
        <v>2</v>
      </c>
      <c r="G27" s="50">
        <v>2</v>
      </c>
      <c r="H27" s="50">
        <v>1</v>
      </c>
      <c r="I27" s="50">
        <v>2</v>
      </c>
      <c r="J27" s="50">
        <v>2</v>
      </c>
      <c r="K27" s="50">
        <v>1</v>
      </c>
      <c r="L27" s="50">
        <v>3</v>
      </c>
      <c r="M27" s="50">
        <v>150</v>
      </c>
      <c r="N27" s="50">
        <v>0</v>
      </c>
      <c r="O27" s="15">
        <f t="shared" si="0"/>
        <v>69</v>
      </c>
      <c r="P27" s="15">
        <f t="shared" si="1"/>
        <v>219</v>
      </c>
      <c r="R27" s="29" t="s">
        <v>87</v>
      </c>
      <c r="S27" s="16">
        <f t="shared" ref="S27:AF27" si="19">SUM(S19:S21)</f>
        <v>385</v>
      </c>
      <c r="T27" s="16">
        <f t="shared" si="19"/>
        <v>161</v>
      </c>
      <c r="U27" s="16">
        <f t="shared" si="19"/>
        <v>68</v>
      </c>
      <c r="V27" s="16">
        <f t="shared" si="19"/>
        <v>30</v>
      </c>
      <c r="W27" s="16">
        <f t="shared" si="19"/>
        <v>16</v>
      </c>
      <c r="X27" s="16">
        <f t="shared" si="19"/>
        <v>0</v>
      </c>
      <c r="Y27" s="16">
        <f t="shared" si="19"/>
        <v>12</v>
      </c>
      <c r="Z27" s="16">
        <f t="shared" si="19"/>
        <v>27</v>
      </c>
      <c r="AA27" s="16">
        <f t="shared" si="19"/>
        <v>19</v>
      </c>
      <c r="AB27" s="16">
        <f t="shared" si="19"/>
        <v>51</v>
      </c>
      <c r="AC27" s="16">
        <f t="shared" si="19"/>
        <v>1978</v>
      </c>
      <c r="AD27" s="16">
        <f t="shared" si="19"/>
        <v>0</v>
      </c>
      <c r="AE27" s="32">
        <f t="shared" si="19"/>
        <v>769</v>
      </c>
      <c r="AF27" s="32">
        <f t="shared" si="19"/>
        <v>2747</v>
      </c>
    </row>
    <row r="28" spans="2:32" ht="23.1" customHeight="1" x14ac:dyDescent="0.25">
      <c r="B28" s="23" t="s">
        <v>55</v>
      </c>
      <c r="C28" s="50">
        <v>34</v>
      </c>
      <c r="D28" s="50">
        <v>4</v>
      </c>
      <c r="E28" s="50">
        <v>5</v>
      </c>
      <c r="F28" s="50">
        <v>5</v>
      </c>
      <c r="G28" s="50">
        <v>1</v>
      </c>
      <c r="H28" s="50">
        <v>1</v>
      </c>
      <c r="I28" s="50">
        <v>3</v>
      </c>
      <c r="J28" s="50">
        <v>3</v>
      </c>
      <c r="K28" s="50">
        <v>4</v>
      </c>
      <c r="L28" s="50">
        <v>5</v>
      </c>
      <c r="M28" s="50">
        <v>175</v>
      </c>
      <c r="N28" s="50">
        <v>0</v>
      </c>
      <c r="O28" s="15">
        <f t="shared" si="0"/>
        <v>65</v>
      </c>
      <c r="P28" s="15">
        <f t="shared" si="1"/>
        <v>240</v>
      </c>
      <c r="R28" s="5" t="s">
        <v>17</v>
      </c>
      <c r="S28" s="16">
        <f t="shared" ref="S28:AF28" si="20">SUM(S10:S21)</f>
        <v>1589</v>
      </c>
      <c r="T28" s="16">
        <f t="shared" si="20"/>
        <v>535</v>
      </c>
      <c r="U28" s="16">
        <f t="shared" si="20"/>
        <v>328</v>
      </c>
      <c r="V28" s="16">
        <f t="shared" si="20"/>
        <v>293</v>
      </c>
      <c r="W28" s="16">
        <f t="shared" si="20"/>
        <v>65</v>
      </c>
      <c r="X28" s="16">
        <f t="shared" si="20"/>
        <v>3</v>
      </c>
      <c r="Y28" s="16">
        <f t="shared" si="20"/>
        <v>72</v>
      </c>
      <c r="Z28" s="16">
        <f t="shared" si="20"/>
        <v>88</v>
      </c>
      <c r="AA28" s="16">
        <f t="shared" si="20"/>
        <v>91</v>
      </c>
      <c r="AB28" s="16">
        <f t="shared" si="20"/>
        <v>184</v>
      </c>
      <c r="AC28" s="16">
        <f t="shared" si="20"/>
        <v>8884</v>
      </c>
      <c r="AD28" s="16">
        <f t="shared" si="20"/>
        <v>0</v>
      </c>
      <c r="AE28" s="32">
        <f t="shared" si="20"/>
        <v>3248</v>
      </c>
      <c r="AF28" s="32">
        <f t="shared" si="20"/>
        <v>12132</v>
      </c>
    </row>
    <row r="29" spans="2:32" ht="23.1" customHeight="1" x14ac:dyDescent="0.25">
      <c r="B29" s="23" t="s">
        <v>56</v>
      </c>
      <c r="C29" s="50">
        <v>36</v>
      </c>
      <c r="D29" s="50">
        <v>7</v>
      </c>
      <c r="E29" s="50">
        <v>9</v>
      </c>
      <c r="F29" s="50">
        <v>9</v>
      </c>
      <c r="G29" s="50">
        <v>2</v>
      </c>
      <c r="H29" s="50">
        <v>0</v>
      </c>
      <c r="I29" s="50">
        <v>2</v>
      </c>
      <c r="J29" s="50">
        <v>2</v>
      </c>
      <c r="K29" s="50">
        <v>2</v>
      </c>
      <c r="L29" s="50">
        <v>3</v>
      </c>
      <c r="M29" s="50">
        <v>152</v>
      </c>
      <c r="N29" s="50">
        <v>0</v>
      </c>
      <c r="O29" s="15">
        <f t="shared" si="0"/>
        <v>72</v>
      </c>
      <c r="P29" s="15">
        <f t="shared" si="1"/>
        <v>224</v>
      </c>
      <c r="R29"/>
      <c r="S29" s="20"/>
      <c r="T29" s="19"/>
    </row>
    <row r="30" spans="2:32" ht="23.1" customHeight="1" x14ac:dyDescent="0.25">
      <c r="B30" s="23" t="s">
        <v>57</v>
      </c>
      <c r="C30" s="50">
        <v>21</v>
      </c>
      <c r="D30" s="50">
        <v>11</v>
      </c>
      <c r="E30" s="50">
        <v>2</v>
      </c>
      <c r="F30" s="50">
        <v>15</v>
      </c>
      <c r="G30" s="50">
        <v>1</v>
      </c>
      <c r="H30" s="50">
        <v>0</v>
      </c>
      <c r="I30" s="50">
        <v>1</v>
      </c>
      <c r="J30" s="50">
        <v>0</v>
      </c>
      <c r="K30" s="50">
        <v>1</v>
      </c>
      <c r="L30" s="50">
        <v>1</v>
      </c>
      <c r="M30" s="50">
        <v>166</v>
      </c>
      <c r="N30" s="50">
        <v>0</v>
      </c>
      <c r="O30" s="15">
        <f t="shared" si="0"/>
        <v>53</v>
      </c>
      <c r="P30" s="15">
        <f t="shared" si="1"/>
        <v>219</v>
      </c>
    </row>
    <row r="31" spans="2:32" ht="23.1" customHeight="1" x14ac:dyDescent="0.25">
      <c r="B31" s="24" t="s">
        <v>58</v>
      </c>
      <c r="C31" s="50">
        <v>41</v>
      </c>
      <c r="D31" s="50">
        <v>7</v>
      </c>
      <c r="E31" s="50">
        <v>6</v>
      </c>
      <c r="F31" s="50">
        <v>6</v>
      </c>
      <c r="G31" s="50">
        <v>2</v>
      </c>
      <c r="H31" s="50">
        <v>1</v>
      </c>
      <c r="I31" s="50">
        <v>2</v>
      </c>
      <c r="J31" s="50">
        <v>3</v>
      </c>
      <c r="K31" s="50">
        <v>5</v>
      </c>
      <c r="L31" s="50">
        <v>6</v>
      </c>
      <c r="M31" s="50">
        <v>178</v>
      </c>
      <c r="N31" s="50">
        <v>0</v>
      </c>
      <c r="O31" s="15">
        <f t="shared" si="0"/>
        <v>79</v>
      </c>
      <c r="P31" s="15">
        <f t="shared" si="1"/>
        <v>257</v>
      </c>
    </row>
    <row r="32" spans="2:32" ht="23.1" customHeight="1" x14ac:dyDescent="0.25">
      <c r="B32" s="24" t="s">
        <v>59</v>
      </c>
      <c r="C32" s="50">
        <v>28</v>
      </c>
      <c r="D32" s="50">
        <v>12</v>
      </c>
      <c r="E32" s="50">
        <v>6</v>
      </c>
      <c r="F32" s="50">
        <v>4</v>
      </c>
      <c r="G32" s="50">
        <v>1</v>
      </c>
      <c r="H32" s="50">
        <v>0</v>
      </c>
      <c r="I32" s="50">
        <v>1</v>
      </c>
      <c r="J32" s="50">
        <v>2</v>
      </c>
      <c r="K32" s="50">
        <v>3</v>
      </c>
      <c r="L32" s="50">
        <v>3</v>
      </c>
      <c r="M32" s="50">
        <v>137</v>
      </c>
      <c r="N32" s="50">
        <v>0</v>
      </c>
      <c r="O32" s="15">
        <f t="shared" si="0"/>
        <v>60</v>
      </c>
      <c r="P32" s="15">
        <f t="shared" si="1"/>
        <v>197</v>
      </c>
    </row>
    <row r="33" spans="2:20" ht="23.1" customHeight="1" x14ac:dyDescent="0.25">
      <c r="B33" s="23" t="s">
        <v>60</v>
      </c>
      <c r="C33" s="50">
        <v>45</v>
      </c>
      <c r="D33" s="50">
        <v>3</v>
      </c>
      <c r="E33" s="50">
        <v>6</v>
      </c>
      <c r="F33" s="50">
        <v>12</v>
      </c>
      <c r="G33" s="50">
        <v>1</v>
      </c>
      <c r="H33" s="50">
        <v>0</v>
      </c>
      <c r="I33" s="50">
        <v>1</v>
      </c>
      <c r="J33" s="50">
        <v>4</v>
      </c>
      <c r="K33" s="50">
        <v>3</v>
      </c>
      <c r="L33" s="50">
        <v>4</v>
      </c>
      <c r="M33" s="50">
        <v>158</v>
      </c>
      <c r="N33" s="50">
        <v>0</v>
      </c>
      <c r="O33" s="15">
        <f t="shared" si="0"/>
        <v>79</v>
      </c>
      <c r="P33" s="15">
        <f t="shared" si="1"/>
        <v>237</v>
      </c>
    </row>
    <row r="34" spans="2:20" ht="23.1" customHeight="1" x14ac:dyDescent="0.25">
      <c r="B34" s="24" t="s">
        <v>61</v>
      </c>
      <c r="C34" s="50">
        <v>41</v>
      </c>
      <c r="D34" s="50">
        <v>8</v>
      </c>
      <c r="E34" s="50">
        <v>4</v>
      </c>
      <c r="F34" s="50">
        <v>5</v>
      </c>
      <c r="G34" s="50">
        <v>1</v>
      </c>
      <c r="H34" s="50">
        <v>0</v>
      </c>
      <c r="I34" s="50">
        <v>4</v>
      </c>
      <c r="J34" s="50">
        <v>0</v>
      </c>
      <c r="K34" s="50">
        <v>2</v>
      </c>
      <c r="L34" s="50">
        <v>5</v>
      </c>
      <c r="M34" s="50">
        <v>166</v>
      </c>
      <c r="N34" s="50">
        <v>0</v>
      </c>
      <c r="O34" s="15">
        <f t="shared" si="0"/>
        <v>70</v>
      </c>
      <c r="P34" s="15">
        <f t="shared" si="1"/>
        <v>236</v>
      </c>
    </row>
    <row r="35" spans="2:20" ht="23.1" customHeight="1" x14ac:dyDescent="0.25">
      <c r="B35" s="24" t="s">
        <v>62</v>
      </c>
      <c r="C35" s="50">
        <v>31</v>
      </c>
      <c r="D35" s="50">
        <v>8</v>
      </c>
      <c r="E35" s="50">
        <v>8</v>
      </c>
      <c r="F35" s="50">
        <v>4</v>
      </c>
      <c r="G35" s="50">
        <v>1</v>
      </c>
      <c r="H35" s="50">
        <v>0</v>
      </c>
      <c r="I35" s="50">
        <v>8</v>
      </c>
      <c r="J35" s="50">
        <v>2</v>
      </c>
      <c r="K35" s="50">
        <v>3</v>
      </c>
      <c r="L35" s="50">
        <v>4</v>
      </c>
      <c r="M35" s="50">
        <v>148</v>
      </c>
      <c r="N35" s="50">
        <v>0</v>
      </c>
      <c r="O35" s="15">
        <f t="shared" si="0"/>
        <v>69</v>
      </c>
      <c r="P35" s="15">
        <f t="shared" si="1"/>
        <v>217</v>
      </c>
    </row>
    <row r="36" spans="2:20" ht="23.1" customHeight="1" x14ac:dyDescent="0.25">
      <c r="B36" s="24" t="s">
        <v>63</v>
      </c>
      <c r="C36" s="50">
        <v>32</v>
      </c>
      <c r="D36" s="50">
        <v>14</v>
      </c>
      <c r="E36" s="50">
        <v>11</v>
      </c>
      <c r="F36" s="50">
        <v>9</v>
      </c>
      <c r="G36" s="50">
        <v>2</v>
      </c>
      <c r="H36" s="50">
        <v>0</v>
      </c>
      <c r="I36" s="50">
        <v>1</v>
      </c>
      <c r="J36" s="50">
        <v>1</v>
      </c>
      <c r="K36" s="50">
        <v>2</v>
      </c>
      <c r="L36" s="50">
        <v>4</v>
      </c>
      <c r="M36" s="50">
        <v>130</v>
      </c>
      <c r="N36" s="50">
        <v>0</v>
      </c>
      <c r="O36" s="15">
        <f t="shared" si="0"/>
        <v>76</v>
      </c>
      <c r="P36" s="15">
        <f t="shared" si="1"/>
        <v>206</v>
      </c>
    </row>
    <row r="37" spans="2:20" ht="23.1" customHeight="1" x14ac:dyDescent="0.25">
      <c r="B37" s="23" t="s">
        <v>64</v>
      </c>
      <c r="C37" s="50">
        <v>41</v>
      </c>
      <c r="D37" s="50">
        <v>11</v>
      </c>
      <c r="E37" s="50">
        <v>7</v>
      </c>
      <c r="F37" s="50">
        <v>6</v>
      </c>
      <c r="G37" s="50">
        <v>0</v>
      </c>
      <c r="H37" s="50">
        <v>0</v>
      </c>
      <c r="I37" s="50">
        <v>1</v>
      </c>
      <c r="J37" s="50">
        <v>3</v>
      </c>
      <c r="K37" s="50">
        <v>3</v>
      </c>
      <c r="L37" s="50">
        <v>3</v>
      </c>
      <c r="M37" s="50">
        <v>157</v>
      </c>
      <c r="N37" s="50">
        <v>0</v>
      </c>
      <c r="O37" s="15">
        <f t="shared" si="0"/>
        <v>75</v>
      </c>
      <c r="P37" s="15">
        <f t="shared" si="1"/>
        <v>232</v>
      </c>
    </row>
    <row r="38" spans="2:20" ht="23.1" customHeight="1" x14ac:dyDescent="0.25">
      <c r="B38" s="24" t="s">
        <v>65</v>
      </c>
      <c r="C38" s="50">
        <v>31</v>
      </c>
      <c r="D38" s="50">
        <v>16</v>
      </c>
      <c r="E38" s="50">
        <v>9</v>
      </c>
      <c r="F38" s="50">
        <v>5</v>
      </c>
      <c r="G38" s="50">
        <v>2</v>
      </c>
      <c r="H38" s="50">
        <v>0</v>
      </c>
      <c r="I38" s="50">
        <v>5</v>
      </c>
      <c r="J38" s="50">
        <v>4</v>
      </c>
      <c r="K38" s="50">
        <v>3</v>
      </c>
      <c r="L38" s="50">
        <v>6</v>
      </c>
      <c r="M38" s="50">
        <v>152</v>
      </c>
      <c r="N38" s="50">
        <v>0</v>
      </c>
      <c r="O38" s="15">
        <f t="shared" si="0"/>
        <v>81</v>
      </c>
      <c r="P38" s="15">
        <f t="shared" si="1"/>
        <v>233</v>
      </c>
    </row>
    <row r="39" spans="2:20" ht="23.1" customHeight="1" x14ac:dyDescent="0.25">
      <c r="B39" s="24" t="s">
        <v>66</v>
      </c>
      <c r="C39" s="50">
        <v>22</v>
      </c>
      <c r="D39" s="50">
        <v>11</v>
      </c>
      <c r="E39" s="50">
        <v>4</v>
      </c>
      <c r="F39" s="50">
        <v>3</v>
      </c>
      <c r="G39" s="50">
        <v>0</v>
      </c>
      <c r="H39" s="50">
        <v>0</v>
      </c>
      <c r="I39" s="50">
        <v>2</v>
      </c>
      <c r="J39" s="50">
        <v>1</v>
      </c>
      <c r="K39" s="50">
        <v>3</v>
      </c>
      <c r="L39" s="50">
        <v>1</v>
      </c>
      <c r="M39" s="50">
        <v>103</v>
      </c>
      <c r="N39" s="50">
        <v>0</v>
      </c>
      <c r="O39" s="15">
        <f t="shared" si="0"/>
        <v>47</v>
      </c>
      <c r="P39" s="15">
        <f t="shared" si="1"/>
        <v>150</v>
      </c>
    </row>
    <row r="40" spans="2:20" ht="23.1" customHeight="1" x14ac:dyDescent="0.25">
      <c r="B40" s="24" t="s">
        <v>67</v>
      </c>
      <c r="C40" s="50">
        <v>20</v>
      </c>
      <c r="D40" s="50">
        <v>32</v>
      </c>
      <c r="E40" s="50">
        <v>16</v>
      </c>
      <c r="F40" s="50">
        <v>8</v>
      </c>
      <c r="G40" s="50">
        <v>4</v>
      </c>
      <c r="H40" s="50">
        <v>0</v>
      </c>
      <c r="I40" s="50">
        <v>0</v>
      </c>
      <c r="J40" s="50">
        <v>3</v>
      </c>
      <c r="K40" s="50">
        <v>1</v>
      </c>
      <c r="L40" s="50">
        <v>2</v>
      </c>
      <c r="M40" s="50">
        <v>95</v>
      </c>
      <c r="N40" s="50">
        <v>0</v>
      </c>
      <c r="O40" s="15">
        <f t="shared" si="0"/>
        <v>86</v>
      </c>
      <c r="P40" s="15">
        <f t="shared" si="1"/>
        <v>181</v>
      </c>
    </row>
    <row r="41" spans="2:20" ht="23.1" customHeight="1" x14ac:dyDescent="0.25">
      <c r="B41" s="23" t="s">
        <v>68</v>
      </c>
      <c r="C41" s="50">
        <v>43</v>
      </c>
      <c r="D41" s="50">
        <v>16</v>
      </c>
      <c r="E41" s="50">
        <v>7</v>
      </c>
      <c r="F41" s="50">
        <v>6</v>
      </c>
      <c r="G41" s="50">
        <v>0</v>
      </c>
      <c r="H41" s="50">
        <v>0</v>
      </c>
      <c r="I41" s="50">
        <v>5</v>
      </c>
      <c r="J41" s="50">
        <v>0</v>
      </c>
      <c r="K41" s="50">
        <v>0</v>
      </c>
      <c r="L41" s="50">
        <v>6</v>
      </c>
      <c r="M41" s="50">
        <v>100</v>
      </c>
      <c r="N41" s="50">
        <v>0</v>
      </c>
      <c r="O41" s="15">
        <f t="shared" si="0"/>
        <v>83</v>
      </c>
      <c r="P41" s="15">
        <f t="shared" si="1"/>
        <v>183</v>
      </c>
    </row>
    <row r="42" spans="2:20" ht="23.1" customHeight="1" x14ac:dyDescent="0.25">
      <c r="B42" s="24" t="s">
        <v>69</v>
      </c>
      <c r="C42" s="50">
        <v>43</v>
      </c>
      <c r="D42" s="50">
        <v>9</v>
      </c>
      <c r="E42" s="50">
        <v>15</v>
      </c>
      <c r="F42" s="50">
        <v>7</v>
      </c>
      <c r="G42" s="50">
        <v>1</v>
      </c>
      <c r="H42" s="50">
        <v>0</v>
      </c>
      <c r="I42" s="50">
        <v>4</v>
      </c>
      <c r="J42" s="50">
        <v>3</v>
      </c>
      <c r="K42" s="50">
        <v>4</v>
      </c>
      <c r="L42" s="50">
        <v>6</v>
      </c>
      <c r="M42" s="50">
        <v>95</v>
      </c>
      <c r="N42" s="50">
        <v>0</v>
      </c>
      <c r="O42" s="15">
        <f t="shared" si="0"/>
        <v>92</v>
      </c>
      <c r="P42" s="15">
        <f t="shared" si="1"/>
        <v>187</v>
      </c>
    </row>
    <row r="43" spans="2:20" ht="23.1" customHeight="1" x14ac:dyDescent="0.25">
      <c r="B43" s="23" t="s">
        <v>70</v>
      </c>
      <c r="C43" s="50">
        <v>35</v>
      </c>
      <c r="D43" s="50">
        <v>12</v>
      </c>
      <c r="E43" s="50">
        <v>10</v>
      </c>
      <c r="F43" s="50">
        <v>6</v>
      </c>
      <c r="G43" s="50">
        <v>1</v>
      </c>
      <c r="H43" s="50">
        <v>0</v>
      </c>
      <c r="I43" s="50">
        <v>2</v>
      </c>
      <c r="J43" s="50">
        <v>2</v>
      </c>
      <c r="K43" s="50">
        <v>1</v>
      </c>
      <c r="L43" s="50">
        <v>7</v>
      </c>
      <c r="M43" s="50">
        <v>105</v>
      </c>
      <c r="N43" s="50">
        <v>0</v>
      </c>
      <c r="O43" s="15">
        <f t="shared" si="0"/>
        <v>76</v>
      </c>
      <c r="P43" s="15">
        <f t="shared" si="1"/>
        <v>181</v>
      </c>
    </row>
    <row r="44" spans="2:20" ht="23.1" customHeight="1" x14ac:dyDescent="0.25">
      <c r="B44" s="25" t="s">
        <v>71</v>
      </c>
      <c r="C44" s="50">
        <v>36</v>
      </c>
      <c r="D44" s="50">
        <v>7</v>
      </c>
      <c r="E44" s="50">
        <v>13</v>
      </c>
      <c r="F44" s="50">
        <v>2</v>
      </c>
      <c r="G44" s="50">
        <v>3</v>
      </c>
      <c r="H44" s="50">
        <v>0</v>
      </c>
      <c r="I44" s="50">
        <v>2</v>
      </c>
      <c r="J44" s="50">
        <v>3</v>
      </c>
      <c r="K44" s="50">
        <v>3</v>
      </c>
      <c r="L44" s="50">
        <v>7</v>
      </c>
      <c r="M44" s="50">
        <v>55</v>
      </c>
      <c r="N44" s="50">
        <v>0</v>
      </c>
      <c r="O44" s="15">
        <f t="shared" si="0"/>
        <v>76</v>
      </c>
      <c r="P44" s="15">
        <f t="shared" si="1"/>
        <v>131</v>
      </c>
    </row>
    <row r="45" spans="2:20" ht="23.1" customHeight="1" x14ac:dyDescent="0.25">
      <c r="B45" s="23" t="s">
        <v>72</v>
      </c>
      <c r="C45" s="50">
        <v>22</v>
      </c>
      <c r="D45" s="50">
        <v>6</v>
      </c>
      <c r="E45" s="50">
        <v>5</v>
      </c>
      <c r="F45" s="50">
        <v>4</v>
      </c>
      <c r="G45" s="50">
        <v>3</v>
      </c>
      <c r="H45" s="50">
        <v>0</v>
      </c>
      <c r="I45" s="50">
        <v>1</v>
      </c>
      <c r="J45" s="50">
        <v>1</v>
      </c>
      <c r="K45" s="50">
        <v>2</v>
      </c>
      <c r="L45" s="50">
        <v>4</v>
      </c>
      <c r="M45" s="50">
        <v>115</v>
      </c>
      <c r="N45" s="50">
        <v>0</v>
      </c>
      <c r="O45" s="15">
        <f t="shared" si="0"/>
        <v>48</v>
      </c>
      <c r="P45" s="15">
        <f t="shared" si="1"/>
        <v>163</v>
      </c>
    </row>
    <row r="46" spans="2:20" ht="23.1" customHeight="1" x14ac:dyDescent="0.25">
      <c r="B46" s="24" t="s">
        <v>73</v>
      </c>
      <c r="C46" s="50">
        <v>38</v>
      </c>
      <c r="D46" s="50">
        <v>11</v>
      </c>
      <c r="E46" s="50">
        <v>12</v>
      </c>
      <c r="F46" s="50">
        <v>4</v>
      </c>
      <c r="G46" s="50">
        <v>3</v>
      </c>
      <c r="H46" s="50">
        <v>0</v>
      </c>
      <c r="I46" s="50">
        <v>2</v>
      </c>
      <c r="J46" s="50">
        <v>4</v>
      </c>
      <c r="K46" s="50">
        <v>1</v>
      </c>
      <c r="L46" s="50">
        <v>7</v>
      </c>
      <c r="M46" s="50">
        <v>93</v>
      </c>
      <c r="N46" s="50">
        <v>0</v>
      </c>
      <c r="O46" s="15">
        <f t="shared" si="0"/>
        <v>82</v>
      </c>
      <c r="P46" s="15">
        <f t="shared" si="1"/>
        <v>175</v>
      </c>
      <c r="R46" s="8"/>
      <c r="T46"/>
    </row>
    <row r="47" spans="2:20" ht="23.1" customHeight="1" x14ac:dyDescent="0.25">
      <c r="B47" s="24" t="s">
        <v>74</v>
      </c>
      <c r="C47" s="50">
        <v>42</v>
      </c>
      <c r="D47" s="50">
        <v>6</v>
      </c>
      <c r="E47" s="50">
        <v>3</v>
      </c>
      <c r="F47" s="50">
        <v>6</v>
      </c>
      <c r="G47" s="50">
        <v>2</v>
      </c>
      <c r="H47" s="50">
        <v>0</v>
      </c>
      <c r="I47" s="50">
        <v>1</v>
      </c>
      <c r="J47" s="50">
        <v>3</v>
      </c>
      <c r="K47" s="50">
        <v>2</v>
      </c>
      <c r="L47" s="50">
        <v>4</v>
      </c>
      <c r="M47" s="50">
        <v>183</v>
      </c>
      <c r="N47" s="50">
        <v>0</v>
      </c>
      <c r="O47" s="15">
        <f t="shared" si="0"/>
        <v>69</v>
      </c>
      <c r="P47" s="15">
        <f t="shared" si="1"/>
        <v>252</v>
      </c>
      <c r="R47" s="8"/>
      <c r="T47"/>
    </row>
    <row r="48" spans="2:20" ht="23.1" customHeight="1" x14ac:dyDescent="0.25">
      <c r="B48" s="24" t="s">
        <v>75</v>
      </c>
      <c r="C48" s="50">
        <v>37</v>
      </c>
      <c r="D48" s="50">
        <v>14</v>
      </c>
      <c r="E48" s="50">
        <v>8</v>
      </c>
      <c r="F48" s="50">
        <v>2</v>
      </c>
      <c r="G48" s="50">
        <v>0</v>
      </c>
      <c r="H48" s="50">
        <v>0</v>
      </c>
      <c r="I48" s="50">
        <v>3</v>
      </c>
      <c r="J48" s="50">
        <v>5</v>
      </c>
      <c r="K48" s="50">
        <v>2</v>
      </c>
      <c r="L48" s="50">
        <v>5</v>
      </c>
      <c r="M48" s="50">
        <v>148</v>
      </c>
      <c r="N48" s="50">
        <v>0</v>
      </c>
      <c r="O48" s="15">
        <f t="shared" si="0"/>
        <v>76</v>
      </c>
      <c r="P48" s="15">
        <f t="shared" si="1"/>
        <v>224</v>
      </c>
      <c r="R48" s="8"/>
      <c r="T48"/>
    </row>
    <row r="49" spans="2:20" ht="23.1" customHeight="1" x14ac:dyDescent="0.25">
      <c r="B49" s="23" t="s">
        <v>76</v>
      </c>
      <c r="C49" s="50">
        <v>28</v>
      </c>
      <c r="D49" s="50">
        <v>7</v>
      </c>
      <c r="E49" s="50">
        <v>3</v>
      </c>
      <c r="F49" s="50">
        <v>2</v>
      </c>
      <c r="G49" s="50">
        <v>0</v>
      </c>
      <c r="H49" s="50">
        <v>0</v>
      </c>
      <c r="I49" s="50">
        <v>1</v>
      </c>
      <c r="J49" s="50">
        <v>1</v>
      </c>
      <c r="K49" s="50">
        <v>3</v>
      </c>
      <c r="L49" s="50">
        <v>7</v>
      </c>
      <c r="M49" s="50">
        <v>130</v>
      </c>
      <c r="N49" s="50">
        <v>0</v>
      </c>
      <c r="O49" s="15">
        <f t="shared" si="0"/>
        <v>52</v>
      </c>
      <c r="P49" s="15">
        <f t="shared" si="1"/>
        <v>182</v>
      </c>
      <c r="R49" s="8"/>
      <c r="T49"/>
    </row>
    <row r="50" spans="2:20" ht="23.1" customHeight="1" x14ac:dyDescent="0.25">
      <c r="B50" s="24" t="s">
        <v>77</v>
      </c>
      <c r="C50" s="50">
        <v>44</v>
      </c>
      <c r="D50" s="50">
        <v>15</v>
      </c>
      <c r="E50" s="50">
        <v>10</v>
      </c>
      <c r="F50" s="50">
        <v>2</v>
      </c>
      <c r="G50" s="50">
        <v>3</v>
      </c>
      <c r="H50" s="50">
        <v>0</v>
      </c>
      <c r="I50" s="50">
        <v>1</v>
      </c>
      <c r="J50" s="50">
        <v>0</v>
      </c>
      <c r="K50" s="50">
        <v>1</v>
      </c>
      <c r="L50" s="50">
        <v>6</v>
      </c>
      <c r="M50" s="50">
        <v>157</v>
      </c>
      <c r="N50" s="50">
        <v>0</v>
      </c>
      <c r="O50" s="15">
        <f t="shared" si="0"/>
        <v>82</v>
      </c>
      <c r="P50" s="15">
        <f t="shared" si="1"/>
        <v>239</v>
      </c>
      <c r="R50" s="8"/>
      <c r="T50"/>
    </row>
    <row r="51" spans="2:20" ht="23.1" customHeight="1" x14ac:dyDescent="0.25">
      <c r="B51" s="24" t="s">
        <v>78</v>
      </c>
      <c r="C51" s="50">
        <v>26</v>
      </c>
      <c r="D51" s="50">
        <v>10</v>
      </c>
      <c r="E51" s="50">
        <v>1</v>
      </c>
      <c r="F51" s="50">
        <v>2</v>
      </c>
      <c r="G51" s="50">
        <v>0</v>
      </c>
      <c r="H51" s="50">
        <v>0</v>
      </c>
      <c r="I51" s="50">
        <v>1</v>
      </c>
      <c r="J51" s="50">
        <v>1</v>
      </c>
      <c r="K51" s="50">
        <v>1</v>
      </c>
      <c r="L51" s="50">
        <v>3</v>
      </c>
      <c r="M51" s="50">
        <v>167</v>
      </c>
      <c r="N51" s="50">
        <v>0</v>
      </c>
      <c r="O51" s="15">
        <f t="shared" si="0"/>
        <v>45</v>
      </c>
      <c r="P51" s="15">
        <f t="shared" si="1"/>
        <v>212</v>
      </c>
      <c r="R51" s="8"/>
      <c r="T51"/>
    </row>
    <row r="52" spans="2:20" ht="23.1" customHeight="1" x14ac:dyDescent="0.25">
      <c r="B52" s="24" t="s">
        <v>79</v>
      </c>
      <c r="C52" s="50">
        <v>46</v>
      </c>
      <c r="D52" s="50">
        <v>11</v>
      </c>
      <c r="E52" s="50">
        <v>14</v>
      </c>
      <c r="F52" s="50">
        <v>4</v>
      </c>
      <c r="G52" s="50">
        <v>2</v>
      </c>
      <c r="H52" s="50">
        <v>0</v>
      </c>
      <c r="I52" s="50">
        <v>0</v>
      </c>
      <c r="J52" s="50">
        <v>1</v>
      </c>
      <c r="K52" s="50">
        <v>2</v>
      </c>
      <c r="L52" s="50">
        <v>3</v>
      </c>
      <c r="M52" s="50">
        <v>205</v>
      </c>
      <c r="N52" s="50">
        <v>0</v>
      </c>
      <c r="O52" s="15">
        <f t="shared" si="0"/>
        <v>83</v>
      </c>
      <c r="P52" s="15">
        <f t="shared" si="1"/>
        <v>288</v>
      </c>
      <c r="R52" s="8"/>
      <c r="T52"/>
    </row>
    <row r="53" spans="2:20" ht="23.1" customHeight="1" x14ac:dyDescent="0.25">
      <c r="B53" s="23" t="s">
        <v>80</v>
      </c>
      <c r="C53" s="50">
        <v>10</v>
      </c>
      <c r="D53" s="50">
        <v>16</v>
      </c>
      <c r="E53" s="50">
        <v>6</v>
      </c>
      <c r="F53" s="50">
        <v>0</v>
      </c>
      <c r="G53" s="50">
        <v>0</v>
      </c>
      <c r="H53" s="50">
        <v>0</v>
      </c>
      <c r="I53" s="50">
        <v>1</v>
      </c>
      <c r="J53" s="50">
        <v>2</v>
      </c>
      <c r="K53" s="50">
        <v>0</v>
      </c>
      <c r="L53" s="50">
        <v>6</v>
      </c>
      <c r="M53" s="50">
        <v>188</v>
      </c>
      <c r="N53" s="50">
        <v>0</v>
      </c>
      <c r="O53" s="15">
        <f t="shared" si="0"/>
        <v>41</v>
      </c>
      <c r="P53" s="15">
        <f t="shared" si="1"/>
        <v>229</v>
      </c>
      <c r="R53" s="8"/>
      <c r="T53"/>
    </row>
    <row r="54" spans="2:20" ht="23.1" customHeight="1" x14ac:dyDescent="0.25">
      <c r="B54" s="23" t="s">
        <v>81</v>
      </c>
      <c r="C54" s="50">
        <v>33</v>
      </c>
      <c r="D54" s="50">
        <v>15</v>
      </c>
      <c r="E54" s="50">
        <v>5</v>
      </c>
      <c r="F54" s="50">
        <v>5</v>
      </c>
      <c r="G54" s="50">
        <v>1</v>
      </c>
      <c r="H54" s="50">
        <v>0</v>
      </c>
      <c r="I54" s="50">
        <v>0</v>
      </c>
      <c r="J54" s="50">
        <v>3</v>
      </c>
      <c r="K54" s="50">
        <v>0</v>
      </c>
      <c r="L54" s="50">
        <v>0</v>
      </c>
      <c r="M54" s="50">
        <v>219</v>
      </c>
      <c r="N54" s="50">
        <v>0</v>
      </c>
      <c r="O54" s="15">
        <f t="shared" si="0"/>
        <v>62</v>
      </c>
      <c r="P54" s="15">
        <f t="shared" si="1"/>
        <v>281</v>
      </c>
      <c r="R54" s="8"/>
      <c r="T54"/>
    </row>
    <row r="55" spans="2:20" ht="23.1" customHeight="1" x14ac:dyDescent="0.25">
      <c r="B55" s="23" t="s">
        <v>82</v>
      </c>
      <c r="C55" s="50">
        <v>31</v>
      </c>
      <c r="D55" s="50">
        <v>30</v>
      </c>
      <c r="E55" s="50">
        <v>4</v>
      </c>
      <c r="F55" s="50">
        <v>3</v>
      </c>
      <c r="G55" s="50">
        <v>0</v>
      </c>
      <c r="H55" s="50">
        <v>0</v>
      </c>
      <c r="I55" s="50">
        <v>0</v>
      </c>
      <c r="J55" s="50">
        <v>1</v>
      </c>
      <c r="K55" s="50">
        <v>2</v>
      </c>
      <c r="L55" s="50">
        <v>4</v>
      </c>
      <c r="M55" s="50">
        <v>150</v>
      </c>
      <c r="N55" s="50">
        <v>0</v>
      </c>
      <c r="O55" s="15">
        <f t="shared" si="0"/>
        <v>75</v>
      </c>
      <c r="P55" s="15">
        <f t="shared" si="1"/>
        <v>225</v>
      </c>
      <c r="R55" s="8"/>
      <c r="T55"/>
    </row>
    <row r="56" spans="2:20" ht="23.1" customHeight="1" x14ac:dyDescent="0.25">
      <c r="B56" s="23" t="s">
        <v>83</v>
      </c>
      <c r="C56" s="50">
        <v>30</v>
      </c>
      <c r="D56" s="50">
        <v>10</v>
      </c>
      <c r="E56" s="50">
        <v>2</v>
      </c>
      <c r="F56" s="50">
        <v>0</v>
      </c>
      <c r="G56" s="50">
        <v>2</v>
      </c>
      <c r="H56" s="50">
        <v>0</v>
      </c>
      <c r="I56" s="50">
        <v>0</v>
      </c>
      <c r="J56" s="50">
        <v>5</v>
      </c>
      <c r="K56" s="50">
        <v>3</v>
      </c>
      <c r="L56" s="50">
        <v>3</v>
      </c>
      <c r="M56" s="50">
        <v>178</v>
      </c>
      <c r="N56" s="50">
        <v>0</v>
      </c>
      <c r="O56" s="15">
        <f t="shared" si="0"/>
        <v>55</v>
      </c>
      <c r="P56" s="15">
        <f t="shared" si="1"/>
        <v>233</v>
      </c>
      <c r="R56" s="8"/>
      <c r="T56"/>
    </row>
    <row r="57" spans="2:20" ht="23.1" customHeight="1" x14ac:dyDescent="0.25">
      <c r="B57" s="23" t="s">
        <v>84</v>
      </c>
      <c r="C57" s="50">
        <v>20</v>
      </c>
      <c r="D57" s="50">
        <v>16</v>
      </c>
      <c r="E57" s="50">
        <v>0</v>
      </c>
      <c r="F57" s="50">
        <v>0</v>
      </c>
      <c r="G57" s="50">
        <v>3</v>
      </c>
      <c r="H57" s="50">
        <v>0</v>
      </c>
      <c r="I57" s="50">
        <v>2</v>
      </c>
      <c r="J57" s="50">
        <v>1</v>
      </c>
      <c r="K57" s="50">
        <v>2</v>
      </c>
      <c r="L57" s="50">
        <v>3</v>
      </c>
      <c r="M57" s="50">
        <v>160</v>
      </c>
      <c r="N57" s="50">
        <v>0</v>
      </c>
      <c r="O57" s="15">
        <f t="shared" si="0"/>
        <v>47</v>
      </c>
      <c r="P57" s="15">
        <f t="shared" si="1"/>
        <v>207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1589</v>
      </c>
      <c r="D58" s="16">
        <f t="shared" si="21"/>
        <v>535</v>
      </c>
      <c r="E58" s="16">
        <f t="shared" si="21"/>
        <v>328</v>
      </c>
      <c r="F58" s="16">
        <f t="shared" si="21"/>
        <v>293</v>
      </c>
      <c r="G58" s="16">
        <f t="shared" si="21"/>
        <v>65</v>
      </c>
      <c r="H58" s="16">
        <f t="shared" si="21"/>
        <v>3</v>
      </c>
      <c r="I58" s="16">
        <f t="shared" si="21"/>
        <v>72</v>
      </c>
      <c r="J58" s="16">
        <f t="shared" si="21"/>
        <v>88</v>
      </c>
      <c r="K58" s="16">
        <f t="shared" si="21"/>
        <v>91</v>
      </c>
      <c r="L58" s="16">
        <f t="shared" si="21"/>
        <v>184</v>
      </c>
      <c r="M58" s="16">
        <f t="shared" si="21"/>
        <v>8884</v>
      </c>
      <c r="N58" s="16">
        <f t="shared" si="21"/>
        <v>0</v>
      </c>
      <c r="O58" s="16">
        <f t="shared" si="21"/>
        <v>3248</v>
      </c>
      <c r="P58" s="16">
        <f t="shared" si="21"/>
        <v>12132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0.13097593142103528</v>
      </c>
      <c r="D59" s="43">
        <f t="shared" si="22"/>
        <v>4.4098252555225849E-2</v>
      </c>
      <c r="E59" s="43">
        <f t="shared" si="22"/>
        <v>2.7035938015166502E-2</v>
      </c>
      <c r="F59" s="43">
        <f t="shared" si="22"/>
        <v>2.4151005605011541E-2</v>
      </c>
      <c r="G59" s="43">
        <f t="shared" si="22"/>
        <v>5.3577316188592149E-3</v>
      </c>
      <c r="H59" s="43">
        <f t="shared" si="22"/>
        <v>2.4727992087042531E-4</v>
      </c>
      <c r="I59" s="43">
        <f t="shared" si="22"/>
        <v>5.9347181008902079E-3</v>
      </c>
      <c r="J59" s="43">
        <f t="shared" si="22"/>
        <v>7.2535443455324757E-3</v>
      </c>
      <c r="K59" s="43">
        <f t="shared" si="22"/>
        <v>7.5008242664029012E-3</v>
      </c>
      <c r="L59" s="43">
        <f t="shared" si="22"/>
        <v>1.5166501813386087E-2</v>
      </c>
      <c r="M59" s="43">
        <f t="shared" si="22"/>
        <v>0.73227827233761955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0.48922413793103448</v>
      </c>
      <c r="D60" s="44">
        <f t="shared" ref="D60:N60" si="23">D58/$O$58</f>
        <v>0.16471674876847289</v>
      </c>
      <c r="E60" s="44">
        <f t="shared" si="23"/>
        <v>0.10098522167487685</v>
      </c>
      <c r="F60" s="44">
        <f t="shared" si="23"/>
        <v>9.0209359605911324E-2</v>
      </c>
      <c r="G60" s="44">
        <f t="shared" si="23"/>
        <v>2.001231527093596E-2</v>
      </c>
      <c r="H60" s="44">
        <f t="shared" si="23"/>
        <v>9.2364532019704429E-4</v>
      </c>
      <c r="I60" s="44">
        <f t="shared" si="23"/>
        <v>2.2167487684729065E-2</v>
      </c>
      <c r="J60" s="44">
        <f t="shared" si="23"/>
        <v>2.7093596059113302E-2</v>
      </c>
      <c r="K60" s="44">
        <f t="shared" si="23"/>
        <v>2.8017241379310345E-2</v>
      </c>
      <c r="L60" s="44">
        <f t="shared" si="23"/>
        <v>5.6650246305418719E-2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Spear Motors -URA'!C3:G3</f>
        <v>MCC - C1 - STN44- NAKAWA-JINJA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'29.07 Spear Motors -URA'!D5</f>
        <v>29.07.19</v>
      </c>
      <c r="E5" s="3"/>
      <c r="F5" s="41" t="s">
        <v>1</v>
      </c>
      <c r="G5" s="60" t="str">
        <f>'29.07 Spear Motors -URA'!G5:H5</f>
        <v>Spear Motors Limited</v>
      </c>
      <c r="H5" s="61"/>
      <c r="I5" s="14"/>
      <c r="J5" s="2" t="s">
        <v>5</v>
      </c>
      <c r="K5" s="60" t="s">
        <v>182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177</v>
      </c>
      <c r="E6" s="55"/>
      <c r="F6" s="2" t="s">
        <v>2</v>
      </c>
      <c r="G6" s="54" t="s">
        <v>181</v>
      </c>
      <c r="H6" s="55"/>
      <c r="J6" s="2" t="s">
        <v>21</v>
      </c>
      <c r="K6" s="60" t="s">
        <v>179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73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76</v>
      </c>
      <c r="R10" s="1" t="s">
        <v>6</v>
      </c>
      <c r="S10" s="17">
        <f t="shared" ref="S10:AF10" si="2">SUM(C10:C13)</f>
        <v>55</v>
      </c>
      <c r="T10" s="17">
        <f t="shared" si="2"/>
        <v>7</v>
      </c>
      <c r="U10" s="17">
        <f t="shared" si="2"/>
        <v>6</v>
      </c>
      <c r="V10" s="17">
        <f t="shared" si="2"/>
        <v>4</v>
      </c>
      <c r="W10" s="17">
        <f t="shared" si="2"/>
        <v>0</v>
      </c>
      <c r="X10" s="17">
        <f t="shared" si="2"/>
        <v>0</v>
      </c>
      <c r="Y10" s="17">
        <f t="shared" si="2"/>
        <v>11</v>
      </c>
      <c r="Z10" s="17">
        <f t="shared" si="2"/>
        <v>0</v>
      </c>
      <c r="AA10" s="17">
        <f t="shared" si="2"/>
        <v>1</v>
      </c>
      <c r="AB10" s="17">
        <f t="shared" si="2"/>
        <v>1</v>
      </c>
      <c r="AC10" s="17">
        <f t="shared" si="2"/>
        <v>377</v>
      </c>
      <c r="AD10" s="17">
        <f t="shared" si="2"/>
        <v>0</v>
      </c>
      <c r="AE10" s="31">
        <f t="shared" si="2"/>
        <v>85</v>
      </c>
      <c r="AF10" s="31">
        <f t="shared" si="2"/>
        <v>462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54</v>
      </c>
      <c r="N11" s="50">
        <v>0</v>
      </c>
      <c r="O11" s="15">
        <f t="shared" si="0"/>
        <v>3</v>
      </c>
      <c r="P11" s="15">
        <f t="shared" si="1"/>
        <v>57</v>
      </c>
      <c r="R11" s="1" t="s">
        <v>7</v>
      </c>
      <c r="S11" s="17">
        <f t="shared" ref="S11:AF11" si="3">SUM(C14:C17)</f>
        <v>138</v>
      </c>
      <c r="T11" s="17">
        <f t="shared" si="3"/>
        <v>27</v>
      </c>
      <c r="U11" s="17">
        <f t="shared" si="3"/>
        <v>20</v>
      </c>
      <c r="V11" s="17">
        <f t="shared" si="3"/>
        <v>9</v>
      </c>
      <c r="W11" s="17">
        <f t="shared" si="3"/>
        <v>8</v>
      </c>
      <c r="X11" s="17">
        <f t="shared" si="3"/>
        <v>0</v>
      </c>
      <c r="Y11" s="17">
        <f t="shared" si="3"/>
        <v>12</v>
      </c>
      <c r="Z11" s="17">
        <f t="shared" si="3"/>
        <v>2</v>
      </c>
      <c r="AA11" s="17">
        <f t="shared" si="3"/>
        <v>2</v>
      </c>
      <c r="AB11" s="17">
        <f t="shared" si="3"/>
        <v>0</v>
      </c>
      <c r="AC11" s="17">
        <f t="shared" si="3"/>
        <v>648</v>
      </c>
      <c r="AD11" s="17">
        <f t="shared" si="3"/>
        <v>0</v>
      </c>
      <c r="AE11" s="31">
        <f t="shared" si="3"/>
        <v>218</v>
      </c>
      <c r="AF11" s="31">
        <f t="shared" si="3"/>
        <v>866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5</v>
      </c>
      <c r="J12" s="50">
        <v>0</v>
      </c>
      <c r="K12" s="50">
        <v>0</v>
      </c>
      <c r="L12" s="50">
        <v>1</v>
      </c>
      <c r="M12" s="50">
        <v>65</v>
      </c>
      <c r="N12" s="50">
        <v>0</v>
      </c>
      <c r="O12" s="15">
        <f t="shared" si="0"/>
        <v>6</v>
      </c>
      <c r="P12" s="15">
        <f t="shared" si="1"/>
        <v>71</v>
      </c>
      <c r="R12" s="1" t="s">
        <v>8</v>
      </c>
      <c r="S12" s="17">
        <f t="shared" ref="S12:AF12" si="4">SUM(C18:C21)</f>
        <v>116</v>
      </c>
      <c r="T12" s="17">
        <f t="shared" si="4"/>
        <v>13</v>
      </c>
      <c r="U12" s="17">
        <f t="shared" si="4"/>
        <v>22</v>
      </c>
      <c r="V12" s="17">
        <f t="shared" si="4"/>
        <v>34</v>
      </c>
      <c r="W12" s="17">
        <f t="shared" si="4"/>
        <v>7</v>
      </c>
      <c r="X12" s="17">
        <f t="shared" si="4"/>
        <v>0</v>
      </c>
      <c r="Y12" s="17">
        <f t="shared" si="4"/>
        <v>13</v>
      </c>
      <c r="Z12" s="17">
        <f t="shared" si="4"/>
        <v>3</v>
      </c>
      <c r="AA12" s="17">
        <f t="shared" si="4"/>
        <v>3</v>
      </c>
      <c r="AB12" s="17">
        <f t="shared" si="4"/>
        <v>10</v>
      </c>
      <c r="AC12" s="17">
        <f t="shared" si="4"/>
        <v>499</v>
      </c>
      <c r="AD12" s="17">
        <f t="shared" si="4"/>
        <v>0</v>
      </c>
      <c r="AE12" s="31">
        <f t="shared" si="4"/>
        <v>221</v>
      </c>
      <c r="AF12" s="31">
        <f t="shared" si="4"/>
        <v>720</v>
      </c>
    </row>
    <row r="13" spans="2:32" ht="23.1" customHeight="1" x14ac:dyDescent="0.25">
      <c r="B13" s="23" t="s">
        <v>40</v>
      </c>
      <c r="C13" s="50">
        <v>54</v>
      </c>
      <c r="D13" s="50">
        <v>7</v>
      </c>
      <c r="E13" s="50">
        <v>5</v>
      </c>
      <c r="F13" s="50">
        <v>4</v>
      </c>
      <c r="G13" s="50">
        <v>0</v>
      </c>
      <c r="H13" s="50">
        <v>0</v>
      </c>
      <c r="I13" s="50">
        <v>2</v>
      </c>
      <c r="J13" s="50">
        <v>0</v>
      </c>
      <c r="K13" s="50">
        <v>1</v>
      </c>
      <c r="L13" s="50">
        <v>0</v>
      </c>
      <c r="M13" s="50">
        <v>185</v>
      </c>
      <c r="N13" s="50">
        <v>0</v>
      </c>
      <c r="O13" s="15">
        <f t="shared" si="0"/>
        <v>73</v>
      </c>
      <c r="P13" s="15">
        <f t="shared" si="1"/>
        <v>258</v>
      </c>
      <c r="R13" s="1" t="s">
        <v>9</v>
      </c>
      <c r="S13" s="17">
        <f t="shared" ref="S13:AF13" si="5">SUM(C22:C25)</f>
        <v>129</v>
      </c>
      <c r="T13" s="17">
        <f t="shared" si="5"/>
        <v>29</v>
      </c>
      <c r="U13" s="17">
        <f t="shared" si="5"/>
        <v>39</v>
      </c>
      <c r="V13" s="17">
        <f t="shared" si="5"/>
        <v>30</v>
      </c>
      <c r="W13" s="17">
        <f t="shared" si="5"/>
        <v>3</v>
      </c>
      <c r="X13" s="17">
        <f t="shared" si="5"/>
        <v>1</v>
      </c>
      <c r="Y13" s="17">
        <f t="shared" si="5"/>
        <v>21</v>
      </c>
      <c r="Z13" s="17">
        <f t="shared" si="5"/>
        <v>6</v>
      </c>
      <c r="AA13" s="17">
        <f t="shared" si="5"/>
        <v>4</v>
      </c>
      <c r="AB13" s="17">
        <f t="shared" si="5"/>
        <v>7</v>
      </c>
      <c r="AC13" s="17">
        <f t="shared" si="5"/>
        <v>470</v>
      </c>
      <c r="AD13" s="17">
        <f t="shared" si="5"/>
        <v>0</v>
      </c>
      <c r="AE13" s="31">
        <f t="shared" si="5"/>
        <v>269</v>
      </c>
      <c r="AF13" s="31">
        <f t="shared" si="5"/>
        <v>739</v>
      </c>
    </row>
    <row r="14" spans="2:32" ht="23.1" customHeight="1" x14ac:dyDescent="0.25">
      <c r="B14" s="23" t="s">
        <v>41</v>
      </c>
      <c r="C14" s="50">
        <v>20</v>
      </c>
      <c r="D14" s="50">
        <v>1</v>
      </c>
      <c r="E14" s="50">
        <v>3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103</v>
      </c>
      <c r="N14" s="50">
        <v>0</v>
      </c>
      <c r="O14" s="15">
        <f t="shared" si="0"/>
        <v>24</v>
      </c>
      <c r="P14" s="15">
        <f t="shared" si="1"/>
        <v>127</v>
      </c>
      <c r="R14" s="1" t="s">
        <v>10</v>
      </c>
      <c r="S14" s="17">
        <f t="shared" ref="S14:AF14" si="6">SUM(C26:C29)</f>
        <v>136</v>
      </c>
      <c r="T14" s="17">
        <f t="shared" si="6"/>
        <v>31</v>
      </c>
      <c r="U14" s="17">
        <f t="shared" si="6"/>
        <v>33</v>
      </c>
      <c r="V14" s="17">
        <f t="shared" si="6"/>
        <v>31</v>
      </c>
      <c r="W14" s="17">
        <f t="shared" si="6"/>
        <v>0</v>
      </c>
      <c r="X14" s="17">
        <f t="shared" si="6"/>
        <v>0</v>
      </c>
      <c r="Y14" s="17">
        <f t="shared" si="6"/>
        <v>17</v>
      </c>
      <c r="Z14" s="17">
        <f t="shared" si="6"/>
        <v>8</v>
      </c>
      <c r="AA14" s="17">
        <f t="shared" si="6"/>
        <v>12</v>
      </c>
      <c r="AB14" s="17">
        <f t="shared" si="6"/>
        <v>4</v>
      </c>
      <c r="AC14" s="17">
        <f t="shared" si="6"/>
        <v>416</v>
      </c>
      <c r="AD14" s="17">
        <f t="shared" si="6"/>
        <v>0</v>
      </c>
      <c r="AE14" s="31">
        <f t="shared" si="6"/>
        <v>272</v>
      </c>
      <c r="AF14" s="31">
        <f t="shared" si="6"/>
        <v>688</v>
      </c>
    </row>
    <row r="15" spans="2:32" ht="23.1" customHeight="1" x14ac:dyDescent="0.25">
      <c r="B15" s="23" t="s">
        <v>42</v>
      </c>
      <c r="C15" s="50">
        <v>48</v>
      </c>
      <c r="D15" s="50">
        <v>11</v>
      </c>
      <c r="E15" s="50">
        <v>5</v>
      </c>
      <c r="F15" s="50">
        <v>3</v>
      </c>
      <c r="G15" s="50">
        <v>1</v>
      </c>
      <c r="H15" s="50">
        <v>0</v>
      </c>
      <c r="I15" s="50">
        <v>5</v>
      </c>
      <c r="J15" s="50">
        <v>0</v>
      </c>
      <c r="K15" s="50">
        <v>0</v>
      </c>
      <c r="L15" s="50">
        <v>0</v>
      </c>
      <c r="M15" s="50">
        <v>155</v>
      </c>
      <c r="N15" s="50">
        <v>0</v>
      </c>
      <c r="O15" s="15">
        <f t="shared" si="0"/>
        <v>73</v>
      </c>
      <c r="P15" s="15">
        <f t="shared" si="1"/>
        <v>228</v>
      </c>
      <c r="R15" s="1" t="s">
        <v>11</v>
      </c>
      <c r="S15" s="17">
        <f t="shared" ref="S15:AF15" si="7">SUM(C30:C33)</f>
        <v>135</v>
      </c>
      <c r="T15" s="17">
        <f t="shared" si="7"/>
        <v>34</v>
      </c>
      <c r="U15" s="17">
        <f t="shared" si="7"/>
        <v>21</v>
      </c>
      <c r="V15" s="17">
        <f t="shared" si="7"/>
        <v>14</v>
      </c>
      <c r="W15" s="17">
        <f t="shared" si="7"/>
        <v>1</v>
      </c>
      <c r="X15" s="17">
        <f t="shared" si="7"/>
        <v>0</v>
      </c>
      <c r="Y15" s="17">
        <f t="shared" si="7"/>
        <v>10</v>
      </c>
      <c r="Z15" s="17">
        <f t="shared" si="7"/>
        <v>0</v>
      </c>
      <c r="AA15" s="17">
        <f t="shared" si="7"/>
        <v>0</v>
      </c>
      <c r="AB15" s="17">
        <f t="shared" si="7"/>
        <v>4</v>
      </c>
      <c r="AC15" s="17">
        <f t="shared" si="7"/>
        <v>389</v>
      </c>
      <c r="AD15" s="17">
        <f t="shared" si="7"/>
        <v>0</v>
      </c>
      <c r="AE15" s="31">
        <f t="shared" si="7"/>
        <v>219</v>
      </c>
      <c r="AF15" s="31">
        <f t="shared" si="7"/>
        <v>608</v>
      </c>
    </row>
    <row r="16" spans="2:32" ht="23.1" customHeight="1" x14ac:dyDescent="0.25">
      <c r="B16" s="23" t="s">
        <v>43</v>
      </c>
      <c r="C16" s="50">
        <v>32</v>
      </c>
      <c r="D16" s="50">
        <v>7</v>
      </c>
      <c r="E16" s="50">
        <v>8</v>
      </c>
      <c r="F16" s="50">
        <v>3</v>
      </c>
      <c r="G16" s="50">
        <v>3</v>
      </c>
      <c r="H16" s="50">
        <v>0</v>
      </c>
      <c r="I16" s="50">
        <v>1</v>
      </c>
      <c r="J16" s="50">
        <v>1</v>
      </c>
      <c r="K16" s="50">
        <v>2</v>
      </c>
      <c r="L16" s="50">
        <v>0</v>
      </c>
      <c r="M16" s="50">
        <v>185</v>
      </c>
      <c r="N16" s="50">
        <v>0</v>
      </c>
      <c r="O16" s="15">
        <f t="shared" si="0"/>
        <v>57</v>
      </c>
      <c r="P16" s="15">
        <f t="shared" si="1"/>
        <v>242</v>
      </c>
      <c r="R16" s="1" t="s">
        <v>12</v>
      </c>
      <c r="S16" s="17">
        <f t="shared" ref="S16:AF16" si="8">SUM(C34:C37)</f>
        <v>128</v>
      </c>
      <c r="T16" s="17">
        <f t="shared" si="8"/>
        <v>29</v>
      </c>
      <c r="U16" s="17">
        <f t="shared" si="8"/>
        <v>20</v>
      </c>
      <c r="V16" s="17">
        <f t="shared" si="8"/>
        <v>22</v>
      </c>
      <c r="W16" s="17">
        <f t="shared" si="8"/>
        <v>0</v>
      </c>
      <c r="X16" s="17">
        <f t="shared" si="8"/>
        <v>1</v>
      </c>
      <c r="Y16" s="17">
        <f t="shared" si="8"/>
        <v>8</v>
      </c>
      <c r="Z16" s="17">
        <f t="shared" si="8"/>
        <v>3</v>
      </c>
      <c r="AA16" s="17">
        <f t="shared" si="8"/>
        <v>1</v>
      </c>
      <c r="AB16" s="17">
        <f t="shared" si="8"/>
        <v>8</v>
      </c>
      <c r="AC16" s="17">
        <f t="shared" si="8"/>
        <v>264</v>
      </c>
      <c r="AD16" s="17">
        <f t="shared" si="8"/>
        <v>0</v>
      </c>
      <c r="AE16" s="31">
        <f t="shared" si="8"/>
        <v>220</v>
      </c>
      <c r="AF16" s="31">
        <f t="shared" si="8"/>
        <v>484</v>
      </c>
    </row>
    <row r="17" spans="2:32" ht="23.1" customHeight="1" x14ac:dyDescent="0.25">
      <c r="B17" s="23" t="s">
        <v>44</v>
      </c>
      <c r="C17" s="50">
        <v>38</v>
      </c>
      <c r="D17" s="50">
        <v>8</v>
      </c>
      <c r="E17" s="50">
        <v>4</v>
      </c>
      <c r="F17" s="50">
        <v>3</v>
      </c>
      <c r="G17" s="50">
        <v>4</v>
      </c>
      <c r="H17" s="50">
        <v>0</v>
      </c>
      <c r="I17" s="50">
        <v>6</v>
      </c>
      <c r="J17" s="50">
        <v>1</v>
      </c>
      <c r="K17" s="50">
        <v>0</v>
      </c>
      <c r="L17" s="50">
        <v>0</v>
      </c>
      <c r="M17" s="50">
        <v>205</v>
      </c>
      <c r="N17" s="50">
        <v>0</v>
      </c>
      <c r="O17" s="15">
        <f t="shared" si="0"/>
        <v>64</v>
      </c>
      <c r="P17" s="15">
        <f t="shared" si="1"/>
        <v>269</v>
      </c>
      <c r="R17" s="1" t="s">
        <v>13</v>
      </c>
      <c r="S17" s="17">
        <f t="shared" ref="S17:AF17" si="9">SUM(C38:C41)</f>
        <v>135</v>
      </c>
      <c r="T17" s="17">
        <f t="shared" si="9"/>
        <v>22</v>
      </c>
      <c r="U17" s="17">
        <f t="shared" si="9"/>
        <v>21</v>
      </c>
      <c r="V17" s="17">
        <f t="shared" si="9"/>
        <v>31</v>
      </c>
      <c r="W17" s="17">
        <f t="shared" si="9"/>
        <v>0</v>
      </c>
      <c r="X17" s="17">
        <f t="shared" si="9"/>
        <v>0</v>
      </c>
      <c r="Y17" s="17">
        <f t="shared" si="9"/>
        <v>23</v>
      </c>
      <c r="Z17" s="17">
        <f t="shared" si="9"/>
        <v>3</v>
      </c>
      <c r="AA17" s="17">
        <f t="shared" si="9"/>
        <v>5</v>
      </c>
      <c r="AB17" s="17">
        <f t="shared" si="9"/>
        <v>13</v>
      </c>
      <c r="AC17" s="17">
        <f t="shared" si="9"/>
        <v>313</v>
      </c>
      <c r="AD17" s="17">
        <f t="shared" si="9"/>
        <v>0</v>
      </c>
      <c r="AE17" s="31">
        <f t="shared" si="9"/>
        <v>253</v>
      </c>
      <c r="AF17" s="31">
        <f t="shared" si="9"/>
        <v>566</v>
      </c>
    </row>
    <row r="18" spans="2:32" ht="23.1" customHeight="1" x14ac:dyDescent="0.25">
      <c r="B18" s="23" t="s">
        <v>45</v>
      </c>
      <c r="C18" s="50">
        <v>34</v>
      </c>
      <c r="D18" s="50">
        <v>4</v>
      </c>
      <c r="E18" s="50">
        <v>6</v>
      </c>
      <c r="F18" s="50">
        <v>10</v>
      </c>
      <c r="G18" s="50">
        <v>2</v>
      </c>
      <c r="H18" s="50">
        <v>0</v>
      </c>
      <c r="I18" s="50">
        <v>4</v>
      </c>
      <c r="J18" s="50">
        <v>2</v>
      </c>
      <c r="K18" s="50">
        <v>0</v>
      </c>
      <c r="L18" s="50">
        <v>2</v>
      </c>
      <c r="M18" s="50">
        <v>205</v>
      </c>
      <c r="N18" s="50">
        <v>0</v>
      </c>
      <c r="O18" s="15">
        <f t="shared" si="0"/>
        <v>64</v>
      </c>
      <c r="P18" s="15">
        <f t="shared" si="1"/>
        <v>269</v>
      </c>
      <c r="R18" s="1" t="s">
        <v>14</v>
      </c>
      <c r="S18" s="17">
        <f t="shared" ref="S18:AF18" si="10">SUM(C42:C45)</f>
        <v>159</v>
      </c>
      <c r="T18" s="17">
        <f t="shared" si="10"/>
        <v>25</v>
      </c>
      <c r="U18" s="17">
        <f t="shared" si="10"/>
        <v>35</v>
      </c>
      <c r="V18" s="17">
        <f t="shared" si="10"/>
        <v>25</v>
      </c>
      <c r="W18" s="17">
        <f t="shared" si="10"/>
        <v>0</v>
      </c>
      <c r="X18" s="17">
        <f t="shared" si="10"/>
        <v>0</v>
      </c>
      <c r="Y18" s="17">
        <f t="shared" si="10"/>
        <v>17</v>
      </c>
      <c r="Z18" s="17">
        <f t="shared" si="10"/>
        <v>2</v>
      </c>
      <c r="AA18" s="17">
        <f t="shared" si="10"/>
        <v>11</v>
      </c>
      <c r="AB18" s="17">
        <f t="shared" si="10"/>
        <v>11</v>
      </c>
      <c r="AC18" s="17">
        <f t="shared" si="10"/>
        <v>198</v>
      </c>
      <c r="AD18" s="17">
        <f t="shared" si="10"/>
        <v>0</v>
      </c>
      <c r="AE18" s="31">
        <f t="shared" si="10"/>
        <v>285</v>
      </c>
      <c r="AF18" s="31">
        <f t="shared" si="10"/>
        <v>483</v>
      </c>
    </row>
    <row r="19" spans="2:32" ht="23.1" customHeight="1" x14ac:dyDescent="0.25">
      <c r="B19" s="23" t="s">
        <v>46</v>
      </c>
      <c r="C19" s="50">
        <v>20</v>
      </c>
      <c r="D19" s="50">
        <v>3</v>
      </c>
      <c r="E19" s="50">
        <v>4</v>
      </c>
      <c r="F19" s="50">
        <v>7</v>
      </c>
      <c r="G19" s="50">
        <v>2</v>
      </c>
      <c r="H19" s="50">
        <v>0</v>
      </c>
      <c r="I19" s="50">
        <v>2</v>
      </c>
      <c r="J19" s="50">
        <v>0</v>
      </c>
      <c r="K19" s="50">
        <v>0</v>
      </c>
      <c r="L19" s="50">
        <v>1</v>
      </c>
      <c r="M19" s="50">
        <v>108</v>
      </c>
      <c r="N19" s="50">
        <v>0</v>
      </c>
      <c r="O19" s="15">
        <f t="shared" si="0"/>
        <v>39</v>
      </c>
      <c r="P19" s="15">
        <f t="shared" si="1"/>
        <v>147</v>
      </c>
      <c r="R19" s="1" t="s">
        <v>15</v>
      </c>
      <c r="S19" s="17">
        <f t="shared" ref="S19:AF19" si="11">SUM(C46:C49)</f>
        <v>196</v>
      </c>
      <c r="T19" s="17">
        <f t="shared" si="11"/>
        <v>27</v>
      </c>
      <c r="U19" s="17">
        <f t="shared" si="11"/>
        <v>35</v>
      </c>
      <c r="V19" s="17">
        <f t="shared" si="11"/>
        <v>15</v>
      </c>
      <c r="W19" s="17">
        <f t="shared" si="11"/>
        <v>0</v>
      </c>
      <c r="X19" s="17">
        <f t="shared" si="11"/>
        <v>0</v>
      </c>
      <c r="Y19" s="17">
        <f t="shared" si="11"/>
        <v>18</v>
      </c>
      <c r="Z19" s="17">
        <f t="shared" si="11"/>
        <v>11</v>
      </c>
      <c r="AA19" s="17">
        <f t="shared" si="11"/>
        <v>5</v>
      </c>
      <c r="AB19" s="17">
        <f t="shared" si="11"/>
        <v>2</v>
      </c>
      <c r="AC19" s="17">
        <f t="shared" si="11"/>
        <v>233</v>
      </c>
      <c r="AD19" s="17">
        <f t="shared" si="11"/>
        <v>0</v>
      </c>
      <c r="AE19" s="31">
        <f t="shared" si="11"/>
        <v>309</v>
      </c>
      <c r="AF19" s="31">
        <f t="shared" si="11"/>
        <v>542</v>
      </c>
    </row>
    <row r="20" spans="2:32" ht="23.1" customHeight="1" x14ac:dyDescent="0.25">
      <c r="B20" s="23" t="s">
        <v>47</v>
      </c>
      <c r="C20" s="50">
        <v>17</v>
      </c>
      <c r="D20" s="50">
        <v>1</v>
      </c>
      <c r="E20" s="50">
        <v>5</v>
      </c>
      <c r="F20" s="50">
        <v>6</v>
      </c>
      <c r="G20" s="50">
        <v>1</v>
      </c>
      <c r="H20" s="50">
        <v>0</v>
      </c>
      <c r="I20" s="50">
        <v>2</v>
      </c>
      <c r="J20" s="50">
        <v>1</v>
      </c>
      <c r="K20" s="50">
        <v>3</v>
      </c>
      <c r="L20" s="50">
        <v>2</v>
      </c>
      <c r="M20" s="50">
        <v>87</v>
      </c>
      <c r="N20" s="50">
        <v>0</v>
      </c>
      <c r="O20" s="15">
        <f t="shared" si="0"/>
        <v>38</v>
      </c>
      <c r="P20" s="15">
        <f t="shared" si="1"/>
        <v>125</v>
      </c>
      <c r="R20" s="1" t="s">
        <v>16</v>
      </c>
      <c r="S20" s="17">
        <f t="shared" ref="S20:AF20" si="12">SUM(C50:C53)</f>
        <v>386</v>
      </c>
      <c r="T20" s="17">
        <f t="shared" si="12"/>
        <v>31</v>
      </c>
      <c r="U20" s="17">
        <f t="shared" si="12"/>
        <v>29</v>
      </c>
      <c r="V20" s="17">
        <f t="shared" si="12"/>
        <v>8</v>
      </c>
      <c r="W20" s="17">
        <f t="shared" si="12"/>
        <v>1</v>
      </c>
      <c r="X20" s="17">
        <f t="shared" si="12"/>
        <v>0</v>
      </c>
      <c r="Y20" s="17">
        <f t="shared" si="12"/>
        <v>7</v>
      </c>
      <c r="Z20" s="17">
        <f t="shared" si="12"/>
        <v>3</v>
      </c>
      <c r="AA20" s="17">
        <f t="shared" si="12"/>
        <v>1</v>
      </c>
      <c r="AB20" s="17">
        <f t="shared" si="12"/>
        <v>1</v>
      </c>
      <c r="AC20" s="17">
        <f t="shared" si="12"/>
        <v>173</v>
      </c>
      <c r="AD20" s="17">
        <f t="shared" si="12"/>
        <v>0</v>
      </c>
      <c r="AE20" s="31">
        <f t="shared" si="12"/>
        <v>467</v>
      </c>
      <c r="AF20" s="31">
        <f t="shared" si="12"/>
        <v>640</v>
      </c>
    </row>
    <row r="21" spans="2:32" ht="23.1" customHeight="1" x14ac:dyDescent="0.25">
      <c r="B21" s="23" t="s">
        <v>48</v>
      </c>
      <c r="C21" s="50">
        <v>45</v>
      </c>
      <c r="D21" s="50">
        <v>5</v>
      </c>
      <c r="E21" s="50">
        <v>7</v>
      </c>
      <c r="F21" s="50">
        <v>11</v>
      </c>
      <c r="G21" s="50">
        <v>2</v>
      </c>
      <c r="H21" s="50">
        <v>0</v>
      </c>
      <c r="I21" s="50">
        <v>5</v>
      </c>
      <c r="J21" s="50">
        <v>0</v>
      </c>
      <c r="K21" s="50">
        <v>0</v>
      </c>
      <c r="L21" s="50">
        <v>5</v>
      </c>
      <c r="M21" s="50">
        <v>99</v>
      </c>
      <c r="N21" s="50">
        <v>0</v>
      </c>
      <c r="O21" s="15">
        <f t="shared" si="0"/>
        <v>80</v>
      </c>
      <c r="P21" s="15">
        <f t="shared" si="1"/>
        <v>179</v>
      </c>
      <c r="R21" s="36" t="s">
        <v>20</v>
      </c>
      <c r="S21" s="34">
        <f t="shared" ref="S21:AF21" si="13">SUM(C54:C57)</f>
        <v>435</v>
      </c>
      <c r="T21" s="17">
        <f t="shared" si="13"/>
        <v>38</v>
      </c>
      <c r="U21" s="17">
        <f t="shared" si="13"/>
        <v>16</v>
      </c>
      <c r="V21" s="17">
        <f t="shared" si="13"/>
        <v>21</v>
      </c>
      <c r="W21" s="17">
        <f t="shared" si="13"/>
        <v>2</v>
      </c>
      <c r="X21" s="17">
        <f t="shared" si="13"/>
        <v>0</v>
      </c>
      <c r="Y21" s="17">
        <f t="shared" si="13"/>
        <v>19</v>
      </c>
      <c r="Z21" s="17">
        <f t="shared" si="13"/>
        <v>2</v>
      </c>
      <c r="AA21" s="17">
        <f t="shared" si="13"/>
        <v>1</v>
      </c>
      <c r="AB21" s="17">
        <f t="shared" si="13"/>
        <v>3</v>
      </c>
      <c r="AC21" s="17">
        <f t="shared" si="13"/>
        <v>88</v>
      </c>
      <c r="AD21" s="17">
        <f t="shared" si="13"/>
        <v>0</v>
      </c>
      <c r="AE21" s="31">
        <f t="shared" si="13"/>
        <v>537</v>
      </c>
      <c r="AF21" s="31">
        <f t="shared" si="13"/>
        <v>625</v>
      </c>
    </row>
    <row r="22" spans="2:32" ht="23.1" customHeight="1" x14ac:dyDescent="0.25">
      <c r="B22" s="23" t="s">
        <v>49</v>
      </c>
      <c r="C22" s="50">
        <v>36</v>
      </c>
      <c r="D22" s="50">
        <v>5</v>
      </c>
      <c r="E22" s="50">
        <v>8</v>
      </c>
      <c r="F22" s="50">
        <v>5</v>
      </c>
      <c r="G22" s="50">
        <v>0</v>
      </c>
      <c r="H22" s="50">
        <v>0</v>
      </c>
      <c r="I22" s="50">
        <v>7</v>
      </c>
      <c r="J22" s="50">
        <v>2</v>
      </c>
      <c r="K22" s="50">
        <v>1</v>
      </c>
      <c r="L22" s="50">
        <v>3</v>
      </c>
      <c r="M22" s="50">
        <v>134</v>
      </c>
      <c r="N22" s="50">
        <v>0</v>
      </c>
      <c r="O22" s="15">
        <f t="shared" si="0"/>
        <v>67</v>
      </c>
      <c r="P22" s="15">
        <f t="shared" si="1"/>
        <v>201</v>
      </c>
      <c r="R22" s="38" t="s">
        <v>90</v>
      </c>
      <c r="S22" s="39">
        <f>MAX(S10:S12)</f>
        <v>138</v>
      </c>
      <c r="T22" s="39">
        <f t="shared" ref="T22:AF22" si="14">MAX(T10:T12)</f>
        <v>27</v>
      </c>
      <c r="U22" s="39">
        <f t="shared" si="14"/>
        <v>22</v>
      </c>
      <c r="V22" s="39">
        <f t="shared" si="14"/>
        <v>34</v>
      </c>
      <c r="W22" s="39">
        <f t="shared" si="14"/>
        <v>8</v>
      </c>
      <c r="X22" s="39">
        <f t="shared" si="14"/>
        <v>0</v>
      </c>
      <c r="Y22" s="39">
        <f t="shared" si="14"/>
        <v>13</v>
      </c>
      <c r="Z22" s="39">
        <f t="shared" si="14"/>
        <v>3</v>
      </c>
      <c r="AA22" s="39">
        <f t="shared" si="14"/>
        <v>3</v>
      </c>
      <c r="AB22" s="39">
        <f t="shared" si="14"/>
        <v>10</v>
      </c>
      <c r="AC22" s="39">
        <f t="shared" si="14"/>
        <v>648</v>
      </c>
      <c r="AD22" s="39">
        <f t="shared" si="14"/>
        <v>0</v>
      </c>
      <c r="AE22" s="40">
        <f t="shared" si="14"/>
        <v>221</v>
      </c>
      <c r="AF22" s="40">
        <f t="shared" si="14"/>
        <v>866</v>
      </c>
    </row>
    <row r="23" spans="2:32" ht="23.1" customHeight="1" x14ac:dyDescent="0.25">
      <c r="B23" s="23" t="s">
        <v>50</v>
      </c>
      <c r="C23" s="50">
        <v>29</v>
      </c>
      <c r="D23" s="50">
        <v>12</v>
      </c>
      <c r="E23" s="50">
        <v>12</v>
      </c>
      <c r="F23" s="50">
        <v>9</v>
      </c>
      <c r="G23" s="50">
        <v>0</v>
      </c>
      <c r="H23" s="50">
        <v>0</v>
      </c>
      <c r="I23" s="50">
        <v>5</v>
      </c>
      <c r="J23" s="50">
        <v>1</v>
      </c>
      <c r="K23" s="50">
        <v>3</v>
      </c>
      <c r="L23" s="50">
        <v>1</v>
      </c>
      <c r="M23" s="50">
        <v>97</v>
      </c>
      <c r="N23" s="50">
        <v>0</v>
      </c>
      <c r="O23" s="15">
        <f t="shared" si="0"/>
        <v>72</v>
      </c>
      <c r="P23" s="15">
        <f t="shared" si="1"/>
        <v>169</v>
      </c>
      <c r="R23" s="38" t="s">
        <v>91</v>
      </c>
      <c r="S23" s="39">
        <f>MAX(S13:S18)</f>
        <v>159</v>
      </c>
      <c r="T23" s="39">
        <f t="shared" ref="T23:AF23" si="15">MAX(T13:T18)</f>
        <v>34</v>
      </c>
      <c r="U23" s="39">
        <f t="shared" si="15"/>
        <v>39</v>
      </c>
      <c r="V23" s="39">
        <f t="shared" si="15"/>
        <v>31</v>
      </c>
      <c r="W23" s="39">
        <f t="shared" si="15"/>
        <v>3</v>
      </c>
      <c r="X23" s="39">
        <f t="shared" si="15"/>
        <v>1</v>
      </c>
      <c r="Y23" s="39">
        <f t="shared" si="15"/>
        <v>23</v>
      </c>
      <c r="Z23" s="39">
        <f t="shared" si="15"/>
        <v>8</v>
      </c>
      <c r="AA23" s="39">
        <f t="shared" si="15"/>
        <v>12</v>
      </c>
      <c r="AB23" s="39">
        <f t="shared" si="15"/>
        <v>13</v>
      </c>
      <c r="AC23" s="39">
        <f t="shared" si="15"/>
        <v>470</v>
      </c>
      <c r="AD23" s="39">
        <f t="shared" si="15"/>
        <v>0</v>
      </c>
      <c r="AE23" s="40">
        <f t="shared" si="15"/>
        <v>285</v>
      </c>
      <c r="AF23" s="40">
        <f t="shared" si="15"/>
        <v>739</v>
      </c>
    </row>
    <row r="24" spans="2:32" ht="23.1" customHeight="1" x14ac:dyDescent="0.25">
      <c r="B24" s="23" t="s">
        <v>51</v>
      </c>
      <c r="C24" s="50">
        <v>30</v>
      </c>
      <c r="D24" s="50">
        <v>6</v>
      </c>
      <c r="E24" s="50">
        <v>11</v>
      </c>
      <c r="F24" s="50">
        <v>6</v>
      </c>
      <c r="G24" s="50">
        <v>3</v>
      </c>
      <c r="H24" s="50">
        <v>0</v>
      </c>
      <c r="I24" s="50">
        <v>7</v>
      </c>
      <c r="J24" s="50">
        <v>3</v>
      </c>
      <c r="K24" s="50">
        <v>0</v>
      </c>
      <c r="L24" s="50">
        <v>2</v>
      </c>
      <c r="M24" s="50">
        <v>104</v>
      </c>
      <c r="N24" s="50">
        <v>0</v>
      </c>
      <c r="O24" s="15">
        <f t="shared" si="0"/>
        <v>68</v>
      </c>
      <c r="P24" s="15">
        <f t="shared" si="1"/>
        <v>172</v>
      </c>
      <c r="R24" s="38" t="s">
        <v>92</v>
      </c>
      <c r="S24" s="39">
        <f>MAX(S19:S21)</f>
        <v>435</v>
      </c>
      <c r="T24" s="39">
        <f t="shared" ref="T24:AF24" si="16">MAX(T19:T21)</f>
        <v>38</v>
      </c>
      <c r="U24" s="39">
        <f t="shared" si="16"/>
        <v>35</v>
      </c>
      <c r="V24" s="39">
        <f t="shared" si="16"/>
        <v>21</v>
      </c>
      <c r="W24" s="39">
        <f t="shared" si="16"/>
        <v>2</v>
      </c>
      <c r="X24" s="39">
        <f t="shared" si="16"/>
        <v>0</v>
      </c>
      <c r="Y24" s="39">
        <f t="shared" si="16"/>
        <v>19</v>
      </c>
      <c r="Z24" s="39">
        <f t="shared" si="16"/>
        <v>11</v>
      </c>
      <c r="AA24" s="39">
        <f t="shared" si="16"/>
        <v>5</v>
      </c>
      <c r="AB24" s="39">
        <f t="shared" si="16"/>
        <v>3</v>
      </c>
      <c r="AC24" s="39">
        <f t="shared" si="16"/>
        <v>233</v>
      </c>
      <c r="AD24" s="39">
        <f t="shared" si="16"/>
        <v>0</v>
      </c>
      <c r="AE24" s="40">
        <f t="shared" si="16"/>
        <v>537</v>
      </c>
      <c r="AF24" s="40">
        <f t="shared" si="16"/>
        <v>640</v>
      </c>
    </row>
    <row r="25" spans="2:32" ht="23.1" customHeight="1" x14ac:dyDescent="0.25">
      <c r="B25" s="23" t="s">
        <v>52</v>
      </c>
      <c r="C25" s="50">
        <v>34</v>
      </c>
      <c r="D25" s="50">
        <v>6</v>
      </c>
      <c r="E25" s="50">
        <v>8</v>
      </c>
      <c r="F25" s="50">
        <v>10</v>
      </c>
      <c r="G25" s="50">
        <v>0</v>
      </c>
      <c r="H25" s="50">
        <v>1</v>
      </c>
      <c r="I25" s="50">
        <v>2</v>
      </c>
      <c r="J25" s="50">
        <v>0</v>
      </c>
      <c r="K25" s="50">
        <v>0</v>
      </c>
      <c r="L25" s="50">
        <v>1</v>
      </c>
      <c r="M25" s="50">
        <v>135</v>
      </c>
      <c r="N25" s="50">
        <v>0</v>
      </c>
      <c r="O25" s="15">
        <f t="shared" si="0"/>
        <v>62</v>
      </c>
      <c r="P25" s="15">
        <f t="shared" si="1"/>
        <v>197</v>
      </c>
      <c r="R25" s="37" t="s">
        <v>85</v>
      </c>
      <c r="S25" s="35">
        <f t="shared" ref="S25:AF25" si="17">SUM(S10:S12)</f>
        <v>309</v>
      </c>
      <c r="T25" s="16">
        <f t="shared" si="17"/>
        <v>47</v>
      </c>
      <c r="U25" s="16">
        <f t="shared" si="17"/>
        <v>48</v>
      </c>
      <c r="V25" s="16">
        <f t="shared" si="17"/>
        <v>47</v>
      </c>
      <c r="W25" s="16">
        <f t="shared" si="17"/>
        <v>15</v>
      </c>
      <c r="X25" s="16">
        <f t="shared" si="17"/>
        <v>0</v>
      </c>
      <c r="Y25" s="16">
        <f t="shared" si="17"/>
        <v>36</v>
      </c>
      <c r="Z25" s="16">
        <f t="shared" si="17"/>
        <v>5</v>
      </c>
      <c r="AA25" s="16">
        <f t="shared" si="17"/>
        <v>6</v>
      </c>
      <c r="AB25" s="16">
        <f t="shared" si="17"/>
        <v>11</v>
      </c>
      <c r="AC25" s="16">
        <f t="shared" si="17"/>
        <v>1524</v>
      </c>
      <c r="AD25" s="16">
        <f t="shared" si="17"/>
        <v>0</v>
      </c>
      <c r="AE25" s="32">
        <f t="shared" si="17"/>
        <v>524</v>
      </c>
      <c r="AF25" s="32">
        <f t="shared" si="17"/>
        <v>2048</v>
      </c>
    </row>
    <row r="26" spans="2:32" ht="23.1" customHeight="1" x14ac:dyDescent="0.25">
      <c r="B26" s="23" t="s">
        <v>53</v>
      </c>
      <c r="C26" s="50">
        <v>31</v>
      </c>
      <c r="D26" s="50">
        <v>8</v>
      </c>
      <c r="E26" s="50">
        <v>14</v>
      </c>
      <c r="F26" s="50">
        <v>4</v>
      </c>
      <c r="G26" s="50">
        <v>0</v>
      </c>
      <c r="H26" s="50">
        <v>0</v>
      </c>
      <c r="I26" s="50">
        <v>3</v>
      </c>
      <c r="J26" s="50">
        <v>2</v>
      </c>
      <c r="K26" s="50">
        <v>1</v>
      </c>
      <c r="L26" s="50">
        <v>0</v>
      </c>
      <c r="M26" s="50">
        <v>148</v>
      </c>
      <c r="N26" s="50">
        <v>0</v>
      </c>
      <c r="O26" s="15">
        <f t="shared" si="0"/>
        <v>63</v>
      </c>
      <c r="P26" s="15">
        <f t="shared" si="1"/>
        <v>211</v>
      </c>
      <c r="R26" s="28" t="s">
        <v>86</v>
      </c>
      <c r="S26" s="16">
        <f t="shared" ref="S26:AF26" si="18">SUM(S13:S18)</f>
        <v>822</v>
      </c>
      <c r="T26" s="16">
        <f t="shared" si="18"/>
        <v>170</v>
      </c>
      <c r="U26" s="16">
        <f t="shared" si="18"/>
        <v>169</v>
      </c>
      <c r="V26" s="16">
        <f t="shared" si="18"/>
        <v>153</v>
      </c>
      <c r="W26" s="16">
        <f t="shared" si="18"/>
        <v>4</v>
      </c>
      <c r="X26" s="16">
        <f t="shared" si="18"/>
        <v>2</v>
      </c>
      <c r="Y26" s="16">
        <f t="shared" si="18"/>
        <v>96</v>
      </c>
      <c r="Z26" s="16">
        <f t="shared" si="18"/>
        <v>22</v>
      </c>
      <c r="AA26" s="16">
        <f t="shared" si="18"/>
        <v>33</v>
      </c>
      <c r="AB26" s="16">
        <f t="shared" si="18"/>
        <v>47</v>
      </c>
      <c r="AC26" s="16">
        <f t="shared" si="18"/>
        <v>2050</v>
      </c>
      <c r="AD26" s="16">
        <f t="shared" si="18"/>
        <v>0</v>
      </c>
      <c r="AE26" s="32">
        <f t="shared" si="18"/>
        <v>1518</v>
      </c>
      <c r="AF26" s="32">
        <f t="shared" si="18"/>
        <v>3568</v>
      </c>
    </row>
    <row r="27" spans="2:32" ht="23.1" customHeight="1" x14ac:dyDescent="0.25">
      <c r="B27" s="23" t="s">
        <v>54</v>
      </c>
      <c r="C27" s="50">
        <v>32</v>
      </c>
      <c r="D27" s="50">
        <v>5</v>
      </c>
      <c r="E27" s="50">
        <v>8</v>
      </c>
      <c r="F27" s="50">
        <v>13</v>
      </c>
      <c r="G27" s="50">
        <v>0</v>
      </c>
      <c r="H27" s="50">
        <v>0</v>
      </c>
      <c r="I27" s="50">
        <v>5</v>
      </c>
      <c r="J27" s="50">
        <v>1</v>
      </c>
      <c r="K27" s="50">
        <v>3</v>
      </c>
      <c r="L27" s="50">
        <v>0</v>
      </c>
      <c r="M27" s="50">
        <v>84</v>
      </c>
      <c r="N27" s="50">
        <v>0</v>
      </c>
      <c r="O27" s="15">
        <f t="shared" si="0"/>
        <v>67</v>
      </c>
      <c r="P27" s="15">
        <f t="shared" si="1"/>
        <v>151</v>
      </c>
      <c r="R27" s="29" t="s">
        <v>87</v>
      </c>
      <c r="S27" s="16">
        <f t="shared" ref="S27:AF27" si="19">SUM(S19:S21)</f>
        <v>1017</v>
      </c>
      <c r="T27" s="16">
        <f t="shared" si="19"/>
        <v>96</v>
      </c>
      <c r="U27" s="16">
        <f t="shared" si="19"/>
        <v>80</v>
      </c>
      <c r="V27" s="16">
        <f t="shared" si="19"/>
        <v>44</v>
      </c>
      <c r="W27" s="16">
        <f t="shared" si="19"/>
        <v>3</v>
      </c>
      <c r="X27" s="16">
        <f t="shared" si="19"/>
        <v>0</v>
      </c>
      <c r="Y27" s="16">
        <f t="shared" si="19"/>
        <v>44</v>
      </c>
      <c r="Z27" s="16">
        <f t="shared" si="19"/>
        <v>16</v>
      </c>
      <c r="AA27" s="16">
        <f t="shared" si="19"/>
        <v>7</v>
      </c>
      <c r="AB27" s="16">
        <f t="shared" si="19"/>
        <v>6</v>
      </c>
      <c r="AC27" s="16">
        <f t="shared" si="19"/>
        <v>494</v>
      </c>
      <c r="AD27" s="16">
        <f t="shared" si="19"/>
        <v>0</v>
      </c>
      <c r="AE27" s="32">
        <f t="shared" si="19"/>
        <v>1313</v>
      </c>
      <c r="AF27" s="32">
        <f t="shared" si="19"/>
        <v>1807</v>
      </c>
    </row>
    <row r="28" spans="2:32" ht="23.1" customHeight="1" x14ac:dyDescent="0.25">
      <c r="B28" s="23" t="s">
        <v>55</v>
      </c>
      <c r="C28" s="50">
        <v>32</v>
      </c>
      <c r="D28" s="50">
        <v>7</v>
      </c>
      <c r="E28" s="50">
        <v>7</v>
      </c>
      <c r="F28" s="50">
        <v>7</v>
      </c>
      <c r="G28" s="50">
        <v>0</v>
      </c>
      <c r="H28" s="50">
        <v>0</v>
      </c>
      <c r="I28" s="50">
        <v>3</v>
      </c>
      <c r="J28" s="50">
        <v>2</v>
      </c>
      <c r="K28" s="50">
        <v>5</v>
      </c>
      <c r="L28" s="50">
        <v>2</v>
      </c>
      <c r="M28" s="50">
        <v>79</v>
      </c>
      <c r="N28" s="50">
        <v>0</v>
      </c>
      <c r="O28" s="15">
        <f t="shared" si="0"/>
        <v>65</v>
      </c>
      <c r="P28" s="15">
        <f t="shared" si="1"/>
        <v>144</v>
      </c>
      <c r="R28" s="5" t="s">
        <v>17</v>
      </c>
      <c r="S28" s="16">
        <f t="shared" ref="S28:AF28" si="20">SUM(S10:S21)</f>
        <v>2148</v>
      </c>
      <c r="T28" s="16">
        <f t="shared" si="20"/>
        <v>313</v>
      </c>
      <c r="U28" s="16">
        <f t="shared" si="20"/>
        <v>297</v>
      </c>
      <c r="V28" s="16">
        <f t="shared" si="20"/>
        <v>244</v>
      </c>
      <c r="W28" s="16">
        <f t="shared" si="20"/>
        <v>22</v>
      </c>
      <c r="X28" s="16">
        <f t="shared" si="20"/>
        <v>2</v>
      </c>
      <c r="Y28" s="16">
        <f t="shared" si="20"/>
        <v>176</v>
      </c>
      <c r="Z28" s="16">
        <f t="shared" si="20"/>
        <v>43</v>
      </c>
      <c r="AA28" s="16">
        <f t="shared" si="20"/>
        <v>46</v>
      </c>
      <c r="AB28" s="16">
        <f t="shared" si="20"/>
        <v>64</v>
      </c>
      <c r="AC28" s="16">
        <f t="shared" si="20"/>
        <v>4068</v>
      </c>
      <c r="AD28" s="16">
        <f t="shared" si="20"/>
        <v>0</v>
      </c>
      <c r="AE28" s="32">
        <f t="shared" si="20"/>
        <v>3355</v>
      </c>
      <c r="AF28" s="32">
        <f t="shared" si="20"/>
        <v>7423</v>
      </c>
    </row>
    <row r="29" spans="2:32" ht="23.1" customHeight="1" x14ac:dyDescent="0.25">
      <c r="B29" s="23" t="s">
        <v>56</v>
      </c>
      <c r="C29" s="50">
        <v>41</v>
      </c>
      <c r="D29" s="50">
        <v>11</v>
      </c>
      <c r="E29" s="50">
        <v>4</v>
      </c>
      <c r="F29" s="50">
        <v>7</v>
      </c>
      <c r="G29" s="50">
        <v>0</v>
      </c>
      <c r="H29" s="50">
        <v>0</v>
      </c>
      <c r="I29" s="50">
        <v>6</v>
      </c>
      <c r="J29" s="50">
        <v>3</v>
      </c>
      <c r="K29" s="50">
        <v>3</v>
      </c>
      <c r="L29" s="50">
        <v>2</v>
      </c>
      <c r="M29" s="50">
        <v>105</v>
      </c>
      <c r="N29" s="50">
        <v>0</v>
      </c>
      <c r="O29" s="15">
        <f t="shared" si="0"/>
        <v>77</v>
      </c>
      <c r="P29" s="15">
        <f t="shared" si="1"/>
        <v>182</v>
      </c>
      <c r="R29"/>
      <c r="S29" s="20"/>
      <c r="T29" s="19"/>
    </row>
    <row r="30" spans="2:32" ht="23.1" customHeight="1" x14ac:dyDescent="0.25">
      <c r="B30" s="23" t="s">
        <v>57</v>
      </c>
      <c r="C30" s="50">
        <v>36</v>
      </c>
      <c r="D30" s="50">
        <v>8</v>
      </c>
      <c r="E30" s="50">
        <v>8</v>
      </c>
      <c r="F30" s="50">
        <v>3</v>
      </c>
      <c r="G30" s="50">
        <v>0</v>
      </c>
      <c r="H30" s="50">
        <v>0</v>
      </c>
      <c r="I30" s="50">
        <v>5</v>
      </c>
      <c r="J30" s="50">
        <v>0</v>
      </c>
      <c r="K30" s="50">
        <v>0</v>
      </c>
      <c r="L30" s="50">
        <v>0</v>
      </c>
      <c r="M30" s="50">
        <v>88</v>
      </c>
      <c r="N30" s="50">
        <v>0</v>
      </c>
      <c r="O30" s="15">
        <f t="shared" si="0"/>
        <v>60</v>
      </c>
      <c r="P30" s="15">
        <f t="shared" si="1"/>
        <v>148</v>
      </c>
    </row>
    <row r="31" spans="2:32" ht="23.1" customHeight="1" x14ac:dyDescent="0.25">
      <c r="B31" s="24" t="s">
        <v>58</v>
      </c>
      <c r="C31" s="50">
        <v>37</v>
      </c>
      <c r="D31" s="50">
        <v>9</v>
      </c>
      <c r="E31" s="50">
        <v>3</v>
      </c>
      <c r="F31" s="50">
        <v>2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1</v>
      </c>
      <c r="M31" s="50">
        <v>106</v>
      </c>
      <c r="N31" s="50">
        <v>0</v>
      </c>
      <c r="O31" s="15">
        <f t="shared" si="0"/>
        <v>54</v>
      </c>
      <c r="P31" s="15">
        <f t="shared" si="1"/>
        <v>160</v>
      </c>
    </row>
    <row r="32" spans="2:32" ht="23.1" customHeight="1" x14ac:dyDescent="0.25">
      <c r="B32" s="24" t="s">
        <v>59</v>
      </c>
      <c r="C32" s="50">
        <v>29</v>
      </c>
      <c r="D32" s="50">
        <v>8</v>
      </c>
      <c r="E32" s="50">
        <v>6</v>
      </c>
      <c r="F32" s="50">
        <v>3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1</v>
      </c>
      <c r="M32" s="50">
        <v>108</v>
      </c>
      <c r="N32" s="50">
        <v>0</v>
      </c>
      <c r="O32" s="15">
        <f t="shared" si="0"/>
        <v>49</v>
      </c>
      <c r="P32" s="15">
        <f t="shared" si="1"/>
        <v>157</v>
      </c>
    </row>
    <row r="33" spans="2:20" ht="23.1" customHeight="1" x14ac:dyDescent="0.25">
      <c r="B33" s="23" t="s">
        <v>60</v>
      </c>
      <c r="C33" s="50">
        <v>33</v>
      </c>
      <c r="D33" s="50">
        <v>9</v>
      </c>
      <c r="E33" s="50">
        <v>4</v>
      </c>
      <c r="F33" s="50">
        <v>6</v>
      </c>
      <c r="G33" s="50">
        <v>1</v>
      </c>
      <c r="H33" s="50">
        <v>0</v>
      </c>
      <c r="I33" s="50">
        <v>1</v>
      </c>
      <c r="J33" s="50">
        <v>0</v>
      </c>
      <c r="K33" s="50">
        <v>0</v>
      </c>
      <c r="L33" s="50">
        <v>2</v>
      </c>
      <c r="M33" s="50">
        <v>87</v>
      </c>
      <c r="N33" s="50">
        <v>0</v>
      </c>
      <c r="O33" s="15">
        <f t="shared" si="0"/>
        <v>56</v>
      </c>
      <c r="P33" s="15">
        <f t="shared" si="1"/>
        <v>143</v>
      </c>
    </row>
    <row r="34" spans="2:20" ht="23.1" customHeight="1" x14ac:dyDescent="0.25">
      <c r="B34" s="24" t="s">
        <v>61</v>
      </c>
      <c r="C34" s="50">
        <v>26</v>
      </c>
      <c r="D34" s="50">
        <v>7</v>
      </c>
      <c r="E34" s="50">
        <v>7</v>
      </c>
      <c r="F34" s="50">
        <v>5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2</v>
      </c>
      <c r="M34" s="50">
        <v>94</v>
      </c>
      <c r="N34" s="50">
        <v>0</v>
      </c>
      <c r="O34" s="15">
        <f t="shared" si="0"/>
        <v>49</v>
      </c>
      <c r="P34" s="15">
        <f t="shared" si="1"/>
        <v>143</v>
      </c>
    </row>
    <row r="35" spans="2:20" ht="23.1" customHeight="1" x14ac:dyDescent="0.25">
      <c r="B35" s="24" t="s">
        <v>62</v>
      </c>
      <c r="C35" s="50">
        <v>32</v>
      </c>
      <c r="D35" s="50">
        <v>5</v>
      </c>
      <c r="E35" s="50">
        <v>5</v>
      </c>
      <c r="F35" s="50">
        <v>10</v>
      </c>
      <c r="G35" s="50">
        <v>0</v>
      </c>
      <c r="H35" s="50">
        <v>0</v>
      </c>
      <c r="I35" s="50">
        <v>1</v>
      </c>
      <c r="J35" s="50">
        <v>2</v>
      </c>
      <c r="K35" s="50">
        <v>0</v>
      </c>
      <c r="L35" s="50">
        <v>1</v>
      </c>
      <c r="M35" s="50">
        <v>77</v>
      </c>
      <c r="N35" s="50">
        <v>0</v>
      </c>
      <c r="O35" s="15">
        <f t="shared" si="0"/>
        <v>56</v>
      </c>
      <c r="P35" s="15">
        <f t="shared" si="1"/>
        <v>133</v>
      </c>
    </row>
    <row r="36" spans="2:20" ht="23.1" customHeight="1" x14ac:dyDescent="0.25">
      <c r="B36" s="24" t="s">
        <v>63</v>
      </c>
      <c r="C36" s="50">
        <v>33</v>
      </c>
      <c r="D36" s="50">
        <v>8</v>
      </c>
      <c r="E36" s="50">
        <v>3</v>
      </c>
      <c r="F36" s="50">
        <v>7</v>
      </c>
      <c r="G36" s="50">
        <v>0</v>
      </c>
      <c r="H36" s="50">
        <v>1</v>
      </c>
      <c r="I36" s="50">
        <v>2</v>
      </c>
      <c r="J36" s="50">
        <v>0</v>
      </c>
      <c r="K36" s="50">
        <v>0</v>
      </c>
      <c r="L36" s="50">
        <v>3</v>
      </c>
      <c r="M36" s="50">
        <v>52</v>
      </c>
      <c r="N36" s="50">
        <v>0</v>
      </c>
      <c r="O36" s="15">
        <f t="shared" si="0"/>
        <v>57</v>
      </c>
      <c r="P36" s="15">
        <f t="shared" si="1"/>
        <v>109</v>
      </c>
    </row>
    <row r="37" spans="2:20" ht="23.1" customHeight="1" x14ac:dyDescent="0.25">
      <c r="B37" s="23" t="s">
        <v>64</v>
      </c>
      <c r="C37" s="50">
        <v>37</v>
      </c>
      <c r="D37" s="50">
        <v>9</v>
      </c>
      <c r="E37" s="50">
        <v>5</v>
      </c>
      <c r="F37" s="50">
        <v>0</v>
      </c>
      <c r="G37" s="50">
        <v>0</v>
      </c>
      <c r="H37" s="50">
        <v>0</v>
      </c>
      <c r="I37" s="50">
        <v>4</v>
      </c>
      <c r="J37" s="50">
        <v>0</v>
      </c>
      <c r="K37" s="50">
        <v>1</v>
      </c>
      <c r="L37" s="50">
        <v>2</v>
      </c>
      <c r="M37" s="50">
        <v>41</v>
      </c>
      <c r="N37" s="50">
        <v>0</v>
      </c>
      <c r="O37" s="15">
        <f t="shared" si="0"/>
        <v>58</v>
      </c>
      <c r="P37" s="15">
        <f t="shared" si="1"/>
        <v>99</v>
      </c>
    </row>
    <row r="38" spans="2:20" ht="23.1" customHeight="1" x14ac:dyDescent="0.25">
      <c r="B38" s="24" t="s">
        <v>65</v>
      </c>
      <c r="C38" s="50">
        <v>25</v>
      </c>
      <c r="D38" s="50">
        <v>4</v>
      </c>
      <c r="E38" s="50">
        <v>7</v>
      </c>
      <c r="F38" s="50">
        <v>8</v>
      </c>
      <c r="G38" s="50">
        <v>0</v>
      </c>
      <c r="H38" s="50">
        <v>0</v>
      </c>
      <c r="I38" s="50">
        <v>4</v>
      </c>
      <c r="J38" s="50">
        <v>0</v>
      </c>
      <c r="K38" s="50">
        <v>1</v>
      </c>
      <c r="L38" s="50">
        <v>1</v>
      </c>
      <c r="M38" s="50">
        <v>84</v>
      </c>
      <c r="N38" s="50">
        <v>0</v>
      </c>
      <c r="O38" s="15">
        <f t="shared" si="0"/>
        <v>50</v>
      </c>
      <c r="P38" s="15">
        <f t="shared" si="1"/>
        <v>134</v>
      </c>
    </row>
    <row r="39" spans="2:20" ht="23.1" customHeight="1" x14ac:dyDescent="0.25">
      <c r="B39" s="24" t="s">
        <v>66</v>
      </c>
      <c r="C39" s="50">
        <v>30</v>
      </c>
      <c r="D39" s="50">
        <v>1</v>
      </c>
      <c r="E39" s="50">
        <v>4</v>
      </c>
      <c r="F39" s="50">
        <v>5</v>
      </c>
      <c r="G39" s="50">
        <v>0</v>
      </c>
      <c r="H39" s="50">
        <v>0</v>
      </c>
      <c r="I39" s="50">
        <v>7</v>
      </c>
      <c r="J39" s="50">
        <v>1</v>
      </c>
      <c r="K39" s="50">
        <v>1</v>
      </c>
      <c r="L39" s="50">
        <v>6</v>
      </c>
      <c r="M39" s="50">
        <v>98</v>
      </c>
      <c r="N39" s="50">
        <v>0</v>
      </c>
      <c r="O39" s="15">
        <f t="shared" si="0"/>
        <v>55</v>
      </c>
      <c r="P39" s="15">
        <f t="shared" si="1"/>
        <v>153</v>
      </c>
    </row>
    <row r="40" spans="2:20" ht="23.1" customHeight="1" x14ac:dyDescent="0.25">
      <c r="B40" s="24" t="s">
        <v>67</v>
      </c>
      <c r="C40" s="50">
        <v>37</v>
      </c>
      <c r="D40" s="50">
        <v>13</v>
      </c>
      <c r="E40" s="50">
        <v>5</v>
      </c>
      <c r="F40" s="50">
        <v>14</v>
      </c>
      <c r="G40" s="50">
        <v>0</v>
      </c>
      <c r="H40" s="50">
        <v>0</v>
      </c>
      <c r="I40" s="50">
        <v>5</v>
      </c>
      <c r="J40" s="50">
        <v>2</v>
      </c>
      <c r="K40" s="50">
        <v>3</v>
      </c>
      <c r="L40" s="50">
        <v>4</v>
      </c>
      <c r="M40" s="50">
        <v>79</v>
      </c>
      <c r="N40" s="50">
        <v>0</v>
      </c>
      <c r="O40" s="15">
        <f t="shared" si="0"/>
        <v>83</v>
      </c>
      <c r="P40" s="15">
        <f t="shared" si="1"/>
        <v>162</v>
      </c>
    </row>
    <row r="41" spans="2:20" ht="23.1" customHeight="1" x14ac:dyDescent="0.25">
      <c r="B41" s="23" t="s">
        <v>68</v>
      </c>
      <c r="C41" s="50">
        <v>43</v>
      </c>
      <c r="D41" s="50">
        <v>4</v>
      </c>
      <c r="E41" s="50">
        <v>5</v>
      </c>
      <c r="F41" s="50">
        <v>4</v>
      </c>
      <c r="G41" s="50">
        <v>0</v>
      </c>
      <c r="H41" s="50">
        <v>0</v>
      </c>
      <c r="I41" s="50">
        <v>7</v>
      </c>
      <c r="J41" s="50">
        <v>0</v>
      </c>
      <c r="K41" s="50">
        <v>0</v>
      </c>
      <c r="L41" s="50">
        <v>2</v>
      </c>
      <c r="M41" s="50">
        <v>52</v>
      </c>
      <c r="N41" s="50">
        <v>0</v>
      </c>
      <c r="O41" s="15">
        <f t="shared" si="0"/>
        <v>65</v>
      </c>
      <c r="P41" s="15">
        <f t="shared" si="1"/>
        <v>117</v>
      </c>
    </row>
    <row r="42" spans="2:20" ht="23.1" customHeight="1" x14ac:dyDescent="0.25">
      <c r="B42" s="24" t="s">
        <v>69</v>
      </c>
      <c r="C42" s="50">
        <v>48</v>
      </c>
      <c r="D42" s="50">
        <v>9</v>
      </c>
      <c r="E42" s="50">
        <v>8</v>
      </c>
      <c r="F42" s="50">
        <v>5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v>1</v>
      </c>
      <c r="M42" s="50">
        <v>52</v>
      </c>
      <c r="N42" s="50">
        <v>0</v>
      </c>
      <c r="O42" s="15">
        <f t="shared" si="0"/>
        <v>75</v>
      </c>
      <c r="P42" s="15">
        <f t="shared" si="1"/>
        <v>127</v>
      </c>
    </row>
    <row r="43" spans="2:20" ht="23.1" customHeight="1" x14ac:dyDescent="0.25">
      <c r="B43" s="23" t="s">
        <v>70</v>
      </c>
      <c r="C43" s="50">
        <v>38</v>
      </c>
      <c r="D43" s="50">
        <v>2</v>
      </c>
      <c r="E43" s="50">
        <v>6</v>
      </c>
      <c r="F43" s="50">
        <v>8</v>
      </c>
      <c r="G43" s="50">
        <v>0</v>
      </c>
      <c r="H43" s="50">
        <v>0</v>
      </c>
      <c r="I43" s="50">
        <v>4</v>
      </c>
      <c r="J43" s="50">
        <v>1</v>
      </c>
      <c r="K43" s="50">
        <v>3</v>
      </c>
      <c r="L43" s="50">
        <v>3</v>
      </c>
      <c r="M43" s="50">
        <v>33</v>
      </c>
      <c r="N43" s="50">
        <v>0</v>
      </c>
      <c r="O43" s="15">
        <f t="shared" si="0"/>
        <v>65</v>
      </c>
      <c r="P43" s="15">
        <f t="shared" si="1"/>
        <v>98</v>
      </c>
    </row>
    <row r="44" spans="2:20" ht="23.1" customHeight="1" x14ac:dyDescent="0.25">
      <c r="B44" s="25" t="s">
        <v>71</v>
      </c>
      <c r="C44" s="50">
        <v>44</v>
      </c>
      <c r="D44" s="50">
        <v>10</v>
      </c>
      <c r="E44" s="50">
        <v>12</v>
      </c>
      <c r="F44" s="50">
        <v>8</v>
      </c>
      <c r="G44" s="50">
        <v>0</v>
      </c>
      <c r="H44" s="50">
        <v>0</v>
      </c>
      <c r="I44" s="50">
        <v>5</v>
      </c>
      <c r="J44" s="50">
        <v>1</v>
      </c>
      <c r="K44" s="50">
        <v>7</v>
      </c>
      <c r="L44" s="50">
        <v>6</v>
      </c>
      <c r="M44" s="50">
        <v>56</v>
      </c>
      <c r="N44" s="50">
        <v>0</v>
      </c>
      <c r="O44" s="15">
        <f t="shared" si="0"/>
        <v>93</v>
      </c>
      <c r="P44" s="15">
        <f t="shared" si="1"/>
        <v>149</v>
      </c>
    </row>
    <row r="45" spans="2:20" ht="23.1" customHeight="1" x14ac:dyDescent="0.25">
      <c r="B45" s="23" t="s">
        <v>72</v>
      </c>
      <c r="C45" s="50">
        <v>29</v>
      </c>
      <c r="D45" s="50">
        <v>4</v>
      </c>
      <c r="E45" s="50">
        <v>9</v>
      </c>
      <c r="F45" s="50">
        <v>4</v>
      </c>
      <c r="G45" s="50">
        <v>0</v>
      </c>
      <c r="H45" s="50">
        <v>0</v>
      </c>
      <c r="I45" s="50">
        <v>4</v>
      </c>
      <c r="J45" s="50">
        <v>0</v>
      </c>
      <c r="K45" s="50">
        <v>1</v>
      </c>
      <c r="L45" s="50">
        <v>1</v>
      </c>
      <c r="M45" s="50">
        <v>57</v>
      </c>
      <c r="N45" s="50">
        <v>0</v>
      </c>
      <c r="O45" s="15">
        <f t="shared" si="0"/>
        <v>52</v>
      </c>
      <c r="P45" s="15">
        <f t="shared" si="1"/>
        <v>109</v>
      </c>
    </row>
    <row r="46" spans="2:20" ht="23.1" customHeight="1" x14ac:dyDescent="0.25">
      <c r="B46" s="24" t="s">
        <v>73</v>
      </c>
      <c r="C46" s="50">
        <v>28</v>
      </c>
      <c r="D46" s="50">
        <v>1</v>
      </c>
      <c r="E46" s="50">
        <v>7</v>
      </c>
      <c r="F46" s="50">
        <v>2</v>
      </c>
      <c r="G46" s="50">
        <v>0</v>
      </c>
      <c r="H46" s="50">
        <v>0</v>
      </c>
      <c r="I46" s="50">
        <v>2</v>
      </c>
      <c r="J46" s="50">
        <v>3</v>
      </c>
      <c r="K46" s="50">
        <v>0</v>
      </c>
      <c r="L46" s="50">
        <v>0</v>
      </c>
      <c r="M46" s="50">
        <v>42</v>
      </c>
      <c r="N46" s="50">
        <v>0</v>
      </c>
      <c r="O46" s="15">
        <f t="shared" si="0"/>
        <v>43</v>
      </c>
      <c r="P46" s="15">
        <f t="shared" si="1"/>
        <v>85</v>
      </c>
      <c r="R46" s="8"/>
      <c r="T46"/>
    </row>
    <row r="47" spans="2:20" ht="23.1" customHeight="1" x14ac:dyDescent="0.25">
      <c r="B47" s="24" t="s">
        <v>74</v>
      </c>
      <c r="C47" s="50">
        <v>66</v>
      </c>
      <c r="D47" s="50">
        <v>11</v>
      </c>
      <c r="E47" s="50">
        <v>10</v>
      </c>
      <c r="F47" s="50">
        <v>7</v>
      </c>
      <c r="G47" s="50">
        <v>0</v>
      </c>
      <c r="H47" s="50">
        <v>0</v>
      </c>
      <c r="I47" s="50">
        <v>6</v>
      </c>
      <c r="J47" s="50">
        <v>5</v>
      </c>
      <c r="K47" s="50">
        <v>1</v>
      </c>
      <c r="L47" s="50">
        <v>1</v>
      </c>
      <c r="M47" s="50">
        <v>55</v>
      </c>
      <c r="N47" s="50">
        <v>0</v>
      </c>
      <c r="O47" s="15">
        <f t="shared" si="0"/>
        <v>107</v>
      </c>
      <c r="P47" s="15">
        <f t="shared" si="1"/>
        <v>162</v>
      </c>
      <c r="R47" s="8"/>
      <c r="T47"/>
    </row>
    <row r="48" spans="2:20" ht="23.1" customHeight="1" x14ac:dyDescent="0.25">
      <c r="B48" s="24" t="s">
        <v>75</v>
      </c>
      <c r="C48" s="50">
        <v>42</v>
      </c>
      <c r="D48" s="50">
        <v>5</v>
      </c>
      <c r="E48" s="50">
        <v>5</v>
      </c>
      <c r="F48" s="50">
        <v>1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90</v>
      </c>
      <c r="N48" s="50">
        <v>0</v>
      </c>
      <c r="O48" s="15">
        <f t="shared" si="0"/>
        <v>55</v>
      </c>
      <c r="P48" s="15">
        <f t="shared" si="1"/>
        <v>145</v>
      </c>
      <c r="R48" s="8"/>
      <c r="T48"/>
    </row>
    <row r="49" spans="2:20" ht="23.1" customHeight="1" x14ac:dyDescent="0.25">
      <c r="B49" s="23" t="s">
        <v>76</v>
      </c>
      <c r="C49" s="50">
        <v>60</v>
      </c>
      <c r="D49" s="50">
        <v>10</v>
      </c>
      <c r="E49" s="50">
        <v>13</v>
      </c>
      <c r="F49" s="50">
        <v>5</v>
      </c>
      <c r="G49" s="50">
        <v>0</v>
      </c>
      <c r="H49" s="50">
        <v>0</v>
      </c>
      <c r="I49" s="50">
        <v>8</v>
      </c>
      <c r="J49" s="50">
        <v>3</v>
      </c>
      <c r="K49" s="50">
        <v>4</v>
      </c>
      <c r="L49" s="50">
        <v>1</v>
      </c>
      <c r="M49" s="50">
        <v>46</v>
      </c>
      <c r="N49" s="50">
        <v>0</v>
      </c>
      <c r="O49" s="15">
        <f t="shared" si="0"/>
        <v>104</v>
      </c>
      <c r="P49" s="15">
        <f t="shared" si="1"/>
        <v>150</v>
      </c>
      <c r="R49" s="8"/>
      <c r="T49"/>
    </row>
    <row r="50" spans="2:20" ht="23.1" customHeight="1" x14ac:dyDescent="0.25">
      <c r="B50" s="24" t="s">
        <v>77</v>
      </c>
      <c r="C50" s="50">
        <v>6</v>
      </c>
      <c r="D50" s="50">
        <v>2</v>
      </c>
      <c r="E50" s="50">
        <v>1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22</v>
      </c>
      <c r="N50" s="50">
        <v>0</v>
      </c>
      <c r="O50" s="15">
        <f t="shared" si="0"/>
        <v>10</v>
      </c>
      <c r="P50" s="15">
        <f t="shared" si="1"/>
        <v>32</v>
      </c>
      <c r="R50" s="8"/>
      <c r="T50"/>
    </row>
    <row r="51" spans="2:20" ht="23.1" customHeight="1" x14ac:dyDescent="0.25">
      <c r="B51" s="24" t="s">
        <v>78</v>
      </c>
      <c r="C51" s="50">
        <v>100</v>
      </c>
      <c r="D51" s="50">
        <v>14</v>
      </c>
      <c r="E51" s="50">
        <v>14</v>
      </c>
      <c r="F51" s="50">
        <v>5</v>
      </c>
      <c r="G51" s="50">
        <v>0</v>
      </c>
      <c r="H51" s="50">
        <v>0</v>
      </c>
      <c r="I51" s="50">
        <v>3</v>
      </c>
      <c r="J51" s="50">
        <v>2</v>
      </c>
      <c r="K51" s="50">
        <v>1</v>
      </c>
      <c r="L51" s="50">
        <v>1</v>
      </c>
      <c r="M51" s="50">
        <v>38</v>
      </c>
      <c r="N51" s="50">
        <v>0</v>
      </c>
      <c r="O51" s="15">
        <f t="shared" si="0"/>
        <v>140</v>
      </c>
      <c r="P51" s="15">
        <f t="shared" si="1"/>
        <v>178</v>
      </c>
      <c r="R51" s="8"/>
      <c r="T51"/>
    </row>
    <row r="52" spans="2:20" ht="23.1" customHeight="1" x14ac:dyDescent="0.25">
      <c r="B52" s="24" t="s">
        <v>79</v>
      </c>
      <c r="C52" s="50">
        <v>20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58</v>
      </c>
      <c r="N52" s="50">
        <v>0</v>
      </c>
      <c r="O52" s="15">
        <f t="shared" si="0"/>
        <v>21</v>
      </c>
      <c r="P52" s="15">
        <f t="shared" si="1"/>
        <v>79</v>
      </c>
      <c r="R52" s="8"/>
      <c r="T52"/>
    </row>
    <row r="53" spans="2:20" ht="23.1" customHeight="1" x14ac:dyDescent="0.25">
      <c r="B53" s="23" t="s">
        <v>80</v>
      </c>
      <c r="C53" s="50">
        <v>260</v>
      </c>
      <c r="D53" s="50">
        <v>15</v>
      </c>
      <c r="E53" s="50">
        <v>13</v>
      </c>
      <c r="F53" s="50">
        <v>3</v>
      </c>
      <c r="G53" s="50">
        <v>1</v>
      </c>
      <c r="H53" s="50">
        <v>0</v>
      </c>
      <c r="I53" s="50">
        <v>3</v>
      </c>
      <c r="J53" s="50">
        <v>1</v>
      </c>
      <c r="K53" s="50">
        <v>0</v>
      </c>
      <c r="L53" s="50">
        <v>0</v>
      </c>
      <c r="M53" s="50">
        <v>55</v>
      </c>
      <c r="N53" s="50">
        <v>0</v>
      </c>
      <c r="O53" s="15">
        <f t="shared" si="0"/>
        <v>296</v>
      </c>
      <c r="P53" s="15">
        <f t="shared" si="1"/>
        <v>351</v>
      </c>
      <c r="R53" s="8"/>
      <c r="T53"/>
    </row>
    <row r="54" spans="2:20" ht="23.1" customHeight="1" x14ac:dyDescent="0.25">
      <c r="B54" s="23" t="s">
        <v>81</v>
      </c>
      <c r="C54" s="50">
        <v>100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8</v>
      </c>
      <c r="J54" s="50">
        <v>1</v>
      </c>
      <c r="K54" s="50">
        <v>0</v>
      </c>
      <c r="L54" s="50">
        <v>0</v>
      </c>
      <c r="M54" s="50">
        <v>24</v>
      </c>
      <c r="N54" s="50">
        <v>0</v>
      </c>
      <c r="O54" s="15">
        <f t="shared" si="0"/>
        <v>110</v>
      </c>
      <c r="P54" s="15">
        <f t="shared" si="1"/>
        <v>134</v>
      </c>
      <c r="R54" s="8"/>
      <c r="T54"/>
    </row>
    <row r="55" spans="2:20" ht="23.1" customHeight="1" x14ac:dyDescent="0.25">
      <c r="B55" s="23" t="s">
        <v>82</v>
      </c>
      <c r="C55" s="50">
        <v>115</v>
      </c>
      <c r="D55" s="50">
        <v>22</v>
      </c>
      <c r="E55" s="50">
        <v>3</v>
      </c>
      <c r="F55" s="50">
        <v>15</v>
      </c>
      <c r="G55" s="50">
        <v>0</v>
      </c>
      <c r="H55" s="50">
        <v>0</v>
      </c>
      <c r="I55" s="50">
        <v>4</v>
      </c>
      <c r="J55" s="50">
        <v>1</v>
      </c>
      <c r="K55" s="50">
        <v>0</v>
      </c>
      <c r="L55" s="50">
        <v>1</v>
      </c>
      <c r="M55" s="50">
        <v>20</v>
      </c>
      <c r="N55" s="50">
        <v>0</v>
      </c>
      <c r="O55" s="15">
        <f t="shared" si="0"/>
        <v>161</v>
      </c>
      <c r="P55" s="15">
        <f t="shared" si="1"/>
        <v>181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1</v>
      </c>
      <c r="F56" s="50">
        <v>1</v>
      </c>
      <c r="G56" s="50">
        <v>1</v>
      </c>
      <c r="H56" s="50">
        <v>0</v>
      </c>
      <c r="I56" s="50">
        <v>5</v>
      </c>
      <c r="J56" s="50">
        <v>0</v>
      </c>
      <c r="K56" s="50">
        <v>0</v>
      </c>
      <c r="L56" s="50">
        <v>0</v>
      </c>
      <c r="M56" s="50">
        <v>17</v>
      </c>
      <c r="N56" s="50">
        <v>0</v>
      </c>
      <c r="O56" s="15">
        <f t="shared" si="0"/>
        <v>8</v>
      </c>
      <c r="P56" s="15">
        <f t="shared" si="1"/>
        <v>25</v>
      </c>
      <c r="R56" s="8"/>
      <c r="T56"/>
    </row>
    <row r="57" spans="2:20" ht="23.1" customHeight="1" x14ac:dyDescent="0.25">
      <c r="B57" s="23" t="s">
        <v>84</v>
      </c>
      <c r="C57" s="50">
        <v>220</v>
      </c>
      <c r="D57" s="50">
        <v>16</v>
      </c>
      <c r="E57" s="50">
        <v>11</v>
      </c>
      <c r="F57" s="50">
        <v>5</v>
      </c>
      <c r="G57" s="50">
        <v>1</v>
      </c>
      <c r="H57" s="50">
        <v>0</v>
      </c>
      <c r="I57" s="50">
        <v>2</v>
      </c>
      <c r="J57" s="50">
        <v>0</v>
      </c>
      <c r="K57" s="50">
        <v>1</v>
      </c>
      <c r="L57" s="50">
        <v>2</v>
      </c>
      <c r="M57" s="50">
        <v>27</v>
      </c>
      <c r="N57" s="50">
        <v>0</v>
      </c>
      <c r="O57" s="15">
        <f t="shared" si="0"/>
        <v>258</v>
      </c>
      <c r="P57" s="15">
        <f t="shared" si="1"/>
        <v>285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2148</v>
      </c>
      <c r="D58" s="16">
        <f t="shared" si="21"/>
        <v>313</v>
      </c>
      <c r="E58" s="16">
        <f t="shared" si="21"/>
        <v>297</v>
      </c>
      <c r="F58" s="16">
        <f t="shared" si="21"/>
        <v>244</v>
      </c>
      <c r="G58" s="16">
        <f t="shared" si="21"/>
        <v>22</v>
      </c>
      <c r="H58" s="16">
        <f t="shared" si="21"/>
        <v>2</v>
      </c>
      <c r="I58" s="16">
        <f t="shared" si="21"/>
        <v>176</v>
      </c>
      <c r="J58" s="16">
        <f t="shared" si="21"/>
        <v>43</v>
      </c>
      <c r="K58" s="16">
        <f t="shared" si="21"/>
        <v>46</v>
      </c>
      <c r="L58" s="16">
        <f t="shared" si="21"/>
        <v>64</v>
      </c>
      <c r="M58" s="16">
        <f t="shared" si="21"/>
        <v>4068</v>
      </c>
      <c r="N58" s="16">
        <f t="shared" si="21"/>
        <v>0</v>
      </c>
      <c r="O58" s="16">
        <f t="shared" si="21"/>
        <v>3355</v>
      </c>
      <c r="P58" s="16">
        <f t="shared" si="21"/>
        <v>7423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0.28937087430957836</v>
      </c>
      <c r="D59" s="43">
        <f t="shared" si="22"/>
        <v>4.2166240064663879E-2</v>
      </c>
      <c r="E59" s="43">
        <f t="shared" si="22"/>
        <v>4.0010777313754547E-2</v>
      </c>
      <c r="F59" s="43">
        <f t="shared" si="22"/>
        <v>3.2870806951367369E-2</v>
      </c>
      <c r="G59" s="43">
        <f t="shared" si="22"/>
        <v>2.9637612825003366E-3</v>
      </c>
      <c r="H59" s="43">
        <f t="shared" si="22"/>
        <v>2.6943284386366699E-4</v>
      </c>
      <c r="I59" s="43">
        <f t="shared" si="22"/>
        <v>2.3710090260002693E-2</v>
      </c>
      <c r="J59" s="43">
        <f t="shared" si="22"/>
        <v>5.7928061430688399E-3</v>
      </c>
      <c r="K59" s="43">
        <f t="shared" si="22"/>
        <v>6.1969554088643405E-3</v>
      </c>
      <c r="L59" s="43">
        <f t="shared" si="22"/>
        <v>8.6218510036373437E-3</v>
      </c>
      <c r="M59" s="43">
        <f t="shared" si="22"/>
        <v>0.54802640441869865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0.64023845007451563</v>
      </c>
      <c r="D60" s="44">
        <f t="shared" ref="D60:N60" si="23">D58/$O$58</f>
        <v>9.3293591654247388E-2</v>
      </c>
      <c r="E60" s="44">
        <f t="shared" si="23"/>
        <v>8.8524590163934422E-2</v>
      </c>
      <c r="F60" s="44">
        <f t="shared" si="23"/>
        <v>7.2727272727272724E-2</v>
      </c>
      <c r="G60" s="44">
        <f t="shared" si="23"/>
        <v>6.5573770491803279E-3</v>
      </c>
      <c r="H60" s="44">
        <f t="shared" si="23"/>
        <v>5.9612518628912071E-4</v>
      </c>
      <c r="I60" s="44">
        <f t="shared" si="23"/>
        <v>5.2459016393442623E-2</v>
      </c>
      <c r="J60" s="44">
        <f t="shared" si="23"/>
        <v>1.2816691505216096E-2</v>
      </c>
      <c r="K60" s="44">
        <f t="shared" si="23"/>
        <v>1.3710879284649776E-2</v>
      </c>
      <c r="L60" s="44">
        <f t="shared" si="23"/>
        <v>1.9076005961251863E-2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">
        <v>163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3" t="str">
        <f>'29.07 Spear Motors -URA'!G5:H5</f>
        <v>Spear Motors Limited</v>
      </c>
      <c r="H5" s="64"/>
      <c r="I5" s="14"/>
      <c r="J5" s="2" t="s">
        <v>5</v>
      </c>
      <c r="K5" s="63" t="s">
        <v>170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Spear Motors -URA'!D6:E6</f>
        <v>Spear Motors</v>
      </c>
      <c r="E6" s="64"/>
      <c r="F6" s="2" t="s">
        <v>2</v>
      </c>
      <c r="G6" s="63" t="str">
        <f>'29.07 Spear Motors -URA'!G6:H6</f>
        <v>URA</v>
      </c>
      <c r="H6" s="64"/>
      <c r="J6" s="2" t="s">
        <v>21</v>
      </c>
      <c r="K6" s="63" t="str">
        <f>'29.07 Spear Motors -URA'!K6:L6</f>
        <v>Felix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31</v>
      </c>
      <c r="D10" s="50">
        <v>15</v>
      </c>
      <c r="E10" s="50">
        <v>7</v>
      </c>
      <c r="F10" s="50">
        <v>3</v>
      </c>
      <c r="G10" s="50">
        <v>2</v>
      </c>
      <c r="H10" s="50">
        <v>2</v>
      </c>
      <c r="I10" s="50">
        <v>1</v>
      </c>
      <c r="J10" s="50">
        <v>6</v>
      </c>
      <c r="K10" s="50">
        <v>5</v>
      </c>
      <c r="L10" s="50">
        <v>3</v>
      </c>
      <c r="M10" s="50">
        <v>282</v>
      </c>
      <c r="N10" s="50">
        <v>0</v>
      </c>
      <c r="O10" s="15">
        <f t="shared" ref="O10:O57" si="0">SUM(C10:L10,N10)</f>
        <v>75</v>
      </c>
      <c r="P10" s="15">
        <f t="shared" ref="P10:P57" si="1">SUM(C10:N10)</f>
        <v>357</v>
      </c>
      <c r="R10" s="1" t="s">
        <v>6</v>
      </c>
      <c r="S10" s="17">
        <f t="shared" ref="S10:AF10" si="2">SUM(C10:C13)</f>
        <v>186</v>
      </c>
      <c r="T10" s="17">
        <f t="shared" si="2"/>
        <v>55</v>
      </c>
      <c r="U10" s="17">
        <f t="shared" si="2"/>
        <v>26</v>
      </c>
      <c r="V10" s="17">
        <f t="shared" si="2"/>
        <v>21</v>
      </c>
      <c r="W10" s="17">
        <f t="shared" si="2"/>
        <v>8</v>
      </c>
      <c r="X10" s="17">
        <f t="shared" si="2"/>
        <v>3</v>
      </c>
      <c r="Y10" s="17">
        <f t="shared" si="2"/>
        <v>5</v>
      </c>
      <c r="Z10" s="17">
        <f t="shared" si="2"/>
        <v>8</v>
      </c>
      <c r="AA10" s="17">
        <f t="shared" si="2"/>
        <v>9</v>
      </c>
      <c r="AB10" s="17">
        <f t="shared" si="2"/>
        <v>10</v>
      </c>
      <c r="AC10" s="17">
        <f t="shared" si="2"/>
        <v>1041</v>
      </c>
      <c r="AD10" s="17">
        <f t="shared" si="2"/>
        <v>0</v>
      </c>
      <c r="AE10" s="31">
        <f t="shared" si="2"/>
        <v>331</v>
      </c>
      <c r="AF10" s="31">
        <f t="shared" si="2"/>
        <v>1372</v>
      </c>
    </row>
    <row r="11" spans="2:32" s="6" customFormat="1" ht="23.1" customHeight="1" x14ac:dyDescent="0.25">
      <c r="B11" s="23" t="s">
        <v>38</v>
      </c>
      <c r="C11" s="50">
        <v>39</v>
      </c>
      <c r="D11" s="50">
        <v>23</v>
      </c>
      <c r="E11" s="50">
        <v>8</v>
      </c>
      <c r="F11" s="50">
        <v>5</v>
      </c>
      <c r="G11" s="50">
        <v>6</v>
      </c>
      <c r="H11" s="50">
        <v>0</v>
      </c>
      <c r="I11" s="50">
        <v>3</v>
      </c>
      <c r="J11" s="50">
        <v>0</v>
      </c>
      <c r="K11" s="50">
        <v>2</v>
      </c>
      <c r="L11" s="50">
        <v>2</v>
      </c>
      <c r="M11" s="50">
        <v>240</v>
      </c>
      <c r="N11" s="50">
        <v>0</v>
      </c>
      <c r="O11" s="15">
        <f t="shared" si="0"/>
        <v>88</v>
      </c>
      <c r="P11" s="15">
        <f t="shared" si="1"/>
        <v>328</v>
      </c>
      <c r="R11" s="1" t="s">
        <v>7</v>
      </c>
      <c r="S11" s="17">
        <f t="shared" ref="S11:AF11" si="3">SUM(C14:C17)</f>
        <v>251</v>
      </c>
      <c r="T11" s="17">
        <f t="shared" si="3"/>
        <v>45</v>
      </c>
      <c r="U11" s="17">
        <f t="shared" si="3"/>
        <v>23</v>
      </c>
      <c r="V11" s="17">
        <f t="shared" si="3"/>
        <v>38</v>
      </c>
      <c r="W11" s="17">
        <f t="shared" si="3"/>
        <v>14</v>
      </c>
      <c r="X11" s="17">
        <f t="shared" si="3"/>
        <v>0</v>
      </c>
      <c r="Y11" s="17">
        <f t="shared" si="3"/>
        <v>7</v>
      </c>
      <c r="Z11" s="17">
        <f t="shared" si="3"/>
        <v>5</v>
      </c>
      <c r="AA11" s="17">
        <f t="shared" si="3"/>
        <v>8</v>
      </c>
      <c r="AB11" s="17">
        <f t="shared" si="3"/>
        <v>10</v>
      </c>
      <c r="AC11" s="17">
        <f t="shared" si="3"/>
        <v>1069</v>
      </c>
      <c r="AD11" s="17">
        <f t="shared" si="3"/>
        <v>0</v>
      </c>
      <c r="AE11" s="31">
        <f t="shared" si="3"/>
        <v>401</v>
      </c>
      <c r="AF11" s="31">
        <f t="shared" si="3"/>
        <v>1470</v>
      </c>
    </row>
    <row r="12" spans="2:32" ht="23.1" customHeight="1" x14ac:dyDescent="0.25">
      <c r="B12" s="23" t="s">
        <v>39</v>
      </c>
      <c r="C12" s="50">
        <v>60</v>
      </c>
      <c r="D12" s="50">
        <v>9</v>
      </c>
      <c r="E12" s="50">
        <v>5</v>
      </c>
      <c r="F12" s="50">
        <v>13</v>
      </c>
      <c r="G12" s="50">
        <v>0</v>
      </c>
      <c r="H12" s="50">
        <v>1</v>
      </c>
      <c r="I12" s="50">
        <v>0</v>
      </c>
      <c r="J12" s="50">
        <v>0</v>
      </c>
      <c r="K12" s="50">
        <v>1</v>
      </c>
      <c r="L12" s="50">
        <v>2</v>
      </c>
      <c r="M12" s="50">
        <v>258</v>
      </c>
      <c r="N12" s="50">
        <v>0</v>
      </c>
      <c r="O12" s="15">
        <f t="shared" si="0"/>
        <v>91</v>
      </c>
      <c r="P12" s="15">
        <f t="shared" si="1"/>
        <v>349</v>
      </c>
      <c r="R12" s="1" t="s">
        <v>8</v>
      </c>
      <c r="S12" s="17">
        <f t="shared" ref="S12:AF12" si="4">SUM(C18:C21)</f>
        <v>132</v>
      </c>
      <c r="T12" s="17">
        <f t="shared" si="4"/>
        <v>35</v>
      </c>
      <c r="U12" s="17">
        <f t="shared" si="4"/>
        <v>35</v>
      </c>
      <c r="V12" s="17">
        <f t="shared" si="4"/>
        <v>27</v>
      </c>
      <c r="W12" s="17">
        <f t="shared" si="4"/>
        <v>9</v>
      </c>
      <c r="X12" s="17">
        <f t="shared" si="4"/>
        <v>0</v>
      </c>
      <c r="Y12" s="17">
        <f t="shared" si="4"/>
        <v>3</v>
      </c>
      <c r="Z12" s="17">
        <f t="shared" si="4"/>
        <v>10</v>
      </c>
      <c r="AA12" s="17">
        <f t="shared" si="4"/>
        <v>9</v>
      </c>
      <c r="AB12" s="17">
        <f t="shared" si="4"/>
        <v>11</v>
      </c>
      <c r="AC12" s="17">
        <f t="shared" si="4"/>
        <v>1187</v>
      </c>
      <c r="AD12" s="17">
        <f t="shared" si="4"/>
        <v>0</v>
      </c>
      <c r="AE12" s="31">
        <f t="shared" si="4"/>
        <v>271</v>
      </c>
      <c r="AF12" s="31">
        <f t="shared" si="4"/>
        <v>1458</v>
      </c>
    </row>
    <row r="13" spans="2:32" ht="23.1" customHeight="1" x14ac:dyDescent="0.25">
      <c r="B13" s="23" t="s">
        <v>40</v>
      </c>
      <c r="C13" s="50">
        <v>56</v>
      </c>
      <c r="D13" s="50">
        <v>8</v>
      </c>
      <c r="E13" s="50">
        <v>6</v>
      </c>
      <c r="F13" s="50">
        <v>0</v>
      </c>
      <c r="G13" s="50">
        <v>0</v>
      </c>
      <c r="H13" s="50">
        <v>0</v>
      </c>
      <c r="I13" s="50">
        <v>1</v>
      </c>
      <c r="J13" s="50">
        <v>2</v>
      </c>
      <c r="K13" s="50">
        <v>1</v>
      </c>
      <c r="L13" s="50">
        <v>3</v>
      </c>
      <c r="M13" s="50">
        <v>261</v>
      </c>
      <c r="N13" s="50">
        <v>0</v>
      </c>
      <c r="O13" s="15">
        <f t="shared" si="0"/>
        <v>77</v>
      </c>
      <c r="P13" s="15">
        <f t="shared" si="1"/>
        <v>338</v>
      </c>
      <c r="R13" s="1" t="s">
        <v>9</v>
      </c>
      <c r="S13" s="17">
        <f t="shared" ref="S13:AF13" si="5">SUM(C22:C25)</f>
        <v>110</v>
      </c>
      <c r="T13" s="17">
        <f t="shared" si="5"/>
        <v>30</v>
      </c>
      <c r="U13" s="17">
        <f t="shared" si="5"/>
        <v>22</v>
      </c>
      <c r="V13" s="17">
        <f t="shared" si="5"/>
        <v>33</v>
      </c>
      <c r="W13" s="17">
        <f t="shared" si="5"/>
        <v>3</v>
      </c>
      <c r="X13" s="17">
        <f t="shared" si="5"/>
        <v>2</v>
      </c>
      <c r="Y13" s="17">
        <f t="shared" si="5"/>
        <v>6</v>
      </c>
      <c r="Z13" s="17">
        <f t="shared" si="5"/>
        <v>10</v>
      </c>
      <c r="AA13" s="17">
        <f t="shared" si="5"/>
        <v>6</v>
      </c>
      <c r="AB13" s="17">
        <f t="shared" si="5"/>
        <v>13</v>
      </c>
      <c r="AC13" s="17">
        <f t="shared" si="5"/>
        <v>763</v>
      </c>
      <c r="AD13" s="17">
        <f t="shared" si="5"/>
        <v>0</v>
      </c>
      <c r="AE13" s="31">
        <f t="shared" si="5"/>
        <v>235</v>
      </c>
      <c r="AF13" s="31">
        <f t="shared" si="5"/>
        <v>998</v>
      </c>
    </row>
    <row r="14" spans="2:32" ht="23.1" customHeight="1" x14ac:dyDescent="0.25">
      <c r="B14" s="23" t="s">
        <v>41</v>
      </c>
      <c r="C14" s="50">
        <v>64</v>
      </c>
      <c r="D14" s="50">
        <v>15</v>
      </c>
      <c r="E14" s="50">
        <v>7</v>
      </c>
      <c r="F14" s="50">
        <v>11</v>
      </c>
      <c r="G14" s="50">
        <v>2</v>
      </c>
      <c r="H14" s="50">
        <v>0</v>
      </c>
      <c r="I14" s="50">
        <v>0</v>
      </c>
      <c r="J14" s="50">
        <v>0</v>
      </c>
      <c r="K14" s="50">
        <v>1</v>
      </c>
      <c r="L14" s="50">
        <v>1</v>
      </c>
      <c r="M14" s="50">
        <v>240</v>
      </c>
      <c r="N14" s="50">
        <v>0</v>
      </c>
      <c r="O14" s="15">
        <f t="shared" si="0"/>
        <v>101</v>
      </c>
      <c r="P14" s="15">
        <f t="shared" si="1"/>
        <v>341</v>
      </c>
      <c r="R14" s="1" t="s">
        <v>10</v>
      </c>
      <c r="S14" s="17">
        <f t="shared" ref="S14:AF14" si="6">SUM(C26:C29)</f>
        <v>121</v>
      </c>
      <c r="T14" s="17">
        <f t="shared" si="6"/>
        <v>48</v>
      </c>
      <c r="U14" s="17">
        <f t="shared" si="6"/>
        <v>26</v>
      </c>
      <c r="V14" s="17">
        <f t="shared" si="6"/>
        <v>21</v>
      </c>
      <c r="W14" s="17">
        <f t="shared" si="6"/>
        <v>4</v>
      </c>
      <c r="X14" s="17">
        <f t="shared" si="6"/>
        <v>0</v>
      </c>
      <c r="Y14" s="17">
        <f t="shared" si="6"/>
        <v>9</v>
      </c>
      <c r="Z14" s="17">
        <f t="shared" si="6"/>
        <v>12</v>
      </c>
      <c r="AA14" s="17">
        <f t="shared" si="6"/>
        <v>16</v>
      </c>
      <c r="AB14" s="17">
        <f t="shared" si="6"/>
        <v>23</v>
      </c>
      <c r="AC14" s="17">
        <f t="shared" si="6"/>
        <v>810</v>
      </c>
      <c r="AD14" s="17">
        <f t="shared" si="6"/>
        <v>0</v>
      </c>
      <c r="AE14" s="31">
        <f t="shared" si="6"/>
        <v>280</v>
      </c>
      <c r="AF14" s="31">
        <f t="shared" si="6"/>
        <v>1090</v>
      </c>
    </row>
    <row r="15" spans="2:32" ht="23.1" customHeight="1" x14ac:dyDescent="0.25">
      <c r="B15" s="23" t="s">
        <v>42</v>
      </c>
      <c r="C15" s="50">
        <v>65</v>
      </c>
      <c r="D15" s="50">
        <v>11</v>
      </c>
      <c r="E15" s="50">
        <v>4</v>
      </c>
      <c r="F15" s="50">
        <v>9</v>
      </c>
      <c r="G15" s="50">
        <v>0</v>
      </c>
      <c r="H15" s="50">
        <v>0</v>
      </c>
      <c r="I15" s="50">
        <v>3</v>
      </c>
      <c r="J15" s="50">
        <v>1</v>
      </c>
      <c r="K15" s="50">
        <v>0</v>
      </c>
      <c r="L15" s="50">
        <v>2</v>
      </c>
      <c r="M15" s="50">
        <v>323</v>
      </c>
      <c r="N15" s="50">
        <v>0</v>
      </c>
      <c r="O15" s="15">
        <f t="shared" si="0"/>
        <v>95</v>
      </c>
      <c r="P15" s="15">
        <f t="shared" si="1"/>
        <v>418</v>
      </c>
      <c r="R15" s="1" t="s">
        <v>11</v>
      </c>
      <c r="S15" s="17">
        <f t="shared" ref="S15:AF15" si="7">SUM(C30:C33)</f>
        <v>130</v>
      </c>
      <c r="T15" s="17">
        <f t="shared" si="7"/>
        <v>19</v>
      </c>
      <c r="U15" s="17">
        <f t="shared" si="7"/>
        <v>23</v>
      </c>
      <c r="V15" s="17">
        <f t="shared" si="7"/>
        <v>13</v>
      </c>
      <c r="W15" s="17">
        <f t="shared" si="7"/>
        <v>4</v>
      </c>
      <c r="X15" s="17">
        <f t="shared" si="7"/>
        <v>0</v>
      </c>
      <c r="Y15" s="17">
        <f t="shared" si="7"/>
        <v>33</v>
      </c>
      <c r="Z15" s="17">
        <f t="shared" si="7"/>
        <v>3</v>
      </c>
      <c r="AA15" s="17">
        <f t="shared" si="7"/>
        <v>9</v>
      </c>
      <c r="AB15" s="17">
        <f t="shared" si="7"/>
        <v>41</v>
      </c>
      <c r="AC15" s="17">
        <f t="shared" si="7"/>
        <v>396</v>
      </c>
      <c r="AD15" s="17">
        <f t="shared" si="7"/>
        <v>0</v>
      </c>
      <c r="AE15" s="31">
        <f t="shared" si="7"/>
        <v>275</v>
      </c>
      <c r="AF15" s="31">
        <f t="shared" si="7"/>
        <v>671</v>
      </c>
    </row>
    <row r="16" spans="2:32" ht="23.1" customHeight="1" x14ac:dyDescent="0.25">
      <c r="B16" s="23" t="s">
        <v>43</v>
      </c>
      <c r="C16" s="50">
        <v>68</v>
      </c>
      <c r="D16" s="50">
        <v>12</v>
      </c>
      <c r="E16" s="50">
        <v>5</v>
      </c>
      <c r="F16" s="50">
        <v>12</v>
      </c>
      <c r="G16" s="50">
        <v>6</v>
      </c>
      <c r="H16" s="50">
        <v>0</v>
      </c>
      <c r="I16" s="50">
        <v>0</v>
      </c>
      <c r="J16" s="50">
        <v>0</v>
      </c>
      <c r="K16" s="50">
        <v>1</v>
      </c>
      <c r="L16" s="50">
        <v>2</v>
      </c>
      <c r="M16" s="50">
        <v>259</v>
      </c>
      <c r="N16" s="50">
        <v>0</v>
      </c>
      <c r="O16" s="15">
        <f t="shared" si="0"/>
        <v>106</v>
      </c>
      <c r="P16" s="15">
        <f t="shared" si="1"/>
        <v>365</v>
      </c>
      <c r="R16" s="1" t="s">
        <v>12</v>
      </c>
      <c r="S16" s="17">
        <f t="shared" ref="S16:AF16" si="8">SUM(C34:C37)</f>
        <v>114</v>
      </c>
      <c r="T16" s="17">
        <f t="shared" si="8"/>
        <v>21</v>
      </c>
      <c r="U16" s="17">
        <f t="shared" si="8"/>
        <v>28</v>
      </c>
      <c r="V16" s="17">
        <f t="shared" si="8"/>
        <v>12</v>
      </c>
      <c r="W16" s="17">
        <f t="shared" si="8"/>
        <v>2</v>
      </c>
      <c r="X16" s="17">
        <f t="shared" si="8"/>
        <v>0</v>
      </c>
      <c r="Y16" s="17">
        <f t="shared" si="8"/>
        <v>11</v>
      </c>
      <c r="Z16" s="17">
        <f t="shared" si="8"/>
        <v>16</v>
      </c>
      <c r="AA16" s="17">
        <f t="shared" si="8"/>
        <v>9</v>
      </c>
      <c r="AB16" s="17">
        <f t="shared" si="8"/>
        <v>17</v>
      </c>
      <c r="AC16" s="17">
        <f t="shared" si="8"/>
        <v>439</v>
      </c>
      <c r="AD16" s="17">
        <f t="shared" si="8"/>
        <v>1</v>
      </c>
      <c r="AE16" s="31">
        <f t="shared" si="8"/>
        <v>231</v>
      </c>
      <c r="AF16" s="31">
        <f t="shared" si="8"/>
        <v>670</v>
      </c>
    </row>
    <row r="17" spans="2:32" ht="23.1" customHeight="1" x14ac:dyDescent="0.25">
      <c r="B17" s="23" t="s">
        <v>44</v>
      </c>
      <c r="C17" s="50">
        <v>54</v>
      </c>
      <c r="D17" s="50">
        <v>7</v>
      </c>
      <c r="E17" s="50">
        <v>7</v>
      </c>
      <c r="F17" s="50">
        <v>6</v>
      </c>
      <c r="G17" s="50">
        <v>6</v>
      </c>
      <c r="H17" s="50">
        <v>0</v>
      </c>
      <c r="I17" s="50">
        <v>4</v>
      </c>
      <c r="J17" s="50">
        <v>4</v>
      </c>
      <c r="K17" s="50">
        <v>6</v>
      </c>
      <c r="L17" s="50">
        <v>5</v>
      </c>
      <c r="M17" s="50">
        <v>247</v>
      </c>
      <c r="N17" s="50">
        <v>0</v>
      </c>
      <c r="O17" s="15">
        <f t="shared" si="0"/>
        <v>99</v>
      </c>
      <c r="P17" s="15">
        <f t="shared" si="1"/>
        <v>346</v>
      </c>
      <c r="R17" s="1" t="s">
        <v>13</v>
      </c>
      <c r="S17" s="17">
        <f t="shared" ref="S17:AF17" si="9">SUM(C38:C41)</f>
        <v>117</v>
      </c>
      <c r="T17" s="17">
        <f t="shared" si="9"/>
        <v>40</v>
      </c>
      <c r="U17" s="17">
        <f t="shared" si="9"/>
        <v>43</v>
      </c>
      <c r="V17" s="17">
        <f t="shared" si="9"/>
        <v>17</v>
      </c>
      <c r="W17" s="17">
        <f t="shared" si="9"/>
        <v>8</v>
      </c>
      <c r="X17" s="17">
        <f t="shared" si="9"/>
        <v>0</v>
      </c>
      <c r="Y17" s="17">
        <f t="shared" si="9"/>
        <v>4</v>
      </c>
      <c r="Z17" s="17">
        <f t="shared" si="9"/>
        <v>9</v>
      </c>
      <c r="AA17" s="17">
        <f t="shared" si="9"/>
        <v>5</v>
      </c>
      <c r="AB17" s="17">
        <f t="shared" si="9"/>
        <v>15</v>
      </c>
      <c r="AC17" s="17">
        <f t="shared" si="9"/>
        <v>376</v>
      </c>
      <c r="AD17" s="17">
        <f t="shared" si="9"/>
        <v>0</v>
      </c>
      <c r="AE17" s="31">
        <f t="shared" si="9"/>
        <v>258</v>
      </c>
      <c r="AF17" s="31">
        <f t="shared" si="9"/>
        <v>634</v>
      </c>
    </row>
    <row r="18" spans="2:32" ht="23.1" customHeight="1" x14ac:dyDescent="0.25">
      <c r="B18" s="23" t="s">
        <v>45</v>
      </c>
      <c r="C18" s="50">
        <v>41</v>
      </c>
      <c r="D18" s="50">
        <v>9</v>
      </c>
      <c r="E18" s="50">
        <v>9</v>
      </c>
      <c r="F18" s="50">
        <v>11</v>
      </c>
      <c r="G18" s="50">
        <v>2</v>
      </c>
      <c r="H18" s="50">
        <v>0</v>
      </c>
      <c r="I18" s="50">
        <v>1</v>
      </c>
      <c r="J18" s="50">
        <v>5</v>
      </c>
      <c r="K18" s="50">
        <v>0</v>
      </c>
      <c r="L18" s="50">
        <v>2</v>
      </c>
      <c r="M18" s="50">
        <v>340</v>
      </c>
      <c r="N18" s="50">
        <v>0</v>
      </c>
      <c r="O18" s="15">
        <f t="shared" si="0"/>
        <v>80</v>
      </c>
      <c r="P18" s="15">
        <f t="shared" si="1"/>
        <v>420</v>
      </c>
      <c r="R18" s="1" t="s">
        <v>14</v>
      </c>
      <c r="S18" s="17">
        <f t="shared" ref="S18:AF18" si="10">SUM(C42:C45)</f>
        <v>121</v>
      </c>
      <c r="T18" s="17">
        <f t="shared" si="10"/>
        <v>39</v>
      </c>
      <c r="U18" s="17">
        <f t="shared" si="10"/>
        <v>33</v>
      </c>
      <c r="V18" s="17">
        <f t="shared" si="10"/>
        <v>20</v>
      </c>
      <c r="W18" s="17">
        <f t="shared" si="10"/>
        <v>4</v>
      </c>
      <c r="X18" s="17">
        <f t="shared" si="10"/>
        <v>0</v>
      </c>
      <c r="Y18" s="17">
        <f t="shared" si="10"/>
        <v>10</v>
      </c>
      <c r="Z18" s="17">
        <f t="shared" si="10"/>
        <v>11</v>
      </c>
      <c r="AA18" s="17">
        <f t="shared" si="10"/>
        <v>10</v>
      </c>
      <c r="AB18" s="17">
        <f t="shared" si="10"/>
        <v>18</v>
      </c>
      <c r="AC18" s="17">
        <f t="shared" si="10"/>
        <v>693</v>
      </c>
      <c r="AD18" s="17">
        <f t="shared" si="10"/>
        <v>0</v>
      </c>
      <c r="AE18" s="31">
        <f t="shared" si="10"/>
        <v>266</v>
      </c>
      <c r="AF18" s="31">
        <f t="shared" si="10"/>
        <v>959</v>
      </c>
    </row>
    <row r="19" spans="2:32" ht="23.1" customHeight="1" x14ac:dyDescent="0.25">
      <c r="B19" s="23" t="s">
        <v>46</v>
      </c>
      <c r="C19" s="50">
        <v>31</v>
      </c>
      <c r="D19" s="50">
        <v>9</v>
      </c>
      <c r="E19" s="50">
        <v>9</v>
      </c>
      <c r="F19" s="50">
        <v>8</v>
      </c>
      <c r="G19" s="50">
        <v>1</v>
      </c>
      <c r="H19" s="50">
        <v>0</v>
      </c>
      <c r="I19" s="50">
        <v>0</v>
      </c>
      <c r="J19" s="50">
        <v>3</v>
      </c>
      <c r="K19" s="50">
        <v>3</v>
      </c>
      <c r="L19" s="50">
        <v>3</v>
      </c>
      <c r="M19" s="50">
        <v>323</v>
      </c>
      <c r="N19" s="50">
        <v>0</v>
      </c>
      <c r="O19" s="15">
        <f t="shared" si="0"/>
        <v>67</v>
      </c>
      <c r="P19" s="15">
        <f t="shared" si="1"/>
        <v>390</v>
      </c>
      <c r="R19" s="1" t="s">
        <v>15</v>
      </c>
      <c r="S19" s="17">
        <f t="shared" ref="S19:AF19" si="11">SUM(C46:C49)</f>
        <v>101</v>
      </c>
      <c r="T19" s="17">
        <f t="shared" si="11"/>
        <v>26</v>
      </c>
      <c r="U19" s="17">
        <f t="shared" si="11"/>
        <v>31</v>
      </c>
      <c r="V19" s="17">
        <f t="shared" si="11"/>
        <v>16</v>
      </c>
      <c r="W19" s="17">
        <f t="shared" si="11"/>
        <v>5</v>
      </c>
      <c r="X19" s="17">
        <f t="shared" si="11"/>
        <v>0</v>
      </c>
      <c r="Y19" s="17">
        <f t="shared" si="11"/>
        <v>12</v>
      </c>
      <c r="Z19" s="17">
        <f t="shared" si="11"/>
        <v>10</v>
      </c>
      <c r="AA19" s="17">
        <f t="shared" si="11"/>
        <v>4</v>
      </c>
      <c r="AB19" s="17">
        <f t="shared" si="11"/>
        <v>29</v>
      </c>
      <c r="AC19" s="17">
        <f t="shared" si="11"/>
        <v>410</v>
      </c>
      <c r="AD19" s="17">
        <f t="shared" si="11"/>
        <v>0</v>
      </c>
      <c r="AE19" s="31">
        <f t="shared" si="11"/>
        <v>234</v>
      </c>
      <c r="AF19" s="31">
        <f t="shared" si="11"/>
        <v>644</v>
      </c>
    </row>
    <row r="20" spans="2:32" ht="23.1" customHeight="1" x14ac:dyDescent="0.25">
      <c r="B20" s="23" t="s">
        <v>47</v>
      </c>
      <c r="C20" s="50">
        <v>35</v>
      </c>
      <c r="D20" s="50">
        <v>6</v>
      </c>
      <c r="E20" s="50">
        <v>9</v>
      </c>
      <c r="F20" s="50">
        <v>3</v>
      </c>
      <c r="G20" s="50">
        <v>2</v>
      </c>
      <c r="H20" s="50">
        <v>0</v>
      </c>
      <c r="I20" s="50">
        <v>2</v>
      </c>
      <c r="J20" s="50">
        <v>1</v>
      </c>
      <c r="K20" s="50">
        <v>2</v>
      </c>
      <c r="L20" s="50">
        <v>5</v>
      </c>
      <c r="M20" s="50">
        <v>297</v>
      </c>
      <c r="N20" s="50">
        <v>0</v>
      </c>
      <c r="O20" s="15">
        <f t="shared" si="0"/>
        <v>65</v>
      </c>
      <c r="P20" s="15">
        <f t="shared" si="1"/>
        <v>362</v>
      </c>
      <c r="R20" s="1" t="s">
        <v>16</v>
      </c>
      <c r="S20" s="17">
        <f t="shared" ref="S20:AF20" si="12">SUM(C50:C53)</f>
        <v>104</v>
      </c>
      <c r="T20" s="17">
        <f t="shared" si="12"/>
        <v>23</v>
      </c>
      <c r="U20" s="17">
        <f t="shared" si="12"/>
        <v>23</v>
      </c>
      <c r="V20" s="17">
        <f t="shared" si="12"/>
        <v>12</v>
      </c>
      <c r="W20" s="17">
        <f t="shared" si="12"/>
        <v>3</v>
      </c>
      <c r="X20" s="17">
        <f t="shared" si="12"/>
        <v>0</v>
      </c>
      <c r="Y20" s="17">
        <f t="shared" si="12"/>
        <v>6</v>
      </c>
      <c r="Z20" s="17">
        <f t="shared" si="12"/>
        <v>5</v>
      </c>
      <c r="AA20" s="17">
        <f t="shared" si="12"/>
        <v>5</v>
      </c>
      <c r="AB20" s="17">
        <f t="shared" si="12"/>
        <v>25</v>
      </c>
      <c r="AC20" s="17">
        <f t="shared" si="12"/>
        <v>526</v>
      </c>
      <c r="AD20" s="17">
        <f t="shared" si="12"/>
        <v>0</v>
      </c>
      <c r="AE20" s="31">
        <f t="shared" si="12"/>
        <v>206</v>
      </c>
      <c r="AF20" s="31">
        <f t="shared" si="12"/>
        <v>732</v>
      </c>
    </row>
    <row r="21" spans="2:32" ht="23.1" customHeight="1" x14ac:dyDescent="0.25">
      <c r="B21" s="23" t="s">
        <v>48</v>
      </c>
      <c r="C21" s="50">
        <v>25</v>
      </c>
      <c r="D21" s="50">
        <v>11</v>
      </c>
      <c r="E21" s="50">
        <v>8</v>
      </c>
      <c r="F21" s="50">
        <v>5</v>
      </c>
      <c r="G21" s="50">
        <v>4</v>
      </c>
      <c r="H21" s="50">
        <v>0</v>
      </c>
      <c r="I21" s="50">
        <v>0</v>
      </c>
      <c r="J21" s="50">
        <v>1</v>
      </c>
      <c r="K21" s="50">
        <v>4</v>
      </c>
      <c r="L21" s="50">
        <v>1</v>
      </c>
      <c r="M21" s="50">
        <v>227</v>
      </c>
      <c r="N21" s="50">
        <v>0</v>
      </c>
      <c r="O21" s="15">
        <f t="shared" si="0"/>
        <v>59</v>
      </c>
      <c r="P21" s="15">
        <f t="shared" si="1"/>
        <v>286</v>
      </c>
      <c r="R21" s="36" t="s">
        <v>20</v>
      </c>
      <c r="S21" s="34">
        <f t="shared" ref="S21:AF21" si="13">SUM(C54:C57)</f>
        <v>100</v>
      </c>
      <c r="T21" s="17">
        <f t="shared" si="13"/>
        <v>36</v>
      </c>
      <c r="U21" s="17">
        <f t="shared" si="13"/>
        <v>15</v>
      </c>
      <c r="V21" s="17">
        <f t="shared" si="13"/>
        <v>17</v>
      </c>
      <c r="W21" s="17">
        <f t="shared" si="13"/>
        <v>1</v>
      </c>
      <c r="X21" s="17">
        <f t="shared" si="13"/>
        <v>0</v>
      </c>
      <c r="Y21" s="17">
        <f t="shared" si="13"/>
        <v>3</v>
      </c>
      <c r="Z21" s="17">
        <f t="shared" si="13"/>
        <v>5</v>
      </c>
      <c r="AA21" s="17">
        <f t="shared" si="13"/>
        <v>5</v>
      </c>
      <c r="AB21" s="17">
        <f t="shared" si="13"/>
        <v>12</v>
      </c>
      <c r="AC21" s="17">
        <f t="shared" si="13"/>
        <v>1026</v>
      </c>
      <c r="AD21" s="17">
        <f t="shared" si="13"/>
        <v>0</v>
      </c>
      <c r="AE21" s="31">
        <f t="shared" si="13"/>
        <v>194</v>
      </c>
      <c r="AF21" s="31">
        <f t="shared" si="13"/>
        <v>1220</v>
      </c>
    </row>
    <row r="22" spans="2:32" ht="23.1" customHeight="1" x14ac:dyDescent="0.25">
      <c r="B22" s="23" t="s">
        <v>49</v>
      </c>
      <c r="C22" s="50">
        <v>33</v>
      </c>
      <c r="D22" s="50">
        <v>10</v>
      </c>
      <c r="E22" s="50">
        <v>3</v>
      </c>
      <c r="F22" s="50">
        <v>10</v>
      </c>
      <c r="G22" s="50">
        <v>0</v>
      </c>
      <c r="H22" s="50">
        <v>1</v>
      </c>
      <c r="I22" s="50">
        <v>2</v>
      </c>
      <c r="J22" s="50">
        <v>4</v>
      </c>
      <c r="K22" s="50">
        <v>3</v>
      </c>
      <c r="L22" s="50">
        <v>4</v>
      </c>
      <c r="M22" s="50">
        <v>218</v>
      </c>
      <c r="N22" s="50">
        <v>0</v>
      </c>
      <c r="O22" s="15">
        <f t="shared" si="0"/>
        <v>70</v>
      </c>
      <c r="P22" s="15">
        <f t="shared" si="1"/>
        <v>288</v>
      </c>
      <c r="R22" s="38" t="s">
        <v>90</v>
      </c>
      <c r="S22" s="39">
        <f>MAX(S10:S12)</f>
        <v>251</v>
      </c>
      <c r="T22" s="39">
        <f t="shared" ref="T22:AF22" si="14">MAX(T10:T12)</f>
        <v>55</v>
      </c>
      <c r="U22" s="39">
        <f t="shared" si="14"/>
        <v>35</v>
      </c>
      <c r="V22" s="39">
        <f t="shared" si="14"/>
        <v>38</v>
      </c>
      <c r="W22" s="39">
        <f t="shared" si="14"/>
        <v>14</v>
      </c>
      <c r="X22" s="39">
        <f t="shared" si="14"/>
        <v>3</v>
      </c>
      <c r="Y22" s="39">
        <f t="shared" si="14"/>
        <v>7</v>
      </c>
      <c r="Z22" s="39">
        <f t="shared" si="14"/>
        <v>10</v>
      </c>
      <c r="AA22" s="39">
        <f t="shared" si="14"/>
        <v>9</v>
      </c>
      <c r="AB22" s="39">
        <f t="shared" si="14"/>
        <v>11</v>
      </c>
      <c r="AC22" s="39">
        <f t="shared" si="14"/>
        <v>1187</v>
      </c>
      <c r="AD22" s="39">
        <f t="shared" si="14"/>
        <v>0</v>
      </c>
      <c r="AE22" s="40">
        <f t="shared" si="14"/>
        <v>401</v>
      </c>
      <c r="AF22" s="40">
        <f t="shared" si="14"/>
        <v>1470</v>
      </c>
    </row>
    <row r="23" spans="2:32" ht="23.1" customHeight="1" x14ac:dyDescent="0.25">
      <c r="B23" s="23" t="s">
        <v>50</v>
      </c>
      <c r="C23" s="50">
        <v>32</v>
      </c>
      <c r="D23" s="50">
        <v>9</v>
      </c>
      <c r="E23" s="50">
        <v>9</v>
      </c>
      <c r="F23" s="50">
        <v>10</v>
      </c>
      <c r="G23" s="50">
        <v>2</v>
      </c>
      <c r="H23" s="50">
        <v>0</v>
      </c>
      <c r="I23" s="50">
        <v>1</v>
      </c>
      <c r="J23" s="50">
        <v>2</v>
      </c>
      <c r="K23" s="50">
        <v>1</v>
      </c>
      <c r="L23" s="50">
        <v>5</v>
      </c>
      <c r="M23" s="50">
        <v>167</v>
      </c>
      <c r="N23" s="50">
        <v>0</v>
      </c>
      <c r="O23" s="15">
        <f t="shared" si="0"/>
        <v>71</v>
      </c>
      <c r="P23" s="15">
        <f t="shared" si="1"/>
        <v>238</v>
      </c>
      <c r="R23" s="38" t="s">
        <v>91</v>
      </c>
      <c r="S23" s="39">
        <f>MAX(S13:S18)</f>
        <v>130</v>
      </c>
      <c r="T23" s="39">
        <f t="shared" ref="T23:AF23" si="15">MAX(T13:T18)</f>
        <v>48</v>
      </c>
      <c r="U23" s="39">
        <f t="shared" si="15"/>
        <v>43</v>
      </c>
      <c r="V23" s="39">
        <f t="shared" si="15"/>
        <v>33</v>
      </c>
      <c r="W23" s="39">
        <f t="shared" si="15"/>
        <v>8</v>
      </c>
      <c r="X23" s="39">
        <f t="shared" si="15"/>
        <v>2</v>
      </c>
      <c r="Y23" s="39">
        <f t="shared" si="15"/>
        <v>33</v>
      </c>
      <c r="Z23" s="39">
        <f t="shared" si="15"/>
        <v>16</v>
      </c>
      <c r="AA23" s="39">
        <f t="shared" si="15"/>
        <v>16</v>
      </c>
      <c r="AB23" s="39">
        <f t="shared" si="15"/>
        <v>41</v>
      </c>
      <c r="AC23" s="39">
        <f t="shared" si="15"/>
        <v>810</v>
      </c>
      <c r="AD23" s="39">
        <f t="shared" si="15"/>
        <v>1</v>
      </c>
      <c r="AE23" s="40">
        <f t="shared" si="15"/>
        <v>280</v>
      </c>
      <c r="AF23" s="40">
        <f t="shared" si="15"/>
        <v>1090</v>
      </c>
    </row>
    <row r="24" spans="2:32" ht="23.1" customHeight="1" x14ac:dyDescent="0.25">
      <c r="B24" s="23" t="s">
        <v>51</v>
      </c>
      <c r="C24" s="50">
        <v>15</v>
      </c>
      <c r="D24" s="50">
        <v>3</v>
      </c>
      <c r="E24" s="50">
        <v>8</v>
      </c>
      <c r="F24" s="50">
        <v>9</v>
      </c>
      <c r="G24" s="50">
        <v>0</v>
      </c>
      <c r="H24" s="50">
        <v>0</v>
      </c>
      <c r="I24" s="50">
        <v>2</v>
      </c>
      <c r="J24" s="50">
        <v>4</v>
      </c>
      <c r="K24" s="50">
        <v>1</v>
      </c>
      <c r="L24" s="50">
        <v>2</v>
      </c>
      <c r="M24" s="50">
        <v>200</v>
      </c>
      <c r="N24" s="50">
        <v>0</v>
      </c>
      <c r="O24" s="15">
        <f t="shared" si="0"/>
        <v>44</v>
      </c>
      <c r="P24" s="15">
        <f t="shared" si="1"/>
        <v>244</v>
      </c>
      <c r="R24" s="38" t="s">
        <v>92</v>
      </c>
      <c r="S24" s="39">
        <f>MAX(S19:S21)</f>
        <v>104</v>
      </c>
      <c r="T24" s="39">
        <f t="shared" ref="T24:AF24" si="16">MAX(T19:T21)</f>
        <v>36</v>
      </c>
      <c r="U24" s="39">
        <f t="shared" si="16"/>
        <v>31</v>
      </c>
      <c r="V24" s="39">
        <f t="shared" si="16"/>
        <v>17</v>
      </c>
      <c r="W24" s="39">
        <f t="shared" si="16"/>
        <v>5</v>
      </c>
      <c r="X24" s="39">
        <f t="shared" si="16"/>
        <v>0</v>
      </c>
      <c r="Y24" s="39">
        <f t="shared" si="16"/>
        <v>12</v>
      </c>
      <c r="Z24" s="39">
        <f t="shared" si="16"/>
        <v>10</v>
      </c>
      <c r="AA24" s="39">
        <f t="shared" si="16"/>
        <v>5</v>
      </c>
      <c r="AB24" s="39">
        <f t="shared" si="16"/>
        <v>29</v>
      </c>
      <c r="AC24" s="39">
        <f t="shared" si="16"/>
        <v>1026</v>
      </c>
      <c r="AD24" s="39">
        <f t="shared" si="16"/>
        <v>0</v>
      </c>
      <c r="AE24" s="40">
        <f t="shared" si="16"/>
        <v>234</v>
      </c>
      <c r="AF24" s="40">
        <f t="shared" si="16"/>
        <v>1220</v>
      </c>
    </row>
    <row r="25" spans="2:32" ht="23.1" customHeight="1" x14ac:dyDescent="0.25">
      <c r="B25" s="23" t="s">
        <v>52</v>
      </c>
      <c r="C25" s="50">
        <v>30</v>
      </c>
      <c r="D25" s="50">
        <v>8</v>
      </c>
      <c r="E25" s="50">
        <v>2</v>
      </c>
      <c r="F25" s="50">
        <v>4</v>
      </c>
      <c r="G25" s="50">
        <v>1</v>
      </c>
      <c r="H25" s="50">
        <v>1</v>
      </c>
      <c r="I25" s="50">
        <v>1</v>
      </c>
      <c r="J25" s="50">
        <v>0</v>
      </c>
      <c r="K25" s="50">
        <v>1</v>
      </c>
      <c r="L25" s="50">
        <v>2</v>
      </c>
      <c r="M25" s="50">
        <v>178</v>
      </c>
      <c r="N25" s="50">
        <v>0</v>
      </c>
      <c r="O25" s="15">
        <f t="shared" si="0"/>
        <v>50</v>
      </c>
      <c r="P25" s="15">
        <f t="shared" si="1"/>
        <v>228</v>
      </c>
      <c r="R25" s="37" t="s">
        <v>85</v>
      </c>
      <c r="S25" s="35">
        <f t="shared" ref="S25:AF25" si="17">SUM(S10:S12)</f>
        <v>569</v>
      </c>
      <c r="T25" s="16">
        <f t="shared" si="17"/>
        <v>135</v>
      </c>
      <c r="U25" s="16">
        <f t="shared" si="17"/>
        <v>84</v>
      </c>
      <c r="V25" s="16">
        <f t="shared" si="17"/>
        <v>86</v>
      </c>
      <c r="W25" s="16">
        <f t="shared" si="17"/>
        <v>31</v>
      </c>
      <c r="X25" s="16">
        <f t="shared" si="17"/>
        <v>3</v>
      </c>
      <c r="Y25" s="16">
        <f t="shared" si="17"/>
        <v>15</v>
      </c>
      <c r="Z25" s="16">
        <f t="shared" si="17"/>
        <v>23</v>
      </c>
      <c r="AA25" s="16">
        <f t="shared" si="17"/>
        <v>26</v>
      </c>
      <c r="AB25" s="16">
        <f t="shared" si="17"/>
        <v>31</v>
      </c>
      <c r="AC25" s="16">
        <f t="shared" si="17"/>
        <v>3297</v>
      </c>
      <c r="AD25" s="16">
        <f t="shared" si="17"/>
        <v>0</v>
      </c>
      <c r="AE25" s="32">
        <f t="shared" si="17"/>
        <v>1003</v>
      </c>
      <c r="AF25" s="32">
        <f t="shared" si="17"/>
        <v>4300</v>
      </c>
    </row>
    <row r="26" spans="2:32" ht="23.1" customHeight="1" x14ac:dyDescent="0.25">
      <c r="B26" s="23" t="s">
        <v>53</v>
      </c>
      <c r="C26" s="50">
        <v>22</v>
      </c>
      <c r="D26" s="50">
        <v>9</v>
      </c>
      <c r="E26" s="50">
        <v>8</v>
      </c>
      <c r="F26" s="50">
        <v>9</v>
      </c>
      <c r="G26" s="50">
        <v>0</v>
      </c>
      <c r="H26" s="50">
        <v>0</v>
      </c>
      <c r="I26" s="50">
        <v>4</v>
      </c>
      <c r="J26" s="50">
        <v>6</v>
      </c>
      <c r="K26" s="50">
        <v>4</v>
      </c>
      <c r="L26" s="50">
        <v>3</v>
      </c>
      <c r="M26" s="50">
        <v>137</v>
      </c>
      <c r="N26" s="50">
        <v>0</v>
      </c>
      <c r="O26" s="15">
        <f t="shared" si="0"/>
        <v>65</v>
      </c>
      <c r="P26" s="15">
        <f t="shared" si="1"/>
        <v>202</v>
      </c>
      <c r="R26" s="28" t="s">
        <v>86</v>
      </c>
      <c r="S26" s="16">
        <f t="shared" ref="S26:AF26" si="18">SUM(S13:S18)</f>
        <v>713</v>
      </c>
      <c r="T26" s="16">
        <f t="shared" si="18"/>
        <v>197</v>
      </c>
      <c r="U26" s="16">
        <f t="shared" si="18"/>
        <v>175</v>
      </c>
      <c r="V26" s="16">
        <f t="shared" si="18"/>
        <v>116</v>
      </c>
      <c r="W26" s="16">
        <f t="shared" si="18"/>
        <v>25</v>
      </c>
      <c r="X26" s="16">
        <f t="shared" si="18"/>
        <v>2</v>
      </c>
      <c r="Y26" s="16">
        <f t="shared" si="18"/>
        <v>73</v>
      </c>
      <c r="Z26" s="16">
        <f t="shared" si="18"/>
        <v>61</v>
      </c>
      <c r="AA26" s="16">
        <f t="shared" si="18"/>
        <v>55</v>
      </c>
      <c r="AB26" s="16">
        <f t="shared" si="18"/>
        <v>127</v>
      </c>
      <c r="AC26" s="16">
        <f t="shared" si="18"/>
        <v>3477</v>
      </c>
      <c r="AD26" s="16">
        <f t="shared" si="18"/>
        <v>1</v>
      </c>
      <c r="AE26" s="32">
        <f t="shared" si="18"/>
        <v>1545</v>
      </c>
      <c r="AF26" s="32">
        <f t="shared" si="18"/>
        <v>5022</v>
      </c>
    </row>
    <row r="27" spans="2:32" ht="23.1" customHeight="1" x14ac:dyDescent="0.25">
      <c r="B27" s="23" t="s">
        <v>54</v>
      </c>
      <c r="C27" s="50">
        <v>21</v>
      </c>
      <c r="D27" s="50">
        <v>3</v>
      </c>
      <c r="E27" s="50">
        <v>7</v>
      </c>
      <c r="F27" s="50">
        <v>4</v>
      </c>
      <c r="G27" s="50">
        <v>0</v>
      </c>
      <c r="H27" s="50">
        <v>0</v>
      </c>
      <c r="I27" s="50">
        <v>1</v>
      </c>
      <c r="J27" s="50">
        <v>3</v>
      </c>
      <c r="K27" s="50">
        <v>3</v>
      </c>
      <c r="L27" s="50">
        <v>4</v>
      </c>
      <c r="M27" s="50">
        <v>249</v>
      </c>
      <c r="N27" s="50">
        <v>0</v>
      </c>
      <c r="O27" s="15">
        <f t="shared" si="0"/>
        <v>46</v>
      </c>
      <c r="P27" s="15">
        <f t="shared" si="1"/>
        <v>295</v>
      </c>
      <c r="R27" s="29" t="s">
        <v>87</v>
      </c>
      <c r="S27" s="16">
        <f t="shared" ref="S27:AF27" si="19">SUM(S19:S21)</f>
        <v>305</v>
      </c>
      <c r="T27" s="16">
        <f t="shared" si="19"/>
        <v>85</v>
      </c>
      <c r="U27" s="16">
        <f t="shared" si="19"/>
        <v>69</v>
      </c>
      <c r="V27" s="16">
        <f t="shared" si="19"/>
        <v>45</v>
      </c>
      <c r="W27" s="16">
        <f t="shared" si="19"/>
        <v>9</v>
      </c>
      <c r="X27" s="16">
        <f t="shared" si="19"/>
        <v>0</v>
      </c>
      <c r="Y27" s="16">
        <f t="shared" si="19"/>
        <v>21</v>
      </c>
      <c r="Z27" s="16">
        <f t="shared" si="19"/>
        <v>20</v>
      </c>
      <c r="AA27" s="16">
        <f t="shared" si="19"/>
        <v>14</v>
      </c>
      <c r="AB27" s="16">
        <f t="shared" si="19"/>
        <v>66</v>
      </c>
      <c r="AC27" s="16">
        <f t="shared" si="19"/>
        <v>1962</v>
      </c>
      <c r="AD27" s="16">
        <f t="shared" si="19"/>
        <v>0</v>
      </c>
      <c r="AE27" s="32">
        <f t="shared" si="19"/>
        <v>634</v>
      </c>
      <c r="AF27" s="32">
        <f t="shared" si="19"/>
        <v>2596</v>
      </c>
    </row>
    <row r="28" spans="2:32" ht="23.1" customHeight="1" x14ac:dyDescent="0.25">
      <c r="B28" s="23" t="s">
        <v>55</v>
      </c>
      <c r="C28" s="50">
        <v>33</v>
      </c>
      <c r="D28" s="50">
        <v>6</v>
      </c>
      <c r="E28" s="50">
        <v>4</v>
      </c>
      <c r="F28" s="50">
        <v>1</v>
      </c>
      <c r="G28" s="50">
        <v>1</v>
      </c>
      <c r="H28" s="50">
        <v>0</v>
      </c>
      <c r="I28" s="50">
        <v>2</v>
      </c>
      <c r="J28" s="50">
        <v>2</v>
      </c>
      <c r="K28" s="50">
        <v>1</v>
      </c>
      <c r="L28" s="50">
        <v>5</v>
      </c>
      <c r="M28" s="50">
        <v>224</v>
      </c>
      <c r="N28" s="50">
        <v>0</v>
      </c>
      <c r="O28" s="15">
        <f t="shared" si="0"/>
        <v>55</v>
      </c>
      <c r="P28" s="15">
        <f t="shared" si="1"/>
        <v>279</v>
      </c>
      <c r="R28" s="5" t="s">
        <v>17</v>
      </c>
      <c r="S28" s="16">
        <f t="shared" ref="S28:AF28" si="20">SUM(S10:S21)</f>
        <v>1587</v>
      </c>
      <c r="T28" s="16">
        <f t="shared" si="20"/>
        <v>417</v>
      </c>
      <c r="U28" s="16">
        <f t="shared" si="20"/>
        <v>328</v>
      </c>
      <c r="V28" s="16">
        <f t="shared" si="20"/>
        <v>247</v>
      </c>
      <c r="W28" s="16">
        <f t="shared" si="20"/>
        <v>65</v>
      </c>
      <c r="X28" s="16">
        <f t="shared" si="20"/>
        <v>5</v>
      </c>
      <c r="Y28" s="16">
        <f t="shared" si="20"/>
        <v>109</v>
      </c>
      <c r="Z28" s="16">
        <f t="shared" si="20"/>
        <v>104</v>
      </c>
      <c r="AA28" s="16">
        <f t="shared" si="20"/>
        <v>95</v>
      </c>
      <c r="AB28" s="16">
        <f t="shared" si="20"/>
        <v>224</v>
      </c>
      <c r="AC28" s="16">
        <f t="shared" si="20"/>
        <v>8736</v>
      </c>
      <c r="AD28" s="16">
        <f t="shared" si="20"/>
        <v>1</v>
      </c>
      <c r="AE28" s="32">
        <f t="shared" si="20"/>
        <v>3182</v>
      </c>
      <c r="AF28" s="32">
        <f t="shared" si="20"/>
        <v>11918</v>
      </c>
    </row>
    <row r="29" spans="2:32" ht="23.1" customHeight="1" x14ac:dyDescent="0.25">
      <c r="B29" s="23" t="s">
        <v>56</v>
      </c>
      <c r="C29" s="50">
        <v>45</v>
      </c>
      <c r="D29" s="50">
        <v>30</v>
      </c>
      <c r="E29" s="50">
        <v>7</v>
      </c>
      <c r="F29" s="50">
        <v>7</v>
      </c>
      <c r="G29" s="50">
        <v>3</v>
      </c>
      <c r="H29" s="50">
        <v>0</v>
      </c>
      <c r="I29" s="50">
        <v>2</v>
      </c>
      <c r="J29" s="50">
        <v>1</v>
      </c>
      <c r="K29" s="50">
        <v>8</v>
      </c>
      <c r="L29" s="50">
        <v>11</v>
      </c>
      <c r="M29" s="50">
        <v>200</v>
      </c>
      <c r="N29" s="50">
        <v>0</v>
      </c>
      <c r="O29" s="15">
        <f t="shared" si="0"/>
        <v>114</v>
      </c>
      <c r="P29" s="15">
        <f t="shared" si="1"/>
        <v>314</v>
      </c>
      <c r="R29"/>
      <c r="S29" s="20"/>
      <c r="T29" s="19"/>
    </row>
    <row r="30" spans="2:32" ht="23.1" customHeight="1" x14ac:dyDescent="0.25">
      <c r="B30" s="23" t="s">
        <v>57</v>
      </c>
      <c r="C30" s="50">
        <v>31</v>
      </c>
      <c r="D30" s="50">
        <v>7</v>
      </c>
      <c r="E30" s="50">
        <v>5</v>
      </c>
      <c r="F30" s="50">
        <v>8</v>
      </c>
      <c r="G30" s="50">
        <v>0</v>
      </c>
      <c r="H30" s="50">
        <v>0</v>
      </c>
      <c r="I30" s="50">
        <v>23</v>
      </c>
      <c r="J30" s="50">
        <v>0</v>
      </c>
      <c r="K30" s="50">
        <v>1</v>
      </c>
      <c r="L30" s="50">
        <v>13</v>
      </c>
      <c r="M30" s="50">
        <v>95</v>
      </c>
      <c r="N30" s="50">
        <v>0</v>
      </c>
      <c r="O30" s="15">
        <f t="shared" si="0"/>
        <v>88</v>
      </c>
      <c r="P30" s="15">
        <f t="shared" si="1"/>
        <v>183</v>
      </c>
    </row>
    <row r="31" spans="2:32" ht="23.1" customHeight="1" x14ac:dyDescent="0.25">
      <c r="B31" s="24" t="s">
        <v>58</v>
      </c>
      <c r="C31" s="50">
        <v>28</v>
      </c>
      <c r="D31" s="50">
        <v>3</v>
      </c>
      <c r="E31" s="50">
        <v>4</v>
      </c>
      <c r="F31" s="50">
        <v>1</v>
      </c>
      <c r="G31" s="50">
        <v>0</v>
      </c>
      <c r="H31" s="50">
        <v>0</v>
      </c>
      <c r="I31" s="50">
        <v>7</v>
      </c>
      <c r="J31" s="50">
        <v>1</v>
      </c>
      <c r="K31" s="50">
        <v>1</v>
      </c>
      <c r="L31" s="50">
        <v>16</v>
      </c>
      <c r="M31" s="50">
        <v>96</v>
      </c>
      <c r="N31" s="50">
        <v>0</v>
      </c>
      <c r="O31" s="15">
        <f t="shared" si="0"/>
        <v>61</v>
      </c>
      <c r="P31" s="15">
        <f t="shared" si="1"/>
        <v>157</v>
      </c>
    </row>
    <row r="32" spans="2:32" ht="23.1" customHeight="1" x14ac:dyDescent="0.25">
      <c r="B32" s="24" t="s">
        <v>59</v>
      </c>
      <c r="C32" s="50">
        <v>30</v>
      </c>
      <c r="D32" s="50">
        <v>4</v>
      </c>
      <c r="E32" s="50">
        <v>8</v>
      </c>
      <c r="F32" s="50">
        <v>0</v>
      </c>
      <c r="G32" s="50">
        <v>0</v>
      </c>
      <c r="H32" s="50">
        <v>0</v>
      </c>
      <c r="I32" s="50">
        <v>2</v>
      </c>
      <c r="J32" s="50">
        <v>0</v>
      </c>
      <c r="K32" s="50">
        <v>4</v>
      </c>
      <c r="L32" s="50">
        <v>4</v>
      </c>
      <c r="M32" s="50">
        <v>103</v>
      </c>
      <c r="N32" s="50">
        <v>0</v>
      </c>
      <c r="O32" s="15">
        <f t="shared" si="0"/>
        <v>52</v>
      </c>
      <c r="P32" s="15">
        <f t="shared" si="1"/>
        <v>155</v>
      </c>
    </row>
    <row r="33" spans="2:20" ht="23.1" customHeight="1" x14ac:dyDescent="0.25">
      <c r="B33" s="23" t="s">
        <v>60</v>
      </c>
      <c r="C33" s="50">
        <v>41</v>
      </c>
      <c r="D33" s="50">
        <v>5</v>
      </c>
      <c r="E33" s="50">
        <v>6</v>
      </c>
      <c r="F33" s="50">
        <v>4</v>
      </c>
      <c r="G33" s="50">
        <v>4</v>
      </c>
      <c r="H33" s="50">
        <v>0</v>
      </c>
      <c r="I33" s="50">
        <v>1</v>
      </c>
      <c r="J33" s="50">
        <v>2</v>
      </c>
      <c r="K33" s="50">
        <v>3</v>
      </c>
      <c r="L33" s="50">
        <v>8</v>
      </c>
      <c r="M33" s="50">
        <v>102</v>
      </c>
      <c r="N33" s="50">
        <v>0</v>
      </c>
      <c r="O33" s="15">
        <f t="shared" si="0"/>
        <v>74</v>
      </c>
      <c r="P33" s="15">
        <f t="shared" si="1"/>
        <v>176</v>
      </c>
    </row>
    <row r="34" spans="2:20" ht="23.1" customHeight="1" x14ac:dyDescent="0.25">
      <c r="B34" s="24" t="s">
        <v>61</v>
      </c>
      <c r="C34" s="50">
        <v>37</v>
      </c>
      <c r="D34" s="50">
        <v>6</v>
      </c>
      <c r="E34" s="50">
        <v>12</v>
      </c>
      <c r="F34" s="50">
        <v>2</v>
      </c>
      <c r="G34" s="50">
        <v>0</v>
      </c>
      <c r="H34" s="50">
        <v>0</v>
      </c>
      <c r="I34" s="50">
        <v>3</v>
      </c>
      <c r="J34" s="50">
        <v>6</v>
      </c>
      <c r="K34" s="50">
        <v>2</v>
      </c>
      <c r="L34" s="50">
        <v>5</v>
      </c>
      <c r="M34" s="50">
        <v>100</v>
      </c>
      <c r="N34" s="50">
        <v>0</v>
      </c>
      <c r="O34" s="15">
        <f t="shared" si="0"/>
        <v>73</v>
      </c>
      <c r="P34" s="15">
        <f t="shared" si="1"/>
        <v>173</v>
      </c>
    </row>
    <row r="35" spans="2:20" ht="23.1" customHeight="1" x14ac:dyDescent="0.25">
      <c r="B35" s="24" t="s">
        <v>62</v>
      </c>
      <c r="C35" s="50">
        <v>34</v>
      </c>
      <c r="D35" s="50">
        <v>10</v>
      </c>
      <c r="E35" s="50">
        <v>8</v>
      </c>
      <c r="F35" s="50">
        <v>4</v>
      </c>
      <c r="G35" s="50">
        <v>1</v>
      </c>
      <c r="H35" s="50">
        <v>0</v>
      </c>
      <c r="I35" s="50">
        <v>6</v>
      </c>
      <c r="J35" s="50">
        <v>7</v>
      </c>
      <c r="K35" s="50">
        <v>2</v>
      </c>
      <c r="L35" s="50">
        <v>3</v>
      </c>
      <c r="M35" s="50">
        <v>122</v>
      </c>
      <c r="N35" s="50">
        <v>1</v>
      </c>
      <c r="O35" s="15">
        <f t="shared" si="0"/>
        <v>76</v>
      </c>
      <c r="P35" s="15">
        <f t="shared" si="1"/>
        <v>198</v>
      </c>
    </row>
    <row r="36" spans="2:20" ht="23.1" customHeight="1" x14ac:dyDescent="0.25">
      <c r="B36" s="24" t="s">
        <v>63</v>
      </c>
      <c r="C36" s="50">
        <v>23</v>
      </c>
      <c r="D36" s="50">
        <v>3</v>
      </c>
      <c r="E36" s="50">
        <v>5</v>
      </c>
      <c r="F36" s="50">
        <v>6</v>
      </c>
      <c r="G36" s="50">
        <v>0</v>
      </c>
      <c r="H36" s="50">
        <v>0</v>
      </c>
      <c r="I36" s="50">
        <v>1</v>
      </c>
      <c r="J36" s="50">
        <v>2</v>
      </c>
      <c r="K36" s="50">
        <v>3</v>
      </c>
      <c r="L36" s="50">
        <v>4</v>
      </c>
      <c r="M36" s="50">
        <v>85</v>
      </c>
      <c r="N36" s="50">
        <v>0</v>
      </c>
      <c r="O36" s="15">
        <f t="shared" si="0"/>
        <v>47</v>
      </c>
      <c r="P36" s="15">
        <f t="shared" si="1"/>
        <v>132</v>
      </c>
    </row>
    <row r="37" spans="2:20" ht="23.1" customHeight="1" x14ac:dyDescent="0.25">
      <c r="B37" s="23" t="s">
        <v>64</v>
      </c>
      <c r="C37" s="50">
        <v>20</v>
      </c>
      <c r="D37" s="50">
        <v>2</v>
      </c>
      <c r="E37" s="50">
        <v>3</v>
      </c>
      <c r="F37" s="50">
        <v>0</v>
      </c>
      <c r="G37" s="50">
        <v>1</v>
      </c>
      <c r="H37" s="50">
        <v>0</v>
      </c>
      <c r="I37" s="50">
        <v>1</v>
      </c>
      <c r="J37" s="50">
        <v>1</v>
      </c>
      <c r="K37" s="50">
        <v>2</v>
      </c>
      <c r="L37" s="50">
        <v>5</v>
      </c>
      <c r="M37" s="50">
        <v>132</v>
      </c>
      <c r="N37" s="50">
        <v>0</v>
      </c>
      <c r="O37" s="15">
        <f t="shared" si="0"/>
        <v>35</v>
      </c>
      <c r="P37" s="15">
        <f t="shared" si="1"/>
        <v>167</v>
      </c>
    </row>
    <row r="38" spans="2:20" ht="23.1" customHeight="1" x14ac:dyDescent="0.25">
      <c r="B38" s="24" t="s">
        <v>65</v>
      </c>
      <c r="C38" s="50">
        <v>40</v>
      </c>
      <c r="D38" s="50">
        <v>7</v>
      </c>
      <c r="E38" s="50">
        <v>10</v>
      </c>
      <c r="F38" s="50">
        <v>3</v>
      </c>
      <c r="G38" s="50">
        <v>2</v>
      </c>
      <c r="H38" s="50">
        <v>0</v>
      </c>
      <c r="I38" s="50">
        <v>3</v>
      </c>
      <c r="J38" s="50">
        <v>3</v>
      </c>
      <c r="K38" s="50">
        <v>1</v>
      </c>
      <c r="L38" s="50">
        <v>2</v>
      </c>
      <c r="M38" s="50">
        <v>96</v>
      </c>
      <c r="N38" s="50">
        <v>0</v>
      </c>
      <c r="O38" s="15">
        <f t="shared" si="0"/>
        <v>71</v>
      </c>
      <c r="P38" s="15">
        <f t="shared" si="1"/>
        <v>167</v>
      </c>
    </row>
    <row r="39" spans="2:20" ht="23.1" customHeight="1" x14ac:dyDescent="0.25">
      <c r="B39" s="24" t="s">
        <v>66</v>
      </c>
      <c r="C39" s="50">
        <v>22</v>
      </c>
      <c r="D39" s="50">
        <v>10</v>
      </c>
      <c r="E39" s="50">
        <v>10</v>
      </c>
      <c r="F39" s="50">
        <v>6</v>
      </c>
      <c r="G39" s="50">
        <v>3</v>
      </c>
      <c r="H39" s="50">
        <v>0</v>
      </c>
      <c r="I39" s="50">
        <v>0</v>
      </c>
      <c r="J39" s="50">
        <v>1</v>
      </c>
      <c r="K39" s="50">
        <v>1</v>
      </c>
      <c r="L39" s="50">
        <v>1</v>
      </c>
      <c r="M39" s="50">
        <v>105</v>
      </c>
      <c r="N39" s="50">
        <v>0</v>
      </c>
      <c r="O39" s="15">
        <f t="shared" si="0"/>
        <v>54</v>
      </c>
      <c r="P39" s="15">
        <f t="shared" si="1"/>
        <v>159</v>
      </c>
    </row>
    <row r="40" spans="2:20" ht="23.1" customHeight="1" x14ac:dyDescent="0.25">
      <c r="B40" s="24" t="s">
        <v>67</v>
      </c>
      <c r="C40" s="50">
        <v>32</v>
      </c>
      <c r="D40" s="50">
        <v>17</v>
      </c>
      <c r="E40" s="50">
        <v>8</v>
      </c>
      <c r="F40" s="50">
        <v>1</v>
      </c>
      <c r="G40" s="50">
        <v>2</v>
      </c>
      <c r="H40" s="50">
        <v>0</v>
      </c>
      <c r="I40" s="50">
        <v>1</v>
      </c>
      <c r="J40" s="50">
        <v>3</v>
      </c>
      <c r="K40" s="50">
        <v>2</v>
      </c>
      <c r="L40" s="50">
        <v>4</v>
      </c>
      <c r="M40" s="50">
        <v>88</v>
      </c>
      <c r="N40" s="50">
        <v>0</v>
      </c>
      <c r="O40" s="15">
        <f t="shared" si="0"/>
        <v>70</v>
      </c>
      <c r="P40" s="15">
        <f t="shared" si="1"/>
        <v>158</v>
      </c>
    </row>
    <row r="41" spans="2:20" ht="23.1" customHeight="1" x14ac:dyDescent="0.25">
      <c r="B41" s="23" t="s">
        <v>68</v>
      </c>
      <c r="C41" s="50">
        <v>23</v>
      </c>
      <c r="D41" s="50">
        <v>6</v>
      </c>
      <c r="E41" s="50">
        <v>15</v>
      </c>
      <c r="F41" s="50">
        <v>7</v>
      </c>
      <c r="G41" s="50">
        <v>1</v>
      </c>
      <c r="H41" s="50">
        <v>0</v>
      </c>
      <c r="I41" s="50">
        <v>0</v>
      </c>
      <c r="J41" s="50">
        <v>2</v>
      </c>
      <c r="K41" s="50">
        <v>1</v>
      </c>
      <c r="L41" s="50">
        <v>8</v>
      </c>
      <c r="M41" s="50">
        <v>87</v>
      </c>
      <c r="N41" s="50">
        <v>0</v>
      </c>
      <c r="O41" s="15">
        <f t="shared" si="0"/>
        <v>63</v>
      </c>
      <c r="P41" s="15">
        <f t="shared" si="1"/>
        <v>150</v>
      </c>
    </row>
    <row r="42" spans="2:20" ht="23.1" customHeight="1" x14ac:dyDescent="0.25">
      <c r="B42" s="24" t="s">
        <v>69</v>
      </c>
      <c r="C42" s="50">
        <v>30</v>
      </c>
      <c r="D42" s="50">
        <v>13</v>
      </c>
      <c r="E42" s="50">
        <v>5</v>
      </c>
      <c r="F42" s="50">
        <v>7</v>
      </c>
      <c r="G42" s="50">
        <v>2</v>
      </c>
      <c r="H42" s="50">
        <v>0</v>
      </c>
      <c r="I42" s="50">
        <v>2</v>
      </c>
      <c r="J42" s="50">
        <v>2</v>
      </c>
      <c r="K42" s="50">
        <v>1</v>
      </c>
      <c r="L42" s="50">
        <v>3</v>
      </c>
      <c r="M42" s="50">
        <v>200</v>
      </c>
      <c r="N42" s="50">
        <v>0</v>
      </c>
      <c r="O42" s="15">
        <f t="shared" si="0"/>
        <v>65</v>
      </c>
      <c r="P42" s="15">
        <f t="shared" si="1"/>
        <v>265</v>
      </c>
    </row>
    <row r="43" spans="2:20" ht="23.1" customHeight="1" x14ac:dyDescent="0.25">
      <c r="B43" s="23" t="s">
        <v>70</v>
      </c>
      <c r="C43" s="50">
        <v>22</v>
      </c>
      <c r="D43" s="50">
        <v>7</v>
      </c>
      <c r="E43" s="50">
        <v>11</v>
      </c>
      <c r="F43" s="50">
        <v>3</v>
      </c>
      <c r="G43" s="50">
        <v>0</v>
      </c>
      <c r="H43" s="50">
        <v>0</v>
      </c>
      <c r="I43" s="50">
        <v>3</v>
      </c>
      <c r="J43" s="50">
        <v>3</v>
      </c>
      <c r="K43" s="50">
        <v>2</v>
      </c>
      <c r="L43" s="50">
        <v>2</v>
      </c>
      <c r="M43" s="50">
        <v>189</v>
      </c>
      <c r="N43" s="50">
        <v>0</v>
      </c>
      <c r="O43" s="15">
        <f t="shared" si="0"/>
        <v>53</v>
      </c>
      <c r="P43" s="15">
        <f t="shared" si="1"/>
        <v>242</v>
      </c>
    </row>
    <row r="44" spans="2:20" ht="23.1" customHeight="1" x14ac:dyDescent="0.25">
      <c r="B44" s="25" t="s">
        <v>71</v>
      </c>
      <c r="C44" s="50">
        <v>34</v>
      </c>
      <c r="D44" s="50">
        <v>7</v>
      </c>
      <c r="E44" s="50">
        <v>5</v>
      </c>
      <c r="F44" s="50">
        <v>4</v>
      </c>
      <c r="G44" s="50">
        <v>0</v>
      </c>
      <c r="H44" s="50">
        <v>0</v>
      </c>
      <c r="I44" s="50">
        <v>2</v>
      </c>
      <c r="J44" s="50">
        <v>2</v>
      </c>
      <c r="K44" s="50">
        <v>4</v>
      </c>
      <c r="L44" s="50">
        <v>4</v>
      </c>
      <c r="M44" s="50">
        <v>123</v>
      </c>
      <c r="N44" s="50">
        <v>0</v>
      </c>
      <c r="O44" s="15">
        <f t="shared" si="0"/>
        <v>62</v>
      </c>
      <c r="P44" s="15">
        <f t="shared" si="1"/>
        <v>185</v>
      </c>
    </row>
    <row r="45" spans="2:20" ht="23.1" customHeight="1" x14ac:dyDescent="0.25">
      <c r="B45" s="23" t="s">
        <v>72</v>
      </c>
      <c r="C45" s="50">
        <v>35</v>
      </c>
      <c r="D45" s="50">
        <v>12</v>
      </c>
      <c r="E45" s="50">
        <v>12</v>
      </c>
      <c r="F45" s="50">
        <v>6</v>
      </c>
      <c r="G45" s="50">
        <v>2</v>
      </c>
      <c r="H45" s="50">
        <v>0</v>
      </c>
      <c r="I45" s="50">
        <v>3</v>
      </c>
      <c r="J45" s="50">
        <v>4</v>
      </c>
      <c r="K45" s="50">
        <v>3</v>
      </c>
      <c r="L45" s="50">
        <v>9</v>
      </c>
      <c r="M45" s="50">
        <v>181</v>
      </c>
      <c r="N45" s="50">
        <v>0</v>
      </c>
      <c r="O45" s="15">
        <f t="shared" si="0"/>
        <v>86</v>
      </c>
      <c r="P45" s="15">
        <f t="shared" si="1"/>
        <v>267</v>
      </c>
    </row>
    <row r="46" spans="2:20" ht="23.1" customHeight="1" x14ac:dyDescent="0.25">
      <c r="B46" s="24" t="s">
        <v>73</v>
      </c>
      <c r="C46" s="50">
        <v>23</v>
      </c>
      <c r="D46" s="50">
        <v>7</v>
      </c>
      <c r="E46" s="50">
        <v>11</v>
      </c>
      <c r="F46" s="50">
        <v>8</v>
      </c>
      <c r="G46" s="50">
        <v>2</v>
      </c>
      <c r="H46" s="50">
        <v>0</v>
      </c>
      <c r="I46" s="50">
        <v>6</v>
      </c>
      <c r="J46" s="50">
        <v>3</v>
      </c>
      <c r="K46" s="50">
        <v>1</v>
      </c>
      <c r="L46" s="50">
        <v>4</v>
      </c>
      <c r="M46" s="50">
        <v>63</v>
      </c>
      <c r="N46" s="50">
        <v>0</v>
      </c>
      <c r="O46" s="15">
        <f t="shared" si="0"/>
        <v>65</v>
      </c>
      <c r="P46" s="15">
        <f t="shared" si="1"/>
        <v>128</v>
      </c>
      <c r="R46" s="8"/>
      <c r="T46"/>
    </row>
    <row r="47" spans="2:20" ht="23.1" customHeight="1" x14ac:dyDescent="0.25">
      <c r="B47" s="24" t="s">
        <v>74</v>
      </c>
      <c r="C47" s="50">
        <v>36</v>
      </c>
      <c r="D47" s="50">
        <v>5</v>
      </c>
      <c r="E47" s="50">
        <v>9</v>
      </c>
      <c r="F47" s="50">
        <v>4</v>
      </c>
      <c r="G47" s="50">
        <v>0</v>
      </c>
      <c r="H47" s="50">
        <v>0</v>
      </c>
      <c r="I47" s="50">
        <v>3</v>
      </c>
      <c r="J47" s="50">
        <v>2</v>
      </c>
      <c r="K47" s="50">
        <v>1</v>
      </c>
      <c r="L47" s="50">
        <v>17</v>
      </c>
      <c r="M47" s="50">
        <v>127</v>
      </c>
      <c r="N47" s="50">
        <v>0</v>
      </c>
      <c r="O47" s="15">
        <f t="shared" si="0"/>
        <v>77</v>
      </c>
      <c r="P47" s="15">
        <f t="shared" si="1"/>
        <v>204</v>
      </c>
      <c r="R47" s="8"/>
      <c r="T47"/>
    </row>
    <row r="48" spans="2:20" ht="23.1" customHeight="1" x14ac:dyDescent="0.25">
      <c r="B48" s="24" t="s">
        <v>75</v>
      </c>
      <c r="C48" s="50">
        <v>22</v>
      </c>
      <c r="D48" s="50">
        <v>4</v>
      </c>
      <c r="E48" s="50">
        <v>6</v>
      </c>
      <c r="F48" s="50">
        <v>2</v>
      </c>
      <c r="G48" s="50">
        <v>2</v>
      </c>
      <c r="H48" s="50">
        <v>0</v>
      </c>
      <c r="I48" s="50">
        <v>3</v>
      </c>
      <c r="J48" s="50">
        <v>4</v>
      </c>
      <c r="K48" s="50">
        <v>2</v>
      </c>
      <c r="L48" s="50">
        <v>3</v>
      </c>
      <c r="M48" s="50">
        <v>103</v>
      </c>
      <c r="N48" s="50">
        <v>0</v>
      </c>
      <c r="O48" s="15">
        <f t="shared" si="0"/>
        <v>48</v>
      </c>
      <c r="P48" s="15">
        <f t="shared" si="1"/>
        <v>151</v>
      </c>
      <c r="R48" s="8"/>
      <c r="T48"/>
    </row>
    <row r="49" spans="2:20" ht="23.1" customHeight="1" x14ac:dyDescent="0.25">
      <c r="B49" s="23" t="s">
        <v>76</v>
      </c>
      <c r="C49" s="50">
        <v>20</v>
      </c>
      <c r="D49" s="50">
        <v>10</v>
      </c>
      <c r="E49" s="50">
        <v>5</v>
      </c>
      <c r="F49" s="50">
        <v>2</v>
      </c>
      <c r="G49" s="50">
        <v>1</v>
      </c>
      <c r="H49" s="50">
        <v>0</v>
      </c>
      <c r="I49" s="50">
        <v>0</v>
      </c>
      <c r="J49" s="50">
        <v>1</v>
      </c>
      <c r="K49" s="50">
        <v>0</v>
      </c>
      <c r="L49" s="50">
        <v>5</v>
      </c>
      <c r="M49" s="50">
        <v>117</v>
      </c>
      <c r="N49" s="50">
        <v>0</v>
      </c>
      <c r="O49" s="15">
        <f t="shared" si="0"/>
        <v>44</v>
      </c>
      <c r="P49" s="15">
        <f t="shared" si="1"/>
        <v>161</v>
      </c>
      <c r="R49" s="8"/>
      <c r="T49"/>
    </row>
    <row r="50" spans="2:20" ht="23.1" customHeight="1" x14ac:dyDescent="0.25">
      <c r="B50" s="24" t="s">
        <v>77</v>
      </c>
      <c r="C50" s="50">
        <v>13</v>
      </c>
      <c r="D50" s="50">
        <v>7</v>
      </c>
      <c r="E50" s="50">
        <v>2</v>
      </c>
      <c r="F50" s="50">
        <v>8</v>
      </c>
      <c r="G50" s="50">
        <v>0</v>
      </c>
      <c r="H50" s="50">
        <v>0</v>
      </c>
      <c r="I50" s="50">
        <v>3</v>
      </c>
      <c r="J50" s="50">
        <v>2</v>
      </c>
      <c r="K50" s="50">
        <v>2</v>
      </c>
      <c r="L50" s="50">
        <v>6</v>
      </c>
      <c r="M50" s="50">
        <v>122</v>
      </c>
      <c r="N50" s="50">
        <v>0</v>
      </c>
      <c r="O50" s="15">
        <f t="shared" si="0"/>
        <v>43</v>
      </c>
      <c r="P50" s="15">
        <f t="shared" si="1"/>
        <v>165</v>
      </c>
      <c r="R50" s="8"/>
      <c r="T50"/>
    </row>
    <row r="51" spans="2:20" ht="23.1" customHeight="1" x14ac:dyDescent="0.25">
      <c r="B51" s="24" t="s">
        <v>78</v>
      </c>
      <c r="C51" s="50">
        <v>40</v>
      </c>
      <c r="D51" s="50">
        <v>7</v>
      </c>
      <c r="E51" s="50">
        <v>5</v>
      </c>
      <c r="F51" s="50">
        <v>1</v>
      </c>
      <c r="G51" s="50">
        <v>0</v>
      </c>
      <c r="H51" s="50">
        <v>0</v>
      </c>
      <c r="I51" s="50">
        <v>3</v>
      </c>
      <c r="J51" s="50">
        <v>2</v>
      </c>
      <c r="K51" s="50">
        <v>3</v>
      </c>
      <c r="L51" s="50">
        <v>14</v>
      </c>
      <c r="M51" s="50">
        <v>130</v>
      </c>
      <c r="N51" s="50">
        <v>0</v>
      </c>
      <c r="O51" s="15">
        <f t="shared" si="0"/>
        <v>75</v>
      </c>
      <c r="P51" s="15">
        <f t="shared" si="1"/>
        <v>205</v>
      </c>
      <c r="R51" s="8"/>
      <c r="T51"/>
    </row>
    <row r="52" spans="2:20" ht="23.1" customHeight="1" x14ac:dyDescent="0.25">
      <c r="B52" s="24" t="s">
        <v>79</v>
      </c>
      <c r="C52" s="50">
        <v>22</v>
      </c>
      <c r="D52" s="50">
        <v>7</v>
      </c>
      <c r="E52" s="50">
        <v>8</v>
      </c>
      <c r="F52" s="50">
        <v>3</v>
      </c>
      <c r="G52" s="50">
        <v>3</v>
      </c>
      <c r="H52" s="50">
        <v>0</v>
      </c>
      <c r="I52" s="50">
        <v>0</v>
      </c>
      <c r="J52" s="50">
        <v>0</v>
      </c>
      <c r="K52" s="50">
        <v>0</v>
      </c>
      <c r="L52" s="50">
        <v>2</v>
      </c>
      <c r="M52" s="50">
        <v>115</v>
      </c>
      <c r="N52" s="50">
        <v>0</v>
      </c>
      <c r="O52" s="15">
        <f t="shared" si="0"/>
        <v>45</v>
      </c>
      <c r="P52" s="15">
        <f t="shared" si="1"/>
        <v>160</v>
      </c>
      <c r="R52" s="8"/>
      <c r="T52"/>
    </row>
    <row r="53" spans="2:20" ht="23.1" customHeight="1" x14ac:dyDescent="0.25">
      <c r="B53" s="23" t="s">
        <v>80</v>
      </c>
      <c r="C53" s="50">
        <v>29</v>
      </c>
      <c r="D53" s="50">
        <v>2</v>
      </c>
      <c r="E53" s="50">
        <v>8</v>
      </c>
      <c r="F53" s="50">
        <v>0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3</v>
      </c>
      <c r="M53" s="50">
        <v>159</v>
      </c>
      <c r="N53" s="50">
        <v>0</v>
      </c>
      <c r="O53" s="15">
        <f t="shared" si="0"/>
        <v>43</v>
      </c>
      <c r="P53" s="15">
        <f t="shared" si="1"/>
        <v>202</v>
      </c>
      <c r="R53" s="8"/>
      <c r="T53"/>
    </row>
    <row r="54" spans="2:20" ht="23.1" customHeight="1" x14ac:dyDescent="0.25">
      <c r="B54" s="23" t="s">
        <v>81</v>
      </c>
      <c r="C54" s="50">
        <v>35</v>
      </c>
      <c r="D54" s="50">
        <v>14</v>
      </c>
      <c r="E54" s="50">
        <v>3</v>
      </c>
      <c r="F54" s="50">
        <v>4</v>
      </c>
      <c r="G54" s="50">
        <v>0</v>
      </c>
      <c r="H54" s="50">
        <v>0</v>
      </c>
      <c r="I54" s="50">
        <v>2</v>
      </c>
      <c r="J54" s="50">
        <v>1</v>
      </c>
      <c r="K54" s="50">
        <v>3</v>
      </c>
      <c r="L54" s="50">
        <v>6</v>
      </c>
      <c r="M54" s="50">
        <v>270</v>
      </c>
      <c r="N54" s="50">
        <v>0</v>
      </c>
      <c r="O54" s="15">
        <f t="shared" si="0"/>
        <v>68</v>
      </c>
      <c r="P54" s="15">
        <f t="shared" si="1"/>
        <v>338</v>
      </c>
      <c r="R54" s="8"/>
      <c r="T54"/>
    </row>
    <row r="55" spans="2:20" ht="23.1" customHeight="1" x14ac:dyDescent="0.25">
      <c r="B55" s="23" t="s">
        <v>82</v>
      </c>
      <c r="C55" s="50">
        <v>18</v>
      </c>
      <c r="D55" s="50">
        <v>6</v>
      </c>
      <c r="E55" s="50">
        <v>3</v>
      </c>
      <c r="F55" s="50">
        <v>4</v>
      </c>
      <c r="G55" s="50">
        <v>1</v>
      </c>
      <c r="H55" s="50">
        <v>0</v>
      </c>
      <c r="I55" s="50">
        <v>0</v>
      </c>
      <c r="J55" s="50">
        <v>3</v>
      </c>
      <c r="K55" s="50">
        <v>0</v>
      </c>
      <c r="L55" s="50">
        <v>3</v>
      </c>
      <c r="M55" s="50">
        <v>240</v>
      </c>
      <c r="N55" s="50">
        <v>0</v>
      </c>
      <c r="O55" s="15">
        <f t="shared" si="0"/>
        <v>38</v>
      </c>
      <c r="P55" s="15">
        <f t="shared" si="1"/>
        <v>278</v>
      </c>
      <c r="R55" s="8"/>
      <c r="T55"/>
    </row>
    <row r="56" spans="2:20" ht="23.1" customHeight="1" x14ac:dyDescent="0.25">
      <c r="B56" s="23" t="s">
        <v>83</v>
      </c>
      <c r="C56" s="50">
        <v>17</v>
      </c>
      <c r="D56" s="50">
        <v>12</v>
      </c>
      <c r="E56" s="50">
        <v>5</v>
      </c>
      <c r="F56" s="50">
        <v>5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1</v>
      </c>
      <c r="M56" s="50">
        <v>255</v>
      </c>
      <c r="N56" s="50">
        <v>0</v>
      </c>
      <c r="O56" s="15">
        <f t="shared" si="0"/>
        <v>41</v>
      </c>
      <c r="P56" s="15">
        <f t="shared" si="1"/>
        <v>296</v>
      </c>
      <c r="R56" s="8"/>
      <c r="T56"/>
    </row>
    <row r="57" spans="2:20" ht="23.1" customHeight="1" x14ac:dyDescent="0.25">
      <c r="B57" s="23" t="s">
        <v>84</v>
      </c>
      <c r="C57" s="50">
        <v>30</v>
      </c>
      <c r="D57" s="50">
        <v>4</v>
      </c>
      <c r="E57" s="50">
        <v>4</v>
      </c>
      <c r="F57" s="50">
        <v>4</v>
      </c>
      <c r="G57" s="50">
        <v>0</v>
      </c>
      <c r="H57" s="50">
        <v>0</v>
      </c>
      <c r="I57" s="50">
        <v>0</v>
      </c>
      <c r="J57" s="50">
        <v>1</v>
      </c>
      <c r="K57" s="50">
        <v>2</v>
      </c>
      <c r="L57" s="50">
        <v>2</v>
      </c>
      <c r="M57" s="50">
        <v>261</v>
      </c>
      <c r="N57" s="50">
        <v>0</v>
      </c>
      <c r="O57" s="15">
        <f t="shared" si="0"/>
        <v>47</v>
      </c>
      <c r="P57" s="15">
        <f t="shared" si="1"/>
        <v>308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1587</v>
      </c>
      <c r="D58" s="16">
        <f t="shared" si="21"/>
        <v>417</v>
      </c>
      <c r="E58" s="16">
        <f t="shared" si="21"/>
        <v>328</v>
      </c>
      <c r="F58" s="16">
        <f t="shared" si="21"/>
        <v>247</v>
      </c>
      <c r="G58" s="16">
        <f t="shared" si="21"/>
        <v>65</v>
      </c>
      <c r="H58" s="16">
        <f t="shared" si="21"/>
        <v>5</v>
      </c>
      <c r="I58" s="16">
        <f t="shared" si="21"/>
        <v>109</v>
      </c>
      <c r="J58" s="16">
        <f t="shared" si="21"/>
        <v>104</v>
      </c>
      <c r="K58" s="16">
        <f t="shared" si="21"/>
        <v>95</v>
      </c>
      <c r="L58" s="16">
        <f t="shared" si="21"/>
        <v>224</v>
      </c>
      <c r="M58" s="16">
        <f t="shared" si="21"/>
        <v>8736</v>
      </c>
      <c r="N58" s="16">
        <f t="shared" si="21"/>
        <v>1</v>
      </c>
      <c r="O58" s="16">
        <f t="shared" si="21"/>
        <v>3182</v>
      </c>
      <c r="P58" s="16">
        <f t="shared" si="21"/>
        <v>11918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0.13315992616210773</v>
      </c>
      <c r="D59" s="43">
        <f t="shared" si="22"/>
        <v>3.4989092129551938E-2</v>
      </c>
      <c r="E59" s="43">
        <f t="shared" si="22"/>
        <v>2.7521396207417351E-2</v>
      </c>
      <c r="F59" s="43">
        <f t="shared" si="22"/>
        <v>2.0724953851317333E-2</v>
      </c>
      <c r="G59" s="43">
        <f t="shared" si="22"/>
        <v>5.4539352240308781E-3</v>
      </c>
      <c r="H59" s="43">
        <f t="shared" si="22"/>
        <v>4.1953347877160595E-4</v>
      </c>
      <c r="I59" s="43">
        <f t="shared" si="22"/>
        <v>9.1458298372210107E-3</v>
      </c>
      <c r="J59" s="43">
        <f t="shared" si="22"/>
        <v>8.7262963584494035E-3</v>
      </c>
      <c r="K59" s="43">
        <f t="shared" si="22"/>
        <v>7.9711360966605131E-3</v>
      </c>
      <c r="L59" s="43">
        <f t="shared" si="22"/>
        <v>1.8795099848967947E-2</v>
      </c>
      <c r="M59" s="43">
        <f t="shared" si="22"/>
        <v>0.73300889410975001</v>
      </c>
      <c r="N59" s="43">
        <f t="shared" si="22"/>
        <v>8.39066957543212E-5</v>
      </c>
      <c r="R59" s="8"/>
      <c r="T59"/>
    </row>
    <row r="60" spans="2:20" ht="23.1" customHeight="1" x14ac:dyDescent="0.25">
      <c r="B60" s="42" t="s">
        <v>94</v>
      </c>
      <c r="C60" s="44">
        <f>C58/$O$58</f>
        <v>0.49874292897548711</v>
      </c>
      <c r="D60" s="44">
        <f t="shared" ref="D60:N60" si="23">D58/$O$58</f>
        <v>0.13104965430546825</v>
      </c>
      <c r="E60" s="44">
        <f t="shared" si="23"/>
        <v>0.10307982401005657</v>
      </c>
      <c r="F60" s="44">
        <f t="shared" si="23"/>
        <v>7.7624135763670651E-2</v>
      </c>
      <c r="G60" s="44">
        <f t="shared" si="23"/>
        <v>2.0427404148334379E-2</v>
      </c>
      <c r="H60" s="44">
        <f t="shared" si="23"/>
        <v>1.5713387806411063E-3</v>
      </c>
      <c r="I60" s="44">
        <f t="shared" si="23"/>
        <v>3.4255185417976113E-2</v>
      </c>
      <c r="J60" s="44">
        <f t="shared" si="23"/>
        <v>3.2683846637335007E-2</v>
      </c>
      <c r="K60" s="44">
        <f t="shared" si="23"/>
        <v>2.9855436832181018E-2</v>
      </c>
      <c r="L60" s="44">
        <f t="shared" si="23"/>
        <v>7.039597737272156E-2</v>
      </c>
      <c r="M60" s="44"/>
      <c r="N60" s="44">
        <f t="shared" si="23"/>
        <v>3.1426775612822125E-4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0" zoomScale="60" workbookViewId="0">
      <selection activeCell="I32" sqref="I3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URA-Spear Motors'!C3:G3</f>
        <v>MCC - C1 - STN44- NAKAWA-JINJA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'30.07 Spear Motors-URA'!D5</f>
        <v>30.07.19</v>
      </c>
      <c r="E5" s="3"/>
      <c r="F5" s="41" t="s">
        <v>1</v>
      </c>
      <c r="G5" s="63" t="str">
        <f>'29.07 Spear Motors -URA'!G5:H5</f>
        <v>Spear Motors Limited</v>
      </c>
      <c r="H5" s="64"/>
      <c r="I5" s="14"/>
      <c r="J5" s="2" t="s">
        <v>5</v>
      </c>
      <c r="K5" s="63" t="s">
        <v>183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177</v>
      </c>
      <c r="E6" s="64"/>
      <c r="F6" s="2" t="s">
        <v>2</v>
      </c>
      <c r="G6" s="63" t="s">
        <v>180</v>
      </c>
      <c r="H6" s="64"/>
      <c r="J6" s="2" t="s">
        <v>21</v>
      </c>
      <c r="K6" s="63" t="str">
        <f>'29.07 Spear Motors -URA'!K6:L6</f>
        <v>Felix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30</v>
      </c>
      <c r="D10" s="50">
        <v>15</v>
      </c>
      <c r="E10" s="50">
        <v>10</v>
      </c>
      <c r="F10" s="50">
        <v>5</v>
      </c>
      <c r="G10" s="50">
        <v>2</v>
      </c>
      <c r="H10" s="50">
        <v>0</v>
      </c>
      <c r="I10" s="50">
        <v>2</v>
      </c>
      <c r="J10" s="50">
        <v>0</v>
      </c>
      <c r="K10" s="50">
        <v>0</v>
      </c>
      <c r="L10" s="50">
        <v>1</v>
      </c>
      <c r="M10" s="50">
        <v>75</v>
      </c>
      <c r="N10" s="50">
        <v>0</v>
      </c>
      <c r="O10" s="15">
        <f t="shared" ref="O10:O57" si="0">SUM(C10:L10,N10)</f>
        <v>65</v>
      </c>
      <c r="P10" s="15">
        <f t="shared" ref="P10:P57" si="1">SUM(C10:N10)</f>
        <v>140</v>
      </c>
      <c r="R10" s="1" t="s">
        <v>6</v>
      </c>
      <c r="S10" s="17">
        <f t="shared" ref="S10:AF10" si="2">SUM(C10:C13)</f>
        <v>133</v>
      </c>
      <c r="T10" s="17">
        <f t="shared" si="2"/>
        <v>44</v>
      </c>
      <c r="U10" s="17">
        <f t="shared" si="2"/>
        <v>35</v>
      </c>
      <c r="V10" s="17">
        <f t="shared" si="2"/>
        <v>22</v>
      </c>
      <c r="W10" s="17">
        <f t="shared" si="2"/>
        <v>5</v>
      </c>
      <c r="X10" s="17">
        <f t="shared" si="2"/>
        <v>2</v>
      </c>
      <c r="Y10" s="17">
        <f t="shared" si="2"/>
        <v>5</v>
      </c>
      <c r="Z10" s="17">
        <f t="shared" si="2"/>
        <v>0</v>
      </c>
      <c r="AA10" s="17">
        <f t="shared" si="2"/>
        <v>0</v>
      </c>
      <c r="AB10" s="17">
        <f t="shared" si="2"/>
        <v>1</v>
      </c>
      <c r="AC10" s="17">
        <f t="shared" si="2"/>
        <v>572</v>
      </c>
      <c r="AD10" s="17">
        <f t="shared" si="2"/>
        <v>0</v>
      </c>
      <c r="AE10" s="31">
        <f t="shared" si="2"/>
        <v>247</v>
      </c>
      <c r="AF10" s="31">
        <f t="shared" si="2"/>
        <v>819</v>
      </c>
    </row>
    <row r="11" spans="2:32" s="6" customFormat="1" ht="23.1" customHeight="1" x14ac:dyDescent="0.25">
      <c r="B11" s="23" t="s">
        <v>38</v>
      </c>
      <c r="C11" s="50">
        <v>42</v>
      </c>
      <c r="D11" s="50">
        <v>9</v>
      </c>
      <c r="E11" s="50">
        <v>8</v>
      </c>
      <c r="F11" s="50">
        <v>7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48</v>
      </c>
      <c r="N11" s="50">
        <v>0</v>
      </c>
      <c r="O11" s="15">
        <f t="shared" si="0"/>
        <v>67</v>
      </c>
      <c r="P11" s="15">
        <f t="shared" si="1"/>
        <v>115</v>
      </c>
      <c r="R11" s="1" t="s">
        <v>7</v>
      </c>
      <c r="S11" s="17">
        <f t="shared" ref="S11:AF11" si="3">SUM(C14:C17)</f>
        <v>228</v>
      </c>
      <c r="T11" s="17">
        <f t="shared" si="3"/>
        <v>26</v>
      </c>
      <c r="U11" s="17">
        <f t="shared" si="3"/>
        <v>24</v>
      </c>
      <c r="V11" s="17">
        <f t="shared" si="3"/>
        <v>32</v>
      </c>
      <c r="W11" s="17">
        <f t="shared" si="3"/>
        <v>6</v>
      </c>
      <c r="X11" s="17">
        <f t="shared" si="3"/>
        <v>0</v>
      </c>
      <c r="Y11" s="17">
        <f t="shared" si="3"/>
        <v>40</v>
      </c>
      <c r="Z11" s="17">
        <f t="shared" si="3"/>
        <v>3</v>
      </c>
      <c r="AA11" s="17">
        <f t="shared" si="3"/>
        <v>1</v>
      </c>
      <c r="AB11" s="17">
        <f t="shared" si="3"/>
        <v>3</v>
      </c>
      <c r="AC11" s="17">
        <f t="shared" si="3"/>
        <v>853</v>
      </c>
      <c r="AD11" s="17">
        <f t="shared" si="3"/>
        <v>0</v>
      </c>
      <c r="AE11" s="31">
        <f t="shared" si="3"/>
        <v>363</v>
      </c>
      <c r="AF11" s="31">
        <f t="shared" si="3"/>
        <v>1216</v>
      </c>
    </row>
    <row r="12" spans="2:32" ht="23.1" customHeight="1" x14ac:dyDescent="0.25">
      <c r="B12" s="23" t="s">
        <v>39</v>
      </c>
      <c r="C12" s="50">
        <v>32</v>
      </c>
      <c r="D12" s="50">
        <v>14</v>
      </c>
      <c r="E12" s="50">
        <v>9</v>
      </c>
      <c r="F12" s="50">
        <v>5</v>
      </c>
      <c r="G12" s="50">
        <v>2</v>
      </c>
      <c r="H12" s="50">
        <v>1</v>
      </c>
      <c r="I12" s="50">
        <v>1</v>
      </c>
      <c r="J12" s="50">
        <v>0</v>
      </c>
      <c r="K12" s="50">
        <v>0</v>
      </c>
      <c r="L12" s="50">
        <v>0</v>
      </c>
      <c r="M12" s="50">
        <v>210</v>
      </c>
      <c r="N12" s="50">
        <v>0</v>
      </c>
      <c r="O12" s="15">
        <f t="shared" si="0"/>
        <v>64</v>
      </c>
      <c r="P12" s="15">
        <f t="shared" si="1"/>
        <v>274</v>
      </c>
      <c r="R12" s="1" t="s">
        <v>8</v>
      </c>
      <c r="S12" s="17">
        <f t="shared" ref="S12:AF12" si="4">SUM(C18:C21)</f>
        <v>337</v>
      </c>
      <c r="T12" s="17">
        <f t="shared" si="4"/>
        <v>48</v>
      </c>
      <c r="U12" s="17">
        <f t="shared" si="4"/>
        <v>35</v>
      </c>
      <c r="V12" s="17">
        <f t="shared" si="4"/>
        <v>30</v>
      </c>
      <c r="W12" s="17">
        <f t="shared" si="4"/>
        <v>4</v>
      </c>
      <c r="X12" s="17">
        <f t="shared" si="4"/>
        <v>0</v>
      </c>
      <c r="Y12" s="17">
        <f t="shared" si="4"/>
        <v>26</v>
      </c>
      <c r="Z12" s="17">
        <f t="shared" si="4"/>
        <v>2</v>
      </c>
      <c r="AA12" s="17">
        <f t="shared" si="4"/>
        <v>1</v>
      </c>
      <c r="AB12" s="17">
        <f t="shared" si="4"/>
        <v>5</v>
      </c>
      <c r="AC12" s="17">
        <f t="shared" si="4"/>
        <v>630</v>
      </c>
      <c r="AD12" s="17">
        <f t="shared" si="4"/>
        <v>0</v>
      </c>
      <c r="AE12" s="31">
        <f t="shared" si="4"/>
        <v>488</v>
      </c>
      <c r="AF12" s="31">
        <f t="shared" si="4"/>
        <v>1118</v>
      </c>
    </row>
    <row r="13" spans="2:32" ht="23.1" customHeight="1" x14ac:dyDescent="0.25">
      <c r="B13" s="23" t="s">
        <v>40</v>
      </c>
      <c r="C13" s="50">
        <v>29</v>
      </c>
      <c r="D13" s="50">
        <v>6</v>
      </c>
      <c r="E13" s="50">
        <v>8</v>
      </c>
      <c r="F13" s="50">
        <v>5</v>
      </c>
      <c r="G13" s="50">
        <v>1</v>
      </c>
      <c r="H13" s="50">
        <v>1</v>
      </c>
      <c r="I13" s="50">
        <v>1</v>
      </c>
      <c r="J13" s="50">
        <v>0</v>
      </c>
      <c r="K13" s="50">
        <v>0</v>
      </c>
      <c r="L13" s="50">
        <v>0</v>
      </c>
      <c r="M13" s="50">
        <v>239</v>
      </c>
      <c r="N13" s="50">
        <v>0</v>
      </c>
      <c r="O13" s="15">
        <f t="shared" si="0"/>
        <v>51</v>
      </c>
      <c r="P13" s="15">
        <f t="shared" si="1"/>
        <v>290</v>
      </c>
      <c r="R13" s="1" t="s">
        <v>9</v>
      </c>
      <c r="S13" s="17">
        <f t="shared" ref="S13:AF13" si="5">SUM(C22:C25)</f>
        <v>132</v>
      </c>
      <c r="T13" s="17">
        <f t="shared" si="5"/>
        <v>34</v>
      </c>
      <c r="U13" s="17">
        <f t="shared" si="5"/>
        <v>27</v>
      </c>
      <c r="V13" s="17">
        <f t="shared" si="5"/>
        <v>27</v>
      </c>
      <c r="W13" s="17">
        <f t="shared" si="5"/>
        <v>3</v>
      </c>
      <c r="X13" s="17">
        <f t="shared" si="5"/>
        <v>0</v>
      </c>
      <c r="Y13" s="17">
        <f t="shared" si="5"/>
        <v>22</v>
      </c>
      <c r="Z13" s="17">
        <f t="shared" si="5"/>
        <v>6</v>
      </c>
      <c r="AA13" s="17">
        <f t="shared" si="5"/>
        <v>11</v>
      </c>
      <c r="AB13" s="17">
        <f t="shared" si="5"/>
        <v>12</v>
      </c>
      <c r="AC13" s="17">
        <f t="shared" si="5"/>
        <v>382</v>
      </c>
      <c r="AD13" s="17">
        <f t="shared" si="5"/>
        <v>0</v>
      </c>
      <c r="AE13" s="31">
        <f t="shared" si="5"/>
        <v>274</v>
      </c>
      <c r="AF13" s="31">
        <f t="shared" si="5"/>
        <v>656</v>
      </c>
    </row>
    <row r="14" spans="2:32" ht="23.1" customHeight="1" x14ac:dyDescent="0.25">
      <c r="B14" s="23" t="s">
        <v>41</v>
      </c>
      <c r="C14" s="50">
        <v>40</v>
      </c>
      <c r="D14" s="50">
        <v>5</v>
      </c>
      <c r="E14" s="50">
        <v>7</v>
      </c>
      <c r="F14" s="50">
        <v>6</v>
      </c>
      <c r="G14" s="50">
        <v>2</v>
      </c>
      <c r="H14" s="50">
        <v>0</v>
      </c>
      <c r="I14" s="50">
        <v>5</v>
      </c>
      <c r="J14" s="50">
        <v>0</v>
      </c>
      <c r="K14" s="50">
        <v>0</v>
      </c>
      <c r="L14" s="50">
        <v>1</v>
      </c>
      <c r="M14" s="50">
        <v>235</v>
      </c>
      <c r="N14" s="50">
        <v>0</v>
      </c>
      <c r="O14" s="15">
        <f t="shared" si="0"/>
        <v>66</v>
      </c>
      <c r="P14" s="15">
        <f t="shared" si="1"/>
        <v>301</v>
      </c>
      <c r="R14" s="1" t="s">
        <v>10</v>
      </c>
      <c r="S14" s="17">
        <f t="shared" ref="S14:AF14" si="6">SUM(C26:C29)</f>
        <v>171</v>
      </c>
      <c r="T14" s="17">
        <f t="shared" si="6"/>
        <v>29</v>
      </c>
      <c r="U14" s="17">
        <f t="shared" si="6"/>
        <v>21</v>
      </c>
      <c r="V14" s="17">
        <f t="shared" si="6"/>
        <v>23</v>
      </c>
      <c r="W14" s="17">
        <f t="shared" si="6"/>
        <v>0</v>
      </c>
      <c r="X14" s="17">
        <f t="shared" si="6"/>
        <v>0</v>
      </c>
      <c r="Y14" s="17">
        <f t="shared" si="6"/>
        <v>22</v>
      </c>
      <c r="Z14" s="17">
        <f t="shared" si="6"/>
        <v>5</v>
      </c>
      <c r="AA14" s="17">
        <f t="shared" si="6"/>
        <v>10</v>
      </c>
      <c r="AB14" s="17">
        <f t="shared" si="6"/>
        <v>3</v>
      </c>
      <c r="AC14" s="17">
        <f t="shared" si="6"/>
        <v>373</v>
      </c>
      <c r="AD14" s="17">
        <f t="shared" si="6"/>
        <v>0</v>
      </c>
      <c r="AE14" s="31">
        <f t="shared" si="6"/>
        <v>284</v>
      </c>
      <c r="AF14" s="31">
        <f t="shared" si="6"/>
        <v>657</v>
      </c>
    </row>
    <row r="15" spans="2:32" ht="23.1" customHeight="1" x14ac:dyDescent="0.25">
      <c r="B15" s="23" t="s">
        <v>42</v>
      </c>
      <c r="C15" s="50">
        <v>54</v>
      </c>
      <c r="D15" s="50">
        <v>10</v>
      </c>
      <c r="E15" s="50">
        <v>4</v>
      </c>
      <c r="F15" s="50">
        <v>3</v>
      </c>
      <c r="G15" s="50">
        <v>1</v>
      </c>
      <c r="H15" s="50">
        <v>0</v>
      </c>
      <c r="I15" s="50">
        <v>9</v>
      </c>
      <c r="J15" s="50">
        <v>0</v>
      </c>
      <c r="K15" s="50">
        <v>0</v>
      </c>
      <c r="L15" s="50">
        <v>0</v>
      </c>
      <c r="M15" s="50">
        <v>201</v>
      </c>
      <c r="N15" s="50">
        <v>0</v>
      </c>
      <c r="O15" s="15">
        <f t="shared" si="0"/>
        <v>81</v>
      </c>
      <c r="P15" s="15">
        <f t="shared" si="1"/>
        <v>282</v>
      </c>
      <c r="R15" s="1" t="s">
        <v>11</v>
      </c>
      <c r="S15" s="17">
        <f t="shared" ref="S15:AF15" si="7">SUM(C30:C33)</f>
        <v>124</v>
      </c>
      <c r="T15" s="17">
        <f t="shared" si="7"/>
        <v>34</v>
      </c>
      <c r="U15" s="17">
        <f t="shared" si="7"/>
        <v>15</v>
      </c>
      <c r="V15" s="17">
        <f t="shared" si="7"/>
        <v>16</v>
      </c>
      <c r="W15" s="17">
        <f t="shared" si="7"/>
        <v>2</v>
      </c>
      <c r="X15" s="17">
        <f t="shared" si="7"/>
        <v>0</v>
      </c>
      <c r="Y15" s="17">
        <f t="shared" si="7"/>
        <v>16</v>
      </c>
      <c r="Z15" s="17">
        <f t="shared" si="7"/>
        <v>8</v>
      </c>
      <c r="AA15" s="17">
        <f t="shared" si="7"/>
        <v>6</v>
      </c>
      <c r="AB15" s="17">
        <f t="shared" si="7"/>
        <v>1</v>
      </c>
      <c r="AC15" s="17">
        <f t="shared" si="7"/>
        <v>228</v>
      </c>
      <c r="AD15" s="17">
        <f t="shared" si="7"/>
        <v>0</v>
      </c>
      <c r="AE15" s="31">
        <f t="shared" si="7"/>
        <v>222</v>
      </c>
      <c r="AF15" s="31">
        <f t="shared" si="7"/>
        <v>450</v>
      </c>
    </row>
    <row r="16" spans="2:32" ht="23.1" customHeight="1" x14ac:dyDescent="0.25">
      <c r="B16" s="23" t="s">
        <v>43</v>
      </c>
      <c r="C16" s="50">
        <v>73</v>
      </c>
      <c r="D16" s="50">
        <v>3</v>
      </c>
      <c r="E16" s="50">
        <v>4</v>
      </c>
      <c r="F16" s="50">
        <v>4</v>
      </c>
      <c r="G16" s="50">
        <v>2</v>
      </c>
      <c r="H16" s="50">
        <v>0</v>
      </c>
      <c r="I16" s="50">
        <v>13</v>
      </c>
      <c r="J16" s="50">
        <v>2</v>
      </c>
      <c r="K16" s="50">
        <v>1</v>
      </c>
      <c r="L16" s="50">
        <v>0</v>
      </c>
      <c r="M16" s="50">
        <v>225</v>
      </c>
      <c r="N16" s="50">
        <v>0</v>
      </c>
      <c r="O16" s="15">
        <f t="shared" si="0"/>
        <v>102</v>
      </c>
      <c r="P16" s="15">
        <f t="shared" si="1"/>
        <v>327</v>
      </c>
      <c r="R16" s="1" t="s">
        <v>12</v>
      </c>
      <c r="S16" s="17">
        <f t="shared" ref="S16:AF16" si="8">SUM(C34:C37)</f>
        <v>112</v>
      </c>
      <c r="T16" s="17">
        <f t="shared" si="8"/>
        <v>18</v>
      </c>
      <c r="U16" s="17">
        <f t="shared" si="8"/>
        <v>19</v>
      </c>
      <c r="V16" s="17">
        <f t="shared" si="8"/>
        <v>7</v>
      </c>
      <c r="W16" s="17">
        <f t="shared" si="8"/>
        <v>0</v>
      </c>
      <c r="X16" s="17">
        <f t="shared" si="8"/>
        <v>0</v>
      </c>
      <c r="Y16" s="17">
        <f t="shared" si="8"/>
        <v>13</v>
      </c>
      <c r="Z16" s="17">
        <f t="shared" si="8"/>
        <v>3</v>
      </c>
      <c r="AA16" s="17">
        <f t="shared" si="8"/>
        <v>0</v>
      </c>
      <c r="AB16" s="17">
        <f t="shared" si="8"/>
        <v>3</v>
      </c>
      <c r="AC16" s="17">
        <f t="shared" si="8"/>
        <v>281</v>
      </c>
      <c r="AD16" s="17">
        <f t="shared" si="8"/>
        <v>0</v>
      </c>
      <c r="AE16" s="31">
        <f t="shared" si="8"/>
        <v>175</v>
      </c>
      <c r="AF16" s="31">
        <f t="shared" si="8"/>
        <v>456</v>
      </c>
    </row>
    <row r="17" spans="2:32" ht="23.1" customHeight="1" x14ac:dyDescent="0.25">
      <c r="B17" s="23" t="s">
        <v>44</v>
      </c>
      <c r="C17" s="50">
        <v>61</v>
      </c>
      <c r="D17" s="50">
        <v>8</v>
      </c>
      <c r="E17" s="50">
        <v>9</v>
      </c>
      <c r="F17" s="50">
        <v>19</v>
      </c>
      <c r="G17" s="50">
        <v>1</v>
      </c>
      <c r="H17" s="50">
        <v>0</v>
      </c>
      <c r="I17" s="50">
        <v>13</v>
      </c>
      <c r="J17" s="50">
        <v>1</v>
      </c>
      <c r="K17" s="50">
        <v>0</v>
      </c>
      <c r="L17" s="50">
        <v>2</v>
      </c>
      <c r="M17" s="50">
        <v>192</v>
      </c>
      <c r="N17" s="50">
        <v>0</v>
      </c>
      <c r="O17" s="15">
        <f t="shared" si="0"/>
        <v>114</v>
      </c>
      <c r="P17" s="15">
        <f t="shared" si="1"/>
        <v>306</v>
      </c>
      <c r="R17" s="1" t="s">
        <v>13</v>
      </c>
      <c r="S17" s="17">
        <f t="shared" ref="S17:AF17" si="9">SUM(C38:C41)</f>
        <v>146</v>
      </c>
      <c r="T17" s="17">
        <f t="shared" si="9"/>
        <v>20</v>
      </c>
      <c r="U17" s="17">
        <f t="shared" si="9"/>
        <v>24</v>
      </c>
      <c r="V17" s="17">
        <f t="shared" si="9"/>
        <v>22</v>
      </c>
      <c r="W17" s="17">
        <f t="shared" si="9"/>
        <v>0</v>
      </c>
      <c r="X17" s="17">
        <f t="shared" si="9"/>
        <v>0</v>
      </c>
      <c r="Y17" s="17">
        <f t="shared" si="9"/>
        <v>27</v>
      </c>
      <c r="Z17" s="17">
        <f t="shared" si="9"/>
        <v>1</v>
      </c>
      <c r="AA17" s="17">
        <f t="shared" si="9"/>
        <v>2</v>
      </c>
      <c r="AB17" s="17">
        <f t="shared" si="9"/>
        <v>6</v>
      </c>
      <c r="AC17" s="17">
        <f t="shared" si="9"/>
        <v>193</v>
      </c>
      <c r="AD17" s="17">
        <f t="shared" si="9"/>
        <v>0</v>
      </c>
      <c r="AE17" s="31">
        <f t="shared" si="9"/>
        <v>248</v>
      </c>
      <c r="AF17" s="31">
        <f t="shared" si="9"/>
        <v>441</v>
      </c>
    </row>
    <row r="18" spans="2:32" ht="23.1" customHeight="1" x14ac:dyDescent="0.25">
      <c r="B18" s="23" t="s">
        <v>45</v>
      </c>
      <c r="C18" s="50">
        <v>24</v>
      </c>
      <c r="D18" s="50">
        <v>13</v>
      </c>
      <c r="E18" s="50">
        <v>4</v>
      </c>
      <c r="F18" s="50">
        <v>5</v>
      </c>
      <c r="G18" s="50">
        <v>3</v>
      </c>
      <c r="H18" s="50">
        <v>0</v>
      </c>
      <c r="I18" s="50">
        <v>12</v>
      </c>
      <c r="J18" s="50">
        <v>1</v>
      </c>
      <c r="K18" s="50">
        <v>0</v>
      </c>
      <c r="L18" s="50">
        <v>0</v>
      </c>
      <c r="M18" s="50">
        <v>205</v>
      </c>
      <c r="N18" s="50">
        <v>0</v>
      </c>
      <c r="O18" s="15">
        <f t="shared" si="0"/>
        <v>62</v>
      </c>
      <c r="P18" s="15">
        <f t="shared" si="1"/>
        <v>267</v>
      </c>
      <c r="R18" s="1" t="s">
        <v>14</v>
      </c>
      <c r="S18" s="17">
        <f t="shared" ref="S18:AF18" si="10">SUM(C42:C45)</f>
        <v>150</v>
      </c>
      <c r="T18" s="17">
        <f t="shared" si="10"/>
        <v>27</v>
      </c>
      <c r="U18" s="17">
        <f t="shared" si="10"/>
        <v>32</v>
      </c>
      <c r="V18" s="17">
        <f t="shared" si="10"/>
        <v>19</v>
      </c>
      <c r="W18" s="17">
        <f t="shared" si="10"/>
        <v>2</v>
      </c>
      <c r="X18" s="17">
        <f t="shared" si="10"/>
        <v>0</v>
      </c>
      <c r="Y18" s="17">
        <f t="shared" si="10"/>
        <v>20</v>
      </c>
      <c r="Z18" s="17">
        <f t="shared" si="10"/>
        <v>3</v>
      </c>
      <c r="AA18" s="17">
        <f t="shared" si="10"/>
        <v>4</v>
      </c>
      <c r="AB18" s="17">
        <f t="shared" si="10"/>
        <v>7</v>
      </c>
      <c r="AC18" s="17">
        <f t="shared" si="10"/>
        <v>319</v>
      </c>
      <c r="AD18" s="17">
        <f t="shared" si="10"/>
        <v>0</v>
      </c>
      <c r="AE18" s="31">
        <f t="shared" si="10"/>
        <v>264</v>
      </c>
      <c r="AF18" s="31">
        <f t="shared" si="10"/>
        <v>583</v>
      </c>
    </row>
    <row r="19" spans="2:32" ht="23.1" customHeight="1" x14ac:dyDescent="0.25">
      <c r="B19" s="23" t="s">
        <v>46</v>
      </c>
      <c r="C19" s="50">
        <v>94</v>
      </c>
      <c r="D19" s="50">
        <v>10</v>
      </c>
      <c r="E19" s="50">
        <v>8</v>
      </c>
      <c r="F19" s="50">
        <v>7</v>
      </c>
      <c r="G19" s="50">
        <v>1</v>
      </c>
      <c r="H19" s="50">
        <v>0</v>
      </c>
      <c r="I19" s="50">
        <v>4</v>
      </c>
      <c r="J19" s="50">
        <v>0</v>
      </c>
      <c r="K19" s="50">
        <v>0</v>
      </c>
      <c r="L19" s="50">
        <v>2</v>
      </c>
      <c r="M19" s="50">
        <v>119</v>
      </c>
      <c r="N19" s="50">
        <v>0</v>
      </c>
      <c r="O19" s="15">
        <f t="shared" si="0"/>
        <v>126</v>
      </c>
      <c r="P19" s="15">
        <f t="shared" si="1"/>
        <v>245</v>
      </c>
      <c r="R19" s="1" t="s">
        <v>15</v>
      </c>
      <c r="S19" s="17">
        <f t="shared" ref="S19:AF19" si="11">SUM(C46:C49)</f>
        <v>207</v>
      </c>
      <c r="T19" s="17">
        <f t="shared" si="11"/>
        <v>41</v>
      </c>
      <c r="U19" s="17">
        <f t="shared" si="11"/>
        <v>23</v>
      </c>
      <c r="V19" s="17">
        <f t="shared" si="11"/>
        <v>26</v>
      </c>
      <c r="W19" s="17">
        <f t="shared" si="11"/>
        <v>1</v>
      </c>
      <c r="X19" s="17">
        <f t="shared" si="11"/>
        <v>0</v>
      </c>
      <c r="Y19" s="17">
        <f t="shared" si="11"/>
        <v>17</v>
      </c>
      <c r="Z19" s="17">
        <f t="shared" si="11"/>
        <v>3</v>
      </c>
      <c r="AA19" s="17">
        <f t="shared" si="11"/>
        <v>5</v>
      </c>
      <c r="AB19" s="17">
        <f t="shared" si="11"/>
        <v>8</v>
      </c>
      <c r="AC19" s="17">
        <f t="shared" si="11"/>
        <v>307</v>
      </c>
      <c r="AD19" s="17">
        <f t="shared" si="11"/>
        <v>0</v>
      </c>
      <c r="AE19" s="31">
        <f t="shared" si="11"/>
        <v>331</v>
      </c>
      <c r="AF19" s="31">
        <f t="shared" si="11"/>
        <v>638</v>
      </c>
    </row>
    <row r="20" spans="2:32" ht="23.1" customHeight="1" x14ac:dyDescent="0.25">
      <c r="B20" s="23" t="s">
        <v>47</v>
      </c>
      <c r="C20" s="50">
        <v>75</v>
      </c>
      <c r="D20" s="50">
        <v>1</v>
      </c>
      <c r="E20" s="50">
        <v>0</v>
      </c>
      <c r="F20" s="50">
        <v>2</v>
      </c>
      <c r="G20" s="50">
        <v>0</v>
      </c>
      <c r="H20" s="50">
        <v>0</v>
      </c>
      <c r="I20" s="50">
        <v>6</v>
      </c>
      <c r="J20" s="50">
        <v>1</v>
      </c>
      <c r="K20" s="50">
        <v>1</v>
      </c>
      <c r="L20" s="50">
        <v>3</v>
      </c>
      <c r="M20" s="50">
        <v>172</v>
      </c>
      <c r="N20" s="50">
        <v>0</v>
      </c>
      <c r="O20" s="15">
        <f t="shared" si="0"/>
        <v>89</v>
      </c>
      <c r="P20" s="15">
        <f t="shared" si="1"/>
        <v>261</v>
      </c>
      <c r="R20" s="1" t="s">
        <v>16</v>
      </c>
      <c r="S20" s="17">
        <f t="shared" ref="S20:AF20" si="12">SUM(C50:C53)</f>
        <v>602</v>
      </c>
      <c r="T20" s="17">
        <f t="shared" si="12"/>
        <v>43</v>
      </c>
      <c r="U20" s="17">
        <f t="shared" si="12"/>
        <v>30</v>
      </c>
      <c r="V20" s="17">
        <f t="shared" si="12"/>
        <v>12</v>
      </c>
      <c r="W20" s="17">
        <f t="shared" si="12"/>
        <v>1</v>
      </c>
      <c r="X20" s="17">
        <f t="shared" si="12"/>
        <v>0</v>
      </c>
      <c r="Y20" s="17">
        <f t="shared" si="12"/>
        <v>0</v>
      </c>
      <c r="Z20" s="17">
        <f t="shared" si="12"/>
        <v>12</v>
      </c>
      <c r="AA20" s="17">
        <f t="shared" si="12"/>
        <v>3</v>
      </c>
      <c r="AB20" s="17">
        <f t="shared" si="12"/>
        <v>4</v>
      </c>
      <c r="AC20" s="17">
        <f t="shared" si="12"/>
        <v>369</v>
      </c>
      <c r="AD20" s="17">
        <f t="shared" si="12"/>
        <v>0</v>
      </c>
      <c r="AE20" s="31">
        <f t="shared" si="12"/>
        <v>707</v>
      </c>
      <c r="AF20" s="31">
        <f t="shared" si="12"/>
        <v>1076</v>
      </c>
    </row>
    <row r="21" spans="2:32" ht="23.1" customHeight="1" x14ac:dyDescent="0.25">
      <c r="B21" s="23" t="s">
        <v>48</v>
      </c>
      <c r="C21" s="50">
        <v>144</v>
      </c>
      <c r="D21" s="50">
        <v>24</v>
      </c>
      <c r="E21" s="50">
        <v>23</v>
      </c>
      <c r="F21" s="50">
        <v>16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134</v>
      </c>
      <c r="N21" s="50">
        <v>0</v>
      </c>
      <c r="O21" s="15">
        <f t="shared" si="0"/>
        <v>211</v>
      </c>
      <c r="P21" s="15">
        <f t="shared" si="1"/>
        <v>345</v>
      </c>
      <c r="R21" s="36" t="s">
        <v>20</v>
      </c>
      <c r="S21" s="34">
        <f t="shared" ref="S21:AF21" si="13">SUM(C54:C57)</f>
        <v>285</v>
      </c>
      <c r="T21" s="17">
        <f t="shared" si="13"/>
        <v>26</v>
      </c>
      <c r="U21" s="17">
        <f t="shared" si="13"/>
        <v>21</v>
      </c>
      <c r="V21" s="17">
        <f t="shared" si="13"/>
        <v>24</v>
      </c>
      <c r="W21" s="17">
        <f t="shared" si="13"/>
        <v>3</v>
      </c>
      <c r="X21" s="17">
        <f t="shared" si="13"/>
        <v>0</v>
      </c>
      <c r="Y21" s="17">
        <f t="shared" si="13"/>
        <v>14</v>
      </c>
      <c r="Z21" s="17">
        <f t="shared" si="13"/>
        <v>2</v>
      </c>
      <c r="AA21" s="17">
        <f t="shared" si="13"/>
        <v>2</v>
      </c>
      <c r="AB21" s="17">
        <f t="shared" si="13"/>
        <v>2</v>
      </c>
      <c r="AC21" s="17">
        <f t="shared" si="13"/>
        <v>324</v>
      </c>
      <c r="AD21" s="17">
        <f t="shared" si="13"/>
        <v>0</v>
      </c>
      <c r="AE21" s="31">
        <f t="shared" si="13"/>
        <v>379</v>
      </c>
      <c r="AF21" s="31">
        <f t="shared" si="13"/>
        <v>703</v>
      </c>
    </row>
    <row r="22" spans="2:32" ht="23.1" customHeight="1" x14ac:dyDescent="0.25">
      <c r="B22" s="23" t="s">
        <v>49</v>
      </c>
      <c r="C22" s="50">
        <v>26</v>
      </c>
      <c r="D22" s="50">
        <v>13</v>
      </c>
      <c r="E22" s="50">
        <v>6</v>
      </c>
      <c r="F22" s="50">
        <v>7</v>
      </c>
      <c r="G22" s="50">
        <v>0</v>
      </c>
      <c r="H22" s="50">
        <v>0</v>
      </c>
      <c r="I22" s="50">
        <v>1</v>
      </c>
      <c r="J22" s="50">
        <v>2</v>
      </c>
      <c r="K22" s="50">
        <v>1</v>
      </c>
      <c r="L22" s="50">
        <v>0</v>
      </c>
      <c r="M22" s="50">
        <v>20</v>
      </c>
      <c r="N22" s="50">
        <v>0</v>
      </c>
      <c r="O22" s="15">
        <f t="shared" si="0"/>
        <v>56</v>
      </c>
      <c r="P22" s="15">
        <f t="shared" si="1"/>
        <v>76</v>
      </c>
      <c r="R22" s="38" t="s">
        <v>90</v>
      </c>
      <c r="S22" s="39">
        <f>MAX(S10:S12)</f>
        <v>337</v>
      </c>
      <c r="T22" s="39">
        <f t="shared" ref="T22:AF22" si="14">MAX(T10:T12)</f>
        <v>48</v>
      </c>
      <c r="U22" s="39">
        <f t="shared" si="14"/>
        <v>35</v>
      </c>
      <c r="V22" s="39">
        <f t="shared" si="14"/>
        <v>32</v>
      </c>
      <c r="W22" s="39">
        <f t="shared" si="14"/>
        <v>6</v>
      </c>
      <c r="X22" s="39">
        <f t="shared" si="14"/>
        <v>2</v>
      </c>
      <c r="Y22" s="39">
        <f t="shared" si="14"/>
        <v>40</v>
      </c>
      <c r="Z22" s="39">
        <f t="shared" si="14"/>
        <v>3</v>
      </c>
      <c r="AA22" s="39">
        <f t="shared" si="14"/>
        <v>1</v>
      </c>
      <c r="AB22" s="39">
        <f t="shared" si="14"/>
        <v>5</v>
      </c>
      <c r="AC22" s="39">
        <f t="shared" si="14"/>
        <v>853</v>
      </c>
      <c r="AD22" s="39">
        <f t="shared" si="14"/>
        <v>0</v>
      </c>
      <c r="AE22" s="40">
        <f t="shared" si="14"/>
        <v>488</v>
      </c>
      <c r="AF22" s="40">
        <f t="shared" si="14"/>
        <v>1216</v>
      </c>
    </row>
    <row r="23" spans="2:32" ht="23.1" customHeight="1" x14ac:dyDescent="0.25">
      <c r="B23" s="23" t="s">
        <v>50</v>
      </c>
      <c r="C23" s="50">
        <v>31</v>
      </c>
      <c r="D23" s="50">
        <v>9</v>
      </c>
      <c r="E23" s="50">
        <v>11</v>
      </c>
      <c r="F23" s="50">
        <v>7</v>
      </c>
      <c r="G23" s="50">
        <v>2</v>
      </c>
      <c r="H23" s="50">
        <v>0</v>
      </c>
      <c r="I23" s="50">
        <v>6</v>
      </c>
      <c r="J23" s="50">
        <v>1</v>
      </c>
      <c r="K23" s="50">
        <v>3</v>
      </c>
      <c r="L23" s="50">
        <v>2</v>
      </c>
      <c r="M23" s="50">
        <v>133</v>
      </c>
      <c r="N23" s="50">
        <v>0</v>
      </c>
      <c r="O23" s="15">
        <f t="shared" si="0"/>
        <v>72</v>
      </c>
      <c r="P23" s="15">
        <f t="shared" si="1"/>
        <v>205</v>
      </c>
      <c r="R23" s="38" t="s">
        <v>91</v>
      </c>
      <c r="S23" s="39">
        <f>MAX(S13:S18)</f>
        <v>171</v>
      </c>
      <c r="T23" s="39">
        <f t="shared" ref="T23:AF23" si="15">MAX(T13:T18)</f>
        <v>34</v>
      </c>
      <c r="U23" s="39">
        <f t="shared" si="15"/>
        <v>32</v>
      </c>
      <c r="V23" s="39">
        <f t="shared" si="15"/>
        <v>27</v>
      </c>
      <c r="W23" s="39">
        <f t="shared" si="15"/>
        <v>3</v>
      </c>
      <c r="X23" s="39">
        <f t="shared" si="15"/>
        <v>0</v>
      </c>
      <c r="Y23" s="39">
        <f t="shared" si="15"/>
        <v>27</v>
      </c>
      <c r="Z23" s="39">
        <f t="shared" si="15"/>
        <v>8</v>
      </c>
      <c r="AA23" s="39">
        <f t="shared" si="15"/>
        <v>11</v>
      </c>
      <c r="AB23" s="39">
        <f t="shared" si="15"/>
        <v>12</v>
      </c>
      <c r="AC23" s="39">
        <f t="shared" si="15"/>
        <v>382</v>
      </c>
      <c r="AD23" s="39">
        <f t="shared" si="15"/>
        <v>0</v>
      </c>
      <c r="AE23" s="40">
        <f t="shared" si="15"/>
        <v>284</v>
      </c>
      <c r="AF23" s="40">
        <f t="shared" si="15"/>
        <v>657</v>
      </c>
    </row>
    <row r="24" spans="2:32" ht="23.1" customHeight="1" x14ac:dyDescent="0.25">
      <c r="B24" s="23" t="s">
        <v>51</v>
      </c>
      <c r="C24" s="50">
        <v>43</v>
      </c>
      <c r="D24" s="50">
        <v>8</v>
      </c>
      <c r="E24" s="50">
        <v>4</v>
      </c>
      <c r="F24" s="50">
        <v>5</v>
      </c>
      <c r="G24" s="50">
        <v>1</v>
      </c>
      <c r="H24" s="50">
        <v>0</v>
      </c>
      <c r="I24" s="50">
        <v>8</v>
      </c>
      <c r="J24" s="50">
        <v>1</v>
      </c>
      <c r="K24" s="50">
        <v>3</v>
      </c>
      <c r="L24" s="50">
        <v>7</v>
      </c>
      <c r="M24" s="50">
        <v>144</v>
      </c>
      <c r="N24" s="50">
        <v>0</v>
      </c>
      <c r="O24" s="15">
        <f t="shared" si="0"/>
        <v>80</v>
      </c>
      <c r="P24" s="15">
        <f t="shared" si="1"/>
        <v>224</v>
      </c>
      <c r="R24" s="38" t="s">
        <v>92</v>
      </c>
      <c r="S24" s="39">
        <f>MAX(S19:S21)</f>
        <v>602</v>
      </c>
      <c r="T24" s="39">
        <f t="shared" ref="T24:AF24" si="16">MAX(T19:T21)</f>
        <v>43</v>
      </c>
      <c r="U24" s="39">
        <f t="shared" si="16"/>
        <v>30</v>
      </c>
      <c r="V24" s="39">
        <f t="shared" si="16"/>
        <v>26</v>
      </c>
      <c r="W24" s="39">
        <f t="shared" si="16"/>
        <v>3</v>
      </c>
      <c r="X24" s="39">
        <f t="shared" si="16"/>
        <v>0</v>
      </c>
      <c r="Y24" s="39">
        <f t="shared" si="16"/>
        <v>17</v>
      </c>
      <c r="Z24" s="39">
        <f t="shared" si="16"/>
        <v>12</v>
      </c>
      <c r="AA24" s="39">
        <f t="shared" si="16"/>
        <v>5</v>
      </c>
      <c r="AB24" s="39">
        <f t="shared" si="16"/>
        <v>8</v>
      </c>
      <c r="AC24" s="39">
        <f t="shared" si="16"/>
        <v>369</v>
      </c>
      <c r="AD24" s="39">
        <f t="shared" si="16"/>
        <v>0</v>
      </c>
      <c r="AE24" s="40">
        <f t="shared" si="16"/>
        <v>707</v>
      </c>
      <c r="AF24" s="40">
        <f t="shared" si="16"/>
        <v>1076</v>
      </c>
    </row>
    <row r="25" spans="2:32" ht="23.1" customHeight="1" x14ac:dyDescent="0.25">
      <c r="B25" s="23" t="s">
        <v>52</v>
      </c>
      <c r="C25" s="50">
        <v>32</v>
      </c>
      <c r="D25" s="50">
        <v>4</v>
      </c>
      <c r="E25" s="50">
        <v>6</v>
      </c>
      <c r="F25" s="50">
        <v>8</v>
      </c>
      <c r="G25" s="50">
        <v>0</v>
      </c>
      <c r="H25" s="50">
        <v>0</v>
      </c>
      <c r="I25" s="50">
        <v>7</v>
      </c>
      <c r="J25" s="50">
        <v>2</v>
      </c>
      <c r="K25" s="50">
        <v>4</v>
      </c>
      <c r="L25" s="50">
        <v>3</v>
      </c>
      <c r="M25" s="50">
        <v>85</v>
      </c>
      <c r="N25" s="50">
        <v>0</v>
      </c>
      <c r="O25" s="15">
        <f t="shared" si="0"/>
        <v>66</v>
      </c>
      <c r="P25" s="15">
        <f t="shared" si="1"/>
        <v>151</v>
      </c>
      <c r="R25" s="37" t="s">
        <v>85</v>
      </c>
      <c r="S25" s="35">
        <f t="shared" ref="S25:AF25" si="17">SUM(S10:S12)</f>
        <v>698</v>
      </c>
      <c r="T25" s="16">
        <f t="shared" si="17"/>
        <v>118</v>
      </c>
      <c r="U25" s="16">
        <f t="shared" si="17"/>
        <v>94</v>
      </c>
      <c r="V25" s="16">
        <f t="shared" si="17"/>
        <v>84</v>
      </c>
      <c r="W25" s="16">
        <f t="shared" si="17"/>
        <v>15</v>
      </c>
      <c r="X25" s="16">
        <f t="shared" si="17"/>
        <v>2</v>
      </c>
      <c r="Y25" s="16">
        <f t="shared" si="17"/>
        <v>71</v>
      </c>
      <c r="Z25" s="16">
        <f t="shared" si="17"/>
        <v>5</v>
      </c>
      <c r="AA25" s="16">
        <f t="shared" si="17"/>
        <v>2</v>
      </c>
      <c r="AB25" s="16">
        <f t="shared" si="17"/>
        <v>9</v>
      </c>
      <c r="AC25" s="16">
        <f t="shared" si="17"/>
        <v>2055</v>
      </c>
      <c r="AD25" s="16">
        <f t="shared" si="17"/>
        <v>0</v>
      </c>
      <c r="AE25" s="32">
        <f t="shared" si="17"/>
        <v>1098</v>
      </c>
      <c r="AF25" s="32">
        <f t="shared" si="17"/>
        <v>3153</v>
      </c>
    </row>
    <row r="26" spans="2:32" ht="23.1" customHeight="1" x14ac:dyDescent="0.25">
      <c r="B26" s="23" t="s">
        <v>53</v>
      </c>
      <c r="C26" s="50">
        <v>31</v>
      </c>
      <c r="D26" s="50">
        <v>6</v>
      </c>
      <c r="E26" s="50">
        <v>1</v>
      </c>
      <c r="F26" s="50">
        <v>4</v>
      </c>
      <c r="G26" s="50">
        <v>0</v>
      </c>
      <c r="H26" s="50">
        <v>0</v>
      </c>
      <c r="I26" s="50">
        <v>5</v>
      </c>
      <c r="J26" s="50">
        <v>3</v>
      </c>
      <c r="K26" s="50">
        <v>2</v>
      </c>
      <c r="L26" s="50">
        <v>0</v>
      </c>
      <c r="M26" s="50">
        <v>125</v>
      </c>
      <c r="N26" s="50">
        <v>0</v>
      </c>
      <c r="O26" s="15">
        <f t="shared" si="0"/>
        <v>52</v>
      </c>
      <c r="P26" s="15">
        <f t="shared" si="1"/>
        <v>177</v>
      </c>
      <c r="R26" s="28" t="s">
        <v>86</v>
      </c>
      <c r="S26" s="16">
        <f t="shared" ref="S26:AF26" si="18">SUM(S13:S18)</f>
        <v>835</v>
      </c>
      <c r="T26" s="16">
        <f t="shared" si="18"/>
        <v>162</v>
      </c>
      <c r="U26" s="16">
        <f t="shared" si="18"/>
        <v>138</v>
      </c>
      <c r="V26" s="16">
        <f t="shared" si="18"/>
        <v>114</v>
      </c>
      <c r="W26" s="16">
        <f t="shared" si="18"/>
        <v>7</v>
      </c>
      <c r="X26" s="16">
        <f t="shared" si="18"/>
        <v>0</v>
      </c>
      <c r="Y26" s="16">
        <f t="shared" si="18"/>
        <v>120</v>
      </c>
      <c r="Z26" s="16">
        <f t="shared" si="18"/>
        <v>26</v>
      </c>
      <c r="AA26" s="16">
        <f t="shared" si="18"/>
        <v>33</v>
      </c>
      <c r="AB26" s="16">
        <f t="shared" si="18"/>
        <v>32</v>
      </c>
      <c r="AC26" s="16">
        <f t="shared" si="18"/>
        <v>1776</v>
      </c>
      <c r="AD26" s="16">
        <f t="shared" si="18"/>
        <v>0</v>
      </c>
      <c r="AE26" s="32">
        <f t="shared" si="18"/>
        <v>1467</v>
      </c>
      <c r="AF26" s="32">
        <f t="shared" si="18"/>
        <v>3243</v>
      </c>
    </row>
    <row r="27" spans="2:32" ht="23.1" customHeight="1" x14ac:dyDescent="0.25">
      <c r="B27" s="23" t="s">
        <v>54</v>
      </c>
      <c r="C27" s="50">
        <v>60</v>
      </c>
      <c r="D27" s="50">
        <v>10</v>
      </c>
      <c r="E27" s="50">
        <v>12</v>
      </c>
      <c r="F27" s="50">
        <v>11</v>
      </c>
      <c r="G27" s="50">
        <v>0</v>
      </c>
      <c r="H27" s="50">
        <v>0</v>
      </c>
      <c r="I27" s="50">
        <v>7</v>
      </c>
      <c r="J27" s="50">
        <v>1</v>
      </c>
      <c r="K27" s="50">
        <v>5</v>
      </c>
      <c r="L27" s="50">
        <v>3</v>
      </c>
      <c r="M27" s="50">
        <v>143</v>
      </c>
      <c r="N27" s="50">
        <v>0</v>
      </c>
      <c r="O27" s="15">
        <f t="shared" si="0"/>
        <v>109</v>
      </c>
      <c r="P27" s="15">
        <f t="shared" si="1"/>
        <v>252</v>
      </c>
      <c r="R27" s="29" t="s">
        <v>87</v>
      </c>
      <c r="S27" s="16">
        <f t="shared" ref="S27:AF27" si="19">SUM(S19:S21)</f>
        <v>1094</v>
      </c>
      <c r="T27" s="16">
        <f t="shared" si="19"/>
        <v>110</v>
      </c>
      <c r="U27" s="16">
        <f t="shared" si="19"/>
        <v>74</v>
      </c>
      <c r="V27" s="16">
        <f t="shared" si="19"/>
        <v>62</v>
      </c>
      <c r="W27" s="16">
        <f t="shared" si="19"/>
        <v>5</v>
      </c>
      <c r="X27" s="16">
        <f t="shared" si="19"/>
        <v>0</v>
      </c>
      <c r="Y27" s="16">
        <f t="shared" si="19"/>
        <v>31</v>
      </c>
      <c r="Z27" s="16">
        <f t="shared" si="19"/>
        <v>17</v>
      </c>
      <c r="AA27" s="16">
        <f t="shared" si="19"/>
        <v>10</v>
      </c>
      <c r="AB27" s="16">
        <f t="shared" si="19"/>
        <v>14</v>
      </c>
      <c r="AC27" s="16">
        <f t="shared" si="19"/>
        <v>1000</v>
      </c>
      <c r="AD27" s="16">
        <f t="shared" si="19"/>
        <v>0</v>
      </c>
      <c r="AE27" s="32">
        <f t="shared" si="19"/>
        <v>1417</v>
      </c>
      <c r="AF27" s="32">
        <f t="shared" si="19"/>
        <v>2417</v>
      </c>
    </row>
    <row r="28" spans="2:32" ht="23.1" customHeight="1" x14ac:dyDescent="0.25">
      <c r="B28" s="23" t="s">
        <v>55</v>
      </c>
      <c r="C28" s="50">
        <v>35</v>
      </c>
      <c r="D28" s="50">
        <v>8</v>
      </c>
      <c r="E28" s="50">
        <v>4</v>
      </c>
      <c r="F28" s="50">
        <v>5</v>
      </c>
      <c r="G28" s="50">
        <v>0</v>
      </c>
      <c r="H28" s="50">
        <v>0</v>
      </c>
      <c r="I28" s="50">
        <v>6</v>
      </c>
      <c r="J28" s="50">
        <v>1</v>
      </c>
      <c r="K28" s="50">
        <v>2</v>
      </c>
      <c r="L28" s="50">
        <v>0</v>
      </c>
      <c r="M28" s="50">
        <v>45</v>
      </c>
      <c r="N28" s="50">
        <v>0</v>
      </c>
      <c r="O28" s="15">
        <f t="shared" si="0"/>
        <v>61</v>
      </c>
      <c r="P28" s="15">
        <f t="shared" si="1"/>
        <v>106</v>
      </c>
      <c r="R28" s="5" t="s">
        <v>17</v>
      </c>
      <c r="S28" s="16">
        <f t="shared" ref="S28:AF28" si="20">SUM(S10:S21)</f>
        <v>2627</v>
      </c>
      <c r="T28" s="16">
        <f t="shared" si="20"/>
        <v>390</v>
      </c>
      <c r="U28" s="16">
        <f t="shared" si="20"/>
        <v>306</v>
      </c>
      <c r="V28" s="16">
        <f t="shared" si="20"/>
        <v>260</v>
      </c>
      <c r="W28" s="16">
        <f t="shared" si="20"/>
        <v>27</v>
      </c>
      <c r="X28" s="16">
        <f t="shared" si="20"/>
        <v>2</v>
      </c>
      <c r="Y28" s="16">
        <f t="shared" si="20"/>
        <v>222</v>
      </c>
      <c r="Z28" s="16">
        <f t="shared" si="20"/>
        <v>48</v>
      </c>
      <c r="AA28" s="16">
        <f t="shared" si="20"/>
        <v>45</v>
      </c>
      <c r="AB28" s="16">
        <f t="shared" si="20"/>
        <v>55</v>
      </c>
      <c r="AC28" s="16">
        <f t="shared" si="20"/>
        <v>4831</v>
      </c>
      <c r="AD28" s="16">
        <f t="shared" si="20"/>
        <v>0</v>
      </c>
      <c r="AE28" s="32">
        <f t="shared" si="20"/>
        <v>3982</v>
      </c>
      <c r="AF28" s="32">
        <f t="shared" si="20"/>
        <v>8813</v>
      </c>
    </row>
    <row r="29" spans="2:32" ht="23.1" customHeight="1" x14ac:dyDescent="0.25">
      <c r="B29" s="23" t="s">
        <v>56</v>
      </c>
      <c r="C29" s="50">
        <v>45</v>
      </c>
      <c r="D29" s="50">
        <v>5</v>
      </c>
      <c r="E29" s="50">
        <v>4</v>
      </c>
      <c r="F29" s="50">
        <v>3</v>
      </c>
      <c r="G29" s="50">
        <v>0</v>
      </c>
      <c r="H29" s="50">
        <v>0</v>
      </c>
      <c r="I29" s="50">
        <v>4</v>
      </c>
      <c r="J29" s="50">
        <v>0</v>
      </c>
      <c r="K29" s="50">
        <v>1</v>
      </c>
      <c r="L29" s="50">
        <v>0</v>
      </c>
      <c r="M29" s="50">
        <v>60</v>
      </c>
      <c r="N29" s="50">
        <v>0</v>
      </c>
      <c r="O29" s="15">
        <f t="shared" si="0"/>
        <v>62</v>
      </c>
      <c r="P29" s="15">
        <f t="shared" si="1"/>
        <v>122</v>
      </c>
      <c r="R29"/>
      <c r="S29" s="20"/>
      <c r="T29" s="19"/>
    </row>
    <row r="30" spans="2:32" ht="23.1" customHeight="1" x14ac:dyDescent="0.25">
      <c r="B30" s="23" t="s">
        <v>57</v>
      </c>
      <c r="C30" s="50">
        <v>37</v>
      </c>
      <c r="D30" s="50">
        <v>10</v>
      </c>
      <c r="E30" s="50">
        <v>5</v>
      </c>
      <c r="F30" s="50">
        <v>8</v>
      </c>
      <c r="G30" s="50">
        <v>1</v>
      </c>
      <c r="H30" s="50">
        <v>0</v>
      </c>
      <c r="I30" s="50">
        <v>4</v>
      </c>
      <c r="J30" s="50">
        <v>1</v>
      </c>
      <c r="K30" s="50">
        <v>3</v>
      </c>
      <c r="L30" s="50">
        <v>0</v>
      </c>
      <c r="M30" s="50">
        <v>28</v>
      </c>
      <c r="N30" s="50">
        <v>0</v>
      </c>
      <c r="O30" s="15">
        <f t="shared" si="0"/>
        <v>69</v>
      </c>
      <c r="P30" s="15">
        <f t="shared" si="1"/>
        <v>97</v>
      </c>
    </row>
    <row r="31" spans="2:32" ht="23.1" customHeight="1" x14ac:dyDescent="0.25">
      <c r="B31" s="24" t="s">
        <v>58</v>
      </c>
      <c r="C31" s="50">
        <v>20</v>
      </c>
      <c r="D31" s="50">
        <v>6</v>
      </c>
      <c r="E31" s="50">
        <v>4</v>
      </c>
      <c r="F31" s="50">
        <v>5</v>
      </c>
      <c r="G31" s="50">
        <v>0</v>
      </c>
      <c r="H31" s="50">
        <v>0</v>
      </c>
      <c r="I31" s="50">
        <v>2</v>
      </c>
      <c r="J31" s="50">
        <v>5</v>
      </c>
      <c r="K31" s="50">
        <v>2</v>
      </c>
      <c r="L31" s="50">
        <v>0</v>
      </c>
      <c r="M31" s="50">
        <v>53</v>
      </c>
      <c r="N31" s="50">
        <v>0</v>
      </c>
      <c r="O31" s="15">
        <f t="shared" si="0"/>
        <v>44</v>
      </c>
      <c r="P31" s="15">
        <f t="shared" si="1"/>
        <v>97</v>
      </c>
    </row>
    <row r="32" spans="2:32" ht="23.1" customHeight="1" x14ac:dyDescent="0.25">
      <c r="B32" s="24" t="s">
        <v>59</v>
      </c>
      <c r="C32" s="50">
        <v>46</v>
      </c>
      <c r="D32" s="50">
        <v>12</v>
      </c>
      <c r="E32" s="50">
        <v>3</v>
      </c>
      <c r="F32" s="50">
        <v>2</v>
      </c>
      <c r="G32" s="50">
        <v>0</v>
      </c>
      <c r="H32" s="50">
        <v>0</v>
      </c>
      <c r="I32" s="50">
        <v>6</v>
      </c>
      <c r="J32" s="50">
        <v>2</v>
      </c>
      <c r="K32" s="50">
        <v>1</v>
      </c>
      <c r="L32" s="50">
        <v>0</v>
      </c>
      <c r="M32" s="50">
        <v>69</v>
      </c>
      <c r="N32" s="50">
        <v>0</v>
      </c>
      <c r="O32" s="15">
        <f t="shared" si="0"/>
        <v>72</v>
      </c>
      <c r="P32" s="15">
        <f t="shared" si="1"/>
        <v>141</v>
      </c>
    </row>
    <row r="33" spans="2:20" ht="23.1" customHeight="1" x14ac:dyDescent="0.25">
      <c r="B33" s="23" t="s">
        <v>60</v>
      </c>
      <c r="C33" s="50">
        <v>21</v>
      </c>
      <c r="D33" s="50">
        <v>6</v>
      </c>
      <c r="E33" s="50">
        <v>3</v>
      </c>
      <c r="F33" s="50">
        <v>1</v>
      </c>
      <c r="G33" s="50">
        <v>1</v>
      </c>
      <c r="H33" s="50">
        <v>0</v>
      </c>
      <c r="I33" s="50">
        <v>4</v>
      </c>
      <c r="J33" s="50">
        <v>0</v>
      </c>
      <c r="K33" s="50">
        <v>0</v>
      </c>
      <c r="L33" s="50">
        <v>1</v>
      </c>
      <c r="M33" s="50">
        <v>78</v>
      </c>
      <c r="N33" s="50">
        <v>0</v>
      </c>
      <c r="O33" s="15">
        <f t="shared" si="0"/>
        <v>37</v>
      </c>
      <c r="P33" s="15">
        <f t="shared" si="1"/>
        <v>115</v>
      </c>
    </row>
    <row r="34" spans="2:20" ht="23.1" customHeight="1" x14ac:dyDescent="0.25">
      <c r="B34" s="24" t="s">
        <v>61</v>
      </c>
      <c r="C34" s="50">
        <v>34</v>
      </c>
      <c r="D34" s="50">
        <v>3</v>
      </c>
      <c r="E34" s="50">
        <v>4</v>
      </c>
      <c r="F34" s="50">
        <v>3</v>
      </c>
      <c r="G34" s="50">
        <v>0</v>
      </c>
      <c r="H34" s="50">
        <v>0</v>
      </c>
      <c r="I34" s="50">
        <v>7</v>
      </c>
      <c r="J34" s="50">
        <v>1</v>
      </c>
      <c r="K34" s="50">
        <v>0</v>
      </c>
      <c r="L34" s="50">
        <v>2</v>
      </c>
      <c r="M34" s="50">
        <v>54</v>
      </c>
      <c r="N34" s="50">
        <v>0</v>
      </c>
      <c r="O34" s="15">
        <f t="shared" si="0"/>
        <v>54</v>
      </c>
      <c r="P34" s="15">
        <f t="shared" si="1"/>
        <v>108</v>
      </c>
    </row>
    <row r="35" spans="2:20" ht="23.1" customHeight="1" x14ac:dyDescent="0.25">
      <c r="B35" s="24" t="s">
        <v>62</v>
      </c>
      <c r="C35" s="50">
        <v>18</v>
      </c>
      <c r="D35" s="50">
        <v>10</v>
      </c>
      <c r="E35" s="50">
        <v>4</v>
      </c>
      <c r="F35" s="50">
        <v>2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71</v>
      </c>
      <c r="N35" s="50">
        <v>0</v>
      </c>
      <c r="O35" s="15">
        <f t="shared" si="0"/>
        <v>37</v>
      </c>
      <c r="P35" s="15">
        <f t="shared" si="1"/>
        <v>108</v>
      </c>
    </row>
    <row r="36" spans="2:20" ht="23.1" customHeight="1" x14ac:dyDescent="0.25">
      <c r="B36" s="24" t="s">
        <v>63</v>
      </c>
      <c r="C36" s="50">
        <v>15</v>
      </c>
      <c r="D36" s="50">
        <v>0</v>
      </c>
      <c r="E36" s="50">
        <v>3</v>
      </c>
      <c r="F36" s="50">
        <v>0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1</v>
      </c>
      <c r="M36" s="50">
        <v>62</v>
      </c>
      <c r="N36" s="50">
        <v>0</v>
      </c>
      <c r="O36" s="15">
        <f t="shared" si="0"/>
        <v>21</v>
      </c>
      <c r="P36" s="15">
        <f t="shared" si="1"/>
        <v>83</v>
      </c>
    </row>
    <row r="37" spans="2:20" ht="23.1" customHeight="1" x14ac:dyDescent="0.25">
      <c r="B37" s="23" t="s">
        <v>64</v>
      </c>
      <c r="C37" s="50">
        <v>45</v>
      </c>
      <c r="D37" s="50">
        <v>5</v>
      </c>
      <c r="E37" s="50">
        <v>8</v>
      </c>
      <c r="F37" s="50">
        <v>2</v>
      </c>
      <c r="G37" s="50">
        <v>0</v>
      </c>
      <c r="H37" s="50">
        <v>0</v>
      </c>
      <c r="I37" s="50">
        <v>2</v>
      </c>
      <c r="J37" s="50">
        <v>1</v>
      </c>
      <c r="K37" s="50">
        <v>0</v>
      </c>
      <c r="L37" s="50">
        <v>0</v>
      </c>
      <c r="M37" s="50">
        <v>94</v>
      </c>
      <c r="N37" s="50">
        <v>0</v>
      </c>
      <c r="O37" s="15">
        <f t="shared" si="0"/>
        <v>63</v>
      </c>
      <c r="P37" s="15">
        <f t="shared" si="1"/>
        <v>157</v>
      </c>
    </row>
    <row r="38" spans="2:20" ht="23.1" customHeight="1" x14ac:dyDescent="0.25">
      <c r="B38" s="24" t="s">
        <v>65</v>
      </c>
      <c r="C38" s="50">
        <v>44</v>
      </c>
      <c r="D38" s="50">
        <v>5</v>
      </c>
      <c r="E38" s="50">
        <v>3</v>
      </c>
      <c r="F38" s="50">
        <v>10</v>
      </c>
      <c r="G38" s="50">
        <v>0</v>
      </c>
      <c r="H38" s="50">
        <v>0</v>
      </c>
      <c r="I38" s="50">
        <v>8</v>
      </c>
      <c r="J38" s="50">
        <v>0</v>
      </c>
      <c r="K38" s="50">
        <v>0</v>
      </c>
      <c r="L38" s="50">
        <v>2</v>
      </c>
      <c r="M38" s="50">
        <v>27</v>
      </c>
      <c r="N38" s="50">
        <v>0</v>
      </c>
      <c r="O38" s="15">
        <f t="shared" si="0"/>
        <v>72</v>
      </c>
      <c r="P38" s="15">
        <f t="shared" si="1"/>
        <v>99</v>
      </c>
    </row>
    <row r="39" spans="2:20" ht="23.1" customHeight="1" x14ac:dyDescent="0.25">
      <c r="B39" s="24" t="s">
        <v>66</v>
      </c>
      <c r="C39" s="50">
        <v>32</v>
      </c>
      <c r="D39" s="50">
        <v>4</v>
      </c>
      <c r="E39" s="50">
        <v>5</v>
      </c>
      <c r="F39" s="50">
        <v>5</v>
      </c>
      <c r="G39" s="50">
        <v>0</v>
      </c>
      <c r="H39" s="50">
        <v>0</v>
      </c>
      <c r="I39" s="50">
        <v>4</v>
      </c>
      <c r="J39" s="50">
        <v>0</v>
      </c>
      <c r="K39" s="50">
        <v>0</v>
      </c>
      <c r="L39" s="50">
        <v>2</v>
      </c>
      <c r="M39" s="50">
        <v>58</v>
      </c>
      <c r="N39" s="50">
        <v>0</v>
      </c>
      <c r="O39" s="15">
        <f t="shared" si="0"/>
        <v>52</v>
      </c>
      <c r="P39" s="15">
        <f t="shared" si="1"/>
        <v>110</v>
      </c>
    </row>
    <row r="40" spans="2:20" ht="23.1" customHeight="1" x14ac:dyDescent="0.25">
      <c r="B40" s="24" t="s">
        <v>67</v>
      </c>
      <c r="C40" s="50">
        <v>39</v>
      </c>
      <c r="D40" s="50">
        <v>4</v>
      </c>
      <c r="E40" s="50">
        <v>8</v>
      </c>
      <c r="F40" s="50">
        <v>5</v>
      </c>
      <c r="G40" s="50">
        <v>0</v>
      </c>
      <c r="H40" s="50">
        <v>0</v>
      </c>
      <c r="I40" s="50">
        <v>7</v>
      </c>
      <c r="J40" s="50">
        <v>1</v>
      </c>
      <c r="K40" s="50">
        <v>2</v>
      </c>
      <c r="L40" s="50">
        <v>0</v>
      </c>
      <c r="M40" s="50">
        <v>77</v>
      </c>
      <c r="N40" s="50">
        <v>0</v>
      </c>
      <c r="O40" s="15">
        <f t="shared" si="0"/>
        <v>66</v>
      </c>
      <c r="P40" s="15">
        <f t="shared" si="1"/>
        <v>143</v>
      </c>
    </row>
    <row r="41" spans="2:20" ht="23.1" customHeight="1" x14ac:dyDescent="0.25">
      <c r="B41" s="23" t="s">
        <v>68</v>
      </c>
      <c r="C41" s="50">
        <v>31</v>
      </c>
      <c r="D41" s="50">
        <v>7</v>
      </c>
      <c r="E41" s="50">
        <v>8</v>
      </c>
      <c r="F41" s="50">
        <v>2</v>
      </c>
      <c r="G41" s="50">
        <v>0</v>
      </c>
      <c r="H41" s="50">
        <v>0</v>
      </c>
      <c r="I41" s="50">
        <v>8</v>
      </c>
      <c r="J41" s="50">
        <v>0</v>
      </c>
      <c r="K41" s="50">
        <v>0</v>
      </c>
      <c r="L41" s="50">
        <v>2</v>
      </c>
      <c r="M41" s="50">
        <v>31</v>
      </c>
      <c r="N41" s="50">
        <v>0</v>
      </c>
      <c r="O41" s="15">
        <f t="shared" si="0"/>
        <v>58</v>
      </c>
      <c r="P41" s="15">
        <f t="shared" si="1"/>
        <v>89</v>
      </c>
    </row>
    <row r="42" spans="2:20" ht="23.1" customHeight="1" x14ac:dyDescent="0.25">
      <c r="B42" s="24" t="s">
        <v>69</v>
      </c>
      <c r="C42" s="50">
        <v>51</v>
      </c>
      <c r="D42" s="50">
        <v>11</v>
      </c>
      <c r="E42" s="50">
        <v>11</v>
      </c>
      <c r="F42" s="50">
        <v>8</v>
      </c>
      <c r="G42" s="50">
        <v>2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103</v>
      </c>
      <c r="N42" s="50">
        <v>0</v>
      </c>
      <c r="O42" s="15">
        <f t="shared" si="0"/>
        <v>83</v>
      </c>
      <c r="P42" s="15">
        <f t="shared" si="1"/>
        <v>186</v>
      </c>
    </row>
    <row r="43" spans="2:20" ht="23.1" customHeight="1" x14ac:dyDescent="0.25">
      <c r="B43" s="23" t="s">
        <v>70</v>
      </c>
      <c r="C43" s="50">
        <v>34</v>
      </c>
      <c r="D43" s="50">
        <v>8</v>
      </c>
      <c r="E43" s="50">
        <v>6</v>
      </c>
      <c r="F43" s="50">
        <v>5</v>
      </c>
      <c r="G43" s="50">
        <v>0</v>
      </c>
      <c r="H43" s="50">
        <v>0</v>
      </c>
      <c r="I43" s="50">
        <v>7</v>
      </c>
      <c r="J43" s="50">
        <v>0</v>
      </c>
      <c r="K43" s="50">
        <v>0</v>
      </c>
      <c r="L43" s="50">
        <v>4</v>
      </c>
      <c r="M43" s="50">
        <v>70</v>
      </c>
      <c r="N43" s="50">
        <v>0</v>
      </c>
      <c r="O43" s="15">
        <f t="shared" si="0"/>
        <v>64</v>
      </c>
      <c r="P43" s="15">
        <f t="shared" si="1"/>
        <v>134</v>
      </c>
    </row>
    <row r="44" spans="2:20" ht="23.1" customHeight="1" x14ac:dyDescent="0.25">
      <c r="B44" s="25" t="s">
        <v>71</v>
      </c>
      <c r="C44" s="50">
        <v>19</v>
      </c>
      <c r="D44" s="50">
        <v>5</v>
      </c>
      <c r="E44" s="50">
        <v>8</v>
      </c>
      <c r="F44" s="50">
        <v>4</v>
      </c>
      <c r="G44" s="50">
        <v>0</v>
      </c>
      <c r="H44" s="50">
        <v>0</v>
      </c>
      <c r="I44" s="50">
        <v>3</v>
      </c>
      <c r="J44" s="50">
        <v>1</v>
      </c>
      <c r="K44" s="50">
        <v>0</v>
      </c>
      <c r="L44" s="50">
        <v>1</v>
      </c>
      <c r="M44" s="50">
        <v>43</v>
      </c>
      <c r="N44" s="50">
        <v>0</v>
      </c>
      <c r="O44" s="15">
        <f t="shared" si="0"/>
        <v>41</v>
      </c>
      <c r="P44" s="15">
        <f t="shared" si="1"/>
        <v>84</v>
      </c>
    </row>
    <row r="45" spans="2:20" ht="23.1" customHeight="1" x14ac:dyDescent="0.25">
      <c r="B45" s="23" t="s">
        <v>72</v>
      </c>
      <c r="C45" s="50">
        <v>46</v>
      </c>
      <c r="D45" s="50">
        <v>3</v>
      </c>
      <c r="E45" s="50">
        <v>7</v>
      </c>
      <c r="F45" s="50">
        <v>2</v>
      </c>
      <c r="G45" s="50">
        <v>0</v>
      </c>
      <c r="H45" s="50">
        <v>0</v>
      </c>
      <c r="I45" s="50">
        <v>10</v>
      </c>
      <c r="J45" s="50">
        <v>2</v>
      </c>
      <c r="K45" s="50">
        <v>4</v>
      </c>
      <c r="L45" s="50">
        <v>2</v>
      </c>
      <c r="M45" s="50">
        <v>103</v>
      </c>
      <c r="N45" s="50">
        <v>0</v>
      </c>
      <c r="O45" s="15">
        <f t="shared" si="0"/>
        <v>76</v>
      </c>
      <c r="P45" s="15">
        <f t="shared" si="1"/>
        <v>179</v>
      </c>
    </row>
    <row r="46" spans="2:20" ht="23.1" customHeight="1" x14ac:dyDescent="0.25">
      <c r="B46" s="24" t="s">
        <v>73</v>
      </c>
      <c r="C46" s="50">
        <v>23</v>
      </c>
      <c r="D46" s="50">
        <v>5</v>
      </c>
      <c r="E46" s="50">
        <v>4</v>
      </c>
      <c r="F46" s="50">
        <v>6</v>
      </c>
      <c r="G46" s="50">
        <v>1</v>
      </c>
      <c r="H46" s="50">
        <v>0</v>
      </c>
      <c r="I46" s="50">
        <v>5</v>
      </c>
      <c r="J46" s="50">
        <v>3</v>
      </c>
      <c r="K46" s="50">
        <v>1</v>
      </c>
      <c r="L46" s="50">
        <v>1</v>
      </c>
      <c r="M46" s="50">
        <v>81</v>
      </c>
      <c r="N46" s="50">
        <v>0</v>
      </c>
      <c r="O46" s="15">
        <f t="shared" si="0"/>
        <v>49</v>
      </c>
      <c r="P46" s="15">
        <f t="shared" si="1"/>
        <v>130</v>
      </c>
      <c r="R46" s="8"/>
      <c r="T46"/>
    </row>
    <row r="47" spans="2:20" ht="23.1" customHeight="1" x14ac:dyDescent="0.25">
      <c r="B47" s="24" t="s">
        <v>74</v>
      </c>
      <c r="C47" s="50">
        <v>63</v>
      </c>
      <c r="D47" s="50">
        <v>15</v>
      </c>
      <c r="E47" s="50">
        <v>9</v>
      </c>
      <c r="F47" s="50">
        <v>4</v>
      </c>
      <c r="G47" s="50">
        <v>0</v>
      </c>
      <c r="H47" s="50">
        <v>0</v>
      </c>
      <c r="I47" s="50">
        <v>4</v>
      </c>
      <c r="J47" s="50">
        <v>0</v>
      </c>
      <c r="K47" s="50">
        <v>2</v>
      </c>
      <c r="L47" s="50">
        <v>4</v>
      </c>
      <c r="M47" s="50">
        <v>75</v>
      </c>
      <c r="N47" s="50">
        <v>0</v>
      </c>
      <c r="O47" s="15">
        <f t="shared" si="0"/>
        <v>101</v>
      </c>
      <c r="P47" s="15">
        <f t="shared" si="1"/>
        <v>176</v>
      </c>
      <c r="R47" s="8"/>
      <c r="T47"/>
    </row>
    <row r="48" spans="2:20" ht="23.1" customHeight="1" x14ac:dyDescent="0.25">
      <c r="B48" s="24" t="s">
        <v>75</v>
      </c>
      <c r="C48" s="50">
        <v>16</v>
      </c>
      <c r="D48" s="50">
        <v>1</v>
      </c>
      <c r="E48" s="50">
        <v>0</v>
      </c>
      <c r="F48" s="50">
        <v>3</v>
      </c>
      <c r="G48" s="50">
        <v>0</v>
      </c>
      <c r="H48" s="50">
        <v>0</v>
      </c>
      <c r="I48" s="50">
        <v>8</v>
      </c>
      <c r="J48" s="50">
        <v>0</v>
      </c>
      <c r="K48" s="50">
        <v>2</v>
      </c>
      <c r="L48" s="50">
        <v>3</v>
      </c>
      <c r="M48" s="50">
        <v>88</v>
      </c>
      <c r="N48" s="50">
        <v>0</v>
      </c>
      <c r="O48" s="15">
        <f t="shared" si="0"/>
        <v>33</v>
      </c>
      <c r="P48" s="15">
        <f t="shared" si="1"/>
        <v>121</v>
      </c>
      <c r="R48" s="8"/>
      <c r="T48"/>
    </row>
    <row r="49" spans="2:20" ht="23.1" customHeight="1" x14ac:dyDescent="0.25">
      <c r="B49" s="23" t="s">
        <v>76</v>
      </c>
      <c r="C49" s="50">
        <v>105</v>
      </c>
      <c r="D49" s="50">
        <v>20</v>
      </c>
      <c r="E49" s="50">
        <v>10</v>
      </c>
      <c r="F49" s="50">
        <v>13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63</v>
      </c>
      <c r="N49" s="50">
        <v>0</v>
      </c>
      <c r="O49" s="15">
        <f t="shared" si="0"/>
        <v>148</v>
      </c>
      <c r="P49" s="15">
        <f t="shared" si="1"/>
        <v>211</v>
      </c>
      <c r="R49" s="8"/>
      <c r="T49"/>
    </row>
    <row r="50" spans="2:20" ht="23.1" customHeight="1" x14ac:dyDescent="0.25">
      <c r="B50" s="24" t="s">
        <v>77</v>
      </c>
      <c r="C50" s="50">
        <v>130</v>
      </c>
      <c r="D50" s="50">
        <v>13</v>
      </c>
      <c r="E50" s="50">
        <v>7</v>
      </c>
      <c r="F50" s="50">
        <v>4</v>
      </c>
      <c r="G50" s="50">
        <v>0</v>
      </c>
      <c r="H50" s="50">
        <v>0</v>
      </c>
      <c r="I50" s="50">
        <v>0</v>
      </c>
      <c r="J50" s="50">
        <v>5</v>
      </c>
      <c r="K50" s="50">
        <v>0</v>
      </c>
      <c r="L50" s="50">
        <v>2</v>
      </c>
      <c r="M50" s="50">
        <v>83</v>
      </c>
      <c r="N50" s="50">
        <v>0</v>
      </c>
      <c r="O50" s="15">
        <f t="shared" si="0"/>
        <v>161</v>
      </c>
      <c r="P50" s="15">
        <f t="shared" si="1"/>
        <v>244</v>
      </c>
      <c r="R50" s="8"/>
      <c r="T50"/>
    </row>
    <row r="51" spans="2:20" ht="23.1" customHeight="1" x14ac:dyDescent="0.25">
      <c r="B51" s="24" t="s">
        <v>78</v>
      </c>
      <c r="C51" s="50">
        <v>200</v>
      </c>
      <c r="D51" s="50">
        <v>12</v>
      </c>
      <c r="E51" s="50">
        <v>8</v>
      </c>
      <c r="F51" s="50">
        <v>1</v>
      </c>
      <c r="G51" s="50">
        <v>1</v>
      </c>
      <c r="H51" s="50">
        <v>0</v>
      </c>
      <c r="I51" s="50">
        <v>0</v>
      </c>
      <c r="J51" s="50">
        <v>4</v>
      </c>
      <c r="K51" s="50">
        <v>3</v>
      </c>
      <c r="L51" s="50">
        <v>1</v>
      </c>
      <c r="M51" s="50">
        <v>102</v>
      </c>
      <c r="N51" s="50">
        <v>0</v>
      </c>
      <c r="O51" s="15">
        <f t="shared" si="0"/>
        <v>230</v>
      </c>
      <c r="P51" s="15">
        <f t="shared" si="1"/>
        <v>332</v>
      </c>
      <c r="R51" s="8"/>
      <c r="T51"/>
    </row>
    <row r="52" spans="2:20" ht="23.1" customHeight="1" x14ac:dyDescent="0.25">
      <c r="B52" s="24" t="s">
        <v>79</v>
      </c>
      <c r="C52" s="50">
        <v>82</v>
      </c>
      <c r="D52" s="50">
        <v>3</v>
      </c>
      <c r="E52" s="50">
        <v>4</v>
      </c>
      <c r="F52" s="50">
        <v>0</v>
      </c>
      <c r="G52" s="50">
        <v>0</v>
      </c>
      <c r="H52" s="50">
        <v>0</v>
      </c>
      <c r="I52" s="50">
        <v>0</v>
      </c>
      <c r="J52" s="50">
        <v>2</v>
      </c>
      <c r="K52" s="50">
        <v>0</v>
      </c>
      <c r="L52" s="50">
        <v>0</v>
      </c>
      <c r="M52" s="50">
        <v>125</v>
      </c>
      <c r="N52" s="50">
        <v>0</v>
      </c>
      <c r="O52" s="15">
        <f t="shared" si="0"/>
        <v>91</v>
      </c>
      <c r="P52" s="15">
        <f t="shared" si="1"/>
        <v>216</v>
      </c>
      <c r="R52" s="8"/>
      <c r="T52"/>
    </row>
    <row r="53" spans="2:20" ht="23.1" customHeight="1" x14ac:dyDescent="0.25">
      <c r="B53" s="23" t="s">
        <v>80</v>
      </c>
      <c r="C53" s="50">
        <v>190</v>
      </c>
      <c r="D53" s="50">
        <v>15</v>
      </c>
      <c r="E53" s="50">
        <v>11</v>
      </c>
      <c r="F53" s="50">
        <v>7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1</v>
      </c>
      <c r="M53" s="50">
        <v>59</v>
      </c>
      <c r="N53" s="50">
        <v>0</v>
      </c>
      <c r="O53" s="15">
        <f t="shared" si="0"/>
        <v>225</v>
      </c>
      <c r="P53" s="15">
        <f t="shared" si="1"/>
        <v>284</v>
      </c>
      <c r="R53" s="8"/>
      <c r="T53"/>
    </row>
    <row r="54" spans="2:20" ht="23.1" customHeight="1" x14ac:dyDescent="0.25">
      <c r="B54" s="23" t="s">
        <v>81</v>
      </c>
      <c r="C54" s="50">
        <v>100</v>
      </c>
      <c r="D54" s="50">
        <v>14</v>
      </c>
      <c r="E54" s="50">
        <v>7</v>
      </c>
      <c r="F54" s="50">
        <v>6</v>
      </c>
      <c r="G54" s="50">
        <v>0</v>
      </c>
      <c r="H54" s="50">
        <v>0</v>
      </c>
      <c r="I54" s="50">
        <v>5</v>
      </c>
      <c r="J54" s="50">
        <v>0</v>
      </c>
      <c r="K54" s="50">
        <v>1</v>
      </c>
      <c r="L54" s="50">
        <v>2</v>
      </c>
      <c r="M54" s="50">
        <v>83</v>
      </c>
      <c r="N54" s="50">
        <v>0</v>
      </c>
      <c r="O54" s="15">
        <f t="shared" si="0"/>
        <v>135</v>
      </c>
      <c r="P54" s="15">
        <f t="shared" si="1"/>
        <v>218</v>
      </c>
      <c r="R54" s="8"/>
      <c r="T54"/>
    </row>
    <row r="55" spans="2:20" ht="23.1" customHeight="1" x14ac:dyDescent="0.25">
      <c r="B55" s="23" t="s">
        <v>82</v>
      </c>
      <c r="C55" s="50">
        <v>80</v>
      </c>
      <c r="D55" s="50">
        <v>5</v>
      </c>
      <c r="E55" s="50">
        <v>1</v>
      </c>
      <c r="F55" s="50">
        <v>2</v>
      </c>
      <c r="G55" s="50">
        <v>3</v>
      </c>
      <c r="H55" s="50">
        <v>0</v>
      </c>
      <c r="I55" s="50">
        <v>2</v>
      </c>
      <c r="J55" s="50">
        <v>2</v>
      </c>
      <c r="K55" s="50">
        <v>0</v>
      </c>
      <c r="L55" s="50">
        <v>0</v>
      </c>
      <c r="M55" s="50">
        <v>91</v>
      </c>
      <c r="N55" s="50">
        <v>0</v>
      </c>
      <c r="O55" s="15">
        <f t="shared" si="0"/>
        <v>95</v>
      </c>
      <c r="P55" s="15">
        <f t="shared" si="1"/>
        <v>186</v>
      </c>
      <c r="R55" s="8"/>
      <c r="T55"/>
    </row>
    <row r="56" spans="2:20" ht="23.1" customHeight="1" x14ac:dyDescent="0.25">
      <c r="B56" s="23" t="s">
        <v>83</v>
      </c>
      <c r="C56" s="50">
        <v>45</v>
      </c>
      <c r="D56" s="50">
        <v>3</v>
      </c>
      <c r="E56" s="50">
        <v>8</v>
      </c>
      <c r="F56" s="50">
        <v>10</v>
      </c>
      <c r="G56" s="50">
        <v>0</v>
      </c>
      <c r="H56" s="50">
        <v>0</v>
      </c>
      <c r="I56" s="50">
        <v>5</v>
      </c>
      <c r="J56" s="50">
        <v>0</v>
      </c>
      <c r="K56" s="50">
        <v>0</v>
      </c>
      <c r="L56" s="50">
        <v>0</v>
      </c>
      <c r="M56" s="50">
        <v>46</v>
      </c>
      <c r="N56" s="50">
        <v>0</v>
      </c>
      <c r="O56" s="15">
        <f t="shared" si="0"/>
        <v>71</v>
      </c>
      <c r="P56" s="15">
        <f t="shared" si="1"/>
        <v>117</v>
      </c>
      <c r="R56" s="8"/>
      <c r="T56"/>
    </row>
    <row r="57" spans="2:20" ht="23.1" customHeight="1" x14ac:dyDescent="0.25">
      <c r="B57" s="23" t="s">
        <v>84</v>
      </c>
      <c r="C57" s="50">
        <v>60</v>
      </c>
      <c r="D57" s="50">
        <v>4</v>
      </c>
      <c r="E57" s="50">
        <v>5</v>
      </c>
      <c r="F57" s="50">
        <v>6</v>
      </c>
      <c r="G57" s="50">
        <v>0</v>
      </c>
      <c r="H57" s="50">
        <v>0</v>
      </c>
      <c r="I57" s="50">
        <v>2</v>
      </c>
      <c r="J57" s="50">
        <v>0</v>
      </c>
      <c r="K57" s="50">
        <v>1</v>
      </c>
      <c r="L57" s="50">
        <v>0</v>
      </c>
      <c r="M57" s="50">
        <v>104</v>
      </c>
      <c r="N57" s="50">
        <v>0</v>
      </c>
      <c r="O57" s="15">
        <f t="shared" si="0"/>
        <v>78</v>
      </c>
      <c r="P57" s="15">
        <f t="shared" si="1"/>
        <v>182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2627</v>
      </c>
      <c r="D58" s="16">
        <f t="shared" si="21"/>
        <v>390</v>
      </c>
      <c r="E58" s="16">
        <f t="shared" si="21"/>
        <v>306</v>
      </c>
      <c r="F58" s="16">
        <f t="shared" si="21"/>
        <v>260</v>
      </c>
      <c r="G58" s="16">
        <f t="shared" si="21"/>
        <v>27</v>
      </c>
      <c r="H58" s="16">
        <f t="shared" si="21"/>
        <v>2</v>
      </c>
      <c r="I58" s="16">
        <f t="shared" si="21"/>
        <v>222</v>
      </c>
      <c r="J58" s="16">
        <f t="shared" si="21"/>
        <v>48</v>
      </c>
      <c r="K58" s="16">
        <f t="shared" si="21"/>
        <v>45</v>
      </c>
      <c r="L58" s="16">
        <f t="shared" si="21"/>
        <v>55</v>
      </c>
      <c r="M58" s="16">
        <f t="shared" si="21"/>
        <v>4831</v>
      </c>
      <c r="N58" s="16">
        <f t="shared" si="21"/>
        <v>0</v>
      </c>
      <c r="O58" s="16">
        <f t="shared" si="21"/>
        <v>3982</v>
      </c>
      <c r="P58" s="16">
        <f t="shared" si="21"/>
        <v>8813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0.29808237830477702</v>
      </c>
      <c r="D59" s="43">
        <f t="shared" si="22"/>
        <v>4.4252808351299217E-2</v>
      </c>
      <c r="E59" s="43">
        <f t="shared" si="22"/>
        <v>3.472143424486554E-2</v>
      </c>
      <c r="F59" s="43">
        <f t="shared" si="22"/>
        <v>2.9501872234199478E-2</v>
      </c>
      <c r="G59" s="43">
        <f t="shared" si="22"/>
        <v>3.0636559627822534E-3</v>
      </c>
      <c r="H59" s="43">
        <f t="shared" si="22"/>
        <v>2.2693747872461136E-4</v>
      </c>
      <c r="I59" s="43">
        <f t="shared" si="22"/>
        <v>2.5190060138431863E-2</v>
      </c>
      <c r="J59" s="43">
        <f t="shared" si="22"/>
        <v>5.4464994893906726E-3</v>
      </c>
      <c r="K59" s="43">
        <f t="shared" si="22"/>
        <v>5.1060932713037554E-3</v>
      </c>
      <c r="L59" s="43">
        <f t="shared" si="22"/>
        <v>6.2407806649268129E-3</v>
      </c>
      <c r="M59" s="43">
        <f t="shared" si="22"/>
        <v>0.54816747985929881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0.65971873430436967</v>
      </c>
      <c r="D60" s="44">
        <f t="shared" ref="D60:N60" si="23">D58/$O$58</f>
        <v>9.7940733299849328E-2</v>
      </c>
      <c r="E60" s="44">
        <f t="shared" si="23"/>
        <v>7.6845806127574079E-2</v>
      </c>
      <c r="F60" s="44">
        <f t="shared" si="23"/>
        <v>6.5293822199899543E-2</v>
      </c>
      <c r="G60" s="44">
        <f t="shared" si="23"/>
        <v>6.7805123053741841E-3</v>
      </c>
      <c r="H60" s="44">
        <f t="shared" si="23"/>
        <v>5.0226017076845811E-4</v>
      </c>
      <c r="I60" s="44">
        <f t="shared" si="23"/>
        <v>5.5750878955298844E-2</v>
      </c>
      <c r="J60" s="44">
        <f t="shared" si="23"/>
        <v>1.2054244098442994E-2</v>
      </c>
      <c r="K60" s="44">
        <f t="shared" si="23"/>
        <v>1.1300853842290307E-2</v>
      </c>
      <c r="L60" s="44">
        <f t="shared" si="23"/>
        <v>1.3812154696132596E-2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31" zoomScale="60" workbookViewId="0">
      <selection activeCell="H58" sqref="H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Spear Motors -URA'!C3:G3</f>
        <v>MCC - C1 - STN44- NAKAWA-JINJA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3" t="str">
        <f>'29.07 Spear Motors -URA'!G5:H5</f>
        <v>Spear Motors Limited</v>
      </c>
      <c r="H5" s="64"/>
      <c r="I5" s="14"/>
      <c r="J5" s="2" t="s">
        <v>5</v>
      </c>
      <c r="K5" s="63" t="s">
        <v>170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Spear Motors -URA'!D6:E6</f>
        <v>Spear Motors</v>
      </c>
      <c r="E6" s="64"/>
      <c r="F6" s="2" t="s">
        <v>2</v>
      </c>
      <c r="G6" s="63" t="str">
        <f>'29.07 Spear Motors -URA'!G6:H6</f>
        <v>URA</v>
      </c>
      <c r="H6" s="64"/>
      <c r="J6" s="2" t="s">
        <v>21</v>
      </c>
      <c r="K6" s="63" t="str">
        <f>'29.07 Spear Motors -URA'!K6:L6</f>
        <v>Felix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40</v>
      </c>
      <c r="D10" s="50">
        <v>6</v>
      </c>
      <c r="E10" s="50">
        <v>7</v>
      </c>
      <c r="F10" s="50">
        <v>6</v>
      </c>
      <c r="G10" s="50">
        <v>3</v>
      </c>
      <c r="H10" s="50">
        <v>0</v>
      </c>
      <c r="I10" s="50">
        <v>0</v>
      </c>
      <c r="J10" s="50">
        <v>0</v>
      </c>
      <c r="K10" s="50">
        <v>2</v>
      </c>
      <c r="L10" s="50">
        <v>7</v>
      </c>
      <c r="M10" s="50">
        <v>130</v>
      </c>
      <c r="N10" s="50">
        <v>0</v>
      </c>
      <c r="O10" s="15">
        <f t="shared" ref="O10:O57" si="0">SUM(C10:L10,N10)</f>
        <v>71</v>
      </c>
      <c r="P10" s="15">
        <f t="shared" ref="P10:P57" si="1">SUM(C10:N10)</f>
        <v>201</v>
      </c>
      <c r="R10" s="1" t="s">
        <v>6</v>
      </c>
      <c r="S10" s="17">
        <f t="shared" ref="S10:AF10" si="2">SUM(C10:C13)</f>
        <v>157</v>
      </c>
      <c r="T10" s="17">
        <f t="shared" si="2"/>
        <v>33</v>
      </c>
      <c r="U10" s="17">
        <f t="shared" si="2"/>
        <v>22</v>
      </c>
      <c r="V10" s="17">
        <f t="shared" si="2"/>
        <v>16</v>
      </c>
      <c r="W10" s="17">
        <f t="shared" si="2"/>
        <v>9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5</v>
      </c>
      <c r="AB10" s="17">
        <f t="shared" si="2"/>
        <v>14</v>
      </c>
      <c r="AC10" s="17">
        <f t="shared" si="2"/>
        <v>621</v>
      </c>
      <c r="AD10" s="17">
        <f t="shared" si="2"/>
        <v>0</v>
      </c>
      <c r="AE10" s="31">
        <f t="shared" si="2"/>
        <v>256</v>
      </c>
      <c r="AF10" s="31">
        <f t="shared" si="2"/>
        <v>877</v>
      </c>
    </row>
    <row r="11" spans="2:32" s="6" customFormat="1" ht="23.1" customHeight="1" x14ac:dyDescent="0.25">
      <c r="B11" s="23" t="s">
        <v>38</v>
      </c>
      <c r="C11" s="50">
        <v>30</v>
      </c>
      <c r="D11" s="50">
        <v>10</v>
      </c>
      <c r="E11" s="50">
        <v>4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1</v>
      </c>
      <c r="L11" s="50">
        <v>3</v>
      </c>
      <c r="M11" s="50">
        <v>110</v>
      </c>
      <c r="N11" s="50">
        <v>0</v>
      </c>
      <c r="O11" s="15">
        <f t="shared" si="0"/>
        <v>48</v>
      </c>
      <c r="P11" s="15">
        <f t="shared" si="1"/>
        <v>158</v>
      </c>
      <c r="R11" s="1" t="s">
        <v>7</v>
      </c>
      <c r="S11" s="17">
        <f t="shared" ref="S11:AF11" si="3">SUM(C14:C17)</f>
        <v>167</v>
      </c>
      <c r="T11" s="17">
        <f t="shared" si="3"/>
        <v>28</v>
      </c>
      <c r="U11" s="17">
        <f t="shared" si="3"/>
        <v>24</v>
      </c>
      <c r="V11" s="17">
        <f t="shared" si="3"/>
        <v>20</v>
      </c>
      <c r="W11" s="17">
        <f t="shared" si="3"/>
        <v>5</v>
      </c>
      <c r="X11" s="17">
        <f t="shared" si="3"/>
        <v>0</v>
      </c>
      <c r="Y11" s="17">
        <f t="shared" si="3"/>
        <v>5</v>
      </c>
      <c r="Z11" s="17">
        <f t="shared" si="3"/>
        <v>5</v>
      </c>
      <c r="AA11" s="17">
        <f t="shared" si="3"/>
        <v>7</v>
      </c>
      <c r="AB11" s="17">
        <f t="shared" si="3"/>
        <v>13</v>
      </c>
      <c r="AC11" s="17">
        <f t="shared" si="3"/>
        <v>1040</v>
      </c>
      <c r="AD11" s="17">
        <f t="shared" si="3"/>
        <v>0</v>
      </c>
      <c r="AE11" s="31">
        <f t="shared" si="3"/>
        <v>274</v>
      </c>
      <c r="AF11" s="31">
        <f t="shared" si="3"/>
        <v>1314</v>
      </c>
    </row>
    <row r="12" spans="2:32" ht="23.1" customHeight="1" x14ac:dyDescent="0.25">
      <c r="B12" s="23" t="s">
        <v>39</v>
      </c>
      <c r="C12" s="50">
        <v>58</v>
      </c>
      <c r="D12" s="50">
        <v>8</v>
      </c>
      <c r="E12" s="50">
        <v>6</v>
      </c>
      <c r="F12" s="50">
        <v>5</v>
      </c>
      <c r="G12" s="50">
        <v>2</v>
      </c>
      <c r="H12" s="50">
        <v>0</v>
      </c>
      <c r="I12" s="50">
        <v>0</v>
      </c>
      <c r="J12" s="50">
        <v>0</v>
      </c>
      <c r="K12" s="50">
        <v>1</v>
      </c>
      <c r="L12" s="50">
        <v>3</v>
      </c>
      <c r="M12" s="50">
        <v>126</v>
      </c>
      <c r="N12" s="50">
        <v>0</v>
      </c>
      <c r="O12" s="15">
        <f t="shared" si="0"/>
        <v>83</v>
      </c>
      <c r="P12" s="15">
        <f t="shared" si="1"/>
        <v>209</v>
      </c>
      <c r="R12" s="1" t="s">
        <v>8</v>
      </c>
      <c r="S12" s="17">
        <f t="shared" ref="S12:AF12" si="4">SUM(C18:C21)</f>
        <v>170</v>
      </c>
      <c r="T12" s="17">
        <f t="shared" si="4"/>
        <v>38</v>
      </c>
      <c r="U12" s="17">
        <f t="shared" si="4"/>
        <v>25</v>
      </c>
      <c r="V12" s="17">
        <f t="shared" si="4"/>
        <v>25</v>
      </c>
      <c r="W12" s="17">
        <f t="shared" si="4"/>
        <v>3</v>
      </c>
      <c r="X12" s="17">
        <f t="shared" si="4"/>
        <v>0</v>
      </c>
      <c r="Y12" s="17">
        <f t="shared" si="4"/>
        <v>6</v>
      </c>
      <c r="Z12" s="17">
        <f t="shared" si="4"/>
        <v>5</v>
      </c>
      <c r="AA12" s="17">
        <f t="shared" si="4"/>
        <v>6</v>
      </c>
      <c r="AB12" s="17">
        <f t="shared" si="4"/>
        <v>11</v>
      </c>
      <c r="AC12" s="17">
        <f t="shared" si="4"/>
        <v>1043</v>
      </c>
      <c r="AD12" s="17">
        <f t="shared" si="4"/>
        <v>0</v>
      </c>
      <c r="AE12" s="31">
        <f t="shared" si="4"/>
        <v>289</v>
      </c>
      <c r="AF12" s="31">
        <f t="shared" si="4"/>
        <v>1332</v>
      </c>
    </row>
    <row r="13" spans="2:32" ht="23.1" customHeight="1" x14ac:dyDescent="0.25">
      <c r="B13" s="23" t="s">
        <v>40</v>
      </c>
      <c r="C13" s="50">
        <v>29</v>
      </c>
      <c r="D13" s="50">
        <v>9</v>
      </c>
      <c r="E13" s="50">
        <v>5</v>
      </c>
      <c r="F13" s="50">
        <v>5</v>
      </c>
      <c r="G13" s="50">
        <v>4</v>
      </c>
      <c r="H13" s="50">
        <v>0</v>
      </c>
      <c r="I13" s="50">
        <v>0</v>
      </c>
      <c r="J13" s="50">
        <v>0</v>
      </c>
      <c r="K13" s="50">
        <v>1</v>
      </c>
      <c r="L13" s="50">
        <v>1</v>
      </c>
      <c r="M13" s="50">
        <v>255</v>
      </c>
      <c r="N13" s="50">
        <v>0</v>
      </c>
      <c r="O13" s="15">
        <f t="shared" si="0"/>
        <v>54</v>
      </c>
      <c r="P13" s="15">
        <f t="shared" si="1"/>
        <v>309</v>
      </c>
      <c r="R13" s="1" t="s">
        <v>9</v>
      </c>
      <c r="S13" s="17">
        <f t="shared" ref="S13:AF13" si="5">SUM(C22:C25)</f>
        <v>128</v>
      </c>
      <c r="T13" s="17">
        <f t="shared" si="5"/>
        <v>35</v>
      </c>
      <c r="U13" s="17">
        <f t="shared" si="5"/>
        <v>29</v>
      </c>
      <c r="V13" s="17">
        <f t="shared" si="5"/>
        <v>32</v>
      </c>
      <c r="W13" s="17">
        <f t="shared" si="5"/>
        <v>4</v>
      </c>
      <c r="X13" s="17">
        <f t="shared" si="5"/>
        <v>0</v>
      </c>
      <c r="Y13" s="17">
        <f t="shared" si="5"/>
        <v>16</v>
      </c>
      <c r="Z13" s="17">
        <f t="shared" si="5"/>
        <v>6</v>
      </c>
      <c r="AA13" s="17">
        <f t="shared" si="5"/>
        <v>13</v>
      </c>
      <c r="AB13" s="17">
        <f t="shared" si="5"/>
        <v>19</v>
      </c>
      <c r="AC13" s="17">
        <f t="shared" si="5"/>
        <v>708</v>
      </c>
      <c r="AD13" s="17">
        <f t="shared" si="5"/>
        <v>0</v>
      </c>
      <c r="AE13" s="31">
        <f t="shared" si="5"/>
        <v>282</v>
      </c>
      <c r="AF13" s="31">
        <f t="shared" si="5"/>
        <v>990</v>
      </c>
    </row>
    <row r="14" spans="2:32" ht="23.1" customHeight="1" x14ac:dyDescent="0.25">
      <c r="B14" s="23" t="s">
        <v>41</v>
      </c>
      <c r="C14" s="50">
        <v>40</v>
      </c>
      <c r="D14" s="50">
        <v>7</v>
      </c>
      <c r="E14" s="50">
        <v>12</v>
      </c>
      <c r="F14" s="50">
        <v>2</v>
      </c>
      <c r="G14" s="50">
        <v>2</v>
      </c>
      <c r="H14" s="50">
        <v>0</v>
      </c>
      <c r="I14" s="50">
        <v>2</v>
      </c>
      <c r="J14" s="50">
        <v>1</v>
      </c>
      <c r="K14" s="50">
        <v>2</v>
      </c>
      <c r="L14" s="50">
        <v>5</v>
      </c>
      <c r="M14" s="50">
        <v>275</v>
      </c>
      <c r="N14" s="50">
        <v>0</v>
      </c>
      <c r="O14" s="15">
        <f t="shared" si="0"/>
        <v>73</v>
      </c>
      <c r="P14" s="15">
        <f t="shared" si="1"/>
        <v>348</v>
      </c>
      <c r="R14" s="1" t="s">
        <v>10</v>
      </c>
      <c r="S14" s="17">
        <f t="shared" ref="S14:AF14" si="6">SUM(C26:C29)</f>
        <v>132</v>
      </c>
      <c r="T14" s="17">
        <f t="shared" si="6"/>
        <v>47</v>
      </c>
      <c r="U14" s="17">
        <f t="shared" si="6"/>
        <v>56</v>
      </c>
      <c r="V14" s="17">
        <f t="shared" si="6"/>
        <v>28</v>
      </c>
      <c r="W14" s="17">
        <f t="shared" si="6"/>
        <v>6</v>
      </c>
      <c r="X14" s="17">
        <f t="shared" si="6"/>
        <v>0</v>
      </c>
      <c r="Y14" s="17">
        <f t="shared" si="6"/>
        <v>10</v>
      </c>
      <c r="Z14" s="17">
        <f t="shared" si="6"/>
        <v>14</v>
      </c>
      <c r="AA14" s="17">
        <f t="shared" si="6"/>
        <v>14</v>
      </c>
      <c r="AB14" s="17">
        <f t="shared" si="6"/>
        <v>13</v>
      </c>
      <c r="AC14" s="17">
        <f t="shared" si="6"/>
        <v>660</v>
      </c>
      <c r="AD14" s="17">
        <f t="shared" si="6"/>
        <v>0</v>
      </c>
      <c r="AE14" s="31">
        <f t="shared" si="6"/>
        <v>320</v>
      </c>
      <c r="AF14" s="31">
        <f t="shared" si="6"/>
        <v>980</v>
      </c>
    </row>
    <row r="15" spans="2:32" ht="23.1" customHeight="1" x14ac:dyDescent="0.25">
      <c r="B15" s="23" t="s">
        <v>42</v>
      </c>
      <c r="C15" s="50">
        <v>53</v>
      </c>
      <c r="D15" s="50">
        <v>8</v>
      </c>
      <c r="E15" s="50">
        <v>7</v>
      </c>
      <c r="F15" s="50">
        <v>8</v>
      </c>
      <c r="G15" s="50">
        <v>1</v>
      </c>
      <c r="H15" s="50">
        <v>0</v>
      </c>
      <c r="I15" s="50">
        <v>1</v>
      </c>
      <c r="J15" s="50">
        <v>0</v>
      </c>
      <c r="K15" s="50">
        <v>2</v>
      </c>
      <c r="L15" s="50">
        <v>4</v>
      </c>
      <c r="M15" s="50">
        <v>230</v>
      </c>
      <c r="N15" s="50">
        <v>0</v>
      </c>
      <c r="O15" s="15">
        <f t="shared" si="0"/>
        <v>84</v>
      </c>
      <c r="P15" s="15">
        <f t="shared" si="1"/>
        <v>314</v>
      </c>
      <c r="R15" s="1" t="s">
        <v>11</v>
      </c>
      <c r="S15" s="17">
        <f t="shared" ref="S15:AF15" si="7">SUM(C30:C33)</f>
        <v>116</v>
      </c>
      <c r="T15" s="17">
        <f t="shared" si="7"/>
        <v>46</v>
      </c>
      <c r="U15" s="17">
        <f t="shared" si="7"/>
        <v>28</v>
      </c>
      <c r="V15" s="17">
        <f t="shared" si="7"/>
        <v>25</v>
      </c>
      <c r="W15" s="17">
        <f t="shared" si="7"/>
        <v>5</v>
      </c>
      <c r="X15" s="17">
        <f t="shared" si="7"/>
        <v>0</v>
      </c>
      <c r="Y15" s="17">
        <f t="shared" si="7"/>
        <v>9</v>
      </c>
      <c r="Z15" s="17">
        <f t="shared" si="7"/>
        <v>16</v>
      </c>
      <c r="AA15" s="17">
        <f t="shared" si="7"/>
        <v>16</v>
      </c>
      <c r="AB15" s="17">
        <f t="shared" si="7"/>
        <v>11</v>
      </c>
      <c r="AC15" s="17">
        <f t="shared" si="7"/>
        <v>657</v>
      </c>
      <c r="AD15" s="17">
        <f t="shared" si="7"/>
        <v>0</v>
      </c>
      <c r="AE15" s="31">
        <f t="shared" si="7"/>
        <v>272</v>
      </c>
      <c r="AF15" s="31">
        <f t="shared" si="7"/>
        <v>929</v>
      </c>
    </row>
    <row r="16" spans="2:32" ht="23.1" customHeight="1" x14ac:dyDescent="0.25">
      <c r="B16" s="23" t="s">
        <v>43</v>
      </c>
      <c r="C16" s="50">
        <v>36</v>
      </c>
      <c r="D16" s="50">
        <v>4</v>
      </c>
      <c r="E16" s="50">
        <v>2</v>
      </c>
      <c r="F16" s="50">
        <v>7</v>
      </c>
      <c r="G16" s="50">
        <v>2</v>
      </c>
      <c r="H16" s="50">
        <v>0</v>
      </c>
      <c r="I16" s="50">
        <v>0</v>
      </c>
      <c r="J16" s="50">
        <v>1</v>
      </c>
      <c r="K16" s="50">
        <v>2</v>
      </c>
      <c r="L16" s="50">
        <v>0</v>
      </c>
      <c r="M16" s="50">
        <v>305</v>
      </c>
      <c r="N16" s="50">
        <v>0</v>
      </c>
      <c r="O16" s="15">
        <f t="shared" si="0"/>
        <v>54</v>
      </c>
      <c r="P16" s="15">
        <f t="shared" si="1"/>
        <v>359</v>
      </c>
      <c r="R16" s="1" t="s">
        <v>12</v>
      </c>
      <c r="S16" s="17">
        <f t="shared" ref="S16:AF16" si="8">SUM(C34:C37)</f>
        <v>132</v>
      </c>
      <c r="T16" s="17">
        <f t="shared" si="8"/>
        <v>34</v>
      </c>
      <c r="U16" s="17">
        <f t="shared" si="8"/>
        <v>25</v>
      </c>
      <c r="V16" s="17">
        <f t="shared" si="8"/>
        <v>35</v>
      </c>
      <c r="W16" s="17">
        <f t="shared" si="8"/>
        <v>4</v>
      </c>
      <c r="X16" s="17">
        <f t="shared" si="8"/>
        <v>0</v>
      </c>
      <c r="Y16" s="17">
        <f t="shared" si="8"/>
        <v>13</v>
      </c>
      <c r="Z16" s="17">
        <f t="shared" si="8"/>
        <v>16</v>
      </c>
      <c r="AA16" s="17">
        <f t="shared" si="8"/>
        <v>13</v>
      </c>
      <c r="AB16" s="17">
        <f t="shared" si="8"/>
        <v>15</v>
      </c>
      <c r="AC16" s="17">
        <f t="shared" si="8"/>
        <v>425</v>
      </c>
      <c r="AD16" s="17">
        <f t="shared" si="8"/>
        <v>0</v>
      </c>
      <c r="AE16" s="31">
        <f t="shared" si="8"/>
        <v>287</v>
      </c>
      <c r="AF16" s="31">
        <f t="shared" si="8"/>
        <v>712</v>
      </c>
    </row>
    <row r="17" spans="2:32" ht="23.1" customHeight="1" x14ac:dyDescent="0.25">
      <c r="B17" s="23" t="s">
        <v>44</v>
      </c>
      <c r="C17" s="50">
        <v>38</v>
      </c>
      <c r="D17" s="50">
        <v>9</v>
      </c>
      <c r="E17" s="50">
        <v>3</v>
      </c>
      <c r="F17" s="50">
        <v>3</v>
      </c>
      <c r="G17" s="50">
        <v>0</v>
      </c>
      <c r="H17" s="50">
        <v>0</v>
      </c>
      <c r="I17" s="50">
        <v>2</v>
      </c>
      <c r="J17" s="50">
        <v>3</v>
      </c>
      <c r="K17" s="50">
        <v>1</v>
      </c>
      <c r="L17" s="50">
        <v>4</v>
      </c>
      <c r="M17" s="50">
        <v>230</v>
      </c>
      <c r="N17" s="50">
        <v>0</v>
      </c>
      <c r="O17" s="15">
        <f t="shared" si="0"/>
        <v>63</v>
      </c>
      <c r="P17" s="15">
        <f t="shared" si="1"/>
        <v>293</v>
      </c>
      <c r="R17" s="1" t="s">
        <v>13</v>
      </c>
      <c r="S17" s="17">
        <f t="shared" ref="S17:AF17" si="9">SUM(C38:C41)</f>
        <v>137</v>
      </c>
      <c r="T17" s="17">
        <f t="shared" si="9"/>
        <v>35</v>
      </c>
      <c r="U17" s="17">
        <f t="shared" si="9"/>
        <v>22</v>
      </c>
      <c r="V17" s="17">
        <f t="shared" si="9"/>
        <v>16</v>
      </c>
      <c r="W17" s="17">
        <f t="shared" si="9"/>
        <v>5</v>
      </c>
      <c r="X17" s="17">
        <f t="shared" si="9"/>
        <v>0</v>
      </c>
      <c r="Y17" s="17">
        <f t="shared" si="9"/>
        <v>10</v>
      </c>
      <c r="Z17" s="17">
        <f t="shared" si="9"/>
        <v>8</v>
      </c>
      <c r="AA17" s="17">
        <f t="shared" si="9"/>
        <v>6</v>
      </c>
      <c r="AB17" s="17">
        <f t="shared" si="9"/>
        <v>12</v>
      </c>
      <c r="AC17" s="17">
        <f t="shared" si="9"/>
        <v>315</v>
      </c>
      <c r="AD17" s="17">
        <f t="shared" si="9"/>
        <v>0</v>
      </c>
      <c r="AE17" s="31">
        <f t="shared" si="9"/>
        <v>251</v>
      </c>
      <c r="AF17" s="31">
        <f t="shared" si="9"/>
        <v>566</v>
      </c>
    </row>
    <row r="18" spans="2:32" ht="23.1" customHeight="1" x14ac:dyDescent="0.25">
      <c r="B18" s="23" t="s">
        <v>45</v>
      </c>
      <c r="C18" s="50">
        <v>43</v>
      </c>
      <c r="D18" s="50">
        <v>5</v>
      </c>
      <c r="E18" s="50">
        <v>3</v>
      </c>
      <c r="F18" s="50">
        <v>7</v>
      </c>
      <c r="G18" s="50">
        <v>1</v>
      </c>
      <c r="H18" s="50">
        <v>0</v>
      </c>
      <c r="I18" s="50">
        <v>0</v>
      </c>
      <c r="J18" s="50">
        <v>0</v>
      </c>
      <c r="K18" s="50">
        <v>1</v>
      </c>
      <c r="L18" s="50">
        <v>0</v>
      </c>
      <c r="M18" s="50">
        <v>160</v>
      </c>
      <c r="N18" s="50">
        <v>0</v>
      </c>
      <c r="O18" s="15">
        <f t="shared" si="0"/>
        <v>60</v>
      </c>
      <c r="P18" s="15">
        <f t="shared" si="1"/>
        <v>220</v>
      </c>
      <c r="R18" s="1" t="s">
        <v>14</v>
      </c>
      <c r="S18" s="17">
        <f t="shared" ref="S18:AF18" si="10">SUM(C42:C45)</f>
        <v>156</v>
      </c>
      <c r="T18" s="17">
        <f t="shared" si="10"/>
        <v>26</v>
      </c>
      <c r="U18" s="17">
        <f t="shared" si="10"/>
        <v>28</v>
      </c>
      <c r="V18" s="17">
        <f t="shared" si="10"/>
        <v>20</v>
      </c>
      <c r="W18" s="17">
        <f t="shared" si="10"/>
        <v>6</v>
      </c>
      <c r="X18" s="17">
        <f t="shared" si="10"/>
        <v>0</v>
      </c>
      <c r="Y18" s="17">
        <f t="shared" si="10"/>
        <v>14</v>
      </c>
      <c r="Z18" s="17">
        <f t="shared" si="10"/>
        <v>13</v>
      </c>
      <c r="AA18" s="17">
        <f t="shared" si="10"/>
        <v>3</v>
      </c>
      <c r="AB18" s="17">
        <f t="shared" si="10"/>
        <v>30</v>
      </c>
      <c r="AC18" s="17">
        <f t="shared" si="10"/>
        <v>465</v>
      </c>
      <c r="AD18" s="17">
        <f t="shared" si="10"/>
        <v>0</v>
      </c>
      <c r="AE18" s="31">
        <f t="shared" si="10"/>
        <v>296</v>
      </c>
      <c r="AF18" s="31">
        <f t="shared" si="10"/>
        <v>761</v>
      </c>
    </row>
    <row r="19" spans="2:32" ht="23.1" customHeight="1" x14ac:dyDescent="0.25">
      <c r="B19" s="23" t="s">
        <v>46</v>
      </c>
      <c r="C19" s="50">
        <v>52</v>
      </c>
      <c r="D19" s="50">
        <v>14</v>
      </c>
      <c r="E19" s="50">
        <v>7</v>
      </c>
      <c r="F19" s="50">
        <v>5</v>
      </c>
      <c r="G19" s="50">
        <v>0</v>
      </c>
      <c r="H19" s="50">
        <v>0</v>
      </c>
      <c r="I19" s="50">
        <v>2</v>
      </c>
      <c r="J19" s="50">
        <v>1</v>
      </c>
      <c r="K19" s="50">
        <v>1</v>
      </c>
      <c r="L19" s="50">
        <v>1</v>
      </c>
      <c r="M19" s="50">
        <v>316</v>
      </c>
      <c r="N19" s="50">
        <v>0</v>
      </c>
      <c r="O19" s="15">
        <f t="shared" si="0"/>
        <v>83</v>
      </c>
      <c r="P19" s="15">
        <f t="shared" si="1"/>
        <v>399</v>
      </c>
      <c r="R19" s="1" t="s">
        <v>15</v>
      </c>
      <c r="S19" s="17">
        <f t="shared" ref="S19:AF19" si="11">SUM(C46:C49)</f>
        <v>125</v>
      </c>
      <c r="T19" s="17">
        <f t="shared" si="11"/>
        <v>24</v>
      </c>
      <c r="U19" s="17">
        <f t="shared" si="11"/>
        <v>31</v>
      </c>
      <c r="V19" s="17">
        <f t="shared" si="11"/>
        <v>20</v>
      </c>
      <c r="W19" s="17">
        <f t="shared" si="11"/>
        <v>6</v>
      </c>
      <c r="X19" s="17">
        <f t="shared" si="11"/>
        <v>0</v>
      </c>
      <c r="Y19" s="17">
        <f t="shared" si="11"/>
        <v>8</v>
      </c>
      <c r="Z19" s="17">
        <f t="shared" si="11"/>
        <v>13</v>
      </c>
      <c r="AA19" s="17">
        <f t="shared" si="11"/>
        <v>4</v>
      </c>
      <c r="AB19" s="17">
        <f t="shared" si="11"/>
        <v>17</v>
      </c>
      <c r="AC19" s="17">
        <f t="shared" si="11"/>
        <v>443</v>
      </c>
      <c r="AD19" s="17">
        <f t="shared" si="11"/>
        <v>0</v>
      </c>
      <c r="AE19" s="31">
        <f t="shared" si="11"/>
        <v>248</v>
      </c>
      <c r="AF19" s="31">
        <f t="shared" si="11"/>
        <v>691</v>
      </c>
    </row>
    <row r="20" spans="2:32" ht="23.1" customHeight="1" x14ac:dyDescent="0.25">
      <c r="B20" s="23" t="s">
        <v>47</v>
      </c>
      <c r="C20" s="50">
        <v>34</v>
      </c>
      <c r="D20" s="50">
        <v>8</v>
      </c>
      <c r="E20" s="50">
        <v>8</v>
      </c>
      <c r="F20" s="50">
        <v>5</v>
      </c>
      <c r="G20" s="50">
        <v>1</v>
      </c>
      <c r="H20" s="50">
        <v>0</v>
      </c>
      <c r="I20" s="50">
        <v>2</v>
      </c>
      <c r="J20" s="50">
        <v>3</v>
      </c>
      <c r="K20" s="50">
        <v>2</v>
      </c>
      <c r="L20" s="50">
        <v>3</v>
      </c>
      <c r="M20" s="50">
        <v>278</v>
      </c>
      <c r="N20" s="50">
        <v>0</v>
      </c>
      <c r="O20" s="15">
        <f t="shared" si="0"/>
        <v>66</v>
      </c>
      <c r="P20" s="15">
        <f t="shared" si="1"/>
        <v>344</v>
      </c>
      <c r="R20" s="1" t="s">
        <v>16</v>
      </c>
      <c r="S20" s="17">
        <f t="shared" ref="S20:AF20" si="12">SUM(C50:C53)</f>
        <v>117</v>
      </c>
      <c r="T20" s="17">
        <f t="shared" si="12"/>
        <v>24</v>
      </c>
      <c r="U20" s="17">
        <f t="shared" si="12"/>
        <v>29</v>
      </c>
      <c r="V20" s="17">
        <f t="shared" si="12"/>
        <v>10</v>
      </c>
      <c r="W20" s="17">
        <f t="shared" si="12"/>
        <v>2</v>
      </c>
      <c r="X20" s="17">
        <f t="shared" si="12"/>
        <v>0</v>
      </c>
      <c r="Y20" s="17">
        <f t="shared" si="12"/>
        <v>9</v>
      </c>
      <c r="Z20" s="17">
        <f t="shared" si="12"/>
        <v>13</v>
      </c>
      <c r="AA20" s="17">
        <f t="shared" si="12"/>
        <v>2</v>
      </c>
      <c r="AB20" s="17">
        <f t="shared" si="12"/>
        <v>20</v>
      </c>
      <c r="AC20" s="17">
        <f t="shared" si="12"/>
        <v>462</v>
      </c>
      <c r="AD20" s="17">
        <f t="shared" si="12"/>
        <v>0</v>
      </c>
      <c r="AE20" s="31">
        <f t="shared" si="12"/>
        <v>226</v>
      </c>
      <c r="AF20" s="31">
        <f t="shared" si="12"/>
        <v>688</v>
      </c>
    </row>
    <row r="21" spans="2:32" ht="23.1" customHeight="1" x14ac:dyDescent="0.25">
      <c r="B21" s="23" t="s">
        <v>48</v>
      </c>
      <c r="C21" s="50">
        <v>41</v>
      </c>
      <c r="D21" s="50">
        <v>11</v>
      </c>
      <c r="E21" s="50">
        <v>7</v>
      </c>
      <c r="F21" s="50">
        <v>8</v>
      </c>
      <c r="G21" s="50">
        <v>1</v>
      </c>
      <c r="H21" s="50">
        <v>0</v>
      </c>
      <c r="I21" s="50">
        <v>2</v>
      </c>
      <c r="J21" s="50">
        <v>1</v>
      </c>
      <c r="K21" s="50">
        <v>2</v>
      </c>
      <c r="L21" s="50">
        <v>7</v>
      </c>
      <c r="M21" s="50">
        <v>289</v>
      </c>
      <c r="N21" s="50">
        <v>0</v>
      </c>
      <c r="O21" s="15">
        <f t="shared" si="0"/>
        <v>80</v>
      </c>
      <c r="P21" s="15">
        <f t="shared" si="1"/>
        <v>369</v>
      </c>
      <c r="R21" s="36" t="s">
        <v>20</v>
      </c>
      <c r="S21" s="34">
        <f t="shared" ref="S21:AF21" si="13">SUM(C54:C57)</f>
        <v>107</v>
      </c>
      <c r="T21" s="17">
        <f t="shared" si="13"/>
        <v>35</v>
      </c>
      <c r="U21" s="17">
        <f t="shared" si="13"/>
        <v>17</v>
      </c>
      <c r="V21" s="17">
        <f t="shared" si="13"/>
        <v>10</v>
      </c>
      <c r="W21" s="17">
        <f t="shared" si="13"/>
        <v>3</v>
      </c>
      <c r="X21" s="17">
        <f t="shared" si="13"/>
        <v>0</v>
      </c>
      <c r="Y21" s="17">
        <f t="shared" si="13"/>
        <v>11</v>
      </c>
      <c r="Z21" s="17">
        <f t="shared" si="13"/>
        <v>4</v>
      </c>
      <c r="AA21" s="17">
        <f t="shared" si="13"/>
        <v>7</v>
      </c>
      <c r="AB21" s="17">
        <f t="shared" si="13"/>
        <v>22</v>
      </c>
      <c r="AC21" s="17">
        <f t="shared" si="13"/>
        <v>661</v>
      </c>
      <c r="AD21" s="17">
        <f t="shared" si="13"/>
        <v>0</v>
      </c>
      <c r="AE21" s="31">
        <f t="shared" si="13"/>
        <v>216</v>
      </c>
      <c r="AF21" s="31">
        <f t="shared" si="13"/>
        <v>877</v>
      </c>
    </row>
    <row r="22" spans="2:32" ht="23.1" customHeight="1" x14ac:dyDescent="0.25">
      <c r="B22" s="23" t="s">
        <v>49</v>
      </c>
      <c r="C22" s="50">
        <v>24</v>
      </c>
      <c r="D22" s="50">
        <v>9</v>
      </c>
      <c r="E22" s="50">
        <v>9</v>
      </c>
      <c r="F22" s="50">
        <v>8</v>
      </c>
      <c r="G22" s="50">
        <v>1</v>
      </c>
      <c r="H22" s="50">
        <v>0</v>
      </c>
      <c r="I22" s="50">
        <v>2</v>
      </c>
      <c r="J22" s="50">
        <v>1</v>
      </c>
      <c r="K22" s="50">
        <v>2</v>
      </c>
      <c r="L22" s="50">
        <v>7</v>
      </c>
      <c r="M22" s="50">
        <v>200</v>
      </c>
      <c r="N22" s="50">
        <v>0</v>
      </c>
      <c r="O22" s="15">
        <f t="shared" si="0"/>
        <v>63</v>
      </c>
      <c r="P22" s="15">
        <f t="shared" si="1"/>
        <v>263</v>
      </c>
      <c r="R22" s="38" t="s">
        <v>90</v>
      </c>
      <c r="S22" s="39">
        <f>MAX(S10:S12)</f>
        <v>170</v>
      </c>
      <c r="T22" s="39">
        <f t="shared" ref="T22:AF22" si="14">MAX(T10:T12)</f>
        <v>38</v>
      </c>
      <c r="U22" s="39">
        <f t="shared" si="14"/>
        <v>25</v>
      </c>
      <c r="V22" s="39">
        <f t="shared" si="14"/>
        <v>25</v>
      </c>
      <c r="W22" s="39">
        <f t="shared" si="14"/>
        <v>9</v>
      </c>
      <c r="X22" s="39">
        <f t="shared" si="14"/>
        <v>0</v>
      </c>
      <c r="Y22" s="39">
        <f t="shared" si="14"/>
        <v>6</v>
      </c>
      <c r="Z22" s="39">
        <f t="shared" si="14"/>
        <v>5</v>
      </c>
      <c r="AA22" s="39">
        <f t="shared" si="14"/>
        <v>7</v>
      </c>
      <c r="AB22" s="39">
        <f t="shared" si="14"/>
        <v>14</v>
      </c>
      <c r="AC22" s="39">
        <f t="shared" si="14"/>
        <v>1043</v>
      </c>
      <c r="AD22" s="39">
        <f t="shared" si="14"/>
        <v>0</v>
      </c>
      <c r="AE22" s="40">
        <f t="shared" si="14"/>
        <v>289</v>
      </c>
      <c r="AF22" s="40">
        <f t="shared" si="14"/>
        <v>1332</v>
      </c>
    </row>
    <row r="23" spans="2:32" ht="23.1" customHeight="1" x14ac:dyDescent="0.25">
      <c r="B23" s="23" t="s">
        <v>50</v>
      </c>
      <c r="C23" s="50">
        <v>31</v>
      </c>
      <c r="D23" s="50">
        <v>8</v>
      </c>
      <c r="E23" s="50">
        <v>7</v>
      </c>
      <c r="F23" s="50">
        <v>10</v>
      </c>
      <c r="G23" s="50">
        <v>1</v>
      </c>
      <c r="H23" s="50">
        <v>0</v>
      </c>
      <c r="I23" s="50">
        <v>10</v>
      </c>
      <c r="J23" s="50">
        <v>2</v>
      </c>
      <c r="K23" s="50">
        <v>6</v>
      </c>
      <c r="L23" s="50">
        <v>3</v>
      </c>
      <c r="M23" s="50">
        <v>122</v>
      </c>
      <c r="N23" s="50">
        <v>0</v>
      </c>
      <c r="O23" s="15">
        <f t="shared" si="0"/>
        <v>78</v>
      </c>
      <c r="P23" s="15">
        <f t="shared" si="1"/>
        <v>200</v>
      </c>
      <c r="R23" s="38" t="s">
        <v>91</v>
      </c>
      <c r="S23" s="39">
        <f>MAX(S13:S18)</f>
        <v>156</v>
      </c>
      <c r="T23" s="39">
        <f t="shared" ref="T23:AF23" si="15">MAX(T13:T18)</f>
        <v>47</v>
      </c>
      <c r="U23" s="39">
        <f t="shared" si="15"/>
        <v>56</v>
      </c>
      <c r="V23" s="39">
        <f t="shared" si="15"/>
        <v>35</v>
      </c>
      <c r="W23" s="39">
        <f t="shared" si="15"/>
        <v>6</v>
      </c>
      <c r="X23" s="39">
        <f t="shared" si="15"/>
        <v>0</v>
      </c>
      <c r="Y23" s="39">
        <f t="shared" si="15"/>
        <v>16</v>
      </c>
      <c r="Z23" s="39">
        <f t="shared" si="15"/>
        <v>16</v>
      </c>
      <c r="AA23" s="39">
        <f t="shared" si="15"/>
        <v>16</v>
      </c>
      <c r="AB23" s="39">
        <f t="shared" si="15"/>
        <v>30</v>
      </c>
      <c r="AC23" s="39">
        <f t="shared" si="15"/>
        <v>708</v>
      </c>
      <c r="AD23" s="39">
        <f t="shared" si="15"/>
        <v>0</v>
      </c>
      <c r="AE23" s="40">
        <f t="shared" si="15"/>
        <v>320</v>
      </c>
      <c r="AF23" s="40">
        <f t="shared" si="15"/>
        <v>990</v>
      </c>
    </row>
    <row r="24" spans="2:32" ht="23.1" customHeight="1" x14ac:dyDescent="0.25">
      <c r="B24" s="23" t="s">
        <v>51</v>
      </c>
      <c r="C24" s="50">
        <v>32</v>
      </c>
      <c r="D24" s="50">
        <v>7</v>
      </c>
      <c r="E24" s="50">
        <v>6</v>
      </c>
      <c r="F24" s="50">
        <v>4</v>
      </c>
      <c r="G24" s="50">
        <v>0</v>
      </c>
      <c r="H24" s="50">
        <v>0</v>
      </c>
      <c r="I24" s="50">
        <v>4</v>
      </c>
      <c r="J24" s="50">
        <v>2</v>
      </c>
      <c r="K24" s="50">
        <v>3</v>
      </c>
      <c r="L24" s="50">
        <v>7</v>
      </c>
      <c r="M24" s="50">
        <v>209</v>
      </c>
      <c r="N24" s="50">
        <v>0</v>
      </c>
      <c r="O24" s="15">
        <f t="shared" si="0"/>
        <v>65</v>
      </c>
      <c r="P24" s="15">
        <f t="shared" si="1"/>
        <v>274</v>
      </c>
      <c r="R24" s="38" t="s">
        <v>92</v>
      </c>
      <c r="S24" s="39">
        <f>MAX(S19:S21)</f>
        <v>125</v>
      </c>
      <c r="T24" s="39">
        <f t="shared" ref="T24:AF24" si="16">MAX(T19:T21)</f>
        <v>35</v>
      </c>
      <c r="U24" s="39">
        <f t="shared" si="16"/>
        <v>31</v>
      </c>
      <c r="V24" s="39">
        <f t="shared" si="16"/>
        <v>20</v>
      </c>
      <c r="W24" s="39">
        <f t="shared" si="16"/>
        <v>6</v>
      </c>
      <c r="X24" s="39">
        <f t="shared" si="16"/>
        <v>0</v>
      </c>
      <c r="Y24" s="39">
        <f t="shared" si="16"/>
        <v>11</v>
      </c>
      <c r="Z24" s="39">
        <f t="shared" si="16"/>
        <v>13</v>
      </c>
      <c r="AA24" s="39">
        <f t="shared" si="16"/>
        <v>7</v>
      </c>
      <c r="AB24" s="39">
        <f t="shared" si="16"/>
        <v>22</v>
      </c>
      <c r="AC24" s="39">
        <f t="shared" si="16"/>
        <v>661</v>
      </c>
      <c r="AD24" s="39">
        <f t="shared" si="16"/>
        <v>0</v>
      </c>
      <c r="AE24" s="40">
        <f t="shared" si="16"/>
        <v>248</v>
      </c>
      <c r="AF24" s="40">
        <f t="shared" si="16"/>
        <v>877</v>
      </c>
    </row>
    <row r="25" spans="2:32" ht="23.1" customHeight="1" x14ac:dyDescent="0.25">
      <c r="B25" s="23" t="s">
        <v>52</v>
      </c>
      <c r="C25" s="50">
        <v>41</v>
      </c>
      <c r="D25" s="50">
        <v>11</v>
      </c>
      <c r="E25" s="50">
        <v>7</v>
      </c>
      <c r="F25" s="50">
        <v>10</v>
      </c>
      <c r="G25" s="50">
        <v>2</v>
      </c>
      <c r="H25" s="50">
        <v>0</v>
      </c>
      <c r="I25" s="50">
        <v>0</v>
      </c>
      <c r="J25" s="50">
        <v>1</v>
      </c>
      <c r="K25" s="50">
        <v>2</v>
      </c>
      <c r="L25" s="50">
        <v>2</v>
      </c>
      <c r="M25" s="50">
        <v>177</v>
      </c>
      <c r="N25" s="50">
        <v>0</v>
      </c>
      <c r="O25" s="15">
        <f t="shared" si="0"/>
        <v>76</v>
      </c>
      <c r="P25" s="15">
        <f t="shared" si="1"/>
        <v>253</v>
      </c>
      <c r="R25" s="37" t="s">
        <v>85</v>
      </c>
      <c r="S25" s="35">
        <f t="shared" ref="S25:AF25" si="17">SUM(S10:S12)</f>
        <v>494</v>
      </c>
      <c r="T25" s="16">
        <f t="shared" si="17"/>
        <v>99</v>
      </c>
      <c r="U25" s="16">
        <f t="shared" si="17"/>
        <v>71</v>
      </c>
      <c r="V25" s="16">
        <f t="shared" si="17"/>
        <v>61</v>
      </c>
      <c r="W25" s="16">
        <f t="shared" si="17"/>
        <v>17</v>
      </c>
      <c r="X25" s="16">
        <f t="shared" si="17"/>
        <v>0</v>
      </c>
      <c r="Y25" s="16">
        <f t="shared" si="17"/>
        <v>11</v>
      </c>
      <c r="Z25" s="16">
        <f t="shared" si="17"/>
        <v>10</v>
      </c>
      <c r="AA25" s="16">
        <f t="shared" si="17"/>
        <v>18</v>
      </c>
      <c r="AB25" s="16">
        <f t="shared" si="17"/>
        <v>38</v>
      </c>
      <c r="AC25" s="16">
        <f t="shared" si="17"/>
        <v>2704</v>
      </c>
      <c r="AD25" s="16">
        <f t="shared" si="17"/>
        <v>0</v>
      </c>
      <c r="AE25" s="32">
        <f t="shared" si="17"/>
        <v>819</v>
      </c>
      <c r="AF25" s="32">
        <f t="shared" si="17"/>
        <v>3523</v>
      </c>
    </row>
    <row r="26" spans="2:32" ht="23.1" customHeight="1" x14ac:dyDescent="0.25">
      <c r="B26" s="23" t="s">
        <v>53</v>
      </c>
      <c r="C26" s="50">
        <v>33</v>
      </c>
      <c r="D26" s="50">
        <v>9</v>
      </c>
      <c r="E26" s="50">
        <v>30</v>
      </c>
      <c r="F26" s="50">
        <v>9</v>
      </c>
      <c r="G26" s="50">
        <v>2</v>
      </c>
      <c r="H26" s="50">
        <v>0</v>
      </c>
      <c r="I26" s="50">
        <v>2</v>
      </c>
      <c r="J26" s="50">
        <v>3</v>
      </c>
      <c r="K26" s="50">
        <v>4</v>
      </c>
      <c r="L26" s="50">
        <v>3</v>
      </c>
      <c r="M26" s="50">
        <v>151</v>
      </c>
      <c r="N26" s="50">
        <v>0</v>
      </c>
      <c r="O26" s="15">
        <f t="shared" si="0"/>
        <v>95</v>
      </c>
      <c r="P26" s="15">
        <f t="shared" si="1"/>
        <v>246</v>
      </c>
      <c r="R26" s="28" t="s">
        <v>86</v>
      </c>
      <c r="S26" s="16">
        <f t="shared" ref="S26:AF26" si="18">SUM(S13:S18)</f>
        <v>801</v>
      </c>
      <c r="T26" s="16">
        <f t="shared" si="18"/>
        <v>223</v>
      </c>
      <c r="U26" s="16">
        <f t="shared" si="18"/>
        <v>188</v>
      </c>
      <c r="V26" s="16">
        <f t="shared" si="18"/>
        <v>156</v>
      </c>
      <c r="W26" s="16">
        <f t="shared" si="18"/>
        <v>30</v>
      </c>
      <c r="X26" s="16">
        <f t="shared" si="18"/>
        <v>0</v>
      </c>
      <c r="Y26" s="16">
        <f t="shared" si="18"/>
        <v>72</v>
      </c>
      <c r="Z26" s="16">
        <f t="shared" si="18"/>
        <v>73</v>
      </c>
      <c r="AA26" s="16">
        <f t="shared" si="18"/>
        <v>65</v>
      </c>
      <c r="AB26" s="16">
        <f t="shared" si="18"/>
        <v>100</v>
      </c>
      <c r="AC26" s="16">
        <f t="shared" si="18"/>
        <v>3230</v>
      </c>
      <c r="AD26" s="16">
        <f t="shared" si="18"/>
        <v>0</v>
      </c>
      <c r="AE26" s="32">
        <f t="shared" si="18"/>
        <v>1708</v>
      </c>
      <c r="AF26" s="32">
        <f t="shared" si="18"/>
        <v>4938</v>
      </c>
    </row>
    <row r="27" spans="2:32" ht="23.1" customHeight="1" x14ac:dyDescent="0.25">
      <c r="B27" s="23" t="s">
        <v>54</v>
      </c>
      <c r="C27" s="50">
        <v>23</v>
      </c>
      <c r="D27" s="50">
        <v>21</v>
      </c>
      <c r="E27" s="50">
        <v>7</v>
      </c>
      <c r="F27" s="50">
        <v>7</v>
      </c>
      <c r="G27" s="50">
        <v>0</v>
      </c>
      <c r="H27" s="50">
        <v>0</v>
      </c>
      <c r="I27" s="50">
        <v>4</v>
      </c>
      <c r="J27" s="50">
        <v>4</v>
      </c>
      <c r="K27" s="50">
        <v>5</v>
      </c>
      <c r="L27" s="50">
        <v>3</v>
      </c>
      <c r="M27" s="50">
        <v>126</v>
      </c>
      <c r="N27" s="50">
        <v>0</v>
      </c>
      <c r="O27" s="15">
        <f t="shared" si="0"/>
        <v>74</v>
      </c>
      <c r="P27" s="15">
        <f t="shared" si="1"/>
        <v>200</v>
      </c>
      <c r="R27" s="29" t="s">
        <v>87</v>
      </c>
      <c r="S27" s="16">
        <f t="shared" ref="S27:AF27" si="19">SUM(S19:S21)</f>
        <v>349</v>
      </c>
      <c r="T27" s="16">
        <f t="shared" si="19"/>
        <v>83</v>
      </c>
      <c r="U27" s="16">
        <f t="shared" si="19"/>
        <v>77</v>
      </c>
      <c r="V27" s="16">
        <f t="shared" si="19"/>
        <v>40</v>
      </c>
      <c r="W27" s="16">
        <f t="shared" si="19"/>
        <v>11</v>
      </c>
      <c r="X27" s="16">
        <f t="shared" si="19"/>
        <v>0</v>
      </c>
      <c r="Y27" s="16">
        <f t="shared" si="19"/>
        <v>28</v>
      </c>
      <c r="Z27" s="16">
        <f t="shared" si="19"/>
        <v>30</v>
      </c>
      <c r="AA27" s="16">
        <f t="shared" si="19"/>
        <v>13</v>
      </c>
      <c r="AB27" s="16">
        <f t="shared" si="19"/>
        <v>59</v>
      </c>
      <c r="AC27" s="16">
        <f t="shared" si="19"/>
        <v>1566</v>
      </c>
      <c r="AD27" s="16">
        <f t="shared" si="19"/>
        <v>0</v>
      </c>
      <c r="AE27" s="32">
        <f t="shared" si="19"/>
        <v>690</v>
      </c>
      <c r="AF27" s="32">
        <f t="shared" si="19"/>
        <v>2256</v>
      </c>
    </row>
    <row r="28" spans="2:32" ht="23.1" customHeight="1" x14ac:dyDescent="0.25">
      <c r="B28" s="23" t="s">
        <v>55</v>
      </c>
      <c r="C28" s="50">
        <v>43</v>
      </c>
      <c r="D28" s="50">
        <v>8</v>
      </c>
      <c r="E28" s="50">
        <v>11</v>
      </c>
      <c r="F28" s="50">
        <v>8</v>
      </c>
      <c r="G28" s="50">
        <v>1</v>
      </c>
      <c r="H28" s="50">
        <v>0</v>
      </c>
      <c r="I28" s="50">
        <v>2</v>
      </c>
      <c r="J28" s="50">
        <v>3</v>
      </c>
      <c r="K28" s="50">
        <v>2</v>
      </c>
      <c r="L28" s="50">
        <v>2</v>
      </c>
      <c r="M28" s="50">
        <v>201</v>
      </c>
      <c r="N28" s="50">
        <v>0</v>
      </c>
      <c r="O28" s="15">
        <f t="shared" si="0"/>
        <v>80</v>
      </c>
      <c r="P28" s="15">
        <f t="shared" si="1"/>
        <v>281</v>
      </c>
      <c r="R28" s="5" t="s">
        <v>17</v>
      </c>
      <c r="S28" s="16">
        <f t="shared" ref="S28:AF28" si="20">SUM(S10:S21)</f>
        <v>1644</v>
      </c>
      <c r="T28" s="16">
        <f t="shared" si="20"/>
        <v>405</v>
      </c>
      <c r="U28" s="16">
        <f t="shared" si="20"/>
        <v>336</v>
      </c>
      <c r="V28" s="16">
        <f t="shared" si="20"/>
        <v>257</v>
      </c>
      <c r="W28" s="16">
        <f t="shared" si="20"/>
        <v>58</v>
      </c>
      <c r="X28" s="16">
        <f t="shared" si="20"/>
        <v>0</v>
      </c>
      <c r="Y28" s="16">
        <f t="shared" si="20"/>
        <v>111</v>
      </c>
      <c r="Z28" s="16">
        <f t="shared" si="20"/>
        <v>113</v>
      </c>
      <c r="AA28" s="16">
        <f t="shared" si="20"/>
        <v>96</v>
      </c>
      <c r="AB28" s="16">
        <f t="shared" si="20"/>
        <v>197</v>
      </c>
      <c r="AC28" s="16">
        <f t="shared" si="20"/>
        <v>7500</v>
      </c>
      <c r="AD28" s="16">
        <f t="shared" si="20"/>
        <v>0</v>
      </c>
      <c r="AE28" s="32">
        <f t="shared" si="20"/>
        <v>3217</v>
      </c>
      <c r="AF28" s="32">
        <f t="shared" si="20"/>
        <v>10717</v>
      </c>
    </row>
    <row r="29" spans="2:32" ht="23.1" customHeight="1" x14ac:dyDescent="0.25">
      <c r="B29" s="23" t="s">
        <v>56</v>
      </c>
      <c r="C29" s="50">
        <v>33</v>
      </c>
      <c r="D29" s="50">
        <v>9</v>
      </c>
      <c r="E29" s="50">
        <v>8</v>
      </c>
      <c r="F29" s="50">
        <v>4</v>
      </c>
      <c r="G29" s="50">
        <v>3</v>
      </c>
      <c r="H29" s="50">
        <v>0</v>
      </c>
      <c r="I29" s="50">
        <v>2</v>
      </c>
      <c r="J29" s="50">
        <v>4</v>
      </c>
      <c r="K29" s="50">
        <v>3</v>
      </c>
      <c r="L29" s="50">
        <v>5</v>
      </c>
      <c r="M29" s="50">
        <v>182</v>
      </c>
      <c r="N29" s="50">
        <v>0</v>
      </c>
      <c r="O29" s="15">
        <f t="shared" si="0"/>
        <v>71</v>
      </c>
      <c r="P29" s="15">
        <f t="shared" si="1"/>
        <v>253</v>
      </c>
      <c r="R29"/>
      <c r="S29" s="20"/>
      <c r="T29" s="19"/>
    </row>
    <row r="30" spans="2:32" ht="23.1" customHeight="1" x14ac:dyDescent="0.25">
      <c r="B30" s="23" t="s">
        <v>57</v>
      </c>
      <c r="C30" s="50">
        <v>22</v>
      </c>
      <c r="D30" s="50">
        <v>12</v>
      </c>
      <c r="E30" s="50">
        <v>11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4</v>
      </c>
      <c r="L30" s="50">
        <v>2</v>
      </c>
      <c r="M30" s="50">
        <v>152</v>
      </c>
      <c r="N30" s="50">
        <v>0</v>
      </c>
      <c r="O30" s="15">
        <f t="shared" si="0"/>
        <v>53</v>
      </c>
      <c r="P30" s="15">
        <f t="shared" si="1"/>
        <v>205</v>
      </c>
    </row>
    <row r="31" spans="2:32" ht="23.1" customHeight="1" x14ac:dyDescent="0.25">
      <c r="B31" s="24" t="s">
        <v>58</v>
      </c>
      <c r="C31" s="50">
        <v>23</v>
      </c>
      <c r="D31" s="50">
        <v>13</v>
      </c>
      <c r="E31" s="50">
        <v>5</v>
      </c>
      <c r="F31" s="50">
        <v>12</v>
      </c>
      <c r="G31" s="50">
        <v>0</v>
      </c>
      <c r="H31" s="50">
        <v>0</v>
      </c>
      <c r="I31" s="50">
        <v>4</v>
      </c>
      <c r="J31" s="50">
        <v>4</v>
      </c>
      <c r="K31" s="50">
        <v>6</v>
      </c>
      <c r="L31" s="50">
        <v>4</v>
      </c>
      <c r="M31" s="50">
        <v>233</v>
      </c>
      <c r="N31" s="50">
        <v>0</v>
      </c>
      <c r="O31" s="15">
        <f t="shared" si="0"/>
        <v>71</v>
      </c>
      <c r="P31" s="15">
        <f t="shared" si="1"/>
        <v>304</v>
      </c>
    </row>
    <row r="32" spans="2:32" ht="23.1" customHeight="1" x14ac:dyDescent="0.25">
      <c r="B32" s="24" t="s">
        <v>59</v>
      </c>
      <c r="C32" s="50">
        <v>35</v>
      </c>
      <c r="D32" s="50">
        <v>9</v>
      </c>
      <c r="E32" s="50">
        <v>5</v>
      </c>
      <c r="F32" s="50">
        <v>8</v>
      </c>
      <c r="G32" s="50">
        <v>0</v>
      </c>
      <c r="H32" s="50">
        <v>0</v>
      </c>
      <c r="I32" s="50">
        <v>0</v>
      </c>
      <c r="J32" s="50">
        <v>4</v>
      </c>
      <c r="K32" s="50">
        <v>3</v>
      </c>
      <c r="L32" s="50">
        <v>3</v>
      </c>
      <c r="M32" s="50">
        <v>162</v>
      </c>
      <c r="N32" s="50">
        <v>0</v>
      </c>
      <c r="O32" s="15">
        <f t="shared" si="0"/>
        <v>67</v>
      </c>
      <c r="P32" s="15">
        <f t="shared" si="1"/>
        <v>229</v>
      </c>
    </row>
    <row r="33" spans="2:20" ht="23.1" customHeight="1" x14ac:dyDescent="0.25">
      <c r="B33" s="23" t="s">
        <v>60</v>
      </c>
      <c r="C33" s="50">
        <v>36</v>
      </c>
      <c r="D33" s="50">
        <v>12</v>
      </c>
      <c r="E33" s="50">
        <v>7</v>
      </c>
      <c r="F33" s="50">
        <v>5</v>
      </c>
      <c r="G33" s="50">
        <v>5</v>
      </c>
      <c r="H33" s="50">
        <v>0</v>
      </c>
      <c r="I33" s="50">
        <v>3</v>
      </c>
      <c r="J33" s="50">
        <v>8</v>
      </c>
      <c r="K33" s="50">
        <v>3</v>
      </c>
      <c r="L33" s="50">
        <v>2</v>
      </c>
      <c r="M33" s="50">
        <v>110</v>
      </c>
      <c r="N33" s="50">
        <v>0</v>
      </c>
      <c r="O33" s="15">
        <f t="shared" si="0"/>
        <v>81</v>
      </c>
      <c r="P33" s="15">
        <f t="shared" si="1"/>
        <v>191</v>
      </c>
    </row>
    <row r="34" spans="2:20" ht="23.1" customHeight="1" x14ac:dyDescent="0.25">
      <c r="B34" s="24" t="s">
        <v>61</v>
      </c>
      <c r="C34" s="50">
        <v>32</v>
      </c>
      <c r="D34" s="50">
        <v>10</v>
      </c>
      <c r="E34" s="50">
        <v>9</v>
      </c>
      <c r="F34" s="50">
        <v>11</v>
      </c>
      <c r="G34" s="50">
        <v>1</v>
      </c>
      <c r="H34" s="50">
        <v>0</v>
      </c>
      <c r="I34" s="50">
        <v>6</v>
      </c>
      <c r="J34" s="50">
        <v>2</v>
      </c>
      <c r="K34" s="50">
        <v>3</v>
      </c>
      <c r="L34" s="50">
        <v>6</v>
      </c>
      <c r="M34" s="50">
        <v>160</v>
      </c>
      <c r="N34" s="50">
        <v>0</v>
      </c>
      <c r="O34" s="15">
        <f t="shared" si="0"/>
        <v>80</v>
      </c>
      <c r="P34" s="15">
        <f t="shared" si="1"/>
        <v>240</v>
      </c>
    </row>
    <row r="35" spans="2:20" ht="23.1" customHeight="1" x14ac:dyDescent="0.25">
      <c r="B35" s="24" t="s">
        <v>62</v>
      </c>
      <c r="C35" s="50">
        <v>27</v>
      </c>
      <c r="D35" s="50">
        <v>7</v>
      </c>
      <c r="E35" s="50">
        <v>7</v>
      </c>
      <c r="F35" s="50">
        <v>9</v>
      </c>
      <c r="G35" s="50">
        <v>1</v>
      </c>
      <c r="H35" s="50">
        <v>0</v>
      </c>
      <c r="I35" s="50">
        <v>2</v>
      </c>
      <c r="J35" s="50">
        <v>2</v>
      </c>
      <c r="K35" s="50">
        <v>3</v>
      </c>
      <c r="L35" s="50">
        <v>4</v>
      </c>
      <c r="M35" s="50">
        <v>100</v>
      </c>
      <c r="N35" s="50">
        <v>0</v>
      </c>
      <c r="O35" s="15">
        <f t="shared" si="0"/>
        <v>62</v>
      </c>
      <c r="P35" s="15">
        <f t="shared" si="1"/>
        <v>162</v>
      </c>
    </row>
    <row r="36" spans="2:20" ht="23.1" customHeight="1" x14ac:dyDescent="0.25">
      <c r="B36" s="24" t="s">
        <v>63</v>
      </c>
      <c r="C36" s="50">
        <v>36</v>
      </c>
      <c r="D36" s="50">
        <v>7</v>
      </c>
      <c r="E36" s="50">
        <v>6</v>
      </c>
      <c r="F36" s="50">
        <v>7</v>
      </c>
      <c r="G36" s="50">
        <v>0</v>
      </c>
      <c r="H36" s="50">
        <v>0</v>
      </c>
      <c r="I36" s="50">
        <v>2</v>
      </c>
      <c r="J36" s="50">
        <v>5</v>
      </c>
      <c r="K36" s="50">
        <v>3</v>
      </c>
      <c r="L36" s="50">
        <v>2</v>
      </c>
      <c r="M36" s="50">
        <v>85</v>
      </c>
      <c r="N36" s="50">
        <v>0</v>
      </c>
      <c r="O36" s="15">
        <f t="shared" si="0"/>
        <v>68</v>
      </c>
      <c r="P36" s="15">
        <f t="shared" si="1"/>
        <v>153</v>
      </c>
    </row>
    <row r="37" spans="2:20" ht="23.1" customHeight="1" x14ac:dyDescent="0.25">
      <c r="B37" s="23" t="s">
        <v>64</v>
      </c>
      <c r="C37" s="50">
        <v>37</v>
      </c>
      <c r="D37" s="50">
        <v>10</v>
      </c>
      <c r="E37" s="50">
        <v>3</v>
      </c>
      <c r="F37" s="50">
        <v>8</v>
      </c>
      <c r="G37" s="50">
        <v>2</v>
      </c>
      <c r="H37" s="50">
        <v>0</v>
      </c>
      <c r="I37" s="50">
        <v>3</v>
      </c>
      <c r="J37" s="50">
        <v>7</v>
      </c>
      <c r="K37" s="50">
        <v>4</v>
      </c>
      <c r="L37" s="50">
        <v>3</v>
      </c>
      <c r="M37" s="50">
        <v>80</v>
      </c>
      <c r="N37" s="50">
        <v>0</v>
      </c>
      <c r="O37" s="15">
        <f t="shared" si="0"/>
        <v>77</v>
      </c>
      <c r="P37" s="15">
        <f t="shared" si="1"/>
        <v>157</v>
      </c>
    </row>
    <row r="38" spans="2:20" ht="23.1" customHeight="1" x14ac:dyDescent="0.25">
      <c r="B38" s="24" t="s">
        <v>65</v>
      </c>
      <c r="C38" s="50">
        <v>37</v>
      </c>
      <c r="D38" s="50">
        <v>14</v>
      </c>
      <c r="E38" s="50">
        <v>9</v>
      </c>
      <c r="F38" s="50">
        <v>10</v>
      </c>
      <c r="G38" s="50">
        <v>0</v>
      </c>
      <c r="H38" s="50">
        <v>0</v>
      </c>
      <c r="I38" s="50">
        <v>4</v>
      </c>
      <c r="J38" s="50">
        <v>1</v>
      </c>
      <c r="K38" s="50">
        <v>2</v>
      </c>
      <c r="L38" s="50">
        <v>4</v>
      </c>
      <c r="M38" s="50">
        <v>61</v>
      </c>
      <c r="N38" s="50">
        <v>0</v>
      </c>
      <c r="O38" s="15">
        <f t="shared" si="0"/>
        <v>81</v>
      </c>
      <c r="P38" s="15">
        <f t="shared" si="1"/>
        <v>142</v>
      </c>
    </row>
    <row r="39" spans="2:20" ht="23.1" customHeight="1" x14ac:dyDescent="0.25">
      <c r="B39" s="24" t="s">
        <v>66</v>
      </c>
      <c r="C39" s="50">
        <v>45</v>
      </c>
      <c r="D39" s="50">
        <v>13</v>
      </c>
      <c r="E39" s="50">
        <v>6</v>
      </c>
      <c r="F39" s="50">
        <v>3</v>
      </c>
      <c r="G39" s="50">
        <v>2</v>
      </c>
      <c r="H39" s="50">
        <v>0</v>
      </c>
      <c r="I39" s="50">
        <v>1</v>
      </c>
      <c r="J39" s="50">
        <v>2</v>
      </c>
      <c r="K39" s="50">
        <v>2</v>
      </c>
      <c r="L39" s="50">
        <v>2</v>
      </c>
      <c r="M39" s="50">
        <v>81</v>
      </c>
      <c r="N39" s="50">
        <v>0</v>
      </c>
      <c r="O39" s="15">
        <f t="shared" si="0"/>
        <v>76</v>
      </c>
      <c r="P39" s="15">
        <f t="shared" si="1"/>
        <v>157</v>
      </c>
    </row>
    <row r="40" spans="2:20" ht="23.1" customHeight="1" x14ac:dyDescent="0.25">
      <c r="B40" s="24" t="s">
        <v>67</v>
      </c>
      <c r="C40" s="50">
        <v>30</v>
      </c>
      <c r="D40" s="50">
        <v>6</v>
      </c>
      <c r="E40" s="50">
        <v>4</v>
      </c>
      <c r="F40" s="50">
        <v>0</v>
      </c>
      <c r="G40" s="50">
        <v>1</v>
      </c>
      <c r="H40" s="50">
        <v>0</v>
      </c>
      <c r="I40" s="50">
        <v>2</v>
      </c>
      <c r="J40" s="50">
        <v>1</v>
      </c>
      <c r="K40" s="50">
        <v>1</v>
      </c>
      <c r="L40" s="50">
        <v>2</v>
      </c>
      <c r="M40" s="50">
        <v>107</v>
      </c>
      <c r="N40" s="50">
        <v>0</v>
      </c>
      <c r="O40" s="15">
        <f t="shared" si="0"/>
        <v>47</v>
      </c>
      <c r="P40" s="15">
        <f t="shared" si="1"/>
        <v>154</v>
      </c>
    </row>
    <row r="41" spans="2:20" ht="23.1" customHeight="1" x14ac:dyDescent="0.25">
      <c r="B41" s="23" t="s">
        <v>68</v>
      </c>
      <c r="C41" s="50">
        <v>25</v>
      </c>
      <c r="D41" s="50">
        <v>2</v>
      </c>
      <c r="E41" s="50">
        <v>3</v>
      </c>
      <c r="F41" s="50">
        <v>3</v>
      </c>
      <c r="G41" s="50">
        <v>2</v>
      </c>
      <c r="H41" s="50">
        <v>0</v>
      </c>
      <c r="I41" s="50">
        <v>3</v>
      </c>
      <c r="J41" s="50">
        <v>4</v>
      </c>
      <c r="K41" s="50">
        <v>1</v>
      </c>
      <c r="L41" s="50">
        <v>4</v>
      </c>
      <c r="M41" s="50">
        <v>66</v>
      </c>
      <c r="N41" s="50">
        <v>0</v>
      </c>
      <c r="O41" s="15">
        <f t="shared" si="0"/>
        <v>47</v>
      </c>
      <c r="P41" s="15">
        <f t="shared" si="1"/>
        <v>113</v>
      </c>
    </row>
    <row r="42" spans="2:20" ht="23.1" customHeight="1" x14ac:dyDescent="0.25">
      <c r="B42" s="24" t="s">
        <v>69</v>
      </c>
      <c r="C42" s="50">
        <v>33</v>
      </c>
      <c r="D42" s="50">
        <v>6</v>
      </c>
      <c r="E42" s="50">
        <v>5</v>
      </c>
      <c r="F42" s="50">
        <v>6</v>
      </c>
      <c r="G42" s="50">
        <v>0</v>
      </c>
      <c r="H42" s="50">
        <v>0</v>
      </c>
      <c r="I42" s="50">
        <v>3</v>
      </c>
      <c r="J42" s="50">
        <v>2</v>
      </c>
      <c r="K42" s="50">
        <v>2</v>
      </c>
      <c r="L42" s="50">
        <v>13</v>
      </c>
      <c r="M42" s="50">
        <v>113</v>
      </c>
      <c r="N42" s="50">
        <v>0</v>
      </c>
      <c r="O42" s="15">
        <f t="shared" si="0"/>
        <v>70</v>
      </c>
      <c r="P42" s="15">
        <f t="shared" si="1"/>
        <v>183</v>
      </c>
    </row>
    <row r="43" spans="2:20" ht="23.1" customHeight="1" x14ac:dyDescent="0.25">
      <c r="B43" s="23" t="s">
        <v>70</v>
      </c>
      <c r="C43" s="50">
        <v>30</v>
      </c>
      <c r="D43" s="50">
        <v>8</v>
      </c>
      <c r="E43" s="50">
        <v>7</v>
      </c>
      <c r="F43" s="50">
        <v>2</v>
      </c>
      <c r="G43" s="50">
        <v>1</v>
      </c>
      <c r="H43" s="50">
        <v>0</v>
      </c>
      <c r="I43" s="50">
        <v>4</v>
      </c>
      <c r="J43" s="50">
        <v>4</v>
      </c>
      <c r="K43" s="50">
        <v>0</v>
      </c>
      <c r="L43" s="50">
        <v>12</v>
      </c>
      <c r="M43" s="50">
        <v>125</v>
      </c>
      <c r="N43" s="50">
        <v>0</v>
      </c>
      <c r="O43" s="15">
        <f t="shared" si="0"/>
        <v>68</v>
      </c>
      <c r="P43" s="15">
        <f t="shared" si="1"/>
        <v>193</v>
      </c>
    </row>
    <row r="44" spans="2:20" ht="23.1" customHeight="1" x14ac:dyDescent="0.25">
      <c r="B44" s="25" t="s">
        <v>71</v>
      </c>
      <c r="C44" s="50">
        <v>48</v>
      </c>
      <c r="D44" s="50">
        <v>5</v>
      </c>
      <c r="E44" s="50">
        <v>11</v>
      </c>
      <c r="F44" s="50">
        <v>5</v>
      </c>
      <c r="G44" s="50">
        <v>2</v>
      </c>
      <c r="H44" s="50">
        <v>0</v>
      </c>
      <c r="I44" s="50">
        <v>2</v>
      </c>
      <c r="J44" s="50">
        <v>1</v>
      </c>
      <c r="K44" s="50">
        <v>1</v>
      </c>
      <c r="L44" s="50">
        <v>5</v>
      </c>
      <c r="M44" s="50">
        <v>157</v>
      </c>
      <c r="N44" s="50">
        <v>0</v>
      </c>
      <c r="O44" s="15">
        <f t="shared" si="0"/>
        <v>80</v>
      </c>
      <c r="P44" s="15">
        <f t="shared" si="1"/>
        <v>237</v>
      </c>
    </row>
    <row r="45" spans="2:20" ht="23.1" customHeight="1" x14ac:dyDescent="0.25">
      <c r="B45" s="23" t="s">
        <v>72</v>
      </c>
      <c r="C45" s="50">
        <v>45</v>
      </c>
      <c r="D45" s="50">
        <v>7</v>
      </c>
      <c r="E45" s="50">
        <v>5</v>
      </c>
      <c r="F45" s="50">
        <v>7</v>
      </c>
      <c r="G45" s="50">
        <v>3</v>
      </c>
      <c r="H45" s="50">
        <v>0</v>
      </c>
      <c r="I45" s="50">
        <v>5</v>
      </c>
      <c r="J45" s="50">
        <v>6</v>
      </c>
      <c r="K45" s="50">
        <v>0</v>
      </c>
      <c r="L45" s="50">
        <v>0</v>
      </c>
      <c r="M45" s="50">
        <v>70</v>
      </c>
      <c r="N45" s="50">
        <v>0</v>
      </c>
      <c r="O45" s="15">
        <f t="shared" si="0"/>
        <v>78</v>
      </c>
      <c r="P45" s="15">
        <f t="shared" si="1"/>
        <v>148</v>
      </c>
    </row>
    <row r="46" spans="2:20" ht="23.1" customHeight="1" x14ac:dyDescent="0.25">
      <c r="B46" s="24" t="s">
        <v>73</v>
      </c>
      <c r="C46" s="50">
        <v>29</v>
      </c>
      <c r="D46" s="50">
        <v>7</v>
      </c>
      <c r="E46" s="50">
        <v>6</v>
      </c>
      <c r="F46" s="50">
        <v>7</v>
      </c>
      <c r="G46" s="50">
        <v>1</v>
      </c>
      <c r="H46" s="50">
        <v>0</v>
      </c>
      <c r="I46" s="50">
        <v>4</v>
      </c>
      <c r="J46" s="50">
        <v>3</v>
      </c>
      <c r="K46" s="50">
        <v>2</v>
      </c>
      <c r="L46" s="50">
        <v>3</v>
      </c>
      <c r="M46" s="50">
        <v>78</v>
      </c>
      <c r="N46" s="50">
        <v>0</v>
      </c>
      <c r="O46" s="15">
        <f t="shared" si="0"/>
        <v>62</v>
      </c>
      <c r="P46" s="15">
        <f t="shared" si="1"/>
        <v>140</v>
      </c>
      <c r="R46" s="8"/>
      <c r="T46"/>
    </row>
    <row r="47" spans="2:20" ht="23.1" customHeight="1" x14ac:dyDescent="0.25">
      <c r="B47" s="24" t="s">
        <v>74</v>
      </c>
      <c r="C47" s="50">
        <v>26</v>
      </c>
      <c r="D47" s="50">
        <v>7</v>
      </c>
      <c r="E47" s="50">
        <v>11</v>
      </c>
      <c r="F47" s="50">
        <v>2</v>
      </c>
      <c r="G47" s="50">
        <v>3</v>
      </c>
      <c r="H47" s="50">
        <v>0</v>
      </c>
      <c r="I47" s="50">
        <v>1</v>
      </c>
      <c r="J47" s="50">
        <v>3</v>
      </c>
      <c r="K47" s="50">
        <v>2</v>
      </c>
      <c r="L47" s="50">
        <v>6</v>
      </c>
      <c r="M47" s="50">
        <v>114</v>
      </c>
      <c r="N47" s="50">
        <v>0</v>
      </c>
      <c r="O47" s="15">
        <f t="shared" si="0"/>
        <v>61</v>
      </c>
      <c r="P47" s="15">
        <f t="shared" si="1"/>
        <v>175</v>
      </c>
      <c r="R47" s="8"/>
      <c r="T47"/>
    </row>
    <row r="48" spans="2:20" ht="23.1" customHeight="1" x14ac:dyDescent="0.25">
      <c r="B48" s="24" t="s">
        <v>75</v>
      </c>
      <c r="C48" s="50">
        <v>36</v>
      </c>
      <c r="D48" s="50">
        <v>4</v>
      </c>
      <c r="E48" s="50">
        <v>6</v>
      </c>
      <c r="F48" s="50">
        <v>8</v>
      </c>
      <c r="G48" s="50">
        <v>0</v>
      </c>
      <c r="H48" s="50">
        <v>0</v>
      </c>
      <c r="I48" s="50">
        <v>0</v>
      </c>
      <c r="J48" s="50">
        <v>2</v>
      </c>
      <c r="K48" s="50">
        <v>0</v>
      </c>
      <c r="L48" s="50">
        <v>7</v>
      </c>
      <c r="M48" s="50">
        <v>136</v>
      </c>
      <c r="N48" s="50">
        <v>0</v>
      </c>
      <c r="O48" s="15">
        <f t="shared" si="0"/>
        <v>63</v>
      </c>
      <c r="P48" s="15">
        <f t="shared" si="1"/>
        <v>199</v>
      </c>
      <c r="R48" s="8"/>
      <c r="T48"/>
    </row>
    <row r="49" spans="2:20" ht="23.1" customHeight="1" x14ac:dyDescent="0.25">
      <c r="B49" s="23" t="s">
        <v>76</v>
      </c>
      <c r="C49" s="50">
        <v>34</v>
      </c>
      <c r="D49" s="50">
        <v>6</v>
      </c>
      <c r="E49" s="50">
        <v>8</v>
      </c>
      <c r="F49" s="50">
        <v>3</v>
      </c>
      <c r="G49" s="50">
        <v>2</v>
      </c>
      <c r="H49" s="50">
        <v>0</v>
      </c>
      <c r="I49" s="50">
        <v>3</v>
      </c>
      <c r="J49" s="50">
        <v>5</v>
      </c>
      <c r="K49" s="50">
        <v>0</v>
      </c>
      <c r="L49" s="50">
        <v>1</v>
      </c>
      <c r="M49" s="50">
        <v>115</v>
      </c>
      <c r="N49" s="50">
        <v>0</v>
      </c>
      <c r="O49" s="15">
        <f t="shared" si="0"/>
        <v>62</v>
      </c>
      <c r="P49" s="15">
        <f t="shared" si="1"/>
        <v>177</v>
      </c>
      <c r="R49" s="8"/>
      <c r="T49"/>
    </row>
    <row r="50" spans="2:20" ht="23.1" customHeight="1" x14ac:dyDescent="0.25">
      <c r="B50" s="24" t="s">
        <v>77</v>
      </c>
      <c r="C50" s="50">
        <v>28</v>
      </c>
      <c r="D50" s="50">
        <v>6</v>
      </c>
      <c r="E50" s="50">
        <v>7</v>
      </c>
      <c r="F50" s="50">
        <v>3</v>
      </c>
      <c r="G50" s="50">
        <v>1</v>
      </c>
      <c r="H50" s="50">
        <v>0</v>
      </c>
      <c r="I50" s="50">
        <v>4</v>
      </c>
      <c r="J50" s="50">
        <v>1</v>
      </c>
      <c r="K50" s="50">
        <v>0</v>
      </c>
      <c r="L50" s="50">
        <v>6</v>
      </c>
      <c r="M50" s="50">
        <v>140</v>
      </c>
      <c r="N50" s="50">
        <v>0</v>
      </c>
      <c r="O50" s="15">
        <f t="shared" si="0"/>
        <v>56</v>
      </c>
      <c r="P50" s="15">
        <f t="shared" si="1"/>
        <v>196</v>
      </c>
      <c r="R50" s="8"/>
      <c r="T50"/>
    </row>
    <row r="51" spans="2:20" ht="23.1" customHeight="1" x14ac:dyDescent="0.25">
      <c r="B51" s="24" t="s">
        <v>78</v>
      </c>
      <c r="C51" s="50">
        <v>30</v>
      </c>
      <c r="D51" s="50">
        <v>9</v>
      </c>
      <c r="E51" s="50">
        <v>7</v>
      </c>
      <c r="F51" s="50">
        <v>1</v>
      </c>
      <c r="G51" s="50">
        <v>0</v>
      </c>
      <c r="H51" s="50">
        <v>0</v>
      </c>
      <c r="I51" s="50">
        <v>3</v>
      </c>
      <c r="J51" s="50">
        <v>6</v>
      </c>
      <c r="K51" s="50">
        <v>2</v>
      </c>
      <c r="L51" s="50">
        <v>3</v>
      </c>
      <c r="M51" s="50">
        <v>40</v>
      </c>
      <c r="N51" s="50">
        <v>0</v>
      </c>
      <c r="O51" s="15">
        <f t="shared" si="0"/>
        <v>61</v>
      </c>
      <c r="P51" s="15">
        <f t="shared" si="1"/>
        <v>101</v>
      </c>
      <c r="R51" s="8"/>
      <c r="T51"/>
    </row>
    <row r="52" spans="2:20" ht="23.1" customHeight="1" x14ac:dyDescent="0.25">
      <c r="B52" s="24" t="s">
        <v>79</v>
      </c>
      <c r="C52" s="50">
        <v>33</v>
      </c>
      <c r="D52" s="50">
        <v>6</v>
      </c>
      <c r="E52" s="50">
        <v>6</v>
      </c>
      <c r="F52" s="50">
        <v>5</v>
      </c>
      <c r="G52" s="50">
        <v>0</v>
      </c>
      <c r="H52" s="50">
        <v>0</v>
      </c>
      <c r="I52" s="50">
        <v>1</v>
      </c>
      <c r="J52" s="50">
        <v>2</v>
      </c>
      <c r="K52" s="50">
        <v>0</v>
      </c>
      <c r="L52" s="50">
        <v>8</v>
      </c>
      <c r="M52" s="50">
        <v>100</v>
      </c>
      <c r="N52" s="50">
        <v>0</v>
      </c>
      <c r="O52" s="15">
        <f t="shared" si="0"/>
        <v>61</v>
      </c>
      <c r="P52" s="15">
        <f t="shared" si="1"/>
        <v>161</v>
      </c>
      <c r="R52" s="8"/>
      <c r="T52"/>
    </row>
    <row r="53" spans="2:20" ht="23.1" customHeight="1" x14ac:dyDescent="0.25">
      <c r="B53" s="23" t="s">
        <v>80</v>
      </c>
      <c r="C53" s="50">
        <v>26</v>
      </c>
      <c r="D53" s="50">
        <v>3</v>
      </c>
      <c r="E53" s="50">
        <v>9</v>
      </c>
      <c r="F53" s="50">
        <v>1</v>
      </c>
      <c r="G53" s="50">
        <v>1</v>
      </c>
      <c r="H53" s="50">
        <v>0</v>
      </c>
      <c r="I53" s="50">
        <v>1</v>
      </c>
      <c r="J53" s="50">
        <v>4</v>
      </c>
      <c r="K53" s="50">
        <v>0</v>
      </c>
      <c r="L53" s="50">
        <v>3</v>
      </c>
      <c r="M53" s="50">
        <v>182</v>
      </c>
      <c r="N53" s="50">
        <v>0</v>
      </c>
      <c r="O53" s="15">
        <f t="shared" si="0"/>
        <v>48</v>
      </c>
      <c r="P53" s="15">
        <f t="shared" si="1"/>
        <v>230</v>
      </c>
      <c r="R53" s="8"/>
      <c r="T53"/>
    </row>
    <row r="54" spans="2:20" ht="23.1" customHeight="1" x14ac:dyDescent="0.25">
      <c r="B54" s="23" t="s">
        <v>81</v>
      </c>
      <c r="C54" s="50">
        <v>22</v>
      </c>
      <c r="D54" s="50">
        <v>8</v>
      </c>
      <c r="E54" s="50">
        <v>6</v>
      </c>
      <c r="F54" s="50">
        <v>3</v>
      </c>
      <c r="G54" s="50">
        <v>0</v>
      </c>
      <c r="H54" s="50">
        <v>0</v>
      </c>
      <c r="I54" s="50">
        <v>4</v>
      </c>
      <c r="J54" s="50">
        <v>2</v>
      </c>
      <c r="K54" s="50">
        <v>2</v>
      </c>
      <c r="L54" s="50">
        <v>7</v>
      </c>
      <c r="M54" s="50">
        <v>150</v>
      </c>
      <c r="N54" s="50">
        <v>0</v>
      </c>
      <c r="O54" s="15">
        <f t="shared" si="0"/>
        <v>54</v>
      </c>
      <c r="P54" s="15">
        <f t="shared" si="1"/>
        <v>204</v>
      </c>
      <c r="R54" s="8"/>
      <c r="T54"/>
    </row>
    <row r="55" spans="2:20" ht="23.1" customHeight="1" x14ac:dyDescent="0.25">
      <c r="B55" s="23" t="s">
        <v>82</v>
      </c>
      <c r="C55" s="50">
        <v>31</v>
      </c>
      <c r="D55" s="50">
        <v>7</v>
      </c>
      <c r="E55" s="50">
        <v>5</v>
      </c>
      <c r="F55" s="50">
        <v>0</v>
      </c>
      <c r="G55" s="50">
        <v>0</v>
      </c>
      <c r="H55" s="50">
        <v>0</v>
      </c>
      <c r="I55" s="50">
        <v>6</v>
      </c>
      <c r="J55" s="50">
        <v>2</v>
      </c>
      <c r="K55" s="50">
        <v>1</v>
      </c>
      <c r="L55" s="50">
        <v>8</v>
      </c>
      <c r="M55" s="50">
        <v>120</v>
      </c>
      <c r="N55" s="50">
        <v>0</v>
      </c>
      <c r="O55" s="15">
        <f t="shared" si="0"/>
        <v>60</v>
      </c>
      <c r="P55" s="15">
        <f t="shared" si="1"/>
        <v>180</v>
      </c>
      <c r="R55" s="8"/>
      <c r="T55"/>
    </row>
    <row r="56" spans="2:20" ht="23.1" customHeight="1" x14ac:dyDescent="0.25">
      <c r="B56" s="23" t="s">
        <v>83</v>
      </c>
      <c r="C56" s="50">
        <v>21</v>
      </c>
      <c r="D56" s="50">
        <v>11</v>
      </c>
      <c r="E56" s="50">
        <v>2</v>
      </c>
      <c r="F56" s="50">
        <v>4</v>
      </c>
      <c r="G56" s="50">
        <v>3</v>
      </c>
      <c r="H56" s="50">
        <v>0</v>
      </c>
      <c r="I56" s="50">
        <v>1</v>
      </c>
      <c r="J56" s="50">
        <v>0</v>
      </c>
      <c r="K56" s="50">
        <v>2</v>
      </c>
      <c r="L56" s="50">
        <v>4</v>
      </c>
      <c r="M56" s="50">
        <v>126</v>
      </c>
      <c r="N56" s="50">
        <v>0</v>
      </c>
      <c r="O56" s="15">
        <f t="shared" si="0"/>
        <v>48</v>
      </c>
      <c r="P56" s="15">
        <f t="shared" si="1"/>
        <v>174</v>
      </c>
      <c r="R56" s="8"/>
      <c r="T56"/>
    </row>
    <row r="57" spans="2:20" ht="23.1" customHeight="1" x14ac:dyDescent="0.25">
      <c r="B57" s="23" t="s">
        <v>84</v>
      </c>
      <c r="C57" s="50">
        <v>33</v>
      </c>
      <c r="D57" s="50">
        <v>9</v>
      </c>
      <c r="E57" s="50">
        <v>4</v>
      </c>
      <c r="F57" s="50">
        <v>3</v>
      </c>
      <c r="G57" s="50">
        <v>0</v>
      </c>
      <c r="H57" s="50">
        <v>0</v>
      </c>
      <c r="I57" s="50">
        <v>0</v>
      </c>
      <c r="J57" s="50">
        <v>0</v>
      </c>
      <c r="K57" s="50">
        <v>2</v>
      </c>
      <c r="L57" s="50">
        <v>3</v>
      </c>
      <c r="M57" s="50">
        <v>265</v>
      </c>
      <c r="N57" s="50">
        <v>0</v>
      </c>
      <c r="O57" s="15">
        <f t="shared" si="0"/>
        <v>54</v>
      </c>
      <c r="P57" s="15">
        <f t="shared" si="1"/>
        <v>319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1644</v>
      </c>
      <c r="D58" s="16">
        <f t="shared" si="21"/>
        <v>405</v>
      </c>
      <c r="E58" s="16">
        <f t="shared" si="21"/>
        <v>336</v>
      </c>
      <c r="F58" s="16">
        <f t="shared" si="21"/>
        <v>257</v>
      </c>
      <c r="G58" s="16">
        <f t="shared" si="21"/>
        <v>58</v>
      </c>
      <c r="H58" s="16">
        <f t="shared" si="21"/>
        <v>0</v>
      </c>
      <c r="I58" s="16">
        <f t="shared" si="21"/>
        <v>111</v>
      </c>
      <c r="J58" s="16">
        <f t="shared" si="21"/>
        <v>113</v>
      </c>
      <c r="K58" s="16">
        <f t="shared" si="21"/>
        <v>96</v>
      </c>
      <c r="L58" s="16">
        <f t="shared" si="21"/>
        <v>197</v>
      </c>
      <c r="M58" s="16">
        <f t="shared" si="21"/>
        <v>7500</v>
      </c>
      <c r="N58" s="16">
        <f t="shared" si="21"/>
        <v>0</v>
      </c>
      <c r="O58" s="16">
        <f t="shared" si="21"/>
        <v>3217</v>
      </c>
      <c r="P58" s="16">
        <f t="shared" si="21"/>
        <v>10717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0.15340113837827751</v>
      </c>
      <c r="D59" s="43">
        <f t="shared" si="22"/>
        <v>3.7790426425305591E-2</v>
      </c>
      <c r="E59" s="43">
        <f t="shared" si="22"/>
        <v>3.1352057478772045E-2</v>
      </c>
      <c r="F59" s="43">
        <f t="shared" si="22"/>
        <v>2.3980591583465521E-2</v>
      </c>
      <c r="G59" s="43">
        <f t="shared" si="22"/>
        <v>5.4119623028832699E-3</v>
      </c>
      <c r="H59" s="43">
        <f t="shared" si="22"/>
        <v>0</v>
      </c>
      <c r="I59" s="43">
        <f t="shared" si="22"/>
        <v>1.0357376131380051E-2</v>
      </c>
      <c r="J59" s="43">
        <f t="shared" si="22"/>
        <v>1.0543995521134646E-2</v>
      </c>
      <c r="K59" s="43">
        <f t="shared" si="22"/>
        <v>8.9577307082205834E-3</v>
      </c>
      <c r="L59" s="43">
        <f t="shared" si="22"/>
        <v>1.8382009890827656E-2</v>
      </c>
      <c r="M59" s="43">
        <f t="shared" si="22"/>
        <v>0.69982271157973308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0.51103512589368982</v>
      </c>
      <c r="D60" s="44">
        <f t="shared" ref="D60:N60" si="23">D58/$O$58</f>
        <v>0.12589368977308052</v>
      </c>
      <c r="E60" s="44">
        <f t="shared" si="23"/>
        <v>0.10444513521914828</v>
      </c>
      <c r="F60" s="44">
        <f t="shared" si="23"/>
        <v>7.9888094497979484E-2</v>
      </c>
      <c r="G60" s="44">
        <f t="shared" si="23"/>
        <v>1.8029219769972023E-2</v>
      </c>
      <c r="H60" s="44">
        <f t="shared" si="23"/>
        <v>0</v>
      </c>
      <c r="I60" s="44">
        <f t="shared" si="23"/>
        <v>3.450419645632577E-2</v>
      </c>
      <c r="J60" s="44">
        <f t="shared" si="23"/>
        <v>3.5125893689773077E-2</v>
      </c>
      <c r="K60" s="44">
        <f t="shared" si="23"/>
        <v>2.9841467205470935E-2</v>
      </c>
      <c r="L60" s="44">
        <f t="shared" si="23"/>
        <v>6.1237177494560147E-2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37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URA-Spear Motors'!C3:G3</f>
        <v>MCC - C1 - STN44- NAKAWA-JINJA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'31.07 Spear Motors-URA'!D5</f>
        <v>31.07.19</v>
      </c>
      <c r="E5" s="3"/>
      <c r="F5" s="41" t="s">
        <v>1</v>
      </c>
      <c r="G5" s="63" t="str">
        <f>'29.07 Spear Motors -URA'!G5:H5</f>
        <v>Spear Motors Limited</v>
      </c>
      <c r="H5" s="64"/>
      <c r="I5" s="14"/>
      <c r="J5" s="2" t="s">
        <v>5</v>
      </c>
      <c r="K5" s="63" t="s">
        <v>184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177</v>
      </c>
      <c r="E6" s="64"/>
      <c r="F6" s="2" t="s">
        <v>2</v>
      </c>
      <c r="G6" s="63" t="s">
        <v>181</v>
      </c>
      <c r="H6" s="64"/>
      <c r="J6" s="2" t="s">
        <v>21</v>
      </c>
      <c r="K6" s="63" t="str">
        <f>'29.07 Spear Motors -URA'!K6:L6</f>
        <v>Felix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50</v>
      </c>
      <c r="D10" s="50">
        <v>7</v>
      </c>
      <c r="E10" s="50">
        <v>6</v>
      </c>
      <c r="F10" s="50">
        <v>5</v>
      </c>
      <c r="G10" s="50">
        <v>1</v>
      </c>
      <c r="H10" s="50">
        <v>0</v>
      </c>
      <c r="I10" s="50">
        <v>3</v>
      </c>
      <c r="J10" s="50">
        <v>0</v>
      </c>
      <c r="K10" s="50">
        <v>0</v>
      </c>
      <c r="L10" s="50">
        <v>2</v>
      </c>
      <c r="M10" s="50">
        <v>48</v>
      </c>
      <c r="N10" s="50">
        <v>0</v>
      </c>
      <c r="O10" s="15">
        <f t="shared" ref="O10:O57" si="0">SUM(C10:L10,N10)</f>
        <v>74</v>
      </c>
      <c r="P10" s="15">
        <f t="shared" ref="P10:P57" si="1">SUM(C10:N10)</f>
        <v>122</v>
      </c>
      <c r="R10" s="1" t="s">
        <v>6</v>
      </c>
      <c r="S10" s="17">
        <f t="shared" ref="S10:AF10" si="2">SUM(C10:C13)</f>
        <v>163</v>
      </c>
      <c r="T10" s="17">
        <f t="shared" si="2"/>
        <v>21</v>
      </c>
      <c r="U10" s="17">
        <f t="shared" si="2"/>
        <v>18</v>
      </c>
      <c r="V10" s="17">
        <f t="shared" si="2"/>
        <v>15</v>
      </c>
      <c r="W10" s="17">
        <f t="shared" si="2"/>
        <v>5</v>
      </c>
      <c r="X10" s="17">
        <f t="shared" si="2"/>
        <v>0</v>
      </c>
      <c r="Y10" s="17">
        <f t="shared" si="2"/>
        <v>16</v>
      </c>
      <c r="Z10" s="17">
        <f t="shared" si="2"/>
        <v>3</v>
      </c>
      <c r="AA10" s="17">
        <f t="shared" si="2"/>
        <v>2</v>
      </c>
      <c r="AB10" s="17">
        <f t="shared" si="2"/>
        <v>4</v>
      </c>
      <c r="AC10" s="17">
        <f t="shared" si="2"/>
        <v>271</v>
      </c>
      <c r="AD10" s="17">
        <f t="shared" si="2"/>
        <v>0</v>
      </c>
      <c r="AE10" s="31">
        <f t="shared" si="2"/>
        <v>247</v>
      </c>
      <c r="AF10" s="31">
        <f t="shared" si="2"/>
        <v>518</v>
      </c>
    </row>
    <row r="11" spans="2:32" s="6" customFormat="1" ht="23.1" customHeight="1" x14ac:dyDescent="0.25">
      <c r="B11" s="23" t="s">
        <v>38</v>
      </c>
      <c r="C11" s="50">
        <v>40</v>
      </c>
      <c r="D11" s="50">
        <v>7</v>
      </c>
      <c r="E11" s="50">
        <v>2</v>
      </c>
      <c r="F11" s="50">
        <v>2</v>
      </c>
      <c r="G11" s="50">
        <v>2</v>
      </c>
      <c r="H11" s="50">
        <v>0</v>
      </c>
      <c r="I11" s="50">
        <v>6</v>
      </c>
      <c r="J11" s="50">
        <v>0</v>
      </c>
      <c r="K11" s="50">
        <v>0</v>
      </c>
      <c r="L11" s="50">
        <v>0</v>
      </c>
      <c r="M11" s="50">
        <v>69</v>
      </c>
      <c r="N11" s="50">
        <v>0</v>
      </c>
      <c r="O11" s="15">
        <f t="shared" si="0"/>
        <v>59</v>
      </c>
      <c r="P11" s="15">
        <f t="shared" si="1"/>
        <v>128</v>
      </c>
      <c r="R11" s="1" t="s">
        <v>7</v>
      </c>
      <c r="S11" s="17">
        <f t="shared" ref="S11:AF11" si="3">SUM(C14:C17)</f>
        <v>183</v>
      </c>
      <c r="T11" s="17">
        <f t="shared" si="3"/>
        <v>25</v>
      </c>
      <c r="U11" s="17">
        <f t="shared" si="3"/>
        <v>19</v>
      </c>
      <c r="V11" s="17">
        <f t="shared" si="3"/>
        <v>14</v>
      </c>
      <c r="W11" s="17">
        <f t="shared" si="3"/>
        <v>6</v>
      </c>
      <c r="X11" s="17">
        <f t="shared" si="3"/>
        <v>0</v>
      </c>
      <c r="Y11" s="17">
        <f t="shared" si="3"/>
        <v>13</v>
      </c>
      <c r="Z11" s="17">
        <f t="shared" si="3"/>
        <v>4</v>
      </c>
      <c r="AA11" s="17">
        <f t="shared" si="3"/>
        <v>0</v>
      </c>
      <c r="AB11" s="17">
        <f t="shared" si="3"/>
        <v>4</v>
      </c>
      <c r="AC11" s="17">
        <f t="shared" si="3"/>
        <v>459</v>
      </c>
      <c r="AD11" s="17">
        <f t="shared" si="3"/>
        <v>0</v>
      </c>
      <c r="AE11" s="31">
        <f t="shared" si="3"/>
        <v>268</v>
      </c>
      <c r="AF11" s="31">
        <f t="shared" si="3"/>
        <v>727</v>
      </c>
    </row>
    <row r="12" spans="2:32" ht="23.1" customHeight="1" x14ac:dyDescent="0.25">
      <c r="B12" s="23" t="s">
        <v>39</v>
      </c>
      <c r="C12" s="50">
        <v>35</v>
      </c>
      <c r="D12" s="50">
        <v>0</v>
      </c>
      <c r="E12" s="50">
        <v>2</v>
      </c>
      <c r="F12" s="50">
        <v>3</v>
      </c>
      <c r="G12" s="50">
        <v>1</v>
      </c>
      <c r="H12" s="50">
        <v>0</v>
      </c>
      <c r="I12" s="50">
        <v>2</v>
      </c>
      <c r="J12" s="50">
        <v>2</v>
      </c>
      <c r="K12" s="50">
        <v>1</v>
      </c>
      <c r="L12" s="50">
        <v>0</v>
      </c>
      <c r="M12" s="50">
        <v>74</v>
      </c>
      <c r="N12" s="50">
        <v>0</v>
      </c>
      <c r="O12" s="15">
        <f t="shared" si="0"/>
        <v>46</v>
      </c>
      <c r="P12" s="15">
        <f t="shared" si="1"/>
        <v>120</v>
      </c>
      <c r="R12" s="1" t="s">
        <v>8</v>
      </c>
      <c r="S12" s="17">
        <f t="shared" ref="S12:AF12" si="4">SUM(C18:C21)</f>
        <v>173</v>
      </c>
      <c r="T12" s="17">
        <f t="shared" si="4"/>
        <v>25</v>
      </c>
      <c r="U12" s="17">
        <f t="shared" si="4"/>
        <v>20</v>
      </c>
      <c r="V12" s="17">
        <f t="shared" si="4"/>
        <v>21</v>
      </c>
      <c r="W12" s="17">
        <f t="shared" si="4"/>
        <v>2</v>
      </c>
      <c r="X12" s="17">
        <f t="shared" si="4"/>
        <v>1</v>
      </c>
      <c r="Y12" s="17">
        <f t="shared" si="4"/>
        <v>23</v>
      </c>
      <c r="Z12" s="17">
        <f t="shared" si="4"/>
        <v>4</v>
      </c>
      <c r="AA12" s="17">
        <f t="shared" si="4"/>
        <v>6</v>
      </c>
      <c r="AB12" s="17">
        <f t="shared" si="4"/>
        <v>4</v>
      </c>
      <c r="AC12" s="17">
        <f t="shared" si="4"/>
        <v>488</v>
      </c>
      <c r="AD12" s="17">
        <f t="shared" si="4"/>
        <v>0</v>
      </c>
      <c r="AE12" s="31">
        <f t="shared" si="4"/>
        <v>279</v>
      </c>
      <c r="AF12" s="31">
        <f t="shared" si="4"/>
        <v>767</v>
      </c>
    </row>
    <row r="13" spans="2:32" ht="23.1" customHeight="1" x14ac:dyDescent="0.25">
      <c r="B13" s="23" t="s">
        <v>40</v>
      </c>
      <c r="C13" s="50">
        <v>38</v>
      </c>
      <c r="D13" s="50">
        <v>7</v>
      </c>
      <c r="E13" s="50">
        <v>8</v>
      </c>
      <c r="F13" s="50">
        <v>5</v>
      </c>
      <c r="G13" s="50">
        <v>1</v>
      </c>
      <c r="H13" s="50">
        <v>0</v>
      </c>
      <c r="I13" s="50">
        <v>5</v>
      </c>
      <c r="J13" s="50">
        <v>1</v>
      </c>
      <c r="K13" s="50">
        <v>1</v>
      </c>
      <c r="L13" s="50">
        <v>2</v>
      </c>
      <c r="M13" s="50">
        <v>80</v>
      </c>
      <c r="N13" s="50">
        <v>0</v>
      </c>
      <c r="O13" s="15">
        <f t="shared" si="0"/>
        <v>68</v>
      </c>
      <c r="P13" s="15">
        <f t="shared" si="1"/>
        <v>148</v>
      </c>
      <c r="R13" s="1" t="s">
        <v>9</v>
      </c>
      <c r="S13" s="17">
        <f t="shared" ref="S13:AF13" si="5">SUM(C22:C25)</f>
        <v>180</v>
      </c>
      <c r="T13" s="17">
        <f t="shared" si="5"/>
        <v>22</v>
      </c>
      <c r="U13" s="17">
        <f t="shared" si="5"/>
        <v>24</v>
      </c>
      <c r="V13" s="17">
        <f t="shared" si="5"/>
        <v>26</v>
      </c>
      <c r="W13" s="17">
        <f t="shared" si="5"/>
        <v>3</v>
      </c>
      <c r="X13" s="17">
        <f t="shared" si="5"/>
        <v>1</v>
      </c>
      <c r="Y13" s="17">
        <f t="shared" si="5"/>
        <v>21</v>
      </c>
      <c r="Z13" s="17">
        <f t="shared" si="5"/>
        <v>10</v>
      </c>
      <c r="AA13" s="17">
        <f t="shared" si="5"/>
        <v>0</v>
      </c>
      <c r="AB13" s="17">
        <f t="shared" si="5"/>
        <v>9</v>
      </c>
      <c r="AC13" s="17">
        <f t="shared" si="5"/>
        <v>356</v>
      </c>
      <c r="AD13" s="17">
        <f t="shared" si="5"/>
        <v>0</v>
      </c>
      <c r="AE13" s="31">
        <f t="shared" si="5"/>
        <v>296</v>
      </c>
      <c r="AF13" s="31">
        <f t="shared" si="5"/>
        <v>652</v>
      </c>
    </row>
    <row r="14" spans="2:32" ht="23.1" customHeight="1" x14ac:dyDescent="0.25">
      <c r="B14" s="23" t="s">
        <v>41</v>
      </c>
      <c r="C14" s="50">
        <v>38</v>
      </c>
      <c r="D14" s="50">
        <v>5</v>
      </c>
      <c r="E14" s="50">
        <v>4</v>
      </c>
      <c r="F14" s="50">
        <v>5</v>
      </c>
      <c r="G14" s="50">
        <v>3</v>
      </c>
      <c r="H14" s="50">
        <v>0</v>
      </c>
      <c r="I14" s="50">
        <v>0</v>
      </c>
      <c r="J14" s="50">
        <v>2</v>
      </c>
      <c r="K14" s="50">
        <v>0</v>
      </c>
      <c r="L14" s="50">
        <v>0</v>
      </c>
      <c r="M14" s="50">
        <v>97</v>
      </c>
      <c r="N14" s="50">
        <v>0</v>
      </c>
      <c r="O14" s="15">
        <f t="shared" si="0"/>
        <v>57</v>
      </c>
      <c r="P14" s="15">
        <f t="shared" si="1"/>
        <v>154</v>
      </c>
      <c r="R14" s="1" t="s">
        <v>10</v>
      </c>
      <c r="S14" s="17">
        <f t="shared" ref="S14:AF14" si="6">SUM(C26:C29)</f>
        <v>192</v>
      </c>
      <c r="T14" s="17">
        <f t="shared" si="6"/>
        <v>39</v>
      </c>
      <c r="U14" s="17">
        <f t="shared" si="6"/>
        <v>36</v>
      </c>
      <c r="V14" s="17">
        <f t="shared" si="6"/>
        <v>27</v>
      </c>
      <c r="W14" s="17">
        <f t="shared" si="6"/>
        <v>4</v>
      </c>
      <c r="X14" s="17">
        <f t="shared" si="6"/>
        <v>0</v>
      </c>
      <c r="Y14" s="17">
        <f t="shared" si="6"/>
        <v>16</v>
      </c>
      <c r="Z14" s="17">
        <f t="shared" si="6"/>
        <v>6</v>
      </c>
      <c r="AA14" s="17">
        <f t="shared" si="6"/>
        <v>7</v>
      </c>
      <c r="AB14" s="17">
        <f t="shared" si="6"/>
        <v>4</v>
      </c>
      <c r="AC14" s="17">
        <f t="shared" si="6"/>
        <v>347</v>
      </c>
      <c r="AD14" s="17">
        <f t="shared" si="6"/>
        <v>0</v>
      </c>
      <c r="AE14" s="31">
        <f t="shared" si="6"/>
        <v>331</v>
      </c>
      <c r="AF14" s="31">
        <f t="shared" si="6"/>
        <v>678</v>
      </c>
    </row>
    <row r="15" spans="2:32" ht="23.1" customHeight="1" x14ac:dyDescent="0.25">
      <c r="B15" s="23" t="s">
        <v>42</v>
      </c>
      <c r="C15" s="50">
        <v>47</v>
      </c>
      <c r="D15" s="50">
        <v>5</v>
      </c>
      <c r="E15" s="50">
        <v>6</v>
      </c>
      <c r="F15" s="50">
        <v>4</v>
      </c>
      <c r="G15" s="50">
        <v>1</v>
      </c>
      <c r="H15" s="50">
        <v>0</v>
      </c>
      <c r="I15" s="50">
        <v>3</v>
      </c>
      <c r="J15" s="50">
        <v>2</v>
      </c>
      <c r="K15" s="50">
        <v>0</v>
      </c>
      <c r="L15" s="50">
        <v>1</v>
      </c>
      <c r="M15" s="50">
        <v>147</v>
      </c>
      <c r="N15" s="50">
        <v>0</v>
      </c>
      <c r="O15" s="15">
        <f t="shared" si="0"/>
        <v>69</v>
      </c>
      <c r="P15" s="15">
        <f t="shared" si="1"/>
        <v>216</v>
      </c>
      <c r="R15" s="1" t="s">
        <v>11</v>
      </c>
      <c r="S15" s="17">
        <f t="shared" ref="S15:AF15" si="7">SUM(C30:C33)</f>
        <v>132</v>
      </c>
      <c r="T15" s="17">
        <f t="shared" si="7"/>
        <v>27</v>
      </c>
      <c r="U15" s="17">
        <f t="shared" si="7"/>
        <v>26</v>
      </c>
      <c r="V15" s="17">
        <f t="shared" si="7"/>
        <v>14</v>
      </c>
      <c r="W15" s="17">
        <f t="shared" si="7"/>
        <v>2</v>
      </c>
      <c r="X15" s="17">
        <f t="shared" si="7"/>
        <v>0</v>
      </c>
      <c r="Y15" s="17">
        <f t="shared" si="7"/>
        <v>24</v>
      </c>
      <c r="Z15" s="17">
        <f t="shared" si="7"/>
        <v>7</v>
      </c>
      <c r="AA15" s="17">
        <f t="shared" si="7"/>
        <v>4</v>
      </c>
      <c r="AB15" s="17">
        <f t="shared" si="7"/>
        <v>2</v>
      </c>
      <c r="AC15" s="17">
        <f t="shared" si="7"/>
        <v>402</v>
      </c>
      <c r="AD15" s="17">
        <f t="shared" si="7"/>
        <v>0</v>
      </c>
      <c r="AE15" s="31">
        <f t="shared" si="7"/>
        <v>238</v>
      </c>
      <c r="AF15" s="31">
        <f t="shared" si="7"/>
        <v>640</v>
      </c>
    </row>
    <row r="16" spans="2:32" ht="23.1" customHeight="1" x14ac:dyDescent="0.25">
      <c r="B16" s="23" t="s">
        <v>43</v>
      </c>
      <c r="C16" s="50">
        <v>35</v>
      </c>
      <c r="D16" s="50">
        <v>5</v>
      </c>
      <c r="E16" s="50">
        <v>2</v>
      </c>
      <c r="F16" s="50">
        <v>0</v>
      </c>
      <c r="G16" s="50">
        <v>1</v>
      </c>
      <c r="H16" s="50">
        <v>0</v>
      </c>
      <c r="I16" s="50">
        <v>5</v>
      </c>
      <c r="J16" s="50">
        <v>0</v>
      </c>
      <c r="K16" s="50">
        <v>0</v>
      </c>
      <c r="L16" s="50">
        <v>0</v>
      </c>
      <c r="M16" s="50">
        <v>109</v>
      </c>
      <c r="N16" s="50">
        <v>0</v>
      </c>
      <c r="O16" s="15">
        <f t="shared" si="0"/>
        <v>48</v>
      </c>
      <c r="P16" s="15">
        <f t="shared" si="1"/>
        <v>157</v>
      </c>
      <c r="R16" s="1" t="s">
        <v>12</v>
      </c>
      <c r="S16" s="17">
        <f t="shared" ref="S16:AF16" si="8">SUM(C34:C37)</f>
        <v>134</v>
      </c>
      <c r="T16" s="17">
        <f t="shared" si="8"/>
        <v>25</v>
      </c>
      <c r="U16" s="17">
        <f t="shared" si="8"/>
        <v>28</v>
      </c>
      <c r="V16" s="17">
        <f t="shared" si="8"/>
        <v>13</v>
      </c>
      <c r="W16" s="17">
        <f t="shared" si="8"/>
        <v>3</v>
      </c>
      <c r="X16" s="17">
        <f t="shared" si="8"/>
        <v>0</v>
      </c>
      <c r="Y16" s="17">
        <f t="shared" si="8"/>
        <v>15</v>
      </c>
      <c r="Z16" s="17">
        <f t="shared" si="8"/>
        <v>4</v>
      </c>
      <c r="AA16" s="17">
        <f t="shared" si="8"/>
        <v>9</v>
      </c>
      <c r="AB16" s="17">
        <f t="shared" si="8"/>
        <v>4</v>
      </c>
      <c r="AC16" s="17">
        <f t="shared" si="8"/>
        <v>190</v>
      </c>
      <c r="AD16" s="17">
        <f t="shared" si="8"/>
        <v>0</v>
      </c>
      <c r="AE16" s="31">
        <f t="shared" si="8"/>
        <v>235</v>
      </c>
      <c r="AF16" s="31">
        <f t="shared" si="8"/>
        <v>425</v>
      </c>
    </row>
    <row r="17" spans="2:32" ht="23.1" customHeight="1" x14ac:dyDescent="0.25">
      <c r="B17" s="23" t="s">
        <v>44</v>
      </c>
      <c r="C17" s="50">
        <v>63</v>
      </c>
      <c r="D17" s="50">
        <v>10</v>
      </c>
      <c r="E17" s="50">
        <v>7</v>
      </c>
      <c r="F17" s="50">
        <v>5</v>
      </c>
      <c r="G17" s="50">
        <v>1</v>
      </c>
      <c r="H17" s="50">
        <v>0</v>
      </c>
      <c r="I17" s="50">
        <v>5</v>
      </c>
      <c r="J17" s="50">
        <v>0</v>
      </c>
      <c r="K17" s="50">
        <v>0</v>
      </c>
      <c r="L17" s="50">
        <v>3</v>
      </c>
      <c r="M17" s="50">
        <v>106</v>
      </c>
      <c r="N17" s="50">
        <v>0</v>
      </c>
      <c r="O17" s="15">
        <f t="shared" si="0"/>
        <v>94</v>
      </c>
      <c r="P17" s="15">
        <f t="shared" si="1"/>
        <v>200</v>
      </c>
      <c r="R17" s="1" t="s">
        <v>13</v>
      </c>
      <c r="S17" s="17">
        <f t="shared" ref="S17:AF17" si="9">SUM(C38:C41)</f>
        <v>113</v>
      </c>
      <c r="T17" s="17">
        <f t="shared" si="9"/>
        <v>36</v>
      </c>
      <c r="U17" s="17">
        <f t="shared" si="9"/>
        <v>31</v>
      </c>
      <c r="V17" s="17">
        <f t="shared" si="9"/>
        <v>19</v>
      </c>
      <c r="W17" s="17">
        <f t="shared" si="9"/>
        <v>0</v>
      </c>
      <c r="X17" s="17">
        <f t="shared" si="9"/>
        <v>0</v>
      </c>
      <c r="Y17" s="17">
        <f t="shared" si="9"/>
        <v>13</v>
      </c>
      <c r="Z17" s="17">
        <f t="shared" si="9"/>
        <v>4</v>
      </c>
      <c r="AA17" s="17">
        <f t="shared" si="9"/>
        <v>2</v>
      </c>
      <c r="AB17" s="17">
        <f t="shared" si="9"/>
        <v>3</v>
      </c>
      <c r="AC17" s="17">
        <f t="shared" si="9"/>
        <v>168</v>
      </c>
      <c r="AD17" s="17">
        <f t="shared" si="9"/>
        <v>0</v>
      </c>
      <c r="AE17" s="31">
        <f t="shared" si="9"/>
        <v>221</v>
      </c>
      <c r="AF17" s="31">
        <f t="shared" si="9"/>
        <v>389</v>
      </c>
    </row>
    <row r="18" spans="2:32" ht="23.1" customHeight="1" x14ac:dyDescent="0.25">
      <c r="B18" s="23" t="s">
        <v>45</v>
      </c>
      <c r="C18" s="50">
        <v>34</v>
      </c>
      <c r="D18" s="50">
        <v>8</v>
      </c>
      <c r="E18" s="50">
        <v>5</v>
      </c>
      <c r="F18" s="50">
        <v>6</v>
      </c>
      <c r="G18" s="50">
        <v>1</v>
      </c>
      <c r="H18" s="50">
        <v>0</v>
      </c>
      <c r="I18" s="50">
        <v>9</v>
      </c>
      <c r="J18" s="50">
        <v>1</v>
      </c>
      <c r="K18" s="50">
        <v>0</v>
      </c>
      <c r="L18" s="50">
        <v>2</v>
      </c>
      <c r="M18" s="50">
        <v>98</v>
      </c>
      <c r="N18" s="50">
        <v>0</v>
      </c>
      <c r="O18" s="15">
        <f t="shared" si="0"/>
        <v>66</v>
      </c>
      <c r="P18" s="15">
        <f t="shared" si="1"/>
        <v>164</v>
      </c>
      <c r="R18" s="1" t="s">
        <v>14</v>
      </c>
      <c r="S18" s="17">
        <f t="shared" ref="S18:AF18" si="10">SUM(C42:C45)</f>
        <v>167</v>
      </c>
      <c r="T18" s="17">
        <f t="shared" si="10"/>
        <v>39</v>
      </c>
      <c r="U18" s="17">
        <f t="shared" si="10"/>
        <v>20</v>
      </c>
      <c r="V18" s="17">
        <f t="shared" si="10"/>
        <v>28</v>
      </c>
      <c r="W18" s="17">
        <f t="shared" si="10"/>
        <v>0</v>
      </c>
      <c r="X18" s="17">
        <f t="shared" si="10"/>
        <v>0</v>
      </c>
      <c r="Y18" s="17">
        <f t="shared" si="10"/>
        <v>37</v>
      </c>
      <c r="Z18" s="17">
        <f t="shared" si="10"/>
        <v>5</v>
      </c>
      <c r="AA18" s="17">
        <f t="shared" si="10"/>
        <v>6</v>
      </c>
      <c r="AB18" s="17">
        <f t="shared" si="10"/>
        <v>2</v>
      </c>
      <c r="AC18" s="17">
        <f t="shared" si="10"/>
        <v>450</v>
      </c>
      <c r="AD18" s="17">
        <f t="shared" si="10"/>
        <v>0</v>
      </c>
      <c r="AE18" s="31">
        <f t="shared" si="10"/>
        <v>304</v>
      </c>
      <c r="AF18" s="31">
        <f t="shared" si="10"/>
        <v>754</v>
      </c>
    </row>
    <row r="19" spans="2:32" ht="23.1" customHeight="1" x14ac:dyDescent="0.25">
      <c r="B19" s="23" t="s">
        <v>46</v>
      </c>
      <c r="C19" s="50">
        <v>46</v>
      </c>
      <c r="D19" s="50">
        <v>6</v>
      </c>
      <c r="E19" s="50">
        <v>4</v>
      </c>
      <c r="F19" s="50">
        <v>4</v>
      </c>
      <c r="G19" s="50">
        <v>1</v>
      </c>
      <c r="H19" s="50">
        <v>0</v>
      </c>
      <c r="I19" s="50">
        <v>5</v>
      </c>
      <c r="J19" s="50">
        <v>0</v>
      </c>
      <c r="K19" s="50">
        <v>4</v>
      </c>
      <c r="L19" s="50">
        <v>0</v>
      </c>
      <c r="M19" s="50">
        <v>145</v>
      </c>
      <c r="N19" s="50">
        <v>0</v>
      </c>
      <c r="O19" s="15">
        <f t="shared" si="0"/>
        <v>70</v>
      </c>
      <c r="P19" s="15">
        <f t="shared" si="1"/>
        <v>215</v>
      </c>
      <c r="R19" s="1" t="s">
        <v>15</v>
      </c>
      <c r="S19" s="17">
        <f t="shared" ref="S19:AF19" si="11">SUM(C46:C49)</f>
        <v>283</v>
      </c>
      <c r="T19" s="17">
        <f t="shared" si="11"/>
        <v>37</v>
      </c>
      <c r="U19" s="17">
        <f t="shared" si="11"/>
        <v>26</v>
      </c>
      <c r="V19" s="17">
        <f t="shared" si="11"/>
        <v>19</v>
      </c>
      <c r="W19" s="17">
        <f t="shared" si="11"/>
        <v>0</v>
      </c>
      <c r="X19" s="17">
        <f t="shared" si="11"/>
        <v>0</v>
      </c>
      <c r="Y19" s="17">
        <f t="shared" si="11"/>
        <v>24</v>
      </c>
      <c r="Z19" s="17">
        <f t="shared" si="11"/>
        <v>7</v>
      </c>
      <c r="AA19" s="17">
        <f t="shared" si="11"/>
        <v>3</v>
      </c>
      <c r="AB19" s="17">
        <f t="shared" si="11"/>
        <v>3</v>
      </c>
      <c r="AC19" s="17">
        <f t="shared" si="11"/>
        <v>510</v>
      </c>
      <c r="AD19" s="17">
        <f t="shared" si="11"/>
        <v>0</v>
      </c>
      <c r="AE19" s="31">
        <f t="shared" si="11"/>
        <v>402</v>
      </c>
      <c r="AF19" s="31">
        <f t="shared" si="11"/>
        <v>912</v>
      </c>
    </row>
    <row r="20" spans="2:32" ht="23.1" customHeight="1" x14ac:dyDescent="0.25">
      <c r="B20" s="23" t="s">
        <v>47</v>
      </c>
      <c r="C20" s="50">
        <v>62</v>
      </c>
      <c r="D20" s="50">
        <v>8</v>
      </c>
      <c r="E20" s="50">
        <v>9</v>
      </c>
      <c r="F20" s="50">
        <v>8</v>
      </c>
      <c r="G20" s="50">
        <v>0</v>
      </c>
      <c r="H20" s="50">
        <v>1</v>
      </c>
      <c r="I20" s="50">
        <v>8</v>
      </c>
      <c r="J20" s="50">
        <v>3</v>
      </c>
      <c r="K20" s="50">
        <v>0</v>
      </c>
      <c r="L20" s="50">
        <v>1</v>
      </c>
      <c r="M20" s="50">
        <v>141</v>
      </c>
      <c r="N20" s="50">
        <v>0</v>
      </c>
      <c r="O20" s="15">
        <f t="shared" si="0"/>
        <v>100</v>
      </c>
      <c r="P20" s="15">
        <f t="shared" si="1"/>
        <v>241</v>
      </c>
      <c r="R20" s="1" t="s">
        <v>16</v>
      </c>
      <c r="S20" s="17">
        <f t="shared" ref="S20:AF20" si="12">SUM(C50:C53)</f>
        <v>265</v>
      </c>
      <c r="T20" s="17">
        <f t="shared" si="12"/>
        <v>36</v>
      </c>
      <c r="U20" s="17">
        <f t="shared" si="12"/>
        <v>26</v>
      </c>
      <c r="V20" s="17">
        <f t="shared" si="12"/>
        <v>18</v>
      </c>
      <c r="W20" s="17">
        <f t="shared" si="12"/>
        <v>1</v>
      </c>
      <c r="X20" s="17">
        <f t="shared" si="12"/>
        <v>0</v>
      </c>
      <c r="Y20" s="17">
        <f t="shared" si="12"/>
        <v>21</v>
      </c>
      <c r="Z20" s="17">
        <f t="shared" si="12"/>
        <v>10</v>
      </c>
      <c r="AA20" s="17">
        <f t="shared" si="12"/>
        <v>5</v>
      </c>
      <c r="AB20" s="17">
        <f t="shared" si="12"/>
        <v>6</v>
      </c>
      <c r="AC20" s="17">
        <f t="shared" si="12"/>
        <v>349</v>
      </c>
      <c r="AD20" s="17">
        <f t="shared" si="12"/>
        <v>0</v>
      </c>
      <c r="AE20" s="31">
        <f t="shared" si="12"/>
        <v>388</v>
      </c>
      <c r="AF20" s="31">
        <f t="shared" si="12"/>
        <v>737</v>
      </c>
    </row>
    <row r="21" spans="2:32" ht="23.1" customHeight="1" x14ac:dyDescent="0.25">
      <c r="B21" s="23" t="s">
        <v>48</v>
      </c>
      <c r="C21" s="50">
        <v>31</v>
      </c>
      <c r="D21" s="50">
        <v>3</v>
      </c>
      <c r="E21" s="50">
        <v>2</v>
      </c>
      <c r="F21" s="50">
        <v>3</v>
      </c>
      <c r="G21" s="50">
        <v>0</v>
      </c>
      <c r="H21" s="50">
        <v>0</v>
      </c>
      <c r="I21" s="50">
        <v>1</v>
      </c>
      <c r="J21" s="50">
        <v>0</v>
      </c>
      <c r="K21" s="50">
        <v>2</v>
      </c>
      <c r="L21" s="50">
        <v>1</v>
      </c>
      <c r="M21" s="50">
        <v>104</v>
      </c>
      <c r="N21" s="50">
        <v>0</v>
      </c>
      <c r="O21" s="15">
        <f t="shared" si="0"/>
        <v>43</v>
      </c>
      <c r="P21" s="15">
        <f t="shared" si="1"/>
        <v>147</v>
      </c>
      <c r="R21" s="36" t="s">
        <v>20</v>
      </c>
      <c r="S21" s="34">
        <f t="shared" ref="S21:AF21" si="13">SUM(C54:C57)</f>
        <v>159</v>
      </c>
      <c r="T21" s="17">
        <f t="shared" si="13"/>
        <v>29</v>
      </c>
      <c r="U21" s="17">
        <f t="shared" si="13"/>
        <v>28</v>
      </c>
      <c r="V21" s="17">
        <f t="shared" si="13"/>
        <v>20</v>
      </c>
      <c r="W21" s="17">
        <f t="shared" si="13"/>
        <v>2</v>
      </c>
      <c r="X21" s="17">
        <f t="shared" si="13"/>
        <v>0</v>
      </c>
      <c r="Y21" s="17">
        <f t="shared" si="13"/>
        <v>22</v>
      </c>
      <c r="Z21" s="17">
        <f t="shared" si="13"/>
        <v>5</v>
      </c>
      <c r="AA21" s="17">
        <f t="shared" si="13"/>
        <v>1</v>
      </c>
      <c r="AB21" s="17">
        <f t="shared" si="13"/>
        <v>9</v>
      </c>
      <c r="AC21" s="17">
        <f t="shared" si="13"/>
        <v>360</v>
      </c>
      <c r="AD21" s="17">
        <f t="shared" si="13"/>
        <v>0</v>
      </c>
      <c r="AE21" s="31">
        <f t="shared" si="13"/>
        <v>275</v>
      </c>
      <c r="AF21" s="31">
        <f t="shared" si="13"/>
        <v>635</v>
      </c>
    </row>
    <row r="22" spans="2:32" ht="23.1" customHeight="1" x14ac:dyDescent="0.25">
      <c r="B22" s="23" t="s">
        <v>49</v>
      </c>
      <c r="C22" s="50">
        <v>20</v>
      </c>
      <c r="D22" s="50">
        <v>3</v>
      </c>
      <c r="E22" s="50">
        <v>7</v>
      </c>
      <c r="F22" s="50">
        <v>5</v>
      </c>
      <c r="G22" s="50">
        <v>0</v>
      </c>
      <c r="H22" s="50">
        <v>0</v>
      </c>
      <c r="I22" s="50">
        <v>7</v>
      </c>
      <c r="J22" s="50">
        <v>3</v>
      </c>
      <c r="K22" s="50">
        <v>0</v>
      </c>
      <c r="L22" s="50">
        <v>1</v>
      </c>
      <c r="M22" s="50">
        <v>72</v>
      </c>
      <c r="N22" s="50">
        <v>0</v>
      </c>
      <c r="O22" s="15">
        <f t="shared" si="0"/>
        <v>46</v>
      </c>
      <c r="P22" s="15">
        <f t="shared" si="1"/>
        <v>118</v>
      </c>
      <c r="R22" s="38" t="s">
        <v>90</v>
      </c>
      <c r="S22" s="39">
        <f>MAX(S10:S12)</f>
        <v>183</v>
      </c>
      <c r="T22" s="39">
        <f t="shared" ref="T22:AF22" si="14">MAX(T10:T12)</f>
        <v>25</v>
      </c>
      <c r="U22" s="39">
        <f t="shared" si="14"/>
        <v>20</v>
      </c>
      <c r="V22" s="39">
        <f t="shared" si="14"/>
        <v>21</v>
      </c>
      <c r="W22" s="39">
        <f t="shared" si="14"/>
        <v>6</v>
      </c>
      <c r="X22" s="39">
        <f t="shared" si="14"/>
        <v>1</v>
      </c>
      <c r="Y22" s="39">
        <f t="shared" si="14"/>
        <v>23</v>
      </c>
      <c r="Z22" s="39">
        <f t="shared" si="14"/>
        <v>4</v>
      </c>
      <c r="AA22" s="39">
        <f t="shared" si="14"/>
        <v>6</v>
      </c>
      <c r="AB22" s="39">
        <f t="shared" si="14"/>
        <v>4</v>
      </c>
      <c r="AC22" s="39">
        <f t="shared" si="14"/>
        <v>488</v>
      </c>
      <c r="AD22" s="39">
        <f t="shared" si="14"/>
        <v>0</v>
      </c>
      <c r="AE22" s="40">
        <f t="shared" si="14"/>
        <v>279</v>
      </c>
      <c r="AF22" s="40">
        <f t="shared" si="14"/>
        <v>767</v>
      </c>
    </row>
    <row r="23" spans="2:32" ht="23.1" customHeight="1" x14ac:dyDescent="0.25">
      <c r="B23" s="23" t="s">
        <v>50</v>
      </c>
      <c r="C23" s="50">
        <v>41</v>
      </c>
      <c r="D23" s="50">
        <v>6</v>
      </c>
      <c r="E23" s="50">
        <v>2</v>
      </c>
      <c r="F23" s="50">
        <v>3</v>
      </c>
      <c r="G23" s="50">
        <v>1</v>
      </c>
      <c r="H23" s="50">
        <v>0</v>
      </c>
      <c r="I23" s="50">
        <v>5</v>
      </c>
      <c r="J23" s="50">
        <v>0</v>
      </c>
      <c r="K23" s="50">
        <v>0</v>
      </c>
      <c r="L23" s="50">
        <v>4</v>
      </c>
      <c r="M23" s="50">
        <v>103</v>
      </c>
      <c r="N23" s="50">
        <v>0</v>
      </c>
      <c r="O23" s="15">
        <f t="shared" si="0"/>
        <v>62</v>
      </c>
      <c r="P23" s="15">
        <f t="shared" si="1"/>
        <v>165</v>
      </c>
      <c r="R23" s="38" t="s">
        <v>91</v>
      </c>
      <c r="S23" s="39">
        <f>MAX(S13:S18)</f>
        <v>192</v>
      </c>
      <c r="T23" s="39">
        <f t="shared" ref="T23:AF23" si="15">MAX(T13:T18)</f>
        <v>39</v>
      </c>
      <c r="U23" s="39">
        <f t="shared" si="15"/>
        <v>36</v>
      </c>
      <c r="V23" s="39">
        <f t="shared" si="15"/>
        <v>28</v>
      </c>
      <c r="W23" s="39">
        <f t="shared" si="15"/>
        <v>4</v>
      </c>
      <c r="X23" s="39">
        <f t="shared" si="15"/>
        <v>1</v>
      </c>
      <c r="Y23" s="39">
        <f t="shared" si="15"/>
        <v>37</v>
      </c>
      <c r="Z23" s="39">
        <f t="shared" si="15"/>
        <v>10</v>
      </c>
      <c r="AA23" s="39">
        <f t="shared" si="15"/>
        <v>9</v>
      </c>
      <c r="AB23" s="39">
        <f t="shared" si="15"/>
        <v>9</v>
      </c>
      <c r="AC23" s="39">
        <f t="shared" si="15"/>
        <v>450</v>
      </c>
      <c r="AD23" s="39">
        <f t="shared" si="15"/>
        <v>0</v>
      </c>
      <c r="AE23" s="40">
        <f t="shared" si="15"/>
        <v>331</v>
      </c>
      <c r="AF23" s="40">
        <f t="shared" si="15"/>
        <v>754</v>
      </c>
    </row>
    <row r="24" spans="2:32" ht="23.1" customHeight="1" x14ac:dyDescent="0.25">
      <c r="B24" s="23" t="s">
        <v>51</v>
      </c>
      <c r="C24" s="50">
        <v>74</v>
      </c>
      <c r="D24" s="50">
        <v>8</v>
      </c>
      <c r="E24" s="50">
        <v>9</v>
      </c>
      <c r="F24" s="50">
        <v>16</v>
      </c>
      <c r="G24" s="50">
        <v>2</v>
      </c>
      <c r="H24" s="50">
        <v>1</v>
      </c>
      <c r="I24" s="50">
        <v>6</v>
      </c>
      <c r="J24" s="50">
        <v>3</v>
      </c>
      <c r="K24" s="50">
        <v>0</v>
      </c>
      <c r="L24" s="50">
        <v>4</v>
      </c>
      <c r="M24" s="50">
        <v>115</v>
      </c>
      <c r="N24" s="50">
        <v>0</v>
      </c>
      <c r="O24" s="15">
        <f t="shared" si="0"/>
        <v>123</v>
      </c>
      <c r="P24" s="15">
        <f t="shared" si="1"/>
        <v>238</v>
      </c>
      <c r="R24" s="38" t="s">
        <v>92</v>
      </c>
      <c r="S24" s="39">
        <f>MAX(S19:S21)</f>
        <v>283</v>
      </c>
      <c r="T24" s="39">
        <f t="shared" ref="T24:AF24" si="16">MAX(T19:T21)</f>
        <v>37</v>
      </c>
      <c r="U24" s="39">
        <f t="shared" si="16"/>
        <v>28</v>
      </c>
      <c r="V24" s="39">
        <f t="shared" si="16"/>
        <v>20</v>
      </c>
      <c r="W24" s="39">
        <f t="shared" si="16"/>
        <v>2</v>
      </c>
      <c r="X24" s="39">
        <f t="shared" si="16"/>
        <v>0</v>
      </c>
      <c r="Y24" s="39">
        <f t="shared" si="16"/>
        <v>24</v>
      </c>
      <c r="Z24" s="39">
        <f t="shared" si="16"/>
        <v>10</v>
      </c>
      <c r="AA24" s="39">
        <f t="shared" si="16"/>
        <v>5</v>
      </c>
      <c r="AB24" s="39">
        <f t="shared" si="16"/>
        <v>9</v>
      </c>
      <c r="AC24" s="39">
        <f t="shared" si="16"/>
        <v>510</v>
      </c>
      <c r="AD24" s="39">
        <f t="shared" si="16"/>
        <v>0</v>
      </c>
      <c r="AE24" s="40">
        <f t="shared" si="16"/>
        <v>402</v>
      </c>
      <c r="AF24" s="40">
        <f t="shared" si="16"/>
        <v>912</v>
      </c>
    </row>
    <row r="25" spans="2:32" ht="23.1" customHeight="1" x14ac:dyDescent="0.25">
      <c r="B25" s="23" t="s">
        <v>52</v>
      </c>
      <c r="C25" s="50">
        <v>45</v>
      </c>
      <c r="D25" s="50">
        <v>5</v>
      </c>
      <c r="E25" s="50">
        <v>6</v>
      </c>
      <c r="F25" s="50">
        <v>2</v>
      </c>
      <c r="G25" s="50">
        <v>0</v>
      </c>
      <c r="H25" s="50">
        <v>0</v>
      </c>
      <c r="I25" s="50">
        <v>3</v>
      </c>
      <c r="J25" s="50">
        <v>4</v>
      </c>
      <c r="K25" s="50">
        <v>0</v>
      </c>
      <c r="L25" s="50">
        <v>0</v>
      </c>
      <c r="M25" s="50">
        <v>66</v>
      </c>
      <c r="N25" s="50">
        <v>0</v>
      </c>
      <c r="O25" s="15">
        <f t="shared" si="0"/>
        <v>65</v>
      </c>
      <c r="P25" s="15">
        <f t="shared" si="1"/>
        <v>131</v>
      </c>
      <c r="R25" s="37" t="s">
        <v>85</v>
      </c>
      <c r="S25" s="35">
        <f t="shared" ref="S25:AF25" si="17">SUM(S10:S12)</f>
        <v>519</v>
      </c>
      <c r="T25" s="16">
        <f t="shared" si="17"/>
        <v>71</v>
      </c>
      <c r="U25" s="16">
        <f t="shared" si="17"/>
        <v>57</v>
      </c>
      <c r="V25" s="16">
        <f t="shared" si="17"/>
        <v>50</v>
      </c>
      <c r="W25" s="16">
        <f t="shared" si="17"/>
        <v>13</v>
      </c>
      <c r="X25" s="16">
        <f t="shared" si="17"/>
        <v>1</v>
      </c>
      <c r="Y25" s="16">
        <f t="shared" si="17"/>
        <v>52</v>
      </c>
      <c r="Z25" s="16">
        <f t="shared" si="17"/>
        <v>11</v>
      </c>
      <c r="AA25" s="16">
        <f t="shared" si="17"/>
        <v>8</v>
      </c>
      <c r="AB25" s="16">
        <f t="shared" si="17"/>
        <v>12</v>
      </c>
      <c r="AC25" s="16">
        <f t="shared" si="17"/>
        <v>1218</v>
      </c>
      <c r="AD25" s="16">
        <f t="shared" si="17"/>
        <v>0</v>
      </c>
      <c r="AE25" s="32">
        <f t="shared" si="17"/>
        <v>794</v>
      </c>
      <c r="AF25" s="32">
        <f t="shared" si="17"/>
        <v>2012</v>
      </c>
    </row>
    <row r="26" spans="2:32" ht="23.1" customHeight="1" x14ac:dyDescent="0.25">
      <c r="B26" s="23" t="s">
        <v>53</v>
      </c>
      <c r="C26" s="50">
        <v>35</v>
      </c>
      <c r="D26" s="50">
        <v>4</v>
      </c>
      <c r="E26" s="50">
        <v>12</v>
      </c>
      <c r="F26" s="50">
        <v>7</v>
      </c>
      <c r="G26" s="50">
        <v>1</v>
      </c>
      <c r="H26" s="50">
        <v>0</v>
      </c>
      <c r="I26" s="50">
        <v>2</v>
      </c>
      <c r="J26" s="50">
        <v>0</v>
      </c>
      <c r="K26" s="50">
        <v>3</v>
      </c>
      <c r="L26" s="50">
        <v>1</v>
      </c>
      <c r="M26" s="50">
        <v>136</v>
      </c>
      <c r="N26" s="50">
        <v>0</v>
      </c>
      <c r="O26" s="15">
        <f t="shared" si="0"/>
        <v>65</v>
      </c>
      <c r="P26" s="15">
        <f t="shared" si="1"/>
        <v>201</v>
      </c>
      <c r="R26" s="28" t="s">
        <v>86</v>
      </c>
      <c r="S26" s="16">
        <f t="shared" ref="S26:AF26" si="18">SUM(S13:S18)</f>
        <v>918</v>
      </c>
      <c r="T26" s="16">
        <f t="shared" si="18"/>
        <v>188</v>
      </c>
      <c r="U26" s="16">
        <f t="shared" si="18"/>
        <v>165</v>
      </c>
      <c r="V26" s="16">
        <f t="shared" si="18"/>
        <v>127</v>
      </c>
      <c r="W26" s="16">
        <f t="shared" si="18"/>
        <v>12</v>
      </c>
      <c r="X26" s="16">
        <f t="shared" si="18"/>
        <v>1</v>
      </c>
      <c r="Y26" s="16">
        <f t="shared" si="18"/>
        <v>126</v>
      </c>
      <c r="Z26" s="16">
        <f t="shared" si="18"/>
        <v>36</v>
      </c>
      <c r="AA26" s="16">
        <f t="shared" si="18"/>
        <v>28</v>
      </c>
      <c r="AB26" s="16">
        <f t="shared" si="18"/>
        <v>24</v>
      </c>
      <c r="AC26" s="16">
        <f t="shared" si="18"/>
        <v>1913</v>
      </c>
      <c r="AD26" s="16">
        <f t="shared" si="18"/>
        <v>0</v>
      </c>
      <c r="AE26" s="32">
        <f t="shared" si="18"/>
        <v>1625</v>
      </c>
      <c r="AF26" s="32">
        <f t="shared" si="18"/>
        <v>3538</v>
      </c>
    </row>
    <row r="27" spans="2:32" ht="23.1" customHeight="1" x14ac:dyDescent="0.25">
      <c r="B27" s="23" t="s">
        <v>54</v>
      </c>
      <c r="C27" s="50">
        <v>58</v>
      </c>
      <c r="D27" s="50">
        <v>15</v>
      </c>
      <c r="E27" s="50">
        <v>6</v>
      </c>
      <c r="F27" s="50">
        <v>10</v>
      </c>
      <c r="G27" s="50">
        <v>1</v>
      </c>
      <c r="H27" s="50">
        <v>0</v>
      </c>
      <c r="I27" s="50">
        <v>6</v>
      </c>
      <c r="J27" s="50">
        <v>6</v>
      </c>
      <c r="K27" s="50">
        <v>1</v>
      </c>
      <c r="L27" s="50">
        <v>3</v>
      </c>
      <c r="M27" s="50">
        <v>120</v>
      </c>
      <c r="N27" s="50">
        <v>0</v>
      </c>
      <c r="O27" s="15">
        <f t="shared" si="0"/>
        <v>106</v>
      </c>
      <c r="P27" s="15">
        <f t="shared" si="1"/>
        <v>226</v>
      </c>
      <c r="R27" s="29" t="s">
        <v>87</v>
      </c>
      <c r="S27" s="16">
        <f t="shared" ref="S27:AF27" si="19">SUM(S19:S21)</f>
        <v>707</v>
      </c>
      <c r="T27" s="16">
        <f t="shared" si="19"/>
        <v>102</v>
      </c>
      <c r="U27" s="16">
        <f t="shared" si="19"/>
        <v>80</v>
      </c>
      <c r="V27" s="16">
        <f t="shared" si="19"/>
        <v>57</v>
      </c>
      <c r="W27" s="16">
        <f t="shared" si="19"/>
        <v>3</v>
      </c>
      <c r="X27" s="16">
        <f t="shared" si="19"/>
        <v>0</v>
      </c>
      <c r="Y27" s="16">
        <f t="shared" si="19"/>
        <v>67</v>
      </c>
      <c r="Z27" s="16">
        <f t="shared" si="19"/>
        <v>22</v>
      </c>
      <c r="AA27" s="16">
        <f t="shared" si="19"/>
        <v>9</v>
      </c>
      <c r="AB27" s="16">
        <f t="shared" si="19"/>
        <v>18</v>
      </c>
      <c r="AC27" s="16">
        <f t="shared" si="19"/>
        <v>1219</v>
      </c>
      <c r="AD27" s="16">
        <f t="shared" si="19"/>
        <v>0</v>
      </c>
      <c r="AE27" s="32">
        <f t="shared" si="19"/>
        <v>1065</v>
      </c>
      <c r="AF27" s="32">
        <f t="shared" si="19"/>
        <v>2284</v>
      </c>
    </row>
    <row r="28" spans="2:32" ht="23.1" customHeight="1" x14ac:dyDescent="0.25">
      <c r="B28" s="23" t="s">
        <v>55</v>
      </c>
      <c r="C28" s="50">
        <v>30</v>
      </c>
      <c r="D28" s="50">
        <v>10</v>
      </c>
      <c r="E28" s="50">
        <v>4</v>
      </c>
      <c r="F28" s="50">
        <v>5</v>
      </c>
      <c r="G28" s="50">
        <v>2</v>
      </c>
      <c r="H28" s="50">
        <v>0</v>
      </c>
      <c r="I28" s="50">
        <v>3</v>
      </c>
      <c r="J28" s="50">
        <v>0</v>
      </c>
      <c r="K28" s="50">
        <v>1</v>
      </c>
      <c r="L28" s="50">
        <v>0</v>
      </c>
      <c r="M28" s="50">
        <v>57</v>
      </c>
      <c r="N28" s="50">
        <v>0</v>
      </c>
      <c r="O28" s="15">
        <f t="shared" si="0"/>
        <v>55</v>
      </c>
      <c r="P28" s="15">
        <f t="shared" si="1"/>
        <v>112</v>
      </c>
      <c r="R28" s="5" t="s">
        <v>17</v>
      </c>
      <c r="S28" s="16">
        <f t="shared" ref="S28:AF28" si="20">SUM(S10:S21)</f>
        <v>2144</v>
      </c>
      <c r="T28" s="16">
        <f t="shared" si="20"/>
        <v>361</v>
      </c>
      <c r="U28" s="16">
        <f t="shared" si="20"/>
        <v>302</v>
      </c>
      <c r="V28" s="16">
        <f t="shared" si="20"/>
        <v>234</v>
      </c>
      <c r="W28" s="16">
        <f t="shared" si="20"/>
        <v>28</v>
      </c>
      <c r="X28" s="16">
        <f t="shared" si="20"/>
        <v>2</v>
      </c>
      <c r="Y28" s="16">
        <f t="shared" si="20"/>
        <v>245</v>
      </c>
      <c r="Z28" s="16">
        <f t="shared" si="20"/>
        <v>69</v>
      </c>
      <c r="AA28" s="16">
        <f t="shared" si="20"/>
        <v>45</v>
      </c>
      <c r="AB28" s="16">
        <f t="shared" si="20"/>
        <v>54</v>
      </c>
      <c r="AC28" s="16">
        <f t="shared" si="20"/>
        <v>4350</v>
      </c>
      <c r="AD28" s="16">
        <f t="shared" si="20"/>
        <v>0</v>
      </c>
      <c r="AE28" s="32">
        <f t="shared" si="20"/>
        <v>3484</v>
      </c>
      <c r="AF28" s="32">
        <f t="shared" si="20"/>
        <v>7834</v>
      </c>
    </row>
    <row r="29" spans="2:32" ht="23.1" customHeight="1" x14ac:dyDescent="0.25">
      <c r="B29" s="23" t="s">
        <v>56</v>
      </c>
      <c r="C29" s="50">
        <v>69</v>
      </c>
      <c r="D29" s="50">
        <v>10</v>
      </c>
      <c r="E29" s="50">
        <v>14</v>
      </c>
      <c r="F29" s="50">
        <v>5</v>
      </c>
      <c r="G29" s="50">
        <v>0</v>
      </c>
      <c r="H29" s="50">
        <v>0</v>
      </c>
      <c r="I29" s="50">
        <v>5</v>
      </c>
      <c r="J29" s="50">
        <v>0</v>
      </c>
      <c r="K29" s="50">
        <v>2</v>
      </c>
      <c r="L29" s="50">
        <v>0</v>
      </c>
      <c r="M29" s="50">
        <v>34</v>
      </c>
      <c r="N29" s="50">
        <v>0</v>
      </c>
      <c r="O29" s="15">
        <f t="shared" si="0"/>
        <v>105</v>
      </c>
      <c r="P29" s="15">
        <f t="shared" si="1"/>
        <v>139</v>
      </c>
      <c r="R29"/>
      <c r="S29" s="20"/>
      <c r="T29" s="19"/>
    </row>
    <row r="30" spans="2:32" ht="23.1" customHeight="1" x14ac:dyDescent="0.25">
      <c r="B30" s="23" t="s">
        <v>57</v>
      </c>
      <c r="C30" s="50">
        <v>51</v>
      </c>
      <c r="D30" s="50">
        <v>6</v>
      </c>
      <c r="E30" s="50">
        <v>7</v>
      </c>
      <c r="F30" s="50">
        <v>5</v>
      </c>
      <c r="G30" s="50">
        <v>0</v>
      </c>
      <c r="H30" s="50">
        <v>0</v>
      </c>
      <c r="I30" s="50">
        <v>8</v>
      </c>
      <c r="J30" s="50">
        <v>2</v>
      </c>
      <c r="K30" s="50">
        <v>1</v>
      </c>
      <c r="L30" s="50">
        <v>1</v>
      </c>
      <c r="M30" s="50">
        <v>138</v>
      </c>
      <c r="N30" s="50">
        <v>0</v>
      </c>
      <c r="O30" s="15">
        <f t="shared" si="0"/>
        <v>81</v>
      </c>
      <c r="P30" s="15">
        <f t="shared" si="1"/>
        <v>219</v>
      </c>
    </row>
    <row r="31" spans="2:32" ht="23.1" customHeight="1" x14ac:dyDescent="0.25">
      <c r="B31" s="24" t="s">
        <v>58</v>
      </c>
      <c r="C31" s="50">
        <v>10</v>
      </c>
      <c r="D31" s="50">
        <v>6</v>
      </c>
      <c r="E31" s="50">
        <v>7</v>
      </c>
      <c r="F31" s="50">
        <v>3</v>
      </c>
      <c r="G31" s="50">
        <v>0</v>
      </c>
      <c r="H31" s="50">
        <v>0</v>
      </c>
      <c r="I31" s="50">
        <v>10</v>
      </c>
      <c r="J31" s="50">
        <v>3</v>
      </c>
      <c r="K31" s="50">
        <v>0</v>
      </c>
      <c r="L31" s="50">
        <v>0</v>
      </c>
      <c r="M31" s="50">
        <v>94</v>
      </c>
      <c r="N31" s="50">
        <v>0</v>
      </c>
      <c r="O31" s="15">
        <f t="shared" si="0"/>
        <v>39</v>
      </c>
      <c r="P31" s="15">
        <f t="shared" si="1"/>
        <v>133</v>
      </c>
    </row>
    <row r="32" spans="2:32" ht="23.1" customHeight="1" x14ac:dyDescent="0.25">
      <c r="B32" s="24" t="s">
        <v>59</v>
      </c>
      <c r="C32" s="50">
        <v>34</v>
      </c>
      <c r="D32" s="50">
        <v>11</v>
      </c>
      <c r="E32" s="50">
        <v>4</v>
      </c>
      <c r="F32" s="50">
        <v>3</v>
      </c>
      <c r="G32" s="50">
        <v>0</v>
      </c>
      <c r="H32" s="50">
        <v>0</v>
      </c>
      <c r="I32" s="50">
        <v>4</v>
      </c>
      <c r="J32" s="50">
        <v>0</v>
      </c>
      <c r="K32" s="50">
        <v>3</v>
      </c>
      <c r="L32" s="50">
        <v>1</v>
      </c>
      <c r="M32" s="50">
        <v>96</v>
      </c>
      <c r="N32" s="50">
        <v>0</v>
      </c>
      <c r="O32" s="15">
        <f t="shared" si="0"/>
        <v>60</v>
      </c>
      <c r="P32" s="15">
        <f t="shared" si="1"/>
        <v>156</v>
      </c>
    </row>
    <row r="33" spans="2:20" ht="23.1" customHeight="1" x14ac:dyDescent="0.25">
      <c r="B33" s="23" t="s">
        <v>60</v>
      </c>
      <c r="C33" s="50">
        <v>37</v>
      </c>
      <c r="D33" s="50">
        <v>4</v>
      </c>
      <c r="E33" s="50">
        <v>8</v>
      </c>
      <c r="F33" s="50">
        <v>3</v>
      </c>
      <c r="G33" s="50">
        <v>2</v>
      </c>
      <c r="H33" s="50">
        <v>0</v>
      </c>
      <c r="I33" s="50">
        <v>2</v>
      </c>
      <c r="J33" s="50">
        <v>2</v>
      </c>
      <c r="K33" s="50">
        <v>0</v>
      </c>
      <c r="L33" s="50">
        <v>0</v>
      </c>
      <c r="M33" s="50">
        <v>74</v>
      </c>
      <c r="N33" s="50">
        <v>0</v>
      </c>
      <c r="O33" s="15">
        <f t="shared" si="0"/>
        <v>58</v>
      </c>
      <c r="P33" s="15">
        <f t="shared" si="1"/>
        <v>132</v>
      </c>
    </row>
    <row r="34" spans="2:20" ht="23.1" customHeight="1" x14ac:dyDescent="0.25">
      <c r="B34" s="24" t="s">
        <v>61</v>
      </c>
      <c r="C34" s="50">
        <v>32</v>
      </c>
      <c r="D34" s="50">
        <v>1</v>
      </c>
      <c r="E34" s="50">
        <v>5</v>
      </c>
      <c r="F34" s="50">
        <v>6</v>
      </c>
      <c r="G34" s="50">
        <v>1</v>
      </c>
      <c r="H34" s="50">
        <v>0</v>
      </c>
      <c r="I34" s="50">
        <v>4</v>
      </c>
      <c r="J34" s="50">
        <v>3</v>
      </c>
      <c r="K34" s="50">
        <v>7</v>
      </c>
      <c r="L34" s="50">
        <v>2</v>
      </c>
      <c r="M34" s="50">
        <v>82</v>
      </c>
      <c r="N34" s="50">
        <v>0</v>
      </c>
      <c r="O34" s="15">
        <f t="shared" si="0"/>
        <v>61</v>
      </c>
      <c r="P34" s="15">
        <f t="shared" si="1"/>
        <v>143</v>
      </c>
    </row>
    <row r="35" spans="2:20" ht="23.1" customHeight="1" x14ac:dyDescent="0.25">
      <c r="B35" s="24" t="s">
        <v>62</v>
      </c>
      <c r="C35" s="50">
        <v>62</v>
      </c>
      <c r="D35" s="50">
        <v>11</v>
      </c>
      <c r="E35" s="50">
        <v>6</v>
      </c>
      <c r="F35" s="50">
        <v>5</v>
      </c>
      <c r="G35" s="50">
        <v>1</v>
      </c>
      <c r="H35" s="50">
        <v>0</v>
      </c>
      <c r="I35" s="50">
        <v>5</v>
      </c>
      <c r="J35" s="50">
        <v>1</v>
      </c>
      <c r="K35" s="50">
        <v>1</v>
      </c>
      <c r="L35" s="50">
        <v>0</v>
      </c>
      <c r="M35" s="50">
        <v>36</v>
      </c>
      <c r="N35" s="50">
        <v>0</v>
      </c>
      <c r="O35" s="15">
        <f t="shared" si="0"/>
        <v>92</v>
      </c>
      <c r="P35" s="15">
        <f t="shared" si="1"/>
        <v>128</v>
      </c>
    </row>
    <row r="36" spans="2:20" ht="23.1" customHeight="1" x14ac:dyDescent="0.25">
      <c r="B36" s="24" t="s">
        <v>63</v>
      </c>
      <c r="C36" s="50">
        <v>22</v>
      </c>
      <c r="D36" s="50">
        <v>4</v>
      </c>
      <c r="E36" s="50">
        <v>9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51</v>
      </c>
      <c r="N36" s="50">
        <v>0</v>
      </c>
      <c r="O36" s="15">
        <f t="shared" si="0"/>
        <v>35</v>
      </c>
      <c r="P36" s="15">
        <f t="shared" si="1"/>
        <v>86</v>
      </c>
    </row>
    <row r="37" spans="2:20" ht="23.1" customHeight="1" x14ac:dyDescent="0.25">
      <c r="B37" s="23" t="s">
        <v>64</v>
      </c>
      <c r="C37" s="50">
        <v>18</v>
      </c>
      <c r="D37" s="50">
        <v>9</v>
      </c>
      <c r="E37" s="50">
        <v>8</v>
      </c>
      <c r="F37" s="50">
        <v>2</v>
      </c>
      <c r="G37" s="50">
        <v>1</v>
      </c>
      <c r="H37" s="50">
        <v>0</v>
      </c>
      <c r="I37" s="50">
        <v>6</v>
      </c>
      <c r="J37" s="50">
        <v>0</v>
      </c>
      <c r="K37" s="50">
        <v>1</v>
      </c>
      <c r="L37" s="50">
        <v>2</v>
      </c>
      <c r="M37" s="50">
        <v>21</v>
      </c>
      <c r="N37" s="50">
        <v>0</v>
      </c>
      <c r="O37" s="15">
        <f t="shared" si="0"/>
        <v>47</v>
      </c>
      <c r="P37" s="15">
        <f t="shared" si="1"/>
        <v>68</v>
      </c>
    </row>
    <row r="38" spans="2:20" ht="23.1" customHeight="1" x14ac:dyDescent="0.25">
      <c r="B38" s="24" t="s">
        <v>65</v>
      </c>
      <c r="C38" s="50">
        <v>24</v>
      </c>
      <c r="D38" s="50">
        <v>7</v>
      </c>
      <c r="E38" s="50">
        <v>10</v>
      </c>
      <c r="F38" s="50">
        <v>8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22</v>
      </c>
      <c r="N38" s="50">
        <v>0</v>
      </c>
      <c r="O38" s="15">
        <f t="shared" si="0"/>
        <v>50</v>
      </c>
      <c r="P38" s="15">
        <f t="shared" si="1"/>
        <v>72</v>
      </c>
    </row>
    <row r="39" spans="2:20" ht="23.1" customHeight="1" x14ac:dyDescent="0.25">
      <c r="B39" s="24" t="s">
        <v>66</v>
      </c>
      <c r="C39" s="50">
        <v>25</v>
      </c>
      <c r="D39" s="50">
        <v>9</v>
      </c>
      <c r="E39" s="50">
        <v>9</v>
      </c>
      <c r="F39" s="50">
        <v>5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1</v>
      </c>
      <c r="M39" s="50">
        <v>49</v>
      </c>
      <c r="N39" s="50">
        <v>0</v>
      </c>
      <c r="O39" s="15">
        <f t="shared" si="0"/>
        <v>51</v>
      </c>
      <c r="P39" s="15">
        <f t="shared" si="1"/>
        <v>100</v>
      </c>
    </row>
    <row r="40" spans="2:20" ht="23.1" customHeight="1" x14ac:dyDescent="0.25">
      <c r="B40" s="24" t="s">
        <v>67</v>
      </c>
      <c r="C40" s="50">
        <v>29</v>
      </c>
      <c r="D40" s="50">
        <v>9</v>
      </c>
      <c r="E40" s="50">
        <v>4</v>
      </c>
      <c r="F40" s="50">
        <v>2</v>
      </c>
      <c r="G40" s="50">
        <v>0</v>
      </c>
      <c r="H40" s="50">
        <v>0</v>
      </c>
      <c r="I40" s="50">
        <v>3</v>
      </c>
      <c r="J40" s="50">
        <v>0</v>
      </c>
      <c r="K40" s="50">
        <v>1</v>
      </c>
      <c r="L40" s="50">
        <v>1</v>
      </c>
      <c r="M40" s="50">
        <v>27</v>
      </c>
      <c r="N40" s="50">
        <v>0</v>
      </c>
      <c r="O40" s="15">
        <f t="shared" si="0"/>
        <v>49</v>
      </c>
      <c r="P40" s="15">
        <f t="shared" si="1"/>
        <v>76</v>
      </c>
    </row>
    <row r="41" spans="2:20" ht="23.1" customHeight="1" x14ac:dyDescent="0.25">
      <c r="B41" s="23" t="s">
        <v>68</v>
      </c>
      <c r="C41" s="50">
        <v>35</v>
      </c>
      <c r="D41" s="50">
        <v>11</v>
      </c>
      <c r="E41" s="50">
        <v>8</v>
      </c>
      <c r="F41" s="50">
        <v>4</v>
      </c>
      <c r="G41" s="50">
        <v>0</v>
      </c>
      <c r="H41" s="50">
        <v>0</v>
      </c>
      <c r="I41" s="50">
        <v>7</v>
      </c>
      <c r="J41" s="50">
        <v>4</v>
      </c>
      <c r="K41" s="50">
        <v>1</v>
      </c>
      <c r="L41" s="50">
        <v>1</v>
      </c>
      <c r="M41" s="50">
        <v>70</v>
      </c>
      <c r="N41" s="50">
        <v>0</v>
      </c>
      <c r="O41" s="15">
        <f t="shared" si="0"/>
        <v>71</v>
      </c>
      <c r="P41" s="15">
        <f t="shared" si="1"/>
        <v>141</v>
      </c>
    </row>
    <row r="42" spans="2:20" ht="23.1" customHeight="1" x14ac:dyDescent="0.25">
      <c r="B42" s="24" t="s">
        <v>69</v>
      </c>
      <c r="C42" s="50">
        <v>30</v>
      </c>
      <c r="D42" s="50">
        <v>10</v>
      </c>
      <c r="E42" s="50">
        <v>1</v>
      </c>
      <c r="F42" s="50">
        <v>7</v>
      </c>
      <c r="G42" s="50">
        <v>0</v>
      </c>
      <c r="H42" s="50">
        <v>0</v>
      </c>
      <c r="I42" s="50">
        <v>5</v>
      </c>
      <c r="J42" s="50">
        <v>2</v>
      </c>
      <c r="K42" s="50">
        <v>3</v>
      </c>
      <c r="L42" s="50">
        <v>1</v>
      </c>
      <c r="M42" s="50">
        <v>107</v>
      </c>
      <c r="N42" s="50">
        <v>0</v>
      </c>
      <c r="O42" s="15">
        <f t="shared" si="0"/>
        <v>59</v>
      </c>
      <c r="P42" s="15">
        <f t="shared" si="1"/>
        <v>166</v>
      </c>
    </row>
    <row r="43" spans="2:20" ht="23.1" customHeight="1" x14ac:dyDescent="0.25">
      <c r="B43" s="23" t="s">
        <v>70</v>
      </c>
      <c r="C43" s="50">
        <v>46</v>
      </c>
      <c r="D43" s="50">
        <v>9</v>
      </c>
      <c r="E43" s="50">
        <v>7</v>
      </c>
      <c r="F43" s="50">
        <v>7</v>
      </c>
      <c r="G43" s="50">
        <v>0</v>
      </c>
      <c r="H43" s="50">
        <v>0</v>
      </c>
      <c r="I43" s="50">
        <v>15</v>
      </c>
      <c r="J43" s="50">
        <v>1</v>
      </c>
      <c r="K43" s="50">
        <v>0</v>
      </c>
      <c r="L43" s="50">
        <v>1</v>
      </c>
      <c r="M43" s="50">
        <v>114</v>
      </c>
      <c r="N43" s="50">
        <v>0</v>
      </c>
      <c r="O43" s="15">
        <f t="shared" si="0"/>
        <v>86</v>
      </c>
      <c r="P43" s="15">
        <f t="shared" si="1"/>
        <v>200</v>
      </c>
    </row>
    <row r="44" spans="2:20" ht="23.1" customHeight="1" x14ac:dyDescent="0.25">
      <c r="B44" s="25" t="s">
        <v>71</v>
      </c>
      <c r="C44" s="50">
        <v>52</v>
      </c>
      <c r="D44" s="50">
        <v>10</v>
      </c>
      <c r="E44" s="50">
        <v>8</v>
      </c>
      <c r="F44" s="50">
        <v>8</v>
      </c>
      <c r="G44" s="50">
        <v>0</v>
      </c>
      <c r="H44" s="50">
        <v>0</v>
      </c>
      <c r="I44" s="50">
        <v>9</v>
      </c>
      <c r="J44" s="50">
        <v>1</v>
      </c>
      <c r="K44" s="50">
        <v>2</v>
      </c>
      <c r="L44" s="50">
        <v>0</v>
      </c>
      <c r="M44" s="50">
        <v>121</v>
      </c>
      <c r="N44" s="50">
        <v>0</v>
      </c>
      <c r="O44" s="15">
        <f t="shared" si="0"/>
        <v>90</v>
      </c>
      <c r="P44" s="15">
        <f t="shared" si="1"/>
        <v>211</v>
      </c>
    </row>
    <row r="45" spans="2:20" ht="23.1" customHeight="1" x14ac:dyDescent="0.25">
      <c r="B45" s="23" t="s">
        <v>72</v>
      </c>
      <c r="C45" s="50">
        <v>39</v>
      </c>
      <c r="D45" s="50">
        <v>10</v>
      </c>
      <c r="E45" s="50">
        <v>4</v>
      </c>
      <c r="F45" s="50">
        <v>6</v>
      </c>
      <c r="G45" s="50">
        <v>0</v>
      </c>
      <c r="H45" s="50">
        <v>0</v>
      </c>
      <c r="I45" s="50">
        <v>8</v>
      </c>
      <c r="J45" s="50">
        <v>1</v>
      </c>
      <c r="K45" s="50">
        <v>1</v>
      </c>
      <c r="L45" s="50">
        <v>0</v>
      </c>
      <c r="M45" s="50">
        <v>108</v>
      </c>
      <c r="N45" s="50">
        <v>0</v>
      </c>
      <c r="O45" s="15">
        <f t="shared" si="0"/>
        <v>69</v>
      </c>
      <c r="P45" s="15">
        <f t="shared" si="1"/>
        <v>177</v>
      </c>
    </row>
    <row r="46" spans="2:20" ht="23.1" customHeight="1" x14ac:dyDescent="0.25">
      <c r="B46" s="24" t="s">
        <v>73</v>
      </c>
      <c r="C46" s="50">
        <v>26</v>
      </c>
      <c r="D46" s="50">
        <v>6</v>
      </c>
      <c r="E46" s="50">
        <v>6</v>
      </c>
      <c r="F46" s="50">
        <v>2</v>
      </c>
      <c r="G46" s="50">
        <v>0</v>
      </c>
      <c r="H46" s="50">
        <v>0</v>
      </c>
      <c r="I46" s="50">
        <v>0</v>
      </c>
      <c r="J46" s="50">
        <v>4</v>
      </c>
      <c r="K46" s="50">
        <v>0</v>
      </c>
      <c r="L46" s="50">
        <v>0</v>
      </c>
      <c r="M46" s="50">
        <v>130</v>
      </c>
      <c r="N46" s="50">
        <v>0</v>
      </c>
      <c r="O46" s="15">
        <f t="shared" si="0"/>
        <v>44</v>
      </c>
      <c r="P46" s="15">
        <f t="shared" si="1"/>
        <v>174</v>
      </c>
      <c r="R46" s="8"/>
      <c r="T46"/>
    </row>
    <row r="47" spans="2:20" ht="23.1" customHeight="1" x14ac:dyDescent="0.25">
      <c r="B47" s="24" t="s">
        <v>74</v>
      </c>
      <c r="C47" s="50">
        <v>77</v>
      </c>
      <c r="D47" s="50">
        <v>9</v>
      </c>
      <c r="E47" s="50">
        <v>9</v>
      </c>
      <c r="F47" s="50">
        <v>5</v>
      </c>
      <c r="G47" s="50">
        <v>0</v>
      </c>
      <c r="H47" s="50">
        <v>0</v>
      </c>
      <c r="I47" s="50">
        <v>10</v>
      </c>
      <c r="J47" s="50">
        <v>1</v>
      </c>
      <c r="K47" s="50">
        <v>2</v>
      </c>
      <c r="L47" s="50">
        <v>0</v>
      </c>
      <c r="M47" s="50">
        <v>147</v>
      </c>
      <c r="N47" s="50">
        <v>0</v>
      </c>
      <c r="O47" s="15">
        <f t="shared" si="0"/>
        <v>113</v>
      </c>
      <c r="P47" s="15">
        <f t="shared" si="1"/>
        <v>260</v>
      </c>
      <c r="R47" s="8"/>
      <c r="T47"/>
    </row>
    <row r="48" spans="2:20" ht="23.1" customHeight="1" x14ac:dyDescent="0.25">
      <c r="B48" s="24" t="s">
        <v>75</v>
      </c>
      <c r="C48" s="50">
        <v>75</v>
      </c>
      <c r="D48" s="50">
        <v>13</v>
      </c>
      <c r="E48" s="50">
        <v>6</v>
      </c>
      <c r="F48" s="50">
        <v>12</v>
      </c>
      <c r="G48" s="50">
        <v>0</v>
      </c>
      <c r="H48" s="50">
        <v>0</v>
      </c>
      <c r="I48" s="50">
        <v>8</v>
      </c>
      <c r="J48" s="50">
        <v>1</v>
      </c>
      <c r="K48" s="50">
        <v>1</v>
      </c>
      <c r="L48" s="50">
        <v>2</v>
      </c>
      <c r="M48" s="50">
        <v>101</v>
      </c>
      <c r="N48" s="50">
        <v>0</v>
      </c>
      <c r="O48" s="15">
        <f t="shared" si="0"/>
        <v>118</v>
      </c>
      <c r="P48" s="15">
        <f t="shared" si="1"/>
        <v>219</v>
      </c>
      <c r="R48" s="8"/>
      <c r="T48"/>
    </row>
    <row r="49" spans="2:20" ht="23.1" customHeight="1" x14ac:dyDescent="0.25">
      <c r="B49" s="23" t="s">
        <v>76</v>
      </c>
      <c r="C49" s="50">
        <v>105</v>
      </c>
      <c r="D49" s="50">
        <v>9</v>
      </c>
      <c r="E49" s="50">
        <v>5</v>
      </c>
      <c r="F49" s="50">
        <v>0</v>
      </c>
      <c r="G49" s="50">
        <v>0</v>
      </c>
      <c r="H49" s="50">
        <v>0</v>
      </c>
      <c r="I49" s="50">
        <v>6</v>
      </c>
      <c r="J49" s="50">
        <v>1</v>
      </c>
      <c r="K49" s="50">
        <v>0</v>
      </c>
      <c r="L49" s="50">
        <v>1</v>
      </c>
      <c r="M49" s="50">
        <v>132</v>
      </c>
      <c r="N49" s="50">
        <v>0</v>
      </c>
      <c r="O49" s="15">
        <f t="shared" si="0"/>
        <v>127</v>
      </c>
      <c r="P49" s="15">
        <f t="shared" si="1"/>
        <v>259</v>
      </c>
      <c r="R49" s="8"/>
      <c r="T49"/>
    </row>
    <row r="50" spans="2:20" ht="23.1" customHeight="1" x14ac:dyDescent="0.25">
      <c r="B50" s="24" t="s">
        <v>77</v>
      </c>
      <c r="C50" s="50">
        <v>35</v>
      </c>
      <c r="D50" s="50">
        <v>6</v>
      </c>
      <c r="E50" s="50">
        <v>3</v>
      </c>
      <c r="F50" s="50">
        <v>4</v>
      </c>
      <c r="G50" s="50">
        <v>0</v>
      </c>
      <c r="H50" s="50">
        <v>0</v>
      </c>
      <c r="I50" s="50">
        <v>1</v>
      </c>
      <c r="J50" s="50">
        <v>3</v>
      </c>
      <c r="K50" s="50">
        <v>0</v>
      </c>
      <c r="L50" s="50">
        <v>0</v>
      </c>
      <c r="M50" s="50">
        <v>90</v>
      </c>
      <c r="N50" s="50">
        <v>0</v>
      </c>
      <c r="O50" s="15">
        <f t="shared" si="0"/>
        <v>52</v>
      </c>
      <c r="P50" s="15">
        <f t="shared" si="1"/>
        <v>142</v>
      </c>
      <c r="R50" s="8"/>
      <c r="T50"/>
    </row>
    <row r="51" spans="2:20" ht="23.1" customHeight="1" x14ac:dyDescent="0.25">
      <c r="B51" s="24" t="s">
        <v>78</v>
      </c>
      <c r="C51" s="50">
        <v>74</v>
      </c>
      <c r="D51" s="50">
        <v>15</v>
      </c>
      <c r="E51" s="50">
        <v>11</v>
      </c>
      <c r="F51" s="50">
        <v>5</v>
      </c>
      <c r="G51" s="50">
        <v>1</v>
      </c>
      <c r="H51" s="50">
        <v>0</v>
      </c>
      <c r="I51" s="50">
        <v>9</v>
      </c>
      <c r="J51" s="50">
        <v>1</v>
      </c>
      <c r="K51" s="50">
        <v>4</v>
      </c>
      <c r="L51" s="50">
        <v>4</v>
      </c>
      <c r="M51" s="50">
        <v>122</v>
      </c>
      <c r="N51" s="50">
        <v>0</v>
      </c>
      <c r="O51" s="15">
        <f t="shared" si="0"/>
        <v>124</v>
      </c>
      <c r="P51" s="15">
        <f t="shared" si="1"/>
        <v>246</v>
      </c>
      <c r="R51" s="8"/>
      <c r="T51"/>
    </row>
    <row r="52" spans="2:20" ht="23.1" customHeight="1" x14ac:dyDescent="0.25">
      <c r="B52" s="24" t="s">
        <v>79</v>
      </c>
      <c r="C52" s="50">
        <v>95</v>
      </c>
      <c r="D52" s="50">
        <v>11</v>
      </c>
      <c r="E52" s="50">
        <v>8</v>
      </c>
      <c r="F52" s="50">
        <v>6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53</v>
      </c>
      <c r="N52" s="50">
        <v>0</v>
      </c>
      <c r="O52" s="15">
        <f t="shared" si="0"/>
        <v>123</v>
      </c>
      <c r="P52" s="15">
        <f t="shared" si="1"/>
        <v>176</v>
      </c>
      <c r="R52" s="8"/>
      <c r="T52"/>
    </row>
    <row r="53" spans="2:20" ht="23.1" customHeight="1" x14ac:dyDescent="0.25">
      <c r="B53" s="23" t="s">
        <v>80</v>
      </c>
      <c r="C53" s="50">
        <v>61</v>
      </c>
      <c r="D53" s="50">
        <v>4</v>
      </c>
      <c r="E53" s="50">
        <v>4</v>
      </c>
      <c r="F53" s="50">
        <v>3</v>
      </c>
      <c r="G53" s="50">
        <v>0</v>
      </c>
      <c r="H53" s="50">
        <v>0</v>
      </c>
      <c r="I53" s="50">
        <v>8</v>
      </c>
      <c r="J53" s="50">
        <v>6</v>
      </c>
      <c r="K53" s="50">
        <v>1</v>
      </c>
      <c r="L53" s="50">
        <v>2</v>
      </c>
      <c r="M53" s="50">
        <v>84</v>
      </c>
      <c r="N53" s="50">
        <v>0</v>
      </c>
      <c r="O53" s="15">
        <f t="shared" si="0"/>
        <v>89</v>
      </c>
      <c r="P53" s="15">
        <f t="shared" si="1"/>
        <v>173</v>
      </c>
      <c r="R53" s="8"/>
      <c r="T53"/>
    </row>
    <row r="54" spans="2:20" ht="23.1" customHeight="1" x14ac:dyDescent="0.25">
      <c r="B54" s="23" t="s">
        <v>81</v>
      </c>
      <c r="C54" s="50">
        <v>30</v>
      </c>
      <c r="D54" s="50">
        <v>8</v>
      </c>
      <c r="E54" s="50">
        <v>9</v>
      </c>
      <c r="F54" s="50">
        <v>4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1</v>
      </c>
      <c r="M54" s="50">
        <v>117</v>
      </c>
      <c r="N54" s="50">
        <v>0</v>
      </c>
      <c r="O54" s="15">
        <f t="shared" si="0"/>
        <v>55</v>
      </c>
      <c r="P54" s="15">
        <f t="shared" si="1"/>
        <v>172</v>
      </c>
      <c r="R54" s="8"/>
      <c r="T54"/>
    </row>
    <row r="55" spans="2:20" ht="23.1" customHeight="1" x14ac:dyDescent="0.25">
      <c r="B55" s="23" t="s">
        <v>82</v>
      </c>
      <c r="C55" s="50">
        <v>54</v>
      </c>
      <c r="D55" s="50">
        <v>12</v>
      </c>
      <c r="E55" s="50">
        <v>11</v>
      </c>
      <c r="F55" s="50">
        <v>9</v>
      </c>
      <c r="G55" s="50">
        <v>1</v>
      </c>
      <c r="H55" s="50">
        <v>0</v>
      </c>
      <c r="I55" s="50">
        <v>7</v>
      </c>
      <c r="J55" s="50">
        <v>2</v>
      </c>
      <c r="K55" s="50">
        <v>1</v>
      </c>
      <c r="L55" s="50">
        <v>1</v>
      </c>
      <c r="M55" s="50">
        <v>62</v>
      </c>
      <c r="N55" s="50">
        <v>0</v>
      </c>
      <c r="O55" s="15">
        <f t="shared" si="0"/>
        <v>98</v>
      </c>
      <c r="P55" s="15">
        <f t="shared" si="1"/>
        <v>160</v>
      </c>
      <c r="R55" s="8"/>
      <c r="T55"/>
    </row>
    <row r="56" spans="2:20" ht="23.1" customHeight="1" x14ac:dyDescent="0.25">
      <c r="B56" s="23" t="s">
        <v>83</v>
      </c>
      <c r="C56" s="50">
        <v>45</v>
      </c>
      <c r="D56" s="50">
        <v>5</v>
      </c>
      <c r="E56" s="50">
        <v>5</v>
      </c>
      <c r="F56" s="50">
        <v>3</v>
      </c>
      <c r="G56" s="50">
        <v>0</v>
      </c>
      <c r="H56" s="50">
        <v>0</v>
      </c>
      <c r="I56" s="50">
        <v>4</v>
      </c>
      <c r="J56" s="50">
        <v>0</v>
      </c>
      <c r="K56" s="50">
        <v>0</v>
      </c>
      <c r="L56" s="50">
        <v>3</v>
      </c>
      <c r="M56" s="50">
        <v>125</v>
      </c>
      <c r="N56" s="50">
        <v>0</v>
      </c>
      <c r="O56" s="15">
        <f t="shared" si="0"/>
        <v>65</v>
      </c>
      <c r="P56" s="15">
        <f t="shared" si="1"/>
        <v>190</v>
      </c>
      <c r="R56" s="8"/>
      <c r="T56"/>
    </row>
    <row r="57" spans="2:20" ht="23.1" customHeight="1" x14ac:dyDescent="0.25">
      <c r="B57" s="23" t="s">
        <v>84</v>
      </c>
      <c r="C57" s="50">
        <v>30</v>
      </c>
      <c r="D57" s="50">
        <v>4</v>
      </c>
      <c r="E57" s="50">
        <v>3</v>
      </c>
      <c r="F57" s="50">
        <v>4</v>
      </c>
      <c r="G57" s="50">
        <v>1</v>
      </c>
      <c r="H57" s="50">
        <v>0</v>
      </c>
      <c r="I57" s="50">
        <v>8</v>
      </c>
      <c r="J57" s="50">
        <v>3</v>
      </c>
      <c r="K57" s="50">
        <v>0</v>
      </c>
      <c r="L57" s="50">
        <v>4</v>
      </c>
      <c r="M57" s="50">
        <v>56</v>
      </c>
      <c r="N57" s="50">
        <v>0</v>
      </c>
      <c r="O57" s="15">
        <f t="shared" si="0"/>
        <v>57</v>
      </c>
      <c r="P57" s="15">
        <f t="shared" si="1"/>
        <v>113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2144</v>
      </c>
      <c r="D58" s="16">
        <f t="shared" si="21"/>
        <v>361</v>
      </c>
      <c r="E58" s="16">
        <f t="shared" si="21"/>
        <v>302</v>
      </c>
      <c r="F58" s="16">
        <f t="shared" si="21"/>
        <v>234</v>
      </c>
      <c r="G58" s="16">
        <f t="shared" si="21"/>
        <v>28</v>
      </c>
      <c r="H58" s="16">
        <f t="shared" si="21"/>
        <v>2</v>
      </c>
      <c r="I58" s="16">
        <f t="shared" si="21"/>
        <v>245</v>
      </c>
      <c r="J58" s="16">
        <f t="shared" si="21"/>
        <v>69</v>
      </c>
      <c r="K58" s="16">
        <f t="shared" si="21"/>
        <v>45</v>
      </c>
      <c r="L58" s="16">
        <f t="shared" si="21"/>
        <v>54</v>
      </c>
      <c r="M58" s="16">
        <f t="shared" si="21"/>
        <v>4350</v>
      </c>
      <c r="N58" s="16">
        <f t="shared" si="21"/>
        <v>0</v>
      </c>
      <c r="O58" s="16">
        <f t="shared" si="21"/>
        <v>3484</v>
      </c>
      <c r="P58" s="16">
        <f t="shared" si="21"/>
        <v>7834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0.27367883584375796</v>
      </c>
      <c r="D59" s="43">
        <f t="shared" si="22"/>
        <v>4.6081184580035739E-2</v>
      </c>
      <c r="E59" s="43">
        <f t="shared" si="22"/>
        <v>3.8549910645902477E-2</v>
      </c>
      <c r="F59" s="43">
        <f t="shared" si="22"/>
        <v>2.9869798315037017E-2</v>
      </c>
      <c r="G59" s="43">
        <f t="shared" si="22"/>
        <v>3.5741639009446006E-3</v>
      </c>
      <c r="H59" s="43">
        <f t="shared" si="22"/>
        <v>2.5529742149604291E-4</v>
      </c>
      <c r="I59" s="43">
        <f t="shared" si="22"/>
        <v>3.1273934133265256E-2</v>
      </c>
      <c r="J59" s="43">
        <f t="shared" si="22"/>
        <v>8.807761041613479E-3</v>
      </c>
      <c r="K59" s="43">
        <f t="shared" si="22"/>
        <v>5.7441919836609652E-3</v>
      </c>
      <c r="L59" s="43">
        <f t="shared" si="22"/>
        <v>6.8930303803931585E-3</v>
      </c>
      <c r="M59" s="43">
        <f t="shared" si="22"/>
        <v>0.55527189175389324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0.61538461538461542</v>
      </c>
      <c r="D60" s="44">
        <f t="shared" ref="D60:N60" si="23">D58/$O$58</f>
        <v>0.10361653272101033</v>
      </c>
      <c r="E60" s="44">
        <f t="shared" si="23"/>
        <v>8.6681974741676229E-2</v>
      </c>
      <c r="F60" s="44">
        <f t="shared" si="23"/>
        <v>6.7164179104477612E-2</v>
      </c>
      <c r="G60" s="44">
        <f t="shared" si="23"/>
        <v>8.0367393800229621E-3</v>
      </c>
      <c r="H60" s="44">
        <f t="shared" si="23"/>
        <v>5.7405281285878302E-4</v>
      </c>
      <c r="I60" s="44">
        <f t="shared" si="23"/>
        <v>7.0321469575200912E-2</v>
      </c>
      <c r="J60" s="44">
        <f t="shared" si="23"/>
        <v>1.9804822043628014E-2</v>
      </c>
      <c r="K60" s="44">
        <f t="shared" si="23"/>
        <v>1.2916188289322618E-2</v>
      </c>
      <c r="L60" s="44">
        <f t="shared" si="23"/>
        <v>1.5499425947187142E-2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0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Spear Motors -URA'!C3:G3</f>
        <v>MCC - C1 - STN44- NAKAWA-JINJA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63" t="str">
        <f>'02.08 URA-Spear Motors'!G5:H5</f>
        <v>Spear Motors Limited</v>
      </c>
      <c r="H5" s="64"/>
      <c r="I5" s="14"/>
      <c r="J5" s="2" t="s">
        <v>5</v>
      </c>
      <c r="K5" s="63" t="s">
        <v>187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Spear Motors -URA'!D6:E6</f>
        <v>Spear Motors</v>
      </c>
      <c r="E6" s="64"/>
      <c r="F6" s="2" t="s">
        <v>2</v>
      </c>
      <c r="G6" s="63" t="str">
        <f>'29.07 Spear Motors -URA'!G6:H6</f>
        <v>URA</v>
      </c>
      <c r="H6" s="64"/>
      <c r="J6" s="2" t="s">
        <v>21</v>
      </c>
      <c r="K6" s="63" t="s">
        <v>186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28</v>
      </c>
      <c r="D10" s="50">
        <v>20</v>
      </c>
      <c r="E10" s="50">
        <v>7</v>
      </c>
      <c r="F10" s="50">
        <v>6</v>
      </c>
      <c r="G10" s="50">
        <v>0</v>
      </c>
      <c r="H10" s="50">
        <v>0</v>
      </c>
      <c r="I10" s="50">
        <v>1</v>
      </c>
      <c r="J10" s="50">
        <v>2</v>
      </c>
      <c r="K10" s="50">
        <v>0</v>
      </c>
      <c r="L10" s="50">
        <v>0</v>
      </c>
      <c r="M10" s="50">
        <v>140</v>
      </c>
      <c r="N10" s="50">
        <v>0</v>
      </c>
      <c r="O10" s="15">
        <f t="shared" ref="O10:O57" si="0">SUM(C10:L10,N10)</f>
        <v>64</v>
      </c>
      <c r="P10" s="15">
        <f t="shared" ref="P10:P57" si="1">SUM(C10:N10)</f>
        <v>204</v>
      </c>
      <c r="R10" s="1" t="s">
        <v>6</v>
      </c>
      <c r="S10" s="17">
        <f>SUM(C10:C13)</f>
        <v>125</v>
      </c>
      <c r="T10" s="17">
        <f>SUM(D10:D13)</f>
        <v>40</v>
      </c>
      <c r="U10" s="17">
        <f>SUM(E10:E13)</f>
        <v>24</v>
      </c>
      <c r="V10" s="17">
        <f>SUM(F10:F13)</f>
        <v>18</v>
      </c>
      <c r="W10" s="17">
        <f>SUM(G10:G13)</f>
        <v>7</v>
      </c>
      <c r="X10" s="17">
        <f t="shared" ref="X10:AF10" si="2">SUM(H10:H13)</f>
        <v>0</v>
      </c>
      <c r="Y10" s="17">
        <f t="shared" si="2"/>
        <v>6</v>
      </c>
      <c r="Z10" s="17">
        <f t="shared" si="2"/>
        <v>3</v>
      </c>
      <c r="AA10" s="17">
        <f t="shared" si="2"/>
        <v>3</v>
      </c>
      <c r="AB10" s="17">
        <f t="shared" si="2"/>
        <v>1</v>
      </c>
      <c r="AC10" s="17">
        <f t="shared" si="2"/>
        <v>812</v>
      </c>
      <c r="AD10" s="17">
        <f t="shared" si="2"/>
        <v>0</v>
      </c>
      <c r="AE10" s="31">
        <f t="shared" si="2"/>
        <v>227</v>
      </c>
      <c r="AF10" s="31">
        <f t="shared" si="2"/>
        <v>1039</v>
      </c>
    </row>
    <row r="11" spans="2:32" s="6" customFormat="1" ht="23.1" customHeight="1" x14ac:dyDescent="0.25">
      <c r="B11" s="45" t="s">
        <v>38</v>
      </c>
      <c r="C11" s="50">
        <v>38</v>
      </c>
      <c r="D11" s="50">
        <v>10</v>
      </c>
      <c r="E11" s="50">
        <v>9</v>
      </c>
      <c r="F11" s="50">
        <v>4</v>
      </c>
      <c r="G11" s="50">
        <v>3</v>
      </c>
      <c r="H11" s="50">
        <v>0</v>
      </c>
      <c r="I11" s="50">
        <v>3</v>
      </c>
      <c r="J11" s="50">
        <v>1</v>
      </c>
      <c r="K11" s="50">
        <v>1</v>
      </c>
      <c r="L11" s="50">
        <v>0</v>
      </c>
      <c r="M11" s="50">
        <v>210</v>
      </c>
      <c r="N11" s="50">
        <v>0</v>
      </c>
      <c r="O11" s="15">
        <f t="shared" si="0"/>
        <v>69</v>
      </c>
      <c r="P11" s="15">
        <f t="shared" si="1"/>
        <v>279</v>
      </c>
      <c r="R11" s="1" t="s">
        <v>7</v>
      </c>
      <c r="S11" s="17">
        <f>SUM(C14:C17)</f>
        <v>155</v>
      </c>
      <c r="T11" s="17">
        <f>SUM(D14:D17)</f>
        <v>26</v>
      </c>
      <c r="U11" s="17">
        <f>SUM(E14:E17)</f>
        <v>12</v>
      </c>
      <c r="V11" s="17">
        <f>SUM(F14:F17)</f>
        <v>18</v>
      </c>
      <c r="W11" s="17">
        <f>SUM(G14:G17)</f>
        <v>5</v>
      </c>
      <c r="X11" s="17">
        <f t="shared" ref="X11:AF11" si="3">SUM(H14:H17)</f>
        <v>0</v>
      </c>
      <c r="Y11" s="17">
        <f t="shared" si="3"/>
        <v>3</v>
      </c>
      <c r="Z11" s="17">
        <f t="shared" si="3"/>
        <v>6</v>
      </c>
      <c r="AA11" s="17">
        <f t="shared" si="3"/>
        <v>11</v>
      </c>
      <c r="AB11" s="17">
        <f t="shared" si="3"/>
        <v>11</v>
      </c>
      <c r="AC11" s="17">
        <f t="shared" si="3"/>
        <v>778</v>
      </c>
      <c r="AD11" s="17">
        <f t="shared" si="3"/>
        <v>0</v>
      </c>
      <c r="AE11" s="31">
        <f t="shared" si="3"/>
        <v>247</v>
      </c>
      <c r="AF11" s="31">
        <f t="shared" si="3"/>
        <v>1025</v>
      </c>
    </row>
    <row r="12" spans="2:32" ht="23.1" customHeight="1" x14ac:dyDescent="0.25">
      <c r="B12" s="45" t="s">
        <v>39</v>
      </c>
      <c r="C12" s="50">
        <v>33</v>
      </c>
      <c r="D12" s="50">
        <v>7</v>
      </c>
      <c r="E12" s="50">
        <v>5</v>
      </c>
      <c r="F12" s="50">
        <v>7</v>
      </c>
      <c r="G12" s="50">
        <v>4</v>
      </c>
      <c r="H12" s="50">
        <v>0</v>
      </c>
      <c r="I12" s="50">
        <v>1</v>
      </c>
      <c r="J12" s="50">
        <v>0</v>
      </c>
      <c r="K12" s="50">
        <v>1</v>
      </c>
      <c r="L12" s="50">
        <v>0</v>
      </c>
      <c r="M12" s="50">
        <v>230</v>
      </c>
      <c r="N12" s="50">
        <v>0</v>
      </c>
      <c r="O12" s="15">
        <f t="shared" si="0"/>
        <v>58</v>
      </c>
      <c r="P12" s="15">
        <f t="shared" si="1"/>
        <v>288</v>
      </c>
      <c r="R12" s="1" t="s">
        <v>8</v>
      </c>
      <c r="S12" s="17">
        <f>SUM(C18:C21)</f>
        <v>149</v>
      </c>
      <c r="T12" s="17">
        <f>SUM(D18:D21)</f>
        <v>28</v>
      </c>
      <c r="U12" s="17">
        <f>SUM(E18:E21)</f>
        <v>28</v>
      </c>
      <c r="V12" s="17">
        <f>SUM(F18:F21)</f>
        <v>24</v>
      </c>
      <c r="W12" s="17">
        <f>SUM(G18:G21)</f>
        <v>3</v>
      </c>
      <c r="X12" s="17">
        <f t="shared" ref="X12:AF12" si="4">SUM(H18:H21)</f>
        <v>0</v>
      </c>
      <c r="Y12" s="17">
        <f t="shared" si="4"/>
        <v>8</v>
      </c>
      <c r="Z12" s="17">
        <f t="shared" si="4"/>
        <v>8</v>
      </c>
      <c r="AA12" s="17">
        <f t="shared" si="4"/>
        <v>7</v>
      </c>
      <c r="AB12" s="17">
        <f t="shared" si="4"/>
        <v>13</v>
      </c>
      <c r="AC12" s="17">
        <f t="shared" si="4"/>
        <v>688</v>
      </c>
      <c r="AD12" s="17">
        <f t="shared" si="4"/>
        <v>0</v>
      </c>
      <c r="AE12" s="31">
        <f t="shared" si="4"/>
        <v>268</v>
      </c>
      <c r="AF12" s="31">
        <f t="shared" si="4"/>
        <v>956</v>
      </c>
    </row>
    <row r="13" spans="2:32" ht="23.1" customHeight="1" x14ac:dyDescent="0.25">
      <c r="B13" s="45" t="s">
        <v>40</v>
      </c>
      <c r="C13" s="50">
        <v>26</v>
      </c>
      <c r="D13" s="50">
        <v>3</v>
      </c>
      <c r="E13" s="50">
        <v>3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1</v>
      </c>
      <c r="L13" s="50">
        <v>1</v>
      </c>
      <c r="M13" s="50">
        <v>232</v>
      </c>
      <c r="N13" s="50">
        <v>0</v>
      </c>
      <c r="O13" s="15">
        <f t="shared" si="0"/>
        <v>36</v>
      </c>
      <c r="P13" s="15">
        <f t="shared" si="1"/>
        <v>268</v>
      </c>
      <c r="R13" s="1" t="s">
        <v>9</v>
      </c>
      <c r="S13" s="17">
        <f>SUM(C22:C25)</f>
        <v>126</v>
      </c>
      <c r="T13" s="17">
        <f>SUM(D22:D25)</f>
        <v>32</v>
      </c>
      <c r="U13" s="17">
        <f>SUM(E22:E25)</f>
        <v>26</v>
      </c>
      <c r="V13" s="17">
        <f>SUM(F22:F25)</f>
        <v>24</v>
      </c>
      <c r="W13" s="17">
        <f>SUM(G22:G25)</f>
        <v>7</v>
      </c>
      <c r="X13" s="17">
        <f t="shared" ref="X13:AF13" si="5">SUM(H22:H25)</f>
        <v>0</v>
      </c>
      <c r="Y13" s="17">
        <f t="shared" si="5"/>
        <v>18</v>
      </c>
      <c r="Z13" s="17">
        <f t="shared" si="5"/>
        <v>9</v>
      </c>
      <c r="AA13" s="17">
        <f t="shared" si="5"/>
        <v>10</v>
      </c>
      <c r="AB13" s="17">
        <f t="shared" si="5"/>
        <v>18</v>
      </c>
      <c r="AC13" s="17">
        <f t="shared" si="5"/>
        <v>704</v>
      </c>
      <c r="AD13" s="17">
        <f t="shared" si="5"/>
        <v>0</v>
      </c>
      <c r="AE13" s="31">
        <f t="shared" si="5"/>
        <v>270</v>
      </c>
      <c r="AF13" s="31">
        <f t="shared" si="5"/>
        <v>974</v>
      </c>
    </row>
    <row r="14" spans="2:32" ht="23.1" customHeight="1" x14ac:dyDescent="0.25">
      <c r="B14" s="45" t="s">
        <v>41</v>
      </c>
      <c r="C14" s="50">
        <v>41</v>
      </c>
      <c r="D14" s="50">
        <v>7</v>
      </c>
      <c r="E14" s="50">
        <v>5</v>
      </c>
      <c r="F14" s="50">
        <v>0</v>
      </c>
      <c r="G14" s="50">
        <v>1</v>
      </c>
      <c r="H14" s="50">
        <v>0</v>
      </c>
      <c r="I14" s="50">
        <v>0</v>
      </c>
      <c r="J14" s="50">
        <v>1</v>
      </c>
      <c r="K14" s="50">
        <v>2</v>
      </c>
      <c r="L14" s="50">
        <v>3</v>
      </c>
      <c r="M14" s="50">
        <v>220</v>
      </c>
      <c r="N14" s="50">
        <v>0</v>
      </c>
      <c r="O14" s="15">
        <f t="shared" si="0"/>
        <v>60</v>
      </c>
      <c r="P14" s="15">
        <f t="shared" si="1"/>
        <v>280</v>
      </c>
      <c r="R14" s="1" t="s">
        <v>10</v>
      </c>
      <c r="S14" s="17">
        <f>SUM(C26:C29)</f>
        <v>159</v>
      </c>
      <c r="T14" s="17">
        <f>SUM(D26:D29)</f>
        <v>29</v>
      </c>
      <c r="U14" s="17">
        <f>SUM(E26:E29)</f>
        <v>20</v>
      </c>
      <c r="V14" s="17">
        <f>SUM(F26:F29)</f>
        <v>41</v>
      </c>
      <c r="W14" s="17">
        <f>SUM(G26:G29)</f>
        <v>4</v>
      </c>
      <c r="X14" s="17">
        <f t="shared" ref="X14:AF14" si="6">SUM(H26:H29)</f>
        <v>0</v>
      </c>
      <c r="Y14" s="17">
        <f t="shared" si="6"/>
        <v>13</v>
      </c>
      <c r="Z14" s="17">
        <f t="shared" si="6"/>
        <v>11</v>
      </c>
      <c r="AA14" s="17">
        <f t="shared" si="6"/>
        <v>16</v>
      </c>
      <c r="AB14" s="17">
        <f t="shared" si="6"/>
        <v>8</v>
      </c>
      <c r="AC14" s="17">
        <f t="shared" si="6"/>
        <v>461</v>
      </c>
      <c r="AD14" s="17">
        <f t="shared" si="6"/>
        <v>1</v>
      </c>
      <c r="AE14" s="31">
        <f t="shared" si="6"/>
        <v>302</v>
      </c>
      <c r="AF14" s="31">
        <f t="shared" si="6"/>
        <v>763</v>
      </c>
    </row>
    <row r="15" spans="2:32" ht="23.1" customHeight="1" x14ac:dyDescent="0.25">
      <c r="B15" s="45" t="s">
        <v>42</v>
      </c>
      <c r="C15" s="50">
        <v>36</v>
      </c>
      <c r="D15" s="50">
        <v>7</v>
      </c>
      <c r="E15" s="50">
        <v>3</v>
      </c>
      <c r="F15" s="50">
        <v>5</v>
      </c>
      <c r="G15" s="50">
        <v>2</v>
      </c>
      <c r="H15" s="50">
        <v>0</v>
      </c>
      <c r="I15" s="50">
        <v>1</v>
      </c>
      <c r="J15" s="50">
        <v>3</v>
      </c>
      <c r="K15" s="50">
        <v>2</v>
      </c>
      <c r="L15" s="50">
        <v>3</v>
      </c>
      <c r="M15" s="50">
        <v>200</v>
      </c>
      <c r="N15" s="50">
        <v>0</v>
      </c>
      <c r="O15" s="15">
        <f t="shared" si="0"/>
        <v>62</v>
      </c>
      <c r="P15" s="15">
        <f t="shared" si="1"/>
        <v>262</v>
      </c>
      <c r="R15" s="1" t="s">
        <v>11</v>
      </c>
      <c r="S15" s="17">
        <f>SUM(C30:C33)</f>
        <v>139</v>
      </c>
      <c r="T15" s="17">
        <f>SUM(D30:D33)</f>
        <v>35</v>
      </c>
      <c r="U15" s="17">
        <f>SUM(E30:E33)</f>
        <v>30</v>
      </c>
      <c r="V15" s="17">
        <f>SUM(F30:F33)</f>
        <v>30</v>
      </c>
      <c r="W15" s="17">
        <f>SUM(G30:G33)</f>
        <v>5</v>
      </c>
      <c r="X15" s="17">
        <f t="shared" ref="X15:AF15" si="7">SUM(H30:H33)</f>
        <v>0</v>
      </c>
      <c r="Y15" s="17">
        <f t="shared" si="7"/>
        <v>13</v>
      </c>
      <c r="Z15" s="17">
        <f t="shared" si="7"/>
        <v>10</v>
      </c>
      <c r="AA15" s="17">
        <f t="shared" si="7"/>
        <v>10</v>
      </c>
      <c r="AB15" s="17">
        <f t="shared" si="7"/>
        <v>31</v>
      </c>
      <c r="AC15" s="17">
        <f t="shared" si="7"/>
        <v>419</v>
      </c>
      <c r="AD15" s="17">
        <f t="shared" si="7"/>
        <v>0</v>
      </c>
      <c r="AE15" s="31">
        <f t="shared" si="7"/>
        <v>303</v>
      </c>
      <c r="AF15" s="31">
        <f t="shared" si="7"/>
        <v>722</v>
      </c>
    </row>
    <row r="16" spans="2:32" ht="23.1" customHeight="1" x14ac:dyDescent="0.25">
      <c r="B16" s="45" t="s">
        <v>43</v>
      </c>
      <c r="C16" s="50">
        <v>41</v>
      </c>
      <c r="D16" s="50">
        <v>8</v>
      </c>
      <c r="E16" s="50">
        <v>1</v>
      </c>
      <c r="F16" s="50">
        <v>2</v>
      </c>
      <c r="G16" s="50">
        <v>2</v>
      </c>
      <c r="H16" s="50">
        <v>0</v>
      </c>
      <c r="I16" s="50">
        <v>2</v>
      </c>
      <c r="J16" s="50">
        <v>1</v>
      </c>
      <c r="K16" s="50">
        <v>3</v>
      </c>
      <c r="L16" s="50">
        <v>1</v>
      </c>
      <c r="M16" s="50">
        <v>176</v>
      </c>
      <c r="N16" s="50">
        <v>0</v>
      </c>
      <c r="O16" s="15">
        <f t="shared" si="0"/>
        <v>61</v>
      </c>
      <c r="P16" s="15">
        <f t="shared" si="1"/>
        <v>237</v>
      </c>
      <c r="R16" s="1" t="s">
        <v>12</v>
      </c>
      <c r="S16" s="17">
        <f>SUM(C34:C37)</f>
        <v>105</v>
      </c>
      <c r="T16" s="17">
        <f>SUM(D34:D37)</f>
        <v>36</v>
      </c>
      <c r="U16" s="17">
        <f>SUM(E34:E37)</f>
        <v>27</v>
      </c>
      <c r="V16" s="17">
        <f>SUM(F34:F37)</f>
        <v>17</v>
      </c>
      <c r="W16" s="17">
        <f>SUM(G34:G37)</f>
        <v>2</v>
      </c>
      <c r="X16" s="17">
        <f t="shared" ref="X16:AF16" si="8">SUM(H34:H37)</f>
        <v>3</v>
      </c>
      <c r="Y16" s="17">
        <f t="shared" si="8"/>
        <v>16</v>
      </c>
      <c r="Z16" s="17">
        <f t="shared" si="8"/>
        <v>10</v>
      </c>
      <c r="AA16" s="17">
        <f t="shared" si="8"/>
        <v>10</v>
      </c>
      <c r="AB16" s="17">
        <f t="shared" si="8"/>
        <v>18</v>
      </c>
      <c r="AC16" s="17">
        <f t="shared" si="8"/>
        <v>394</v>
      </c>
      <c r="AD16" s="17">
        <f t="shared" si="8"/>
        <v>0</v>
      </c>
      <c r="AE16" s="31">
        <f t="shared" si="8"/>
        <v>244</v>
      </c>
      <c r="AF16" s="31">
        <f t="shared" si="8"/>
        <v>638</v>
      </c>
    </row>
    <row r="17" spans="2:32" ht="23.1" customHeight="1" x14ac:dyDescent="0.25">
      <c r="B17" s="45" t="s">
        <v>44</v>
      </c>
      <c r="C17" s="50">
        <v>37</v>
      </c>
      <c r="D17" s="50">
        <v>4</v>
      </c>
      <c r="E17" s="50">
        <v>3</v>
      </c>
      <c r="F17" s="50">
        <v>11</v>
      </c>
      <c r="G17" s="50">
        <v>0</v>
      </c>
      <c r="H17" s="50">
        <v>0</v>
      </c>
      <c r="I17" s="50">
        <v>0</v>
      </c>
      <c r="J17" s="50">
        <v>1</v>
      </c>
      <c r="K17" s="50">
        <v>4</v>
      </c>
      <c r="L17" s="50">
        <v>4</v>
      </c>
      <c r="M17" s="50">
        <v>182</v>
      </c>
      <c r="N17" s="50">
        <v>0</v>
      </c>
      <c r="O17" s="15">
        <f t="shared" si="0"/>
        <v>64</v>
      </c>
      <c r="P17" s="15">
        <f t="shared" si="1"/>
        <v>246</v>
      </c>
      <c r="R17" s="1" t="s">
        <v>13</v>
      </c>
      <c r="S17" s="17">
        <f t="shared" ref="S17:AF17" si="9">SUM(C38:C41)</f>
        <v>133</v>
      </c>
      <c r="T17" s="17">
        <f t="shared" si="9"/>
        <v>69</v>
      </c>
      <c r="U17" s="17">
        <f t="shared" si="9"/>
        <v>25</v>
      </c>
      <c r="V17" s="17">
        <f t="shared" si="9"/>
        <v>11</v>
      </c>
      <c r="W17" s="17">
        <f t="shared" si="9"/>
        <v>1</v>
      </c>
      <c r="X17" s="17">
        <f t="shared" si="9"/>
        <v>0</v>
      </c>
      <c r="Y17" s="17">
        <f t="shared" si="9"/>
        <v>23</v>
      </c>
      <c r="Z17" s="17">
        <f t="shared" si="9"/>
        <v>18</v>
      </c>
      <c r="AA17" s="17">
        <f t="shared" si="9"/>
        <v>10</v>
      </c>
      <c r="AB17" s="17">
        <f t="shared" si="9"/>
        <v>14</v>
      </c>
      <c r="AC17" s="17">
        <f t="shared" si="9"/>
        <v>322</v>
      </c>
      <c r="AD17" s="17">
        <f t="shared" si="9"/>
        <v>0</v>
      </c>
      <c r="AE17" s="31">
        <f t="shared" si="9"/>
        <v>304</v>
      </c>
      <c r="AF17" s="31">
        <f t="shared" si="9"/>
        <v>626</v>
      </c>
    </row>
    <row r="18" spans="2:32" ht="23.1" customHeight="1" x14ac:dyDescent="0.25">
      <c r="B18" s="45" t="s">
        <v>45</v>
      </c>
      <c r="C18" s="50">
        <v>39</v>
      </c>
      <c r="D18" s="50">
        <v>4</v>
      </c>
      <c r="E18" s="50">
        <v>4</v>
      </c>
      <c r="F18" s="50">
        <v>3</v>
      </c>
      <c r="G18" s="50">
        <v>2</v>
      </c>
      <c r="H18" s="50">
        <v>0</v>
      </c>
      <c r="I18" s="50">
        <v>1</v>
      </c>
      <c r="J18" s="50">
        <v>1</v>
      </c>
      <c r="K18" s="50">
        <v>0</v>
      </c>
      <c r="L18" s="50">
        <v>3</v>
      </c>
      <c r="M18" s="50">
        <v>205</v>
      </c>
      <c r="N18" s="50">
        <v>0</v>
      </c>
      <c r="O18" s="15">
        <f t="shared" si="0"/>
        <v>57</v>
      </c>
      <c r="P18" s="15">
        <f t="shared" si="1"/>
        <v>262</v>
      </c>
      <c r="R18" s="1" t="s">
        <v>14</v>
      </c>
      <c r="S18" s="17">
        <f t="shared" ref="S18:AF18" si="10">SUM(C42:C45)</f>
        <v>133</v>
      </c>
      <c r="T18" s="17">
        <f t="shared" si="10"/>
        <v>31</v>
      </c>
      <c r="U18" s="17">
        <f t="shared" si="10"/>
        <v>21</v>
      </c>
      <c r="V18" s="17">
        <f t="shared" si="10"/>
        <v>27</v>
      </c>
      <c r="W18" s="17">
        <f t="shared" si="10"/>
        <v>7</v>
      </c>
      <c r="X18" s="17">
        <f t="shared" si="10"/>
        <v>0</v>
      </c>
      <c r="Y18" s="17">
        <f t="shared" si="10"/>
        <v>11</v>
      </c>
      <c r="Z18" s="17">
        <f t="shared" si="10"/>
        <v>10</v>
      </c>
      <c r="AA18" s="17">
        <f t="shared" si="10"/>
        <v>6</v>
      </c>
      <c r="AB18" s="17">
        <f t="shared" si="10"/>
        <v>24</v>
      </c>
      <c r="AC18" s="17">
        <f t="shared" si="10"/>
        <v>223</v>
      </c>
      <c r="AD18" s="17">
        <f t="shared" si="10"/>
        <v>0</v>
      </c>
      <c r="AE18" s="31">
        <f t="shared" si="10"/>
        <v>270</v>
      </c>
      <c r="AF18" s="31">
        <f t="shared" si="10"/>
        <v>493</v>
      </c>
    </row>
    <row r="19" spans="2:32" ht="23.1" customHeight="1" x14ac:dyDescent="0.25">
      <c r="B19" s="45" t="s">
        <v>46</v>
      </c>
      <c r="C19" s="50">
        <v>31</v>
      </c>
      <c r="D19" s="50">
        <v>3</v>
      </c>
      <c r="E19" s="50">
        <v>5</v>
      </c>
      <c r="F19" s="50">
        <v>8</v>
      </c>
      <c r="G19" s="50">
        <v>0</v>
      </c>
      <c r="H19" s="50">
        <v>0</v>
      </c>
      <c r="I19" s="50">
        <v>3</v>
      </c>
      <c r="J19" s="50">
        <v>3</v>
      </c>
      <c r="K19" s="50">
        <v>0</v>
      </c>
      <c r="L19" s="50">
        <v>0</v>
      </c>
      <c r="M19" s="50">
        <v>174</v>
      </c>
      <c r="N19" s="50">
        <v>0</v>
      </c>
      <c r="O19" s="15">
        <f t="shared" si="0"/>
        <v>53</v>
      </c>
      <c r="P19" s="15">
        <f t="shared" si="1"/>
        <v>227</v>
      </c>
      <c r="R19" s="1" t="s">
        <v>15</v>
      </c>
      <c r="S19" s="17">
        <f t="shared" ref="S19:AF19" si="11">SUM(C46:C49)</f>
        <v>125</v>
      </c>
      <c r="T19" s="17">
        <f t="shared" si="11"/>
        <v>39</v>
      </c>
      <c r="U19" s="17">
        <f t="shared" si="11"/>
        <v>16</v>
      </c>
      <c r="V19" s="17">
        <f t="shared" si="11"/>
        <v>43</v>
      </c>
      <c r="W19" s="17">
        <f t="shared" si="11"/>
        <v>4</v>
      </c>
      <c r="X19" s="17">
        <f t="shared" si="11"/>
        <v>0</v>
      </c>
      <c r="Y19" s="17">
        <f t="shared" si="11"/>
        <v>18</v>
      </c>
      <c r="Z19" s="17">
        <f t="shared" si="11"/>
        <v>7</v>
      </c>
      <c r="AA19" s="17">
        <f t="shared" si="11"/>
        <v>9</v>
      </c>
      <c r="AB19" s="17">
        <f t="shared" si="11"/>
        <v>19</v>
      </c>
      <c r="AC19" s="17">
        <f t="shared" si="11"/>
        <v>431</v>
      </c>
      <c r="AD19" s="17">
        <f t="shared" si="11"/>
        <v>0</v>
      </c>
      <c r="AE19" s="31">
        <f t="shared" si="11"/>
        <v>280</v>
      </c>
      <c r="AF19" s="31">
        <f t="shared" si="11"/>
        <v>711</v>
      </c>
    </row>
    <row r="20" spans="2:32" ht="23.1" customHeight="1" x14ac:dyDescent="0.25">
      <c r="B20" s="45" t="s">
        <v>47</v>
      </c>
      <c r="C20" s="50">
        <v>42</v>
      </c>
      <c r="D20" s="50">
        <v>13</v>
      </c>
      <c r="E20" s="50">
        <v>12</v>
      </c>
      <c r="F20" s="50">
        <v>10</v>
      </c>
      <c r="G20" s="50">
        <v>1</v>
      </c>
      <c r="H20" s="50">
        <v>0</v>
      </c>
      <c r="I20" s="50">
        <v>2</v>
      </c>
      <c r="J20" s="50">
        <v>1</v>
      </c>
      <c r="K20" s="50">
        <v>5</v>
      </c>
      <c r="L20" s="50">
        <v>4</v>
      </c>
      <c r="M20" s="50">
        <v>187</v>
      </c>
      <c r="N20" s="50">
        <v>0</v>
      </c>
      <c r="O20" s="15">
        <f t="shared" si="0"/>
        <v>90</v>
      </c>
      <c r="P20" s="15">
        <f t="shared" si="1"/>
        <v>277</v>
      </c>
      <c r="R20" s="1" t="s">
        <v>16</v>
      </c>
      <c r="S20" s="17">
        <f t="shared" ref="S20:AF20" si="12">SUM(C50:C53)</f>
        <v>143</v>
      </c>
      <c r="T20" s="17">
        <f t="shared" si="12"/>
        <v>33</v>
      </c>
      <c r="U20" s="17">
        <f t="shared" si="12"/>
        <v>21</v>
      </c>
      <c r="V20" s="17">
        <f t="shared" si="12"/>
        <v>13</v>
      </c>
      <c r="W20" s="17">
        <f t="shared" si="12"/>
        <v>3</v>
      </c>
      <c r="X20" s="17">
        <f t="shared" si="12"/>
        <v>0</v>
      </c>
      <c r="Y20" s="17">
        <f t="shared" si="12"/>
        <v>3</v>
      </c>
      <c r="Z20" s="17">
        <f t="shared" si="12"/>
        <v>4</v>
      </c>
      <c r="AA20" s="17">
        <f t="shared" si="12"/>
        <v>8</v>
      </c>
      <c r="AB20" s="17">
        <f t="shared" si="12"/>
        <v>16</v>
      </c>
      <c r="AC20" s="17">
        <f t="shared" si="12"/>
        <v>153</v>
      </c>
      <c r="AD20" s="17">
        <f t="shared" si="12"/>
        <v>0</v>
      </c>
      <c r="AE20" s="31">
        <f t="shared" si="12"/>
        <v>244</v>
      </c>
      <c r="AF20" s="31">
        <f t="shared" si="12"/>
        <v>397</v>
      </c>
    </row>
    <row r="21" spans="2:32" ht="23.1" customHeight="1" x14ac:dyDescent="0.25">
      <c r="B21" s="45" t="s">
        <v>48</v>
      </c>
      <c r="C21" s="50">
        <v>37</v>
      </c>
      <c r="D21" s="50">
        <v>8</v>
      </c>
      <c r="E21" s="50">
        <v>7</v>
      </c>
      <c r="F21" s="50">
        <v>3</v>
      </c>
      <c r="G21" s="50">
        <v>0</v>
      </c>
      <c r="H21" s="50">
        <v>0</v>
      </c>
      <c r="I21" s="50">
        <v>2</v>
      </c>
      <c r="J21" s="50">
        <v>3</v>
      </c>
      <c r="K21" s="50">
        <v>2</v>
      </c>
      <c r="L21" s="50">
        <v>6</v>
      </c>
      <c r="M21" s="50">
        <v>122</v>
      </c>
      <c r="N21" s="50">
        <v>0</v>
      </c>
      <c r="O21" s="15">
        <f t="shared" si="0"/>
        <v>68</v>
      </c>
      <c r="P21" s="15">
        <f t="shared" si="1"/>
        <v>190</v>
      </c>
      <c r="R21" s="36" t="s">
        <v>20</v>
      </c>
      <c r="S21" s="34">
        <f t="shared" ref="S21:AF21" si="13">SUM(C54:C57)</f>
        <v>134</v>
      </c>
      <c r="T21" s="17">
        <f t="shared" si="13"/>
        <v>25</v>
      </c>
      <c r="U21" s="17">
        <f t="shared" si="13"/>
        <v>22</v>
      </c>
      <c r="V21" s="17">
        <f t="shared" si="13"/>
        <v>11</v>
      </c>
      <c r="W21" s="17">
        <f t="shared" si="13"/>
        <v>1</v>
      </c>
      <c r="X21" s="17">
        <f t="shared" si="13"/>
        <v>0</v>
      </c>
      <c r="Y21" s="17">
        <f t="shared" si="13"/>
        <v>7</v>
      </c>
      <c r="Z21" s="17">
        <f t="shared" si="13"/>
        <v>9</v>
      </c>
      <c r="AA21" s="17">
        <f t="shared" si="13"/>
        <v>3</v>
      </c>
      <c r="AB21" s="17">
        <f t="shared" si="13"/>
        <v>7</v>
      </c>
      <c r="AC21" s="17">
        <f t="shared" si="13"/>
        <v>295</v>
      </c>
      <c r="AD21" s="17">
        <f t="shared" si="13"/>
        <v>0</v>
      </c>
      <c r="AE21" s="31">
        <f t="shared" si="13"/>
        <v>219</v>
      </c>
      <c r="AF21" s="31">
        <f t="shared" si="13"/>
        <v>514</v>
      </c>
    </row>
    <row r="22" spans="2:32" ht="23.1" customHeight="1" x14ac:dyDescent="0.25">
      <c r="B22" s="45" t="s">
        <v>49</v>
      </c>
      <c r="C22" s="50">
        <v>37</v>
      </c>
      <c r="D22" s="50">
        <v>6</v>
      </c>
      <c r="E22" s="50">
        <v>7</v>
      </c>
      <c r="F22" s="50">
        <v>7</v>
      </c>
      <c r="G22" s="50">
        <v>2</v>
      </c>
      <c r="H22" s="50">
        <v>0</v>
      </c>
      <c r="I22" s="50">
        <v>2</v>
      </c>
      <c r="J22" s="50">
        <v>3</v>
      </c>
      <c r="K22" s="50">
        <v>3</v>
      </c>
      <c r="L22" s="50">
        <v>4</v>
      </c>
      <c r="M22" s="50">
        <v>155</v>
      </c>
      <c r="N22" s="50">
        <v>0</v>
      </c>
      <c r="O22" s="15">
        <f t="shared" si="0"/>
        <v>71</v>
      </c>
      <c r="P22" s="15">
        <f t="shared" si="1"/>
        <v>226</v>
      </c>
      <c r="R22" s="36" t="s">
        <v>146</v>
      </c>
      <c r="S22" s="34">
        <f>SUM(C58:C61)</f>
        <v>152</v>
      </c>
      <c r="T22" s="34">
        <f>SUM(D58:D61)</f>
        <v>35</v>
      </c>
      <c r="U22" s="34">
        <f>SUM(E58:E61)</f>
        <v>39</v>
      </c>
      <c r="V22" s="34">
        <f>SUM(F58:F61)</f>
        <v>33</v>
      </c>
      <c r="W22" s="34">
        <f>SUM(G58:G61)</f>
        <v>4</v>
      </c>
      <c r="X22" s="34">
        <f t="shared" ref="X22:AF22" si="14">SUM(H58:H61)</f>
        <v>3</v>
      </c>
      <c r="Y22" s="34">
        <f t="shared" si="14"/>
        <v>10</v>
      </c>
      <c r="Z22" s="34">
        <f t="shared" si="14"/>
        <v>8</v>
      </c>
      <c r="AA22" s="34">
        <f t="shared" si="14"/>
        <v>0</v>
      </c>
      <c r="AB22" s="34">
        <f t="shared" si="14"/>
        <v>2</v>
      </c>
      <c r="AC22" s="34">
        <f t="shared" si="14"/>
        <v>1053</v>
      </c>
      <c r="AD22" s="34">
        <f t="shared" si="14"/>
        <v>0</v>
      </c>
      <c r="AE22" s="31">
        <f t="shared" si="14"/>
        <v>286</v>
      </c>
      <c r="AF22" s="31">
        <f t="shared" si="14"/>
        <v>1339</v>
      </c>
    </row>
    <row r="23" spans="2:32" ht="23.1" customHeight="1" x14ac:dyDescent="0.25">
      <c r="B23" s="45" t="s">
        <v>50</v>
      </c>
      <c r="C23" s="50">
        <v>30</v>
      </c>
      <c r="D23" s="50">
        <v>4</v>
      </c>
      <c r="E23" s="50">
        <v>5</v>
      </c>
      <c r="F23" s="50">
        <v>4</v>
      </c>
      <c r="G23" s="50">
        <v>1</v>
      </c>
      <c r="H23" s="50">
        <v>0</v>
      </c>
      <c r="I23" s="50">
        <v>8</v>
      </c>
      <c r="J23" s="50">
        <v>4</v>
      </c>
      <c r="K23" s="50">
        <v>2</v>
      </c>
      <c r="L23" s="50">
        <v>4</v>
      </c>
      <c r="M23" s="50">
        <v>197</v>
      </c>
      <c r="N23" s="50">
        <v>0</v>
      </c>
      <c r="O23" s="15">
        <f t="shared" si="0"/>
        <v>62</v>
      </c>
      <c r="P23" s="15">
        <f t="shared" si="1"/>
        <v>259</v>
      </c>
      <c r="R23" s="36" t="s">
        <v>147</v>
      </c>
      <c r="S23" s="34">
        <f>SUM(C62:C65)</f>
        <v>146</v>
      </c>
      <c r="T23" s="34">
        <f>SUM(D62:D65)</f>
        <v>32</v>
      </c>
      <c r="U23" s="34">
        <f>SUM(E62:E65)</f>
        <v>21</v>
      </c>
      <c r="V23" s="34">
        <f>SUM(F62:F65)</f>
        <v>45</v>
      </c>
      <c r="W23" s="34">
        <f>SUM(G62:G65)</f>
        <v>12</v>
      </c>
      <c r="X23" s="34">
        <f t="shared" ref="X23:AF23" si="15">SUM(H62:H65)</f>
        <v>0</v>
      </c>
      <c r="Y23" s="34">
        <f t="shared" si="15"/>
        <v>7</v>
      </c>
      <c r="Z23" s="34">
        <f t="shared" si="15"/>
        <v>7</v>
      </c>
      <c r="AA23" s="34">
        <f t="shared" si="15"/>
        <v>1</v>
      </c>
      <c r="AB23" s="34">
        <f t="shared" si="15"/>
        <v>0</v>
      </c>
      <c r="AC23" s="34">
        <f t="shared" si="15"/>
        <v>818</v>
      </c>
      <c r="AD23" s="34">
        <f t="shared" si="15"/>
        <v>0</v>
      </c>
      <c r="AE23" s="31">
        <f t="shared" si="15"/>
        <v>271</v>
      </c>
      <c r="AF23" s="31">
        <f t="shared" si="15"/>
        <v>1089</v>
      </c>
    </row>
    <row r="24" spans="2:32" ht="23.1" customHeight="1" x14ac:dyDescent="0.25">
      <c r="B24" s="45" t="s">
        <v>51</v>
      </c>
      <c r="C24" s="50">
        <v>18</v>
      </c>
      <c r="D24" s="50">
        <v>13</v>
      </c>
      <c r="E24" s="50">
        <v>7</v>
      </c>
      <c r="F24" s="50">
        <v>5</v>
      </c>
      <c r="G24" s="50">
        <v>0</v>
      </c>
      <c r="H24" s="50">
        <v>0</v>
      </c>
      <c r="I24" s="50">
        <v>3</v>
      </c>
      <c r="J24" s="50">
        <v>1</v>
      </c>
      <c r="K24" s="50">
        <v>2</v>
      </c>
      <c r="L24" s="50">
        <v>4</v>
      </c>
      <c r="M24" s="50">
        <v>232</v>
      </c>
      <c r="N24" s="50">
        <v>0</v>
      </c>
      <c r="O24" s="15">
        <f t="shared" si="0"/>
        <v>53</v>
      </c>
      <c r="P24" s="15">
        <f t="shared" si="1"/>
        <v>285</v>
      </c>
      <c r="R24" s="36" t="s">
        <v>148</v>
      </c>
      <c r="S24" s="34">
        <f>SUM(C66:C69)</f>
        <v>138</v>
      </c>
      <c r="T24" s="34">
        <f>SUM(D66:D69)</f>
        <v>26</v>
      </c>
      <c r="U24" s="34">
        <f>SUM(E66:E69)</f>
        <v>22</v>
      </c>
      <c r="V24" s="34">
        <f>SUM(F66:F69)</f>
        <v>29</v>
      </c>
      <c r="W24" s="34">
        <f>SUM(G66:G69)</f>
        <v>9</v>
      </c>
      <c r="X24" s="34">
        <f t="shared" ref="X24:AF24" si="16">SUM(H66:H69)</f>
        <v>0</v>
      </c>
      <c r="Y24" s="34">
        <f t="shared" si="16"/>
        <v>13</v>
      </c>
      <c r="Z24" s="34">
        <f t="shared" si="16"/>
        <v>5</v>
      </c>
      <c r="AA24" s="34">
        <f t="shared" si="16"/>
        <v>1</v>
      </c>
      <c r="AB24" s="34">
        <f t="shared" si="16"/>
        <v>9</v>
      </c>
      <c r="AC24" s="34">
        <f t="shared" si="16"/>
        <v>297</v>
      </c>
      <c r="AD24" s="34">
        <f t="shared" si="16"/>
        <v>0</v>
      </c>
      <c r="AE24" s="31">
        <f t="shared" si="16"/>
        <v>252</v>
      </c>
      <c r="AF24" s="31">
        <f t="shared" si="16"/>
        <v>549</v>
      </c>
    </row>
    <row r="25" spans="2:32" ht="23.1" customHeight="1" x14ac:dyDescent="0.25">
      <c r="B25" s="45" t="s">
        <v>52</v>
      </c>
      <c r="C25" s="50">
        <v>41</v>
      </c>
      <c r="D25" s="50">
        <v>9</v>
      </c>
      <c r="E25" s="50">
        <v>7</v>
      </c>
      <c r="F25" s="50">
        <v>8</v>
      </c>
      <c r="G25" s="50">
        <v>4</v>
      </c>
      <c r="H25" s="50">
        <v>0</v>
      </c>
      <c r="I25" s="50">
        <v>5</v>
      </c>
      <c r="J25" s="50">
        <v>1</v>
      </c>
      <c r="K25" s="50">
        <v>3</v>
      </c>
      <c r="L25" s="50">
        <v>6</v>
      </c>
      <c r="M25" s="50">
        <v>120</v>
      </c>
      <c r="N25" s="50">
        <v>0</v>
      </c>
      <c r="O25" s="15">
        <f t="shared" si="0"/>
        <v>84</v>
      </c>
      <c r="P25" s="15">
        <f t="shared" si="1"/>
        <v>204</v>
      </c>
      <c r="R25" s="36" t="s">
        <v>149</v>
      </c>
      <c r="S25" s="34">
        <f>SUM(C70:C73)</f>
        <v>84</v>
      </c>
      <c r="T25" s="34">
        <f>SUM(D70:D73)</f>
        <v>23</v>
      </c>
      <c r="U25" s="34">
        <f>SUM(E70:E73)</f>
        <v>11</v>
      </c>
      <c r="V25" s="34">
        <f>SUM(F70:F73)</f>
        <v>13</v>
      </c>
      <c r="W25" s="34">
        <f>SUM(G70:G73)</f>
        <v>6</v>
      </c>
      <c r="X25" s="34">
        <f t="shared" ref="X25:AF25" si="17">SUM(H70:H73)</f>
        <v>0</v>
      </c>
      <c r="Y25" s="34">
        <f t="shared" si="17"/>
        <v>3</v>
      </c>
      <c r="Z25" s="34">
        <f t="shared" si="17"/>
        <v>6</v>
      </c>
      <c r="AA25" s="34">
        <f t="shared" si="17"/>
        <v>1</v>
      </c>
      <c r="AB25" s="34">
        <f t="shared" si="17"/>
        <v>6</v>
      </c>
      <c r="AC25" s="34">
        <f t="shared" si="17"/>
        <v>286</v>
      </c>
      <c r="AD25" s="34">
        <f t="shared" si="17"/>
        <v>0</v>
      </c>
      <c r="AE25" s="31">
        <f t="shared" si="17"/>
        <v>153</v>
      </c>
      <c r="AF25" s="31">
        <f t="shared" si="17"/>
        <v>439</v>
      </c>
    </row>
    <row r="26" spans="2:32" ht="23.1" customHeight="1" x14ac:dyDescent="0.25">
      <c r="B26" s="45" t="s">
        <v>53</v>
      </c>
      <c r="C26" s="50">
        <v>41</v>
      </c>
      <c r="D26" s="50">
        <v>4</v>
      </c>
      <c r="E26" s="50">
        <v>6</v>
      </c>
      <c r="F26" s="50">
        <v>16</v>
      </c>
      <c r="G26" s="50">
        <v>0</v>
      </c>
      <c r="H26" s="50">
        <v>0</v>
      </c>
      <c r="I26" s="50">
        <v>4</v>
      </c>
      <c r="J26" s="50">
        <v>1</v>
      </c>
      <c r="K26" s="50">
        <v>3</v>
      </c>
      <c r="L26" s="50">
        <v>4</v>
      </c>
      <c r="M26" s="50">
        <v>165</v>
      </c>
      <c r="N26" s="50">
        <v>1</v>
      </c>
      <c r="O26" s="15">
        <f t="shared" si="0"/>
        <v>80</v>
      </c>
      <c r="P26" s="15">
        <f t="shared" si="1"/>
        <v>245</v>
      </c>
      <c r="R26" s="36" t="s">
        <v>150</v>
      </c>
      <c r="S26" s="34">
        <f>SUM(C74:C77)</f>
        <v>65</v>
      </c>
      <c r="T26" s="34">
        <f>SUM(D74:D77)</f>
        <v>20</v>
      </c>
      <c r="U26" s="34">
        <f>SUM(E74:E77)</f>
        <v>8</v>
      </c>
      <c r="V26" s="34">
        <f>SUM(F74:F77)</f>
        <v>3</v>
      </c>
      <c r="W26" s="34">
        <f>SUM(G74:G77)</f>
        <v>1</v>
      </c>
      <c r="X26" s="34">
        <f t="shared" ref="X26:AF26" si="18">SUM(H74:H77)</f>
        <v>0</v>
      </c>
      <c r="Y26" s="34">
        <f t="shared" si="18"/>
        <v>2</v>
      </c>
      <c r="Z26" s="34">
        <f t="shared" si="18"/>
        <v>2</v>
      </c>
      <c r="AA26" s="34">
        <f t="shared" si="18"/>
        <v>4</v>
      </c>
      <c r="AB26" s="34">
        <f t="shared" si="18"/>
        <v>2</v>
      </c>
      <c r="AC26" s="34">
        <f t="shared" si="18"/>
        <v>240</v>
      </c>
      <c r="AD26" s="34">
        <f t="shared" si="18"/>
        <v>0</v>
      </c>
      <c r="AE26" s="31">
        <f t="shared" si="18"/>
        <v>107</v>
      </c>
      <c r="AF26" s="31">
        <f t="shared" si="18"/>
        <v>347</v>
      </c>
    </row>
    <row r="27" spans="2:32" ht="23.1" customHeight="1" x14ac:dyDescent="0.25">
      <c r="B27" s="45" t="s">
        <v>54</v>
      </c>
      <c r="C27" s="50">
        <v>40</v>
      </c>
      <c r="D27" s="50">
        <v>11</v>
      </c>
      <c r="E27" s="50">
        <v>7</v>
      </c>
      <c r="F27" s="50">
        <v>7</v>
      </c>
      <c r="G27" s="50">
        <v>0</v>
      </c>
      <c r="H27" s="50">
        <v>0</v>
      </c>
      <c r="I27" s="50">
        <v>0</v>
      </c>
      <c r="J27" s="50">
        <v>2</v>
      </c>
      <c r="K27" s="50">
        <v>6</v>
      </c>
      <c r="L27" s="50">
        <v>2</v>
      </c>
      <c r="M27" s="50">
        <v>145</v>
      </c>
      <c r="N27" s="50">
        <v>0</v>
      </c>
      <c r="O27" s="15">
        <f t="shared" si="0"/>
        <v>75</v>
      </c>
      <c r="P27" s="15">
        <f t="shared" si="1"/>
        <v>220</v>
      </c>
      <c r="R27" s="36" t="s">
        <v>151</v>
      </c>
      <c r="S27" s="34">
        <f>SUM(C78:C81)</f>
        <v>20</v>
      </c>
      <c r="T27" s="34">
        <f>SUM(D78:D81)</f>
        <v>6</v>
      </c>
      <c r="U27" s="34">
        <f>SUM(E78:E81)</f>
        <v>7</v>
      </c>
      <c r="V27" s="34">
        <f>SUM(F78:F81)</f>
        <v>9</v>
      </c>
      <c r="W27" s="34">
        <f>SUM(G78:G81)</f>
        <v>0</v>
      </c>
      <c r="X27" s="34">
        <f t="shared" ref="X27:AF27" si="19">SUM(H78:H81)</f>
        <v>0</v>
      </c>
      <c r="Y27" s="34">
        <f t="shared" si="19"/>
        <v>2</v>
      </c>
      <c r="Z27" s="34">
        <f t="shared" si="19"/>
        <v>6</v>
      </c>
      <c r="AA27" s="34">
        <f t="shared" si="19"/>
        <v>3</v>
      </c>
      <c r="AB27" s="34">
        <f t="shared" si="19"/>
        <v>2</v>
      </c>
      <c r="AC27" s="34">
        <f t="shared" si="19"/>
        <v>135</v>
      </c>
      <c r="AD27" s="34">
        <f t="shared" si="19"/>
        <v>0</v>
      </c>
      <c r="AE27" s="31">
        <f t="shared" si="19"/>
        <v>55</v>
      </c>
      <c r="AF27" s="31">
        <f t="shared" si="19"/>
        <v>190</v>
      </c>
    </row>
    <row r="28" spans="2:32" ht="23.1" customHeight="1" x14ac:dyDescent="0.25">
      <c r="B28" s="45" t="s">
        <v>55</v>
      </c>
      <c r="C28" s="50">
        <v>44</v>
      </c>
      <c r="D28" s="50">
        <v>7</v>
      </c>
      <c r="E28" s="50">
        <v>4</v>
      </c>
      <c r="F28" s="50">
        <v>10</v>
      </c>
      <c r="G28" s="50">
        <v>1</v>
      </c>
      <c r="H28" s="50">
        <v>0</v>
      </c>
      <c r="I28" s="50">
        <v>3</v>
      </c>
      <c r="J28" s="50">
        <v>5</v>
      </c>
      <c r="K28" s="50">
        <v>5</v>
      </c>
      <c r="L28" s="50">
        <v>0</v>
      </c>
      <c r="M28" s="50">
        <v>101</v>
      </c>
      <c r="N28" s="50">
        <v>0</v>
      </c>
      <c r="O28" s="15">
        <f t="shared" si="0"/>
        <v>79</v>
      </c>
      <c r="P28" s="15">
        <f t="shared" si="1"/>
        <v>180</v>
      </c>
      <c r="R28" s="36" t="s">
        <v>152</v>
      </c>
      <c r="S28" s="34">
        <f>SUM(C82:C85)</f>
        <v>22</v>
      </c>
      <c r="T28" s="34">
        <f>SUM(D82:D85)</f>
        <v>2</v>
      </c>
      <c r="U28" s="34">
        <f>SUM(E82:E85)</f>
        <v>4</v>
      </c>
      <c r="V28" s="34">
        <f>SUM(F82:F85)</f>
        <v>2</v>
      </c>
      <c r="W28" s="34">
        <f>SUM(G82:G85)</f>
        <v>0</v>
      </c>
      <c r="X28" s="34">
        <f t="shared" ref="X28:AF28" si="20">SUM(H82:H85)</f>
        <v>0</v>
      </c>
      <c r="Y28" s="34">
        <f t="shared" si="20"/>
        <v>4</v>
      </c>
      <c r="Z28" s="34">
        <f t="shared" si="20"/>
        <v>2</v>
      </c>
      <c r="AA28" s="34">
        <f t="shared" si="20"/>
        <v>0</v>
      </c>
      <c r="AB28" s="34">
        <f t="shared" si="20"/>
        <v>5</v>
      </c>
      <c r="AC28" s="34">
        <f t="shared" si="20"/>
        <v>72</v>
      </c>
      <c r="AD28" s="34">
        <f t="shared" si="20"/>
        <v>0</v>
      </c>
      <c r="AE28" s="31">
        <f t="shared" si="20"/>
        <v>41</v>
      </c>
      <c r="AF28" s="31">
        <f t="shared" si="20"/>
        <v>113</v>
      </c>
    </row>
    <row r="29" spans="2:32" ht="23.1" customHeight="1" x14ac:dyDescent="0.25">
      <c r="B29" s="45" t="s">
        <v>56</v>
      </c>
      <c r="C29" s="50">
        <v>34</v>
      </c>
      <c r="D29" s="50">
        <v>7</v>
      </c>
      <c r="E29" s="50">
        <v>3</v>
      </c>
      <c r="F29" s="50">
        <v>8</v>
      </c>
      <c r="G29" s="50">
        <v>3</v>
      </c>
      <c r="H29" s="50">
        <v>0</v>
      </c>
      <c r="I29" s="50">
        <v>6</v>
      </c>
      <c r="J29" s="50">
        <v>3</v>
      </c>
      <c r="K29" s="50">
        <v>2</v>
      </c>
      <c r="L29" s="50">
        <v>2</v>
      </c>
      <c r="M29" s="50">
        <v>50</v>
      </c>
      <c r="N29" s="50">
        <v>0</v>
      </c>
      <c r="O29" s="15">
        <f t="shared" si="0"/>
        <v>68</v>
      </c>
      <c r="P29" s="15">
        <f t="shared" si="1"/>
        <v>118</v>
      </c>
      <c r="R29" s="36" t="s">
        <v>153</v>
      </c>
      <c r="S29" s="34">
        <f>SUM(C86:C89)</f>
        <v>15</v>
      </c>
      <c r="T29" s="34">
        <f>SUM(D86:D89)</f>
        <v>0</v>
      </c>
      <c r="U29" s="34">
        <f>SUM(E86:E89)</f>
        <v>1</v>
      </c>
      <c r="V29" s="34">
        <f>SUM(F86:F89)</f>
        <v>4</v>
      </c>
      <c r="W29" s="34">
        <f>SUM(G86:G89)</f>
        <v>0</v>
      </c>
      <c r="X29" s="34">
        <f t="shared" ref="X29:AF29" si="21">SUM(H86:H89)</f>
        <v>0</v>
      </c>
      <c r="Y29" s="34">
        <f t="shared" si="21"/>
        <v>2</v>
      </c>
      <c r="Z29" s="34">
        <f t="shared" si="21"/>
        <v>1</v>
      </c>
      <c r="AA29" s="34">
        <f t="shared" si="21"/>
        <v>2</v>
      </c>
      <c r="AB29" s="34">
        <f t="shared" si="21"/>
        <v>1</v>
      </c>
      <c r="AC29" s="34">
        <f t="shared" si="21"/>
        <v>58</v>
      </c>
      <c r="AD29" s="34">
        <f t="shared" si="21"/>
        <v>0</v>
      </c>
      <c r="AE29" s="31">
        <f t="shared" si="21"/>
        <v>26</v>
      </c>
      <c r="AF29" s="31">
        <f t="shared" si="21"/>
        <v>84</v>
      </c>
    </row>
    <row r="30" spans="2:32" ht="23.1" customHeight="1" x14ac:dyDescent="0.25">
      <c r="B30" s="45" t="s">
        <v>57</v>
      </c>
      <c r="C30" s="50">
        <v>48</v>
      </c>
      <c r="D30" s="50">
        <v>11</v>
      </c>
      <c r="E30" s="50">
        <v>10</v>
      </c>
      <c r="F30" s="50">
        <v>12</v>
      </c>
      <c r="G30" s="50">
        <v>0</v>
      </c>
      <c r="H30" s="50">
        <v>0</v>
      </c>
      <c r="I30" s="50">
        <v>4</v>
      </c>
      <c r="J30" s="50">
        <v>3</v>
      </c>
      <c r="K30" s="50">
        <v>3</v>
      </c>
      <c r="L30" s="50">
        <v>13</v>
      </c>
      <c r="M30" s="50">
        <v>109</v>
      </c>
      <c r="N30" s="50">
        <v>0</v>
      </c>
      <c r="O30" s="15">
        <f t="shared" si="0"/>
        <v>104</v>
      </c>
      <c r="P30" s="15">
        <f t="shared" si="1"/>
        <v>213</v>
      </c>
      <c r="R30" s="36" t="s">
        <v>154</v>
      </c>
      <c r="S30" s="34">
        <f>SUM(C90:C93)</f>
        <v>5</v>
      </c>
      <c r="T30" s="34">
        <f t="shared" ref="T30:AF30" si="22">SUM(D90:D93)</f>
        <v>0</v>
      </c>
      <c r="U30" s="34">
        <f t="shared" si="22"/>
        <v>2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2</v>
      </c>
      <c r="AA30" s="34">
        <f t="shared" si="22"/>
        <v>2</v>
      </c>
      <c r="AB30" s="34">
        <f t="shared" si="22"/>
        <v>5</v>
      </c>
      <c r="AC30" s="34">
        <f t="shared" si="22"/>
        <v>37</v>
      </c>
      <c r="AD30" s="34">
        <f t="shared" si="22"/>
        <v>0</v>
      </c>
      <c r="AE30" s="31">
        <f t="shared" si="22"/>
        <v>16</v>
      </c>
      <c r="AF30" s="31">
        <f t="shared" si="22"/>
        <v>53</v>
      </c>
    </row>
    <row r="31" spans="2:32" ht="23.1" customHeight="1" x14ac:dyDescent="0.25">
      <c r="B31" s="46" t="s">
        <v>58</v>
      </c>
      <c r="C31" s="50">
        <v>33</v>
      </c>
      <c r="D31" s="50">
        <v>7</v>
      </c>
      <c r="E31" s="50">
        <v>10</v>
      </c>
      <c r="F31" s="50">
        <v>10</v>
      </c>
      <c r="G31" s="50">
        <v>4</v>
      </c>
      <c r="H31" s="50">
        <v>0</v>
      </c>
      <c r="I31" s="50">
        <v>4</v>
      </c>
      <c r="J31" s="50">
        <v>3</v>
      </c>
      <c r="K31" s="50">
        <v>3</v>
      </c>
      <c r="L31" s="50">
        <v>5</v>
      </c>
      <c r="M31" s="50">
        <v>100</v>
      </c>
      <c r="N31" s="50">
        <v>0</v>
      </c>
      <c r="O31" s="15">
        <f t="shared" si="0"/>
        <v>79</v>
      </c>
      <c r="P31" s="15">
        <f t="shared" si="1"/>
        <v>179</v>
      </c>
      <c r="R31" s="36" t="s">
        <v>155</v>
      </c>
      <c r="S31" s="34">
        <f>SUM(C94:C97)</f>
        <v>7</v>
      </c>
      <c r="T31" s="34">
        <f t="shared" ref="T31:AF31" si="23">SUM(D94:D97)</f>
        <v>1</v>
      </c>
      <c r="U31" s="34">
        <f t="shared" si="23"/>
        <v>2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2</v>
      </c>
      <c r="AA31" s="34">
        <f t="shared" si="23"/>
        <v>1</v>
      </c>
      <c r="AB31" s="34">
        <f t="shared" si="23"/>
        <v>2</v>
      </c>
      <c r="AC31" s="34">
        <f t="shared" si="23"/>
        <v>79</v>
      </c>
      <c r="AD31" s="34">
        <f t="shared" si="23"/>
        <v>0</v>
      </c>
      <c r="AE31" s="31">
        <f t="shared" si="23"/>
        <v>17</v>
      </c>
      <c r="AF31" s="31">
        <f t="shared" si="23"/>
        <v>96</v>
      </c>
    </row>
    <row r="32" spans="2:32" ht="23.1" customHeight="1" x14ac:dyDescent="0.25">
      <c r="B32" s="46" t="s">
        <v>59</v>
      </c>
      <c r="C32" s="50">
        <v>31</v>
      </c>
      <c r="D32" s="50">
        <v>12</v>
      </c>
      <c r="E32" s="50">
        <v>8</v>
      </c>
      <c r="F32" s="50">
        <v>7</v>
      </c>
      <c r="G32" s="50">
        <v>0</v>
      </c>
      <c r="H32" s="50">
        <v>0</v>
      </c>
      <c r="I32" s="50">
        <v>3</v>
      </c>
      <c r="J32" s="50">
        <v>2</v>
      </c>
      <c r="K32" s="50">
        <v>2</v>
      </c>
      <c r="L32" s="50">
        <v>6</v>
      </c>
      <c r="M32" s="50">
        <v>62</v>
      </c>
      <c r="N32" s="50">
        <v>0</v>
      </c>
      <c r="O32" s="15">
        <f t="shared" si="0"/>
        <v>71</v>
      </c>
      <c r="P32" s="15">
        <f t="shared" si="1"/>
        <v>133</v>
      </c>
      <c r="R32" s="33" t="s">
        <v>156</v>
      </c>
      <c r="S32" s="34">
        <f>SUM(C98:C101)</f>
        <v>7</v>
      </c>
      <c r="T32" s="34">
        <f t="shared" ref="T32:AF32" si="24">SUM(D98:D101)</f>
        <v>3</v>
      </c>
      <c r="U32" s="34">
        <f t="shared" si="24"/>
        <v>2</v>
      </c>
      <c r="V32" s="34">
        <f t="shared" si="24"/>
        <v>14</v>
      </c>
      <c r="W32" s="34">
        <f t="shared" si="24"/>
        <v>0</v>
      </c>
      <c r="X32" s="34">
        <f t="shared" si="24"/>
        <v>0</v>
      </c>
      <c r="Y32" s="34">
        <f t="shared" si="24"/>
        <v>10</v>
      </c>
      <c r="Z32" s="34">
        <f t="shared" si="24"/>
        <v>7</v>
      </c>
      <c r="AA32" s="34">
        <f t="shared" si="24"/>
        <v>5</v>
      </c>
      <c r="AB32" s="34">
        <f t="shared" si="24"/>
        <v>10</v>
      </c>
      <c r="AC32" s="34">
        <f t="shared" si="24"/>
        <v>213</v>
      </c>
      <c r="AD32" s="34">
        <f t="shared" si="24"/>
        <v>0</v>
      </c>
      <c r="AE32" s="31">
        <f t="shared" si="24"/>
        <v>58</v>
      </c>
      <c r="AF32" s="31">
        <f t="shared" si="24"/>
        <v>271</v>
      </c>
    </row>
    <row r="33" spans="2:32" ht="23.1" customHeight="1" x14ac:dyDescent="0.25">
      <c r="B33" s="45" t="s">
        <v>60</v>
      </c>
      <c r="C33" s="50">
        <v>27</v>
      </c>
      <c r="D33" s="50">
        <v>5</v>
      </c>
      <c r="E33" s="50">
        <v>2</v>
      </c>
      <c r="F33" s="50">
        <v>1</v>
      </c>
      <c r="G33" s="50">
        <v>1</v>
      </c>
      <c r="H33" s="50">
        <v>0</v>
      </c>
      <c r="I33" s="50">
        <v>2</v>
      </c>
      <c r="J33" s="50">
        <v>2</v>
      </c>
      <c r="K33" s="50">
        <v>2</v>
      </c>
      <c r="L33" s="50">
        <v>7</v>
      </c>
      <c r="M33" s="50">
        <v>148</v>
      </c>
      <c r="N33" s="50">
        <v>0</v>
      </c>
      <c r="O33" s="15">
        <f t="shared" si="0"/>
        <v>49</v>
      </c>
      <c r="P33" s="15">
        <f t="shared" si="1"/>
        <v>197</v>
      </c>
      <c r="R33" s="33" t="s">
        <v>157</v>
      </c>
      <c r="S33" s="34">
        <f>SUM(C102:C105)</f>
        <v>142</v>
      </c>
      <c r="T33" s="34">
        <f t="shared" ref="T33:AF33" si="25">SUM(D102:D105)</f>
        <v>28</v>
      </c>
      <c r="U33" s="34">
        <f t="shared" si="25"/>
        <v>17</v>
      </c>
      <c r="V33" s="34">
        <f t="shared" si="25"/>
        <v>67</v>
      </c>
      <c r="W33" s="34">
        <f t="shared" si="25"/>
        <v>5</v>
      </c>
      <c r="X33" s="34">
        <f t="shared" si="25"/>
        <v>0</v>
      </c>
      <c r="Y33" s="34">
        <f t="shared" si="25"/>
        <v>5</v>
      </c>
      <c r="Z33" s="34">
        <f t="shared" si="25"/>
        <v>5</v>
      </c>
      <c r="AA33" s="34">
        <f t="shared" si="25"/>
        <v>1</v>
      </c>
      <c r="AB33" s="34">
        <f t="shared" si="25"/>
        <v>16</v>
      </c>
      <c r="AC33" s="34">
        <f t="shared" si="25"/>
        <v>451</v>
      </c>
      <c r="AD33" s="34">
        <f t="shared" si="25"/>
        <v>0</v>
      </c>
      <c r="AE33" s="31">
        <f t="shared" si="25"/>
        <v>286</v>
      </c>
      <c r="AF33" s="31">
        <f t="shared" si="25"/>
        <v>737</v>
      </c>
    </row>
    <row r="34" spans="2:32" ht="23.1" customHeight="1" x14ac:dyDescent="0.25">
      <c r="B34" s="46" t="s">
        <v>61</v>
      </c>
      <c r="C34" s="50">
        <v>24</v>
      </c>
      <c r="D34" s="50">
        <v>6</v>
      </c>
      <c r="E34" s="50">
        <v>5</v>
      </c>
      <c r="F34" s="50">
        <v>2</v>
      </c>
      <c r="G34" s="50">
        <v>0</v>
      </c>
      <c r="H34" s="50">
        <v>1</v>
      </c>
      <c r="I34" s="50">
        <v>3</v>
      </c>
      <c r="J34" s="50">
        <v>3</v>
      </c>
      <c r="K34" s="50">
        <v>1</v>
      </c>
      <c r="L34" s="50">
        <v>7</v>
      </c>
      <c r="M34" s="50">
        <v>53</v>
      </c>
      <c r="N34" s="50">
        <v>0</v>
      </c>
      <c r="O34" s="15">
        <f t="shared" si="0"/>
        <v>52</v>
      </c>
      <c r="P34" s="15">
        <f t="shared" si="1"/>
        <v>105</v>
      </c>
      <c r="R34" s="38" t="s">
        <v>90</v>
      </c>
      <c r="S34" s="39">
        <f t="shared" ref="S34:AF34" si="26">MAX(S10:S12)</f>
        <v>155</v>
      </c>
      <c r="T34" s="39">
        <f t="shared" si="26"/>
        <v>40</v>
      </c>
      <c r="U34" s="39">
        <f t="shared" si="26"/>
        <v>28</v>
      </c>
      <c r="V34" s="39">
        <f t="shared" si="26"/>
        <v>24</v>
      </c>
      <c r="W34" s="39">
        <f t="shared" si="26"/>
        <v>7</v>
      </c>
      <c r="X34" s="39">
        <f t="shared" si="26"/>
        <v>0</v>
      </c>
      <c r="Y34" s="39">
        <f t="shared" si="26"/>
        <v>8</v>
      </c>
      <c r="Z34" s="39">
        <f t="shared" si="26"/>
        <v>8</v>
      </c>
      <c r="AA34" s="39">
        <f t="shared" si="26"/>
        <v>11</v>
      </c>
      <c r="AB34" s="39">
        <f t="shared" si="26"/>
        <v>13</v>
      </c>
      <c r="AC34" s="39">
        <f t="shared" si="26"/>
        <v>812</v>
      </c>
      <c r="AD34" s="39">
        <f t="shared" si="26"/>
        <v>0</v>
      </c>
      <c r="AE34" s="40">
        <f t="shared" si="26"/>
        <v>268</v>
      </c>
      <c r="AF34" s="40">
        <f t="shared" si="26"/>
        <v>1039</v>
      </c>
    </row>
    <row r="35" spans="2:32" ht="23.1" customHeight="1" x14ac:dyDescent="0.25">
      <c r="B35" s="46" t="s">
        <v>62</v>
      </c>
      <c r="C35" s="50">
        <v>33</v>
      </c>
      <c r="D35" s="50">
        <v>13</v>
      </c>
      <c r="E35" s="50">
        <v>8</v>
      </c>
      <c r="F35" s="50">
        <v>9</v>
      </c>
      <c r="G35" s="50">
        <v>1</v>
      </c>
      <c r="H35" s="50">
        <v>0</v>
      </c>
      <c r="I35" s="50">
        <v>6</v>
      </c>
      <c r="J35" s="50">
        <v>1</v>
      </c>
      <c r="K35" s="50">
        <v>3</v>
      </c>
      <c r="L35" s="50">
        <v>2</v>
      </c>
      <c r="M35" s="50">
        <v>113</v>
      </c>
      <c r="N35" s="50">
        <v>0</v>
      </c>
      <c r="O35" s="15">
        <f t="shared" si="0"/>
        <v>76</v>
      </c>
      <c r="P35" s="15">
        <f t="shared" si="1"/>
        <v>189</v>
      </c>
      <c r="R35" s="38" t="s">
        <v>91</v>
      </c>
      <c r="S35" s="39">
        <f t="shared" ref="S35:AF35" si="27">MAX(S13:S18)</f>
        <v>159</v>
      </c>
      <c r="T35" s="39">
        <f t="shared" si="27"/>
        <v>69</v>
      </c>
      <c r="U35" s="39">
        <f t="shared" si="27"/>
        <v>30</v>
      </c>
      <c r="V35" s="39">
        <f t="shared" si="27"/>
        <v>41</v>
      </c>
      <c r="W35" s="39">
        <f t="shared" si="27"/>
        <v>7</v>
      </c>
      <c r="X35" s="39">
        <f t="shared" si="27"/>
        <v>3</v>
      </c>
      <c r="Y35" s="39">
        <f t="shared" si="27"/>
        <v>23</v>
      </c>
      <c r="Z35" s="39">
        <f t="shared" si="27"/>
        <v>18</v>
      </c>
      <c r="AA35" s="39">
        <f t="shared" si="27"/>
        <v>16</v>
      </c>
      <c r="AB35" s="39">
        <f t="shared" si="27"/>
        <v>31</v>
      </c>
      <c r="AC35" s="39">
        <f t="shared" si="27"/>
        <v>704</v>
      </c>
      <c r="AD35" s="39">
        <f t="shared" si="27"/>
        <v>1</v>
      </c>
      <c r="AE35" s="40">
        <f t="shared" si="27"/>
        <v>304</v>
      </c>
      <c r="AF35" s="40">
        <f t="shared" si="27"/>
        <v>974</v>
      </c>
    </row>
    <row r="36" spans="2:32" ht="23.1" customHeight="1" x14ac:dyDescent="0.25">
      <c r="B36" s="46" t="s">
        <v>63</v>
      </c>
      <c r="C36" s="50">
        <v>27</v>
      </c>
      <c r="D36" s="50">
        <v>10</v>
      </c>
      <c r="E36" s="50">
        <v>10</v>
      </c>
      <c r="F36" s="50">
        <v>3</v>
      </c>
      <c r="G36" s="50">
        <v>0</v>
      </c>
      <c r="H36" s="50">
        <v>0</v>
      </c>
      <c r="I36" s="50">
        <v>3</v>
      </c>
      <c r="J36" s="50">
        <v>3</v>
      </c>
      <c r="K36" s="50">
        <v>3</v>
      </c>
      <c r="L36" s="50">
        <v>4</v>
      </c>
      <c r="M36" s="50">
        <v>122</v>
      </c>
      <c r="N36" s="50">
        <v>0</v>
      </c>
      <c r="O36" s="15">
        <f t="shared" si="0"/>
        <v>63</v>
      </c>
      <c r="P36" s="15">
        <f t="shared" si="1"/>
        <v>185</v>
      </c>
      <c r="R36" s="38" t="s">
        <v>92</v>
      </c>
      <c r="S36" s="39">
        <f t="shared" ref="S36:AF36" si="28">MAX(S19:S21)</f>
        <v>143</v>
      </c>
      <c r="T36" s="39">
        <f t="shared" si="28"/>
        <v>39</v>
      </c>
      <c r="U36" s="39">
        <f t="shared" si="28"/>
        <v>22</v>
      </c>
      <c r="V36" s="39">
        <f t="shared" si="28"/>
        <v>43</v>
      </c>
      <c r="W36" s="39">
        <f t="shared" si="28"/>
        <v>4</v>
      </c>
      <c r="X36" s="39">
        <f t="shared" si="28"/>
        <v>0</v>
      </c>
      <c r="Y36" s="39">
        <f t="shared" si="28"/>
        <v>18</v>
      </c>
      <c r="Z36" s="39">
        <f t="shared" si="28"/>
        <v>9</v>
      </c>
      <c r="AA36" s="39">
        <f t="shared" si="28"/>
        <v>9</v>
      </c>
      <c r="AB36" s="39">
        <f t="shared" si="28"/>
        <v>19</v>
      </c>
      <c r="AC36" s="39">
        <f t="shared" si="28"/>
        <v>431</v>
      </c>
      <c r="AD36" s="39">
        <f t="shared" si="28"/>
        <v>0</v>
      </c>
      <c r="AE36" s="40">
        <f t="shared" si="28"/>
        <v>280</v>
      </c>
      <c r="AF36" s="40">
        <f t="shared" si="28"/>
        <v>711</v>
      </c>
    </row>
    <row r="37" spans="2:32" ht="23.1" customHeight="1" x14ac:dyDescent="0.25">
      <c r="B37" s="45" t="s">
        <v>64</v>
      </c>
      <c r="C37" s="50">
        <v>21</v>
      </c>
      <c r="D37" s="50">
        <v>7</v>
      </c>
      <c r="E37" s="50">
        <v>4</v>
      </c>
      <c r="F37" s="50">
        <v>3</v>
      </c>
      <c r="G37" s="50">
        <v>1</v>
      </c>
      <c r="H37" s="50">
        <v>2</v>
      </c>
      <c r="I37" s="50">
        <v>4</v>
      </c>
      <c r="J37" s="50">
        <v>3</v>
      </c>
      <c r="K37" s="50">
        <v>3</v>
      </c>
      <c r="L37" s="50">
        <v>5</v>
      </c>
      <c r="M37" s="50">
        <v>106</v>
      </c>
      <c r="N37" s="50">
        <v>0</v>
      </c>
      <c r="O37" s="15">
        <f t="shared" si="0"/>
        <v>53</v>
      </c>
      <c r="P37" s="15">
        <f t="shared" si="1"/>
        <v>159</v>
      </c>
      <c r="R37" s="37" t="s">
        <v>85</v>
      </c>
      <c r="S37" s="35">
        <f t="shared" ref="S37:AF37" si="29">SUM(S10:S12)</f>
        <v>429</v>
      </c>
      <c r="T37" s="16">
        <f t="shared" si="29"/>
        <v>94</v>
      </c>
      <c r="U37" s="16">
        <f t="shared" si="29"/>
        <v>64</v>
      </c>
      <c r="V37" s="16">
        <f t="shared" si="29"/>
        <v>60</v>
      </c>
      <c r="W37" s="16">
        <f t="shared" si="29"/>
        <v>15</v>
      </c>
      <c r="X37" s="16">
        <f t="shared" si="29"/>
        <v>0</v>
      </c>
      <c r="Y37" s="16">
        <f t="shared" si="29"/>
        <v>17</v>
      </c>
      <c r="Z37" s="16">
        <f t="shared" si="29"/>
        <v>17</v>
      </c>
      <c r="AA37" s="16">
        <f t="shared" si="29"/>
        <v>21</v>
      </c>
      <c r="AB37" s="16">
        <f t="shared" si="29"/>
        <v>25</v>
      </c>
      <c r="AC37" s="16">
        <f t="shared" si="29"/>
        <v>2278</v>
      </c>
      <c r="AD37" s="16">
        <f t="shared" si="29"/>
        <v>0</v>
      </c>
      <c r="AE37" s="32">
        <f t="shared" si="29"/>
        <v>742</v>
      </c>
      <c r="AF37" s="32">
        <f t="shared" si="29"/>
        <v>3020</v>
      </c>
    </row>
    <row r="38" spans="2:32" ht="23.1" customHeight="1" x14ac:dyDescent="0.25">
      <c r="B38" s="46" t="s">
        <v>65</v>
      </c>
      <c r="C38" s="50">
        <v>33</v>
      </c>
      <c r="D38" s="50">
        <v>30</v>
      </c>
      <c r="E38" s="50">
        <v>7</v>
      </c>
      <c r="F38" s="50">
        <v>4</v>
      </c>
      <c r="G38" s="50">
        <v>0</v>
      </c>
      <c r="H38" s="50">
        <v>0</v>
      </c>
      <c r="I38" s="50">
        <v>5</v>
      </c>
      <c r="J38" s="50">
        <v>5</v>
      </c>
      <c r="K38" s="50">
        <v>3</v>
      </c>
      <c r="L38" s="50">
        <v>6</v>
      </c>
      <c r="M38" s="50">
        <v>86</v>
      </c>
      <c r="N38" s="50">
        <v>0</v>
      </c>
      <c r="O38" s="15">
        <f t="shared" si="0"/>
        <v>93</v>
      </c>
      <c r="P38" s="15">
        <f t="shared" si="1"/>
        <v>179</v>
      </c>
      <c r="R38" s="28" t="s">
        <v>86</v>
      </c>
      <c r="S38" s="16">
        <f t="shared" ref="S38:AF38" si="30">SUM(S13:S18)</f>
        <v>795</v>
      </c>
      <c r="T38" s="16">
        <f t="shared" si="30"/>
        <v>232</v>
      </c>
      <c r="U38" s="16">
        <f t="shared" si="30"/>
        <v>149</v>
      </c>
      <c r="V38" s="16">
        <f t="shared" si="30"/>
        <v>150</v>
      </c>
      <c r="W38" s="16">
        <f t="shared" si="30"/>
        <v>26</v>
      </c>
      <c r="X38" s="16">
        <f t="shared" si="30"/>
        <v>3</v>
      </c>
      <c r="Y38" s="16">
        <f t="shared" si="30"/>
        <v>94</v>
      </c>
      <c r="Z38" s="16">
        <f t="shared" si="30"/>
        <v>68</v>
      </c>
      <c r="AA38" s="16">
        <f t="shared" si="30"/>
        <v>62</v>
      </c>
      <c r="AB38" s="16">
        <f t="shared" si="30"/>
        <v>113</v>
      </c>
      <c r="AC38" s="16">
        <f t="shared" si="30"/>
        <v>2523</v>
      </c>
      <c r="AD38" s="16">
        <f t="shared" si="30"/>
        <v>1</v>
      </c>
      <c r="AE38" s="32">
        <f t="shared" si="30"/>
        <v>1693</v>
      </c>
      <c r="AF38" s="32">
        <f t="shared" si="30"/>
        <v>4216</v>
      </c>
    </row>
    <row r="39" spans="2:32" ht="23.1" customHeight="1" x14ac:dyDescent="0.25">
      <c r="B39" s="46" t="s">
        <v>66</v>
      </c>
      <c r="C39" s="50">
        <v>35</v>
      </c>
      <c r="D39" s="50">
        <v>3</v>
      </c>
      <c r="E39" s="50">
        <v>9</v>
      </c>
      <c r="F39" s="50">
        <v>7</v>
      </c>
      <c r="G39" s="50">
        <v>1</v>
      </c>
      <c r="H39" s="50">
        <v>0</v>
      </c>
      <c r="I39" s="50">
        <v>13</v>
      </c>
      <c r="J39" s="50">
        <v>7</v>
      </c>
      <c r="K39" s="50">
        <v>3</v>
      </c>
      <c r="L39" s="50">
        <v>1</v>
      </c>
      <c r="M39" s="50">
        <v>97</v>
      </c>
      <c r="N39" s="50">
        <v>0</v>
      </c>
      <c r="O39" s="15">
        <f t="shared" si="0"/>
        <v>79</v>
      </c>
      <c r="P39" s="15">
        <f t="shared" si="1"/>
        <v>176</v>
      </c>
      <c r="R39" s="29" t="s">
        <v>87</v>
      </c>
      <c r="S39" s="16">
        <f t="shared" ref="S39:AF39" si="31">SUM(S19:S21)</f>
        <v>402</v>
      </c>
      <c r="T39" s="16">
        <f t="shared" si="31"/>
        <v>97</v>
      </c>
      <c r="U39" s="16">
        <f t="shared" si="31"/>
        <v>59</v>
      </c>
      <c r="V39" s="16">
        <f t="shared" si="31"/>
        <v>67</v>
      </c>
      <c r="W39" s="16">
        <f t="shared" si="31"/>
        <v>8</v>
      </c>
      <c r="X39" s="16">
        <f t="shared" si="31"/>
        <v>0</v>
      </c>
      <c r="Y39" s="16">
        <f t="shared" si="31"/>
        <v>28</v>
      </c>
      <c r="Z39" s="16">
        <f t="shared" si="31"/>
        <v>20</v>
      </c>
      <c r="AA39" s="16">
        <f t="shared" si="31"/>
        <v>20</v>
      </c>
      <c r="AB39" s="16">
        <f t="shared" si="31"/>
        <v>42</v>
      </c>
      <c r="AC39" s="16">
        <f t="shared" si="31"/>
        <v>879</v>
      </c>
      <c r="AD39" s="16">
        <f t="shared" si="31"/>
        <v>0</v>
      </c>
      <c r="AE39" s="32">
        <f t="shared" si="31"/>
        <v>743</v>
      </c>
      <c r="AF39" s="32">
        <f t="shared" si="31"/>
        <v>1622</v>
      </c>
    </row>
    <row r="40" spans="2:32" ht="23.1" customHeight="1" x14ac:dyDescent="0.25">
      <c r="B40" s="46" t="s">
        <v>67</v>
      </c>
      <c r="C40" s="50">
        <v>42</v>
      </c>
      <c r="D40" s="50">
        <v>30</v>
      </c>
      <c r="E40" s="50">
        <v>6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3</v>
      </c>
      <c r="M40" s="50">
        <v>59</v>
      </c>
      <c r="N40" s="50">
        <v>0</v>
      </c>
      <c r="O40" s="15">
        <f t="shared" si="0"/>
        <v>83</v>
      </c>
      <c r="P40" s="15">
        <f t="shared" si="1"/>
        <v>142</v>
      </c>
      <c r="R40" s="5" t="s">
        <v>17</v>
      </c>
      <c r="S40" s="16">
        <f t="shared" ref="S40:AF40" si="32">SUM(S10:S21)</f>
        <v>1626</v>
      </c>
      <c r="T40" s="16">
        <f t="shared" si="32"/>
        <v>423</v>
      </c>
      <c r="U40" s="16">
        <f t="shared" si="32"/>
        <v>272</v>
      </c>
      <c r="V40" s="16">
        <f t="shared" si="32"/>
        <v>277</v>
      </c>
      <c r="W40" s="16">
        <f t="shared" si="32"/>
        <v>49</v>
      </c>
      <c r="X40" s="16">
        <f t="shared" si="32"/>
        <v>3</v>
      </c>
      <c r="Y40" s="16">
        <f t="shared" si="32"/>
        <v>139</v>
      </c>
      <c r="Z40" s="16">
        <f t="shared" si="32"/>
        <v>105</v>
      </c>
      <c r="AA40" s="16">
        <f t="shared" si="32"/>
        <v>103</v>
      </c>
      <c r="AB40" s="16">
        <f t="shared" si="32"/>
        <v>180</v>
      </c>
      <c r="AC40" s="16">
        <f t="shared" si="32"/>
        <v>5680</v>
      </c>
      <c r="AD40" s="16">
        <f t="shared" si="32"/>
        <v>1</v>
      </c>
      <c r="AE40" s="32">
        <f t="shared" si="32"/>
        <v>3178</v>
      </c>
      <c r="AF40" s="32">
        <f t="shared" si="32"/>
        <v>8858</v>
      </c>
    </row>
    <row r="41" spans="2:32" ht="23.1" customHeight="1" x14ac:dyDescent="0.25">
      <c r="B41" s="45" t="s">
        <v>68</v>
      </c>
      <c r="C41" s="50">
        <v>23</v>
      </c>
      <c r="D41" s="50">
        <v>6</v>
      </c>
      <c r="E41" s="50">
        <v>3</v>
      </c>
      <c r="F41" s="50">
        <v>0</v>
      </c>
      <c r="G41" s="50">
        <v>0</v>
      </c>
      <c r="H41" s="50">
        <v>0</v>
      </c>
      <c r="I41" s="50">
        <v>3</v>
      </c>
      <c r="J41" s="50">
        <v>6</v>
      </c>
      <c r="K41" s="50">
        <v>4</v>
      </c>
      <c r="L41" s="50">
        <v>4</v>
      </c>
      <c r="M41" s="50">
        <v>80</v>
      </c>
      <c r="N41" s="50">
        <v>0</v>
      </c>
      <c r="O41" s="15">
        <f t="shared" si="0"/>
        <v>49</v>
      </c>
      <c r="P41" s="15">
        <f t="shared" si="1"/>
        <v>129</v>
      </c>
      <c r="R41" s="5" t="s">
        <v>159</v>
      </c>
      <c r="S41" s="16">
        <f>SUM(S10:S33)</f>
        <v>2429</v>
      </c>
      <c r="T41" s="16">
        <f t="shared" ref="T41:AF41" si="33">SUM(T10:T33)</f>
        <v>599</v>
      </c>
      <c r="U41" s="16">
        <f t="shared" si="33"/>
        <v>408</v>
      </c>
      <c r="V41" s="16">
        <f t="shared" si="33"/>
        <v>496</v>
      </c>
      <c r="W41" s="16">
        <f t="shared" si="33"/>
        <v>86</v>
      </c>
      <c r="X41" s="16">
        <f t="shared" si="33"/>
        <v>6</v>
      </c>
      <c r="Y41" s="16">
        <f t="shared" si="33"/>
        <v>199</v>
      </c>
      <c r="Z41" s="16">
        <f t="shared" si="33"/>
        <v>158</v>
      </c>
      <c r="AA41" s="16">
        <f t="shared" si="33"/>
        <v>124</v>
      </c>
      <c r="AB41" s="16">
        <f t="shared" si="33"/>
        <v>240</v>
      </c>
      <c r="AC41" s="16">
        <f t="shared" si="33"/>
        <v>9419</v>
      </c>
      <c r="AD41" s="16">
        <f t="shared" si="33"/>
        <v>1</v>
      </c>
      <c r="AE41" s="32">
        <f t="shared" si="33"/>
        <v>4746</v>
      </c>
      <c r="AF41" s="32">
        <f t="shared" si="33"/>
        <v>14165</v>
      </c>
    </row>
    <row r="42" spans="2:32" ht="23.1" customHeight="1" x14ac:dyDescent="0.25">
      <c r="B42" s="46" t="s">
        <v>69</v>
      </c>
      <c r="C42" s="50">
        <v>35</v>
      </c>
      <c r="D42" s="50">
        <v>7</v>
      </c>
      <c r="E42" s="50">
        <v>4</v>
      </c>
      <c r="F42" s="50">
        <v>6</v>
      </c>
      <c r="G42" s="50">
        <v>3</v>
      </c>
      <c r="H42" s="50">
        <v>0</v>
      </c>
      <c r="I42" s="50">
        <v>2</v>
      </c>
      <c r="J42" s="50">
        <v>2</v>
      </c>
      <c r="K42" s="50">
        <v>2</v>
      </c>
      <c r="L42" s="50">
        <v>7</v>
      </c>
      <c r="M42" s="50">
        <v>61</v>
      </c>
      <c r="N42" s="50">
        <v>0</v>
      </c>
      <c r="O42" s="15">
        <f t="shared" si="0"/>
        <v>68</v>
      </c>
      <c r="P42" s="15">
        <f t="shared" si="1"/>
        <v>129</v>
      </c>
      <c r="R42" s="5" t="s">
        <v>160</v>
      </c>
      <c r="S42" s="48">
        <f>S41/S40</f>
        <v>1.4938499384993851</v>
      </c>
      <c r="T42" s="48">
        <f t="shared" ref="T42:AF42" si="34">T41/T40</f>
        <v>1.4160756501182032</v>
      </c>
      <c r="U42" s="48">
        <f t="shared" si="34"/>
        <v>1.5</v>
      </c>
      <c r="V42" s="48">
        <f t="shared" si="34"/>
        <v>1.7906137184115523</v>
      </c>
      <c r="W42" s="48">
        <f t="shared" si="34"/>
        <v>1.7551020408163265</v>
      </c>
      <c r="X42" s="48">
        <f t="shared" si="34"/>
        <v>2</v>
      </c>
      <c r="Y42" s="48">
        <f t="shared" si="34"/>
        <v>1.4316546762589928</v>
      </c>
      <c r="Z42" s="48">
        <f t="shared" si="34"/>
        <v>1.5047619047619047</v>
      </c>
      <c r="AA42" s="48">
        <f t="shared" si="34"/>
        <v>1.203883495145631</v>
      </c>
      <c r="AB42" s="48">
        <f t="shared" si="34"/>
        <v>1.3333333333333333</v>
      </c>
      <c r="AC42" s="48">
        <f t="shared" si="34"/>
        <v>1.658274647887324</v>
      </c>
      <c r="AD42" s="48">
        <f t="shared" si="34"/>
        <v>1</v>
      </c>
      <c r="AE42" s="48">
        <f t="shared" si="34"/>
        <v>1.4933920704845816</v>
      </c>
      <c r="AF42" s="48">
        <f t="shared" si="34"/>
        <v>1.5991194400541884</v>
      </c>
    </row>
    <row r="43" spans="2:32" ht="23.1" customHeight="1" x14ac:dyDescent="0.25">
      <c r="B43" s="45" t="s">
        <v>70</v>
      </c>
      <c r="C43" s="50">
        <v>31</v>
      </c>
      <c r="D43" s="50">
        <v>7</v>
      </c>
      <c r="E43" s="50">
        <v>5</v>
      </c>
      <c r="F43" s="50">
        <v>3</v>
      </c>
      <c r="G43" s="50">
        <v>1</v>
      </c>
      <c r="H43" s="50">
        <v>0</v>
      </c>
      <c r="I43" s="50">
        <v>3</v>
      </c>
      <c r="J43" s="50">
        <v>2</v>
      </c>
      <c r="K43" s="50">
        <v>2</v>
      </c>
      <c r="L43" s="50">
        <v>5</v>
      </c>
      <c r="M43" s="50">
        <v>45</v>
      </c>
      <c r="N43" s="50">
        <v>0</v>
      </c>
      <c r="O43" s="15">
        <f t="shared" si="0"/>
        <v>59</v>
      </c>
      <c r="P43" s="15">
        <f t="shared" si="1"/>
        <v>104</v>
      </c>
    </row>
    <row r="44" spans="2:32" ht="23.1" customHeight="1" x14ac:dyDescent="0.25">
      <c r="B44" s="47" t="s">
        <v>71</v>
      </c>
      <c r="C44" s="50">
        <v>31</v>
      </c>
      <c r="D44" s="50">
        <v>7</v>
      </c>
      <c r="E44" s="50">
        <v>5</v>
      </c>
      <c r="F44" s="50">
        <v>7</v>
      </c>
      <c r="G44" s="50">
        <v>0</v>
      </c>
      <c r="H44" s="50">
        <v>0</v>
      </c>
      <c r="I44" s="50">
        <v>3</v>
      </c>
      <c r="J44" s="50">
        <v>4</v>
      </c>
      <c r="K44" s="50">
        <v>1</v>
      </c>
      <c r="L44" s="50">
        <v>8</v>
      </c>
      <c r="M44" s="50">
        <v>54</v>
      </c>
      <c r="N44" s="50">
        <v>0</v>
      </c>
      <c r="O44" s="15">
        <f t="shared" si="0"/>
        <v>66</v>
      </c>
      <c r="P44" s="15">
        <f t="shared" si="1"/>
        <v>120</v>
      </c>
    </row>
    <row r="45" spans="2:32" ht="23.1" customHeight="1" x14ac:dyDescent="0.25">
      <c r="B45" s="45" t="s">
        <v>72</v>
      </c>
      <c r="C45" s="50">
        <v>36</v>
      </c>
      <c r="D45" s="50">
        <v>10</v>
      </c>
      <c r="E45" s="50">
        <v>7</v>
      </c>
      <c r="F45" s="50">
        <v>11</v>
      </c>
      <c r="G45" s="50">
        <v>3</v>
      </c>
      <c r="H45" s="50">
        <v>0</v>
      </c>
      <c r="I45" s="50">
        <v>3</v>
      </c>
      <c r="J45" s="50">
        <v>2</v>
      </c>
      <c r="K45" s="50">
        <v>1</v>
      </c>
      <c r="L45" s="50">
        <v>4</v>
      </c>
      <c r="M45" s="50">
        <v>63</v>
      </c>
      <c r="N45" s="50">
        <v>0</v>
      </c>
      <c r="O45" s="15">
        <f t="shared" si="0"/>
        <v>77</v>
      </c>
      <c r="P45" s="15">
        <f t="shared" si="1"/>
        <v>140</v>
      </c>
    </row>
    <row r="46" spans="2:32" ht="23.1" customHeight="1" x14ac:dyDescent="0.25">
      <c r="B46" s="46" t="s">
        <v>73</v>
      </c>
      <c r="C46" s="50">
        <v>36</v>
      </c>
      <c r="D46" s="50">
        <v>8</v>
      </c>
      <c r="E46" s="50">
        <v>4</v>
      </c>
      <c r="F46" s="50">
        <v>6</v>
      </c>
      <c r="G46" s="50">
        <v>3</v>
      </c>
      <c r="H46" s="50">
        <v>0</v>
      </c>
      <c r="I46" s="50">
        <v>1</v>
      </c>
      <c r="J46" s="50">
        <v>0</v>
      </c>
      <c r="K46" s="50">
        <v>0</v>
      </c>
      <c r="L46" s="50">
        <v>1</v>
      </c>
      <c r="M46" s="50">
        <v>89</v>
      </c>
      <c r="N46" s="50">
        <v>0</v>
      </c>
      <c r="O46" s="15">
        <f t="shared" si="0"/>
        <v>59</v>
      </c>
      <c r="P46" s="15">
        <f t="shared" si="1"/>
        <v>148</v>
      </c>
      <c r="R46" s="8"/>
      <c r="T46"/>
    </row>
    <row r="47" spans="2:32" ht="23.1" customHeight="1" x14ac:dyDescent="0.25">
      <c r="B47" s="46" t="s">
        <v>74</v>
      </c>
      <c r="C47" s="50">
        <v>32</v>
      </c>
      <c r="D47" s="50">
        <v>12</v>
      </c>
      <c r="E47" s="50">
        <v>8</v>
      </c>
      <c r="F47" s="50">
        <v>2</v>
      </c>
      <c r="G47" s="50">
        <v>0</v>
      </c>
      <c r="H47" s="50">
        <v>0</v>
      </c>
      <c r="I47" s="50">
        <v>12</v>
      </c>
      <c r="J47" s="50">
        <v>4</v>
      </c>
      <c r="K47" s="50">
        <v>5</v>
      </c>
      <c r="L47" s="50">
        <v>5</v>
      </c>
      <c r="M47" s="50">
        <v>111</v>
      </c>
      <c r="N47" s="50">
        <v>0</v>
      </c>
      <c r="O47" s="15">
        <f t="shared" si="0"/>
        <v>80</v>
      </c>
      <c r="P47" s="15">
        <f t="shared" si="1"/>
        <v>191</v>
      </c>
      <c r="R47" s="8"/>
      <c r="T47"/>
    </row>
    <row r="48" spans="2:32" ht="23.1" customHeight="1" x14ac:dyDescent="0.25">
      <c r="B48" s="46" t="s">
        <v>75</v>
      </c>
      <c r="C48" s="50">
        <v>32</v>
      </c>
      <c r="D48" s="50">
        <v>8</v>
      </c>
      <c r="E48" s="50">
        <v>2</v>
      </c>
      <c r="F48" s="50">
        <v>2</v>
      </c>
      <c r="G48" s="50">
        <v>1</v>
      </c>
      <c r="H48" s="50">
        <v>0</v>
      </c>
      <c r="I48" s="50">
        <v>4</v>
      </c>
      <c r="J48" s="50">
        <v>3</v>
      </c>
      <c r="K48" s="50">
        <v>1</v>
      </c>
      <c r="L48" s="50">
        <v>6</v>
      </c>
      <c r="M48" s="50">
        <v>106</v>
      </c>
      <c r="N48" s="50">
        <v>0</v>
      </c>
      <c r="O48" s="15">
        <f t="shared" si="0"/>
        <v>59</v>
      </c>
      <c r="P48" s="15">
        <f t="shared" si="1"/>
        <v>165</v>
      </c>
      <c r="R48" s="8"/>
      <c r="T48"/>
    </row>
    <row r="49" spans="2:20" ht="23.1" customHeight="1" x14ac:dyDescent="0.25">
      <c r="B49" s="45" t="s">
        <v>76</v>
      </c>
      <c r="C49" s="50">
        <v>25</v>
      </c>
      <c r="D49" s="50">
        <v>11</v>
      </c>
      <c r="E49" s="50">
        <v>2</v>
      </c>
      <c r="F49" s="50">
        <v>33</v>
      </c>
      <c r="G49" s="50">
        <v>0</v>
      </c>
      <c r="H49" s="50">
        <v>0</v>
      </c>
      <c r="I49" s="50">
        <v>1</v>
      </c>
      <c r="J49" s="50">
        <v>0</v>
      </c>
      <c r="K49" s="50">
        <v>3</v>
      </c>
      <c r="L49" s="50">
        <v>7</v>
      </c>
      <c r="M49" s="50">
        <v>125</v>
      </c>
      <c r="N49" s="50">
        <v>0</v>
      </c>
      <c r="O49" s="15">
        <f t="shared" si="0"/>
        <v>82</v>
      </c>
      <c r="P49" s="15">
        <f t="shared" si="1"/>
        <v>207</v>
      </c>
      <c r="R49" s="8"/>
      <c r="T49"/>
    </row>
    <row r="50" spans="2:20" ht="23.1" customHeight="1" x14ac:dyDescent="0.25">
      <c r="B50" s="46" t="s">
        <v>77</v>
      </c>
      <c r="C50" s="50">
        <v>32</v>
      </c>
      <c r="D50" s="50">
        <v>8</v>
      </c>
      <c r="E50" s="50">
        <v>5</v>
      </c>
      <c r="F50" s="50">
        <v>7</v>
      </c>
      <c r="G50" s="50">
        <v>0</v>
      </c>
      <c r="H50" s="50">
        <v>0</v>
      </c>
      <c r="I50" s="50">
        <v>2</v>
      </c>
      <c r="J50" s="50">
        <v>2</v>
      </c>
      <c r="K50" s="50">
        <v>1</v>
      </c>
      <c r="L50" s="50">
        <v>0</v>
      </c>
      <c r="M50" s="50">
        <v>47</v>
      </c>
      <c r="N50" s="50">
        <v>0</v>
      </c>
      <c r="O50" s="15">
        <f t="shared" si="0"/>
        <v>57</v>
      </c>
      <c r="P50" s="15">
        <f t="shared" si="1"/>
        <v>104</v>
      </c>
      <c r="R50" s="8"/>
      <c r="T50"/>
    </row>
    <row r="51" spans="2:20" ht="23.1" customHeight="1" x14ac:dyDescent="0.25">
      <c r="B51" s="46" t="s">
        <v>78</v>
      </c>
      <c r="C51" s="50">
        <v>39</v>
      </c>
      <c r="D51" s="50">
        <v>13</v>
      </c>
      <c r="E51" s="50">
        <v>7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1</v>
      </c>
      <c r="L51" s="50">
        <v>8</v>
      </c>
      <c r="M51" s="50">
        <v>39</v>
      </c>
      <c r="N51" s="50">
        <v>0</v>
      </c>
      <c r="O51" s="15">
        <f t="shared" si="0"/>
        <v>69</v>
      </c>
      <c r="P51" s="15">
        <f t="shared" si="1"/>
        <v>108</v>
      </c>
      <c r="R51" s="8"/>
      <c r="T51"/>
    </row>
    <row r="52" spans="2:20" ht="23.1" customHeight="1" x14ac:dyDescent="0.25">
      <c r="B52" s="46" t="s">
        <v>79</v>
      </c>
      <c r="C52" s="50">
        <v>42</v>
      </c>
      <c r="D52" s="50">
        <v>6</v>
      </c>
      <c r="E52" s="50">
        <v>4</v>
      </c>
      <c r="F52" s="50">
        <v>4</v>
      </c>
      <c r="G52" s="50">
        <v>0</v>
      </c>
      <c r="H52" s="50">
        <v>0</v>
      </c>
      <c r="I52" s="50">
        <v>0</v>
      </c>
      <c r="J52" s="50">
        <v>0</v>
      </c>
      <c r="K52" s="50">
        <v>3</v>
      </c>
      <c r="L52" s="50">
        <v>5</v>
      </c>
      <c r="M52" s="50">
        <v>30</v>
      </c>
      <c r="N52" s="50">
        <v>0</v>
      </c>
      <c r="O52" s="15">
        <f t="shared" si="0"/>
        <v>64</v>
      </c>
      <c r="P52" s="15">
        <f t="shared" si="1"/>
        <v>94</v>
      </c>
      <c r="R52" s="8"/>
      <c r="T52"/>
    </row>
    <row r="53" spans="2:20" ht="23.1" customHeight="1" x14ac:dyDescent="0.25">
      <c r="B53" s="45" t="s">
        <v>80</v>
      </c>
      <c r="C53" s="50">
        <v>30</v>
      </c>
      <c r="D53" s="50">
        <v>6</v>
      </c>
      <c r="E53" s="50">
        <v>5</v>
      </c>
      <c r="F53" s="50">
        <v>2</v>
      </c>
      <c r="G53" s="50">
        <v>3</v>
      </c>
      <c r="H53" s="50">
        <v>0</v>
      </c>
      <c r="I53" s="50">
        <v>0</v>
      </c>
      <c r="J53" s="50">
        <v>2</v>
      </c>
      <c r="K53" s="50">
        <v>3</v>
      </c>
      <c r="L53" s="50">
        <v>3</v>
      </c>
      <c r="M53" s="50">
        <v>37</v>
      </c>
      <c r="N53" s="50">
        <v>0</v>
      </c>
      <c r="O53" s="15">
        <f t="shared" si="0"/>
        <v>54</v>
      </c>
      <c r="P53" s="15">
        <f t="shared" si="1"/>
        <v>91</v>
      </c>
      <c r="R53" s="8"/>
      <c r="T53"/>
    </row>
    <row r="54" spans="2:20" ht="23.1" customHeight="1" x14ac:dyDescent="0.25">
      <c r="B54" s="45" t="s">
        <v>81</v>
      </c>
      <c r="C54" s="50">
        <v>29</v>
      </c>
      <c r="D54" s="50">
        <v>5</v>
      </c>
      <c r="E54" s="50">
        <v>11</v>
      </c>
      <c r="F54" s="50">
        <v>1</v>
      </c>
      <c r="G54" s="50">
        <v>0</v>
      </c>
      <c r="H54" s="50">
        <v>0</v>
      </c>
      <c r="I54" s="50">
        <v>3</v>
      </c>
      <c r="J54" s="50">
        <v>2</v>
      </c>
      <c r="K54" s="50">
        <v>1</v>
      </c>
      <c r="L54" s="50">
        <v>2</v>
      </c>
      <c r="M54" s="50">
        <v>75</v>
      </c>
      <c r="N54" s="50">
        <v>0</v>
      </c>
      <c r="O54" s="15">
        <f t="shared" si="0"/>
        <v>54</v>
      </c>
      <c r="P54" s="15">
        <f t="shared" si="1"/>
        <v>129</v>
      </c>
      <c r="R54" s="8"/>
      <c r="T54"/>
    </row>
    <row r="55" spans="2:20" ht="23.1" customHeight="1" x14ac:dyDescent="0.25">
      <c r="B55" s="45" t="s">
        <v>82</v>
      </c>
      <c r="C55" s="50">
        <v>33</v>
      </c>
      <c r="D55" s="50">
        <v>4</v>
      </c>
      <c r="E55" s="50">
        <v>3</v>
      </c>
      <c r="F55" s="50">
        <v>1</v>
      </c>
      <c r="G55" s="50">
        <v>0</v>
      </c>
      <c r="H55" s="50">
        <v>0</v>
      </c>
      <c r="I55" s="50">
        <v>2</v>
      </c>
      <c r="J55" s="50">
        <v>2</v>
      </c>
      <c r="K55" s="50">
        <v>1</v>
      </c>
      <c r="L55" s="50">
        <v>1</v>
      </c>
      <c r="M55" s="50">
        <v>95</v>
      </c>
      <c r="N55" s="50">
        <v>0</v>
      </c>
      <c r="O55" s="15">
        <f t="shared" si="0"/>
        <v>47</v>
      </c>
      <c r="P55" s="15">
        <f t="shared" si="1"/>
        <v>142</v>
      </c>
      <c r="R55" s="8"/>
      <c r="T55"/>
    </row>
    <row r="56" spans="2:20" ht="23.1" customHeight="1" x14ac:dyDescent="0.25">
      <c r="B56" s="45" t="s">
        <v>83</v>
      </c>
      <c r="C56" s="50">
        <v>42</v>
      </c>
      <c r="D56" s="50">
        <v>7</v>
      </c>
      <c r="E56" s="50">
        <v>2</v>
      </c>
      <c r="F56" s="50">
        <v>7</v>
      </c>
      <c r="G56" s="50">
        <v>0</v>
      </c>
      <c r="H56" s="50">
        <v>0</v>
      </c>
      <c r="I56" s="50">
        <v>0</v>
      </c>
      <c r="J56" s="50">
        <v>2</v>
      </c>
      <c r="K56" s="50">
        <v>1</v>
      </c>
      <c r="L56" s="50">
        <v>2</v>
      </c>
      <c r="M56" s="50">
        <v>78</v>
      </c>
      <c r="N56" s="50">
        <v>0</v>
      </c>
      <c r="O56" s="15">
        <f t="shared" si="0"/>
        <v>63</v>
      </c>
      <c r="P56" s="15">
        <f t="shared" si="1"/>
        <v>141</v>
      </c>
      <c r="R56" s="8"/>
      <c r="T56"/>
    </row>
    <row r="57" spans="2:20" ht="23.1" customHeight="1" x14ac:dyDescent="0.25">
      <c r="B57" s="45" t="s">
        <v>84</v>
      </c>
      <c r="C57" s="50">
        <v>30</v>
      </c>
      <c r="D57" s="50">
        <v>9</v>
      </c>
      <c r="E57" s="50">
        <v>6</v>
      </c>
      <c r="F57" s="50">
        <v>2</v>
      </c>
      <c r="G57" s="50">
        <v>1</v>
      </c>
      <c r="H57" s="50">
        <v>0</v>
      </c>
      <c r="I57" s="50">
        <v>2</v>
      </c>
      <c r="J57" s="50">
        <v>3</v>
      </c>
      <c r="K57" s="50">
        <v>0</v>
      </c>
      <c r="L57" s="50">
        <v>2</v>
      </c>
      <c r="M57" s="50">
        <v>47</v>
      </c>
      <c r="N57" s="50">
        <v>0</v>
      </c>
      <c r="O57" s="15">
        <f t="shared" si="0"/>
        <v>55</v>
      </c>
      <c r="P57" s="15">
        <f t="shared" si="1"/>
        <v>102</v>
      </c>
      <c r="R57" s="8"/>
      <c r="T57"/>
    </row>
    <row r="58" spans="2:20" ht="23.1" customHeight="1" x14ac:dyDescent="0.25">
      <c r="B58" s="45" t="s">
        <v>99</v>
      </c>
      <c r="C58" s="50">
        <v>44</v>
      </c>
      <c r="D58" s="50">
        <v>12</v>
      </c>
      <c r="E58" s="50">
        <v>19</v>
      </c>
      <c r="F58" s="50">
        <v>5</v>
      </c>
      <c r="G58" s="50">
        <v>2</v>
      </c>
      <c r="H58" s="50">
        <v>3</v>
      </c>
      <c r="I58" s="50">
        <v>0</v>
      </c>
      <c r="J58" s="50">
        <v>3</v>
      </c>
      <c r="K58" s="50">
        <v>0</v>
      </c>
      <c r="L58" s="50">
        <v>0</v>
      </c>
      <c r="M58" s="50">
        <v>175</v>
      </c>
      <c r="N58" s="50">
        <v>0</v>
      </c>
      <c r="O58" s="15">
        <f t="shared" ref="O58:O88" si="35">SUM(C58:L58,N58)</f>
        <v>88</v>
      </c>
      <c r="P58" s="15">
        <f t="shared" ref="P58:P88" si="36">SUM(C58:N58)</f>
        <v>263</v>
      </c>
      <c r="R58" s="8"/>
      <c r="T58"/>
    </row>
    <row r="59" spans="2:20" ht="23.1" customHeight="1" x14ac:dyDescent="0.25">
      <c r="B59" s="45" t="s">
        <v>100</v>
      </c>
      <c r="C59" s="50">
        <v>39</v>
      </c>
      <c r="D59" s="50">
        <v>10</v>
      </c>
      <c r="E59" s="50">
        <v>8</v>
      </c>
      <c r="F59" s="50">
        <v>12</v>
      </c>
      <c r="G59" s="50">
        <v>2</v>
      </c>
      <c r="H59" s="50">
        <v>0</v>
      </c>
      <c r="I59" s="50">
        <v>0</v>
      </c>
      <c r="J59" s="50">
        <v>1</v>
      </c>
      <c r="K59" s="50">
        <v>0</v>
      </c>
      <c r="L59" s="50">
        <v>0</v>
      </c>
      <c r="M59" s="50">
        <v>173</v>
      </c>
      <c r="N59" s="50">
        <v>0</v>
      </c>
      <c r="O59" s="15">
        <f t="shared" si="35"/>
        <v>72</v>
      </c>
      <c r="P59" s="15">
        <f t="shared" si="36"/>
        <v>245</v>
      </c>
      <c r="R59" s="8"/>
      <c r="T59"/>
    </row>
    <row r="60" spans="2:20" ht="23.1" customHeight="1" x14ac:dyDescent="0.25">
      <c r="B60" s="45" t="s">
        <v>101</v>
      </c>
      <c r="C60" s="50">
        <v>38</v>
      </c>
      <c r="D60" s="50">
        <v>8</v>
      </c>
      <c r="E60" s="50">
        <v>3</v>
      </c>
      <c r="F60" s="50">
        <v>4</v>
      </c>
      <c r="G60" s="50">
        <v>0</v>
      </c>
      <c r="H60" s="50">
        <v>0</v>
      </c>
      <c r="I60" s="50">
        <v>0</v>
      </c>
      <c r="J60" s="50">
        <v>1</v>
      </c>
      <c r="K60" s="50">
        <v>0</v>
      </c>
      <c r="L60" s="50">
        <v>0</v>
      </c>
      <c r="M60" s="50">
        <v>380</v>
      </c>
      <c r="N60" s="50">
        <v>0</v>
      </c>
      <c r="O60" s="15">
        <f t="shared" si="35"/>
        <v>54</v>
      </c>
      <c r="P60" s="15">
        <f t="shared" si="36"/>
        <v>434</v>
      </c>
      <c r="R60" s="8"/>
      <c r="T60"/>
    </row>
    <row r="61" spans="2:20" ht="23.1" customHeight="1" x14ac:dyDescent="0.25">
      <c r="B61" s="45" t="s">
        <v>102</v>
      </c>
      <c r="C61" s="50">
        <v>31</v>
      </c>
      <c r="D61" s="50">
        <v>5</v>
      </c>
      <c r="E61" s="50">
        <v>9</v>
      </c>
      <c r="F61" s="50">
        <v>12</v>
      </c>
      <c r="G61" s="50">
        <v>0</v>
      </c>
      <c r="H61" s="50">
        <v>0</v>
      </c>
      <c r="I61" s="50">
        <v>10</v>
      </c>
      <c r="J61" s="50">
        <v>3</v>
      </c>
      <c r="K61" s="50">
        <v>0</v>
      </c>
      <c r="L61" s="50">
        <v>2</v>
      </c>
      <c r="M61" s="50">
        <v>325</v>
      </c>
      <c r="N61" s="50">
        <v>0</v>
      </c>
      <c r="O61" s="15">
        <f t="shared" si="35"/>
        <v>72</v>
      </c>
      <c r="P61" s="15">
        <f t="shared" si="36"/>
        <v>397</v>
      </c>
      <c r="R61" s="8"/>
      <c r="T61"/>
    </row>
    <row r="62" spans="2:20" ht="23.1" customHeight="1" x14ac:dyDescent="0.25">
      <c r="B62" s="45" t="s">
        <v>107</v>
      </c>
      <c r="C62" s="50">
        <v>32</v>
      </c>
      <c r="D62" s="50">
        <v>8</v>
      </c>
      <c r="E62" s="50">
        <v>4</v>
      </c>
      <c r="F62" s="50">
        <v>14</v>
      </c>
      <c r="G62" s="50">
        <v>4</v>
      </c>
      <c r="H62" s="50">
        <v>0</v>
      </c>
      <c r="I62" s="50">
        <v>1</v>
      </c>
      <c r="J62" s="50">
        <v>4</v>
      </c>
      <c r="K62" s="50">
        <v>0</v>
      </c>
      <c r="L62" s="50">
        <v>0</v>
      </c>
      <c r="M62" s="50">
        <v>175</v>
      </c>
      <c r="N62" s="50">
        <v>0</v>
      </c>
      <c r="O62" s="15">
        <f t="shared" si="35"/>
        <v>67</v>
      </c>
      <c r="P62" s="15">
        <f t="shared" si="36"/>
        <v>242</v>
      </c>
      <c r="R62" s="8"/>
      <c r="T62"/>
    </row>
    <row r="63" spans="2:20" ht="23.1" customHeight="1" x14ac:dyDescent="0.25">
      <c r="B63" s="45" t="s">
        <v>108</v>
      </c>
      <c r="C63" s="50">
        <v>39</v>
      </c>
      <c r="D63" s="50">
        <v>9</v>
      </c>
      <c r="E63" s="50">
        <v>8</v>
      </c>
      <c r="F63" s="50">
        <v>13</v>
      </c>
      <c r="G63" s="50">
        <v>4</v>
      </c>
      <c r="H63" s="50">
        <v>0</v>
      </c>
      <c r="I63" s="50">
        <v>5</v>
      </c>
      <c r="J63" s="50">
        <v>2</v>
      </c>
      <c r="K63" s="50">
        <v>0</v>
      </c>
      <c r="L63" s="50">
        <v>0</v>
      </c>
      <c r="M63" s="50">
        <v>338</v>
      </c>
      <c r="N63" s="50">
        <v>0</v>
      </c>
      <c r="O63" s="15">
        <f t="shared" si="35"/>
        <v>80</v>
      </c>
      <c r="P63" s="15">
        <f t="shared" si="36"/>
        <v>418</v>
      </c>
      <c r="R63" s="8"/>
      <c r="T63"/>
    </row>
    <row r="64" spans="2:20" ht="23.1" customHeight="1" x14ac:dyDescent="0.25">
      <c r="B64" s="45" t="s">
        <v>109</v>
      </c>
      <c r="C64" s="50">
        <v>43</v>
      </c>
      <c r="D64" s="50">
        <v>8</v>
      </c>
      <c r="E64" s="50">
        <v>2</v>
      </c>
      <c r="F64" s="50">
        <v>8</v>
      </c>
      <c r="G64" s="50">
        <v>2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145</v>
      </c>
      <c r="N64" s="50">
        <v>0</v>
      </c>
      <c r="O64" s="15">
        <f t="shared" si="35"/>
        <v>64</v>
      </c>
      <c r="P64" s="15">
        <f t="shared" si="36"/>
        <v>209</v>
      </c>
      <c r="R64" s="8"/>
      <c r="T64"/>
    </row>
    <row r="65" spans="2:20" ht="23.1" customHeight="1" x14ac:dyDescent="0.25">
      <c r="B65" s="45" t="s">
        <v>158</v>
      </c>
      <c r="C65" s="50">
        <v>32</v>
      </c>
      <c r="D65" s="50">
        <v>7</v>
      </c>
      <c r="E65" s="50">
        <v>7</v>
      </c>
      <c r="F65" s="50">
        <v>10</v>
      </c>
      <c r="G65" s="50">
        <v>2</v>
      </c>
      <c r="H65" s="50">
        <v>0</v>
      </c>
      <c r="I65" s="50">
        <v>0</v>
      </c>
      <c r="J65" s="50">
        <v>1</v>
      </c>
      <c r="K65" s="50">
        <v>1</v>
      </c>
      <c r="L65" s="50">
        <v>0</v>
      </c>
      <c r="M65" s="50">
        <v>160</v>
      </c>
      <c r="N65" s="50">
        <v>0</v>
      </c>
      <c r="O65" s="15">
        <f t="shared" si="35"/>
        <v>60</v>
      </c>
      <c r="P65" s="15">
        <f t="shared" si="36"/>
        <v>220</v>
      </c>
      <c r="R65" s="8"/>
      <c r="T65"/>
    </row>
    <row r="66" spans="2:20" ht="23.1" customHeight="1" x14ac:dyDescent="0.25">
      <c r="B66" s="45" t="s">
        <v>103</v>
      </c>
      <c r="C66" s="50">
        <v>40</v>
      </c>
      <c r="D66" s="50">
        <v>7</v>
      </c>
      <c r="E66" s="50">
        <v>5</v>
      </c>
      <c r="F66" s="50">
        <v>8</v>
      </c>
      <c r="G66" s="50">
        <v>3</v>
      </c>
      <c r="H66" s="50">
        <v>0</v>
      </c>
      <c r="I66" s="50">
        <v>2</v>
      </c>
      <c r="J66" s="50">
        <v>2</v>
      </c>
      <c r="K66" s="50">
        <v>0</v>
      </c>
      <c r="L66" s="50">
        <v>4</v>
      </c>
      <c r="M66" s="50">
        <v>70</v>
      </c>
      <c r="N66" s="50">
        <v>0</v>
      </c>
      <c r="O66" s="15">
        <f t="shared" si="35"/>
        <v>71</v>
      </c>
      <c r="P66" s="15">
        <f t="shared" si="36"/>
        <v>141</v>
      </c>
      <c r="R66" s="8"/>
      <c r="T66"/>
    </row>
    <row r="67" spans="2:20" ht="23.1" customHeight="1" x14ac:dyDescent="0.25">
      <c r="B67" s="45" t="s">
        <v>104</v>
      </c>
      <c r="C67" s="50">
        <v>27</v>
      </c>
      <c r="D67" s="50">
        <v>8</v>
      </c>
      <c r="E67" s="50">
        <v>6</v>
      </c>
      <c r="F67" s="50">
        <v>10</v>
      </c>
      <c r="G67" s="50">
        <v>3</v>
      </c>
      <c r="H67" s="50">
        <v>0</v>
      </c>
      <c r="I67" s="50">
        <v>5</v>
      </c>
      <c r="J67" s="50">
        <v>2</v>
      </c>
      <c r="K67" s="50">
        <v>0</v>
      </c>
      <c r="L67" s="50">
        <v>1</v>
      </c>
      <c r="M67" s="50">
        <v>78</v>
      </c>
      <c r="N67" s="50">
        <v>0</v>
      </c>
      <c r="O67" s="15">
        <f t="shared" si="35"/>
        <v>62</v>
      </c>
      <c r="P67" s="15">
        <f t="shared" si="36"/>
        <v>140</v>
      </c>
      <c r="R67" s="8"/>
      <c r="T67"/>
    </row>
    <row r="68" spans="2:20" ht="23.1" customHeight="1" x14ac:dyDescent="0.25">
      <c r="B68" s="45" t="s">
        <v>105</v>
      </c>
      <c r="C68" s="50">
        <v>34</v>
      </c>
      <c r="D68" s="50">
        <v>6</v>
      </c>
      <c r="E68" s="50">
        <v>6</v>
      </c>
      <c r="F68" s="50">
        <v>8</v>
      </c>
      <c r="G68" s="50">
        <v>2</v>
      </c>
      <c r="H68" s="50">
        <v>0</v>
      </c>
      <c r="I68" s="50">
        <v>6</v>
      </c>
      <c r="J68" s="50">
        <v>1</v>
      </c>
      <c r="K68" s="50">
        <v>0</v>
      </c>
      <c r="L68" s="50">
        <v>2</v>
      </c>
      <c r="M68" s="50">
        <v>67</v>
      </c>
      <c r="N68" s="50">
        <v>0</v>
      </c>
      <c r="O68" s="15">
        <f t="shared" si="35"/>
        <v>65</v>
      </c>
      <c r="P68" s="15">
        <f t="shared" si="36"/>
        <v>132</v>
      </c>
      <c r="R68" s="8"/>
      <c r="T68"/>
    </row>
    <row r="69" spans="2:20" ht="23.1" customHeight="1" x14ac:dyDescent="0.25">
      <c r="B69" s="45" t="s">
        <v>106</v>
      </c>
      <c r="C69" s="50">
        <v>37</v>
      </c>
      <c r="D69" s="50">
        <v>5</v>
      </c>
      <c r="E69" s="50">
        <v>5</v>
      </c>
      <c r="F69" s="50">
        <v>3</v>
      </c>
      <c r="G69" s="50">
        <v>1</v>
      </c>
      <c r="H69" s="50">
        <v>0</v>
      </c>
      <c r="I69" s="50">
        <v>0</v>
      </c>
      <c r="J69" s="50">
        <v>0</v>
      </c>
      <c r="K69" s="50">
        <v>1</v>
      </c>
      <c r="L69" s="50">
        <v>2</v>
      </c>
      <c r="M69" s="50">
        <v>82</v>
      </c>
      <c r="N69" s="50">
        <v>0</v>
      </c>
      <c r="O69" s="15">
        <f t="shared" si="35"/>
        <v>54</v>
      </c>
      <c r="P69" s="15">
        <f t="shared" si="36"/>
        <v>136</v>
      </c>
      <c r="R69" s="8"/>
      <c r="T69"/>
    </row>
    <row r="70" spans="2:20" ht="23.1" customHeight="1" x14ac:dyDescent="0.25">
      <c r="B70" s="45" t="s">
        <v>110</v>
      </c>
      <c r="C70" s="50">
        <v>32</v>
      </c>
      <c r="D70" s="50">
        <v>6</v>
      </c>
      <c r="E70" s="50">
        <v>3</v>
      </c>
      <c r="F70" s="50">
        <v>5</v>
      </c>
      <c r="G70" s="50">
        <v>0</v>
      </c>
      <c r="H70" s="50">
        <v>0</v>
      </c>
      <c r="I70" s="50">
        <v>0</v>
      </c>
      <c r="J70" s="50">
        <v>0</v>
      </c>
      <c r="K70" s="50">
        <v>1</v>
      </c>
      <c r="L70" s="50">
        <v>1</v>
      </c>
      <c r="M70" s="50">
        <v>60</v>
      </c>
      <c r="N70" s="50">
        <v>0</v>
      </c>
      <c r="O70" s="15">
        <f t="shared" si="35"/>
        <v>48</v>
      </c>
      <c r="P70" s="15">
        <f t="shared" si="36"/>
        <v>108</v>
      </c>
      <c r="R70" s="8"/>
      <c r="T70"/>
    </row>
    <row r="71" spans="2:20" ht="23.1" customHeight="1" x14ac:dyDescent="0.25">
      <c r="B71" s="45" t="s">
        <v>111</v>
      </c>
      <c r="C71" s="50">
        <v>24</v>
      </c>
      <c r="D71" s="50">
        <v>11</v>
      </c>
      <c r="E71" s="50">
        <v>6</v>
      </c>
      <c r="F71" s="50">
        <v>4</v>
      </c>
      <c r="G71" s="50">
        <v>4</v>
      </c>
      <c r="H71" s="50">
        <v>0</v>
      </c>
      <c r="I71" s="50">
        <v>1</v>
      </c>
      <c r="J71" s="50">
        <v>5</v>
      </c>
      <c r="K71" s="50">
        <v>0</v>
      </c>
      <c r="L71" s="50">
        <v>4</v>
      </c>
      <c r="M71" s="50">
        <v>86</v>
      </c>
      <c r="N71" s="50">
        <v>0</v>
      </c>
      <c r="O71" s="15">
        <f t="shared" si="35"/>
        <v>59</v>
      </c>
      <c r="P71" s="15">
        <f t="shared" si="36"/>
        <v>145</v>
      </c>
      <c r="R71" s="8"/>
      <c r="T71"/>
    </row>
    <row r="72" spans="2:20" ht="23.1" customHeight="1" x14ac:dyDescent="0.25">
      <c r="B72" s="45" t="s">
        <v>112</v>
      </c>
      <c r="C72" s="50">
        <v>17</v>
      </c>
      <c r="D72" s="50">
        <v>5</v>
      </c>
      <c r="E72" s="50">
        <v>1</v>
      </c>
      <c r="F72" s="50">
        <v>1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0</v>
      </c>
      <c r="M72" s="50">
        <v>90</v>
      </c>
      <c r="N72" s="50">
        <v>0</v>
      </c>
      <c r="O72" s="15">
        <f t="shared" si="35"/>
        <v>25</v>
      </c>
      <c r="P72" s="15">
        <f t="shared" si="36"/>
        <v>115</v>
      </c>
      <c r="R72" s="8"/>
      <c r="T72"/>
    </row>
    <row r="73" spans="2:20" ht="23.1" customHeight="1" x14ac:dyDescent="0.25">
      <c r="B73" s="45" t="s">
        <v>113</v>
      </c>
      <c r="C73" s="50">
        <v>11</v>
      </c>
      <c r="D73" s="50">
        <v>1</v>
      </c>
      <c r="E73" s="50">
        <v>1</v>
      </c>
      <c r="F73" s="50">
        <v>3</v>
      </c>
      <c r="G73" s="50">
        <v>2</v>
      </c>
      <c r="H73" s="50">
        <v>0</v>
      </c>
      <c r="I73" s="50">
        <v>1</v>
      </c>
      <c r="J73" s="50">
        <v>1</v>
      </c>
      <c r="K73" s="50">
        <v>0</v>
      </c>
      <c r="L73" s="50">
        <v>1</v>
      </c>
      <c r="M73" s="50">
        <v>50</v>
      </c>
      <c r="N73" s="50">
        <v>0</v>
      </c>
      <c r="O73" s="15">
        <f t="shared" si="35"/>
        <v>21</v>
      </c>
      <c r="P73" s="15">
        <f t="shared" si="36"/>
        <v>71</v>
      </c>
      <c r="R73" s="8"/>
      <c r="T73"/>
    </row>
    <row r="74" spans="2:20" ht="23.1" customHeight="1" x14ac:dyDescent="0.25">
      <c r="B74" s="45" t="s">
        <v>114</v>
      </c>
      <c r="C74" s="50">
        <v>19</v>
      </c>
      <c r="D74" s="50">
        <v>7</v>
      </c>
      <c r="E74" s="50">
        <v>0</v>
      </c>
      <c r="F74" s="50">
        <v>1</v>
      </c>
      <c r="G74" s="50">
        <v>1</v>
      </c>
      <c r="H74" s="50">
        <v>0</v>
      </c>
      <c r="I74" s="50">
        <v>0</v>
      </c>
      <c r="J74" s="50">
        <v>1</v>
      </c>
      <c r="K74" s="50">
        <v>0</v>
      </c>
      <c r="L74" s="50">
        <v>1</v>
      </c>
      <c r="M74" s="50">
        <v>62</v>
      </c>
      <c r="N74" s="50">
        <v>0</v>
      </c>
      <c r="O74" s="15">
        <f t="shared" si="35"/>
        <v>30</v>
      </c>
      <c r="P74" s="15">
        <f t="shared" si="36"/>
        <v>92</v>
      </c>
      <c r="R74" s="8"/>
      <c r="T74"/>
    </row>
    <row r="75" spans="2:20" ht="23.1" customHeight="1" x14ac:dyDescent="0.25">
      <c r="B75" s="45" t="s">
        <v>115</v>
      </c>
      <c r="C75" s="50">
        <v>15</v>
      </c>
      <c r="D75" s="50">
        <v>8</v>
      </c>
      <c r="E75" s="50">
        <v>4</v>
      </c>
      <c r="F75" s="50">
        <v>2</v>
      </c>
      <c r="G75" s="50">
        <v>0</v>
      </c>
      <c r="H75" s="50">
        <v>0</v>
      </c>
      <c r="I75" s="50">
        <v>2</v>
      </c>
      <c r="J75" s="50">
        <v>0</v>
      </c>
      <c r="K75" s="50">
        <v>1</v>
      </c>
      <c r="L75" s="50">
        <v>0</v>
      </c>
      <c r="M75" s="50">
        <v>51</v>
      </c>
      <c r="N75" s="50">
        <v>0</v>
      </c>
      <c r="O75" s="15">
        <f t="shared" si="35"/>
        <v>32</v>
      </c>
      <c r="P75" s="15">
        <f t="shared" si="36"/>
        <v>83</v>
      </c>
      <c r="R75" s="8"/>
      <c r="T75"/>
    </row>
    <row r="76" spans="2:20" ht="23.1" customHeight="1" x14ac:dyDescent="0.25">
      <c r="B76" s="45" t="s">
        <v>116</v>
      </c>
      <c r="C76" s="50">
        <v>12</v>
      </c>
      <c r="D76" s="50">
        <v>4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3</v>
      </c>
      <c r="L76" s="50">
        <v>1</v>
      </c>
      <c r="M76" s="50">
        <v>75</v>
      </c>
      <c r="N76" s="50">
        <v>0</v>
      </c>
      <c r="O76" s="15">
        <f t="shared" si="35"/>
        <v>20</v>
      </c>
      <c r="P76" s="15">
        <f t="shared" si="36"/>
        <v>95</v>
      </c>
      <c r="R76" s="8"/>
      <c r="T76"/>
    </row>
    <row r="77" spans="2:20" ht="23.1" customHeight="1" x14ac:dyDescent="0.25">
      <c r="B77" s="45" t="s">
        <v>117</v>
      </c>
      <c r="C77" s="50">
        <v>19</v>
      </c>
      <c r="D77" s="50">
        <v>1</v>
      </c>
      <c r="E77" s="50">
        <v>4</v>
      </c>
      <c r="F77" s="50">
        <v>0</v>
      </c>
      <c r="G77" s="50">
        <v>0</v>
      </c>
      <c r="H77" s="50">
        <v>0</v>
      </c>
      <c r="I77" s="50">
        <v>0</v>
      </c>
      <c r="J77" s="50">
        <v>1</v>
      </c>
      <c r="K77" s="50">
        <v>0</v>
      </c>
      <c r="L77" s="50">
        <v>0</v>
      </c>
      <c r="M77" s="50">
        <v>52</v>
      </c>
      <c r="N77" s="50">
        <v>0</v>
      </c>
      <c r="O77" s="15">
        <f t="shared" si="35"/>
        <v>25</v>
      </c>
      <c r="P77" s="15">
        <f t="shared" si="36"/>
        <v>77</v>
      </c>
      <c r="R77" s="8"/>
      <c r="T77"/>
    </row>
    <row r="78" spans="2:20" ht="23.1" customHeight="1" x14ac:dyDescent="0.25">
      <c r="B78" s="46" t="s">
        <v>118</v>
      </c>
      <c r="C78" s="50">
        <v>4</v>
      </c>
      <c r="D78" s="50">
        <v>2</v>
      </c>
      <c r="E78" s="50">
        <v>2</v>
      </c>
      <c r="F78" s="50">
        <v>4</v>
      </c>
      <c r="G78" s="50">
        <v>0</v>
      </c>
      <c r="H78" s="50">
        <v>0</v>
      </c>
      <c r="I78" s="50">
        <v>0</v>
      </c>
      <c r="J78" s="50">
        <v>1</v>
      </c>
      <c r="K78" s="50">
        <v>0</v>
      </c>
      <c r="L78" s="50">
        <v>0</v>
      </c>
      <c r="M78" s="50">
        <v>46</v>
      </c>
      <c r="N78" s="50">
        <v>0</v>
      </c>
      <c r="O78" s="15">
        <f t="shared" si="35"/>
        <v>13</v>
      </c>
      <c r="P78" s="15">
        <f t="shared" si="36"/>
        <v>59</v>
      </c>
      <c r="R78" s="8"/>
      <c r="T78"/>
    </row>
    <row r="79" spans="2:20" ht="23.1" customHeight="1" x14ac:dyDescent="0.25">
      <c r="B79" s="45" t="s">
        <v>119</v>
      </c>
      <c r="C79" s="50">
        <v>9</v>
      </c>
      <c r="D79" s="50">
        <v>4</v>
      </c>
      <c r="E79" s="50">
        <v>3</v>
      </c>
      <c r="F79" s="50">
        <v>3</v>
      </c>
      <c r="G79" s="50">
        <v>0</v>
      </c>
      <c r="H79" s="50">
        <v>0</v>
      </c>
      <c r="I79" s="50">
        <v>1</v>
      </c>
      <c r="J79" s="50">
        <v>2</v>
      </c>
      <c r="K79" s="50">
        <v>3</v>
      </c>
      <c r="L79" s="50">
        <v>0</v>
      </c>
      <c r="M79" s="50">
        <v>38</v>
      </c>
      <c r="N79" s="50">
        <v>0</v>
      </c>
      <c r="O79" s="15">
        <f t="shared" si="35"/>
        <v>25</v>
      </c>
      <c r="P79" s="15">
        <f t="shared" si="36"/>
        <v>63</v>
      </c>
      <c r="R79" s="8"/>
      <c r="T79"/>
    </row>
    <row r="80" spans="2:20" ht="23.1" customHeight="1" x14ac:dyDescent="0.25">
      <c r="B80" s="47" t="s">
        <v>120</v>
      </c>
      <c r="C80" s="50">
        <v>5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1</v>
      </c>
      <c r="J80" s="50">
        <v>3</v>
      </c>
      <c r="K80" s="50">
        <v>0</v>
      </c>
      <c r="L80" s="50">
        <v>0</v>
      </c>
      <c r="M80" s="50">
        <v>23</v>
      </c>
      <c r="N80" s="50">
        <v>0</v>
      </c>
      <c r="O80" s="15">
        <f t="shared" si="35"/>
        <v>10</v>
      </c>
      <c r="P80" s="15">
        <f t="shared" si="36"/>
        <v>33</v>
      </c>
      <c r="R80" s="8"/>
      <c r="T80"/>
    </row>
    <row r="81" spans="2:20" ht="23.1" customHeight="1" x14ac:dyDescent="0.25">
      <c r="B81" s="45" t="s">
        <v>121</v>
      </c>
      <c r="C81" s="50">
        <v>2</v>
      </c>
      <c r="D81" s="50">
        <v>0</v>
      </c>
      <c r="E81" s="50">
        <v>1</v>
      </c>
      <c r="F81" s="50">
        <v>2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2</v>
      </c>
      <c r="M81" s="50">
        <v>28</v>
      </c>
      <c r="N81" s="50">
        <v>0</v>
      </c>
      <c r="O81" s="15">
        <f t="shared" si="35"/>
        <v>7</v>
      </c>
      <c r="P81" s="15">
        <f t="shared" si="36"/>
        <v>35</v>
      </c>
      <c r="R81" s="8"/>
      <c r="T81"/>
    </row>
    <row r="82" spans="2:20" ht="23.1" customHeight="1" x14ac:dyDescent="0.25">
      <c r="B82" s="46" t="s">
        <v>122</v>
      </c>
      <c r="C82" s="50">
        <v>4</v>
      </c>
      <c r="D82" s="50">
        <v>1</v>
      </c>
      <c r="E82" s="50">
        <v>0</v>
      </c>
      <c r="F82" s="50">
        <v>1</v>
      </c>
      <c r="G82" s="50">
        <v>0</v>
      </c>
      <c r="H82" s="50">
        <v>0</v>
      </c>
      <c r="I82" s="50">
        <v>2</v>
      </c>
      <c r="J82" s="50">
        <v>1</v>
      </c>
      <c r="K82" s="50">
        <v>0</v>
      </c>
      <c r="L82" s="50">
        <v>1</v>
      </c>
      <c r="M82" s="50">
        <v>18</v>
      </c>
      <c r="N82" s="50">
        <v>0</v>
      </c>
      <c r="O82" s="15">
        <f t="shared" si="35"/>
        <v>10</v>
      </c>
      <c r="P82" s="15">
        <f t="shared" si="36"/>
        <v>28</v>
      </c>
      <c r="R82" s="8"/>
      <c r="T82"/>
    </row>
    <row r="83" spans="2:20" ht="23.1" customHeight="1" x14ac:dyDescent="0.25">
      <c r="B83" s="45" t="s">
        <v>123</v>
      </c>
      <c r="C83" s="50">
        <v>5</v>
      </c>
      <c r="D83" s="50">
        <v>1</v>
      </c>
      <c r="E83" s="50">
        <v>1</v>
      </c>
      <c r="F83" s="50">
        <v>0</v>
      </c>
      <c r="G83" s="50">
        <v>0</v>
      </c>
      <c r="H83" s="50">
        <v>0</v>
      </c>
      <c r="I83" s="50">
        <v>0</v>
      </c>
      <c r="J83" s="50">
        <v>1</v>
      </c>
      <c r="K83" s="50">
        <v>0</v>
      </c>
      <c r="L83" s="50">
        <v>2</v>
      </c>
      <c r="M83" s="50">
        <v>27</v>
      </c>
      <c r="N83" s="50">
        <v>0</v>
      </c>
      <c r="O83" s="15">
        <f t="shared" si="35"/>
        <v>10</v>
      </c>
      <c r="P83" s="15">
        <f t="shared" si="36"/>
        <v>37</v>
      </c>
      <c r="R83" s="8"/>
      <c r="T83"/>
    </row>
    <row r="84" spans="2:20" ht="23.1" customHeight="1" x14ac:dyDescent="0.25">
      <c r="B84" s="47" t="s">
        <v>124</v>
      </c>
      <c r="C84" s="50">
        <v>4</v>
      </c>
      <c r="D84" s="50">
        <v>0</v>
      </c>
      <c r="E84" s="50">
        <v>2</v>
      </c>
      <c r="F84" s="50">
        <v>1</v>
      </c>
      <c r="G84" s="50">
        <v>0</v>
      </c>
      <c r="H84" s="50">
        <v>0</v>
      </c>
      <c r="I84" s="50">
        <v>2</v>
      </c>
      <c r="J84" s="50">
        <v>0</v>
      </c>
      <c r="K84" s="50">
        <v>0</v>
      </c>
      <c r="L84" s="50">
        <v>2</v>
      </c>
      <c r="M84" s="50">
        <v>12</v>
      </c>
      <c r="N84" s="50">
        <v>0</v>
      </c>
      <c r="O84" s="15">
        <f t="shared" si="35"/>
        <v>11</v>
      </c>
      <c r="P84" s="15">
        <f t="shared" si="36"/>
        <v>23</v>
      </c>
      <c r="R84" s="8"/>
      <c r="T84"/>
    </row>
    <row r="85" spans="2:20" ht="23.1" customHeight="1" x14ac:dyDescent="0.25">
      <c r="B85" s="45" t="s">
        <v>125</v>
      </c>
      <c r="C85" s="50">
        <v>9</v>
      </c>
      <c r="D85" s="50">
        <v>0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15</v>
      </c>
      <c r="N85" s="50">
        <v>0</v>
      </c>
      <c r="O85" s="15">
        <f t="shared" si="35"/>
        <v>10</v>
      </c>
      <c r="P85" s="15">
        <f t="shared" si="36"/>
        <v>25</v>
      </c>
      <c r="R85" s="8"/>
      <c r="T85"/>
    </row>
    <row r="86" spans="2:20" ht="23.1" customHeight="1" x14ac:dyDescent="0.25">
      <c r="B86" s="46" t="s">
        <v>126</v>
      </c>
      <c r="C86" s="50">
        <v>5</v>
      </c>
      <c r="D86" s="50">
        <v>0</v>
      </c>
      <c r="E86" s="50">
        <v>0</v>
      </c>
      <c r="F86" s="50">
        <v>1</v>
      </c>
      <c r="G86" s="50">
        <v>0</v>
      </c>
      <c r="H86" s="50">
        <v>0</v>
      </c>
      <c r="I86" s="50">
        <v>0</v>
      </c>
      <c r="J86" s="50">
        <v>0</v>
      </c>
      <c r="K86" s="50">
        <v>1</v>
      </c>
      <c r="L86" s="50">
        <v>0</v>
      </c>
      <c r="M86" s="50">
        <v>17</v>
      </c>
      <c r="N86" s="50">
        <v>0</v>
      </c>
      <c r="O86" s="15">
        <f t="shared" si="35"/>
        <v>7</v>
      </c>
      <c r="P86" s="15">
        <f t="shared" si="36"/>
        <v>24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3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8</v>
      </c>
      <c r="N87" s="50">
        <v>0</v>
      </c>
      <c r="O87" s="15">
        <f t="shared" si="35"/>
        <v>5</v>
      </c>
      <c r="P87" s="15">
        <f t="shared" si="36"/>
        <v>13</v>
      </c>
      <c r="R87" s="8"/>
      <c r="T87"/>
    </row>
    <row r="88" spans="2:20" ht="23.1" customHeight="1" x14ac:dyDescent="0.25">
      <c r="B88" s="47" t="s">
        <v>128</v>
      </c>
      <c r="C88" s="50">
        <v>5</v>
      </c>
      <c r="D88" s="50">
        <v>0</v>
      </c>
      <c r="E88" s="50">
        <v>1</v>
      </c>
      <c r="F88" s="50">
        <v>0</v>
      </c>
      <c r="G88" s="50">
        <v>0</v>
      </c>
      <c r="H88" s="50">
        <v>0</v>
      </c>
      <c r="I88" s="50">
        <v>1</v>
      </c>
      <c r="J88" s="50">
        <v>1</v>
      </c>
      <c r="K88" s="50">
        <v>0</v>
      </c>
      <c r="L88" s="50">
        <v>1</v>
      </c>
      <c r="M88" s="50">
        <v>23</v>
      </c>
      <c r="N88" s="50">
        <v>0</v>
      </c>
      <c r="O88" s="15">
        <f t="shared" si="35"/>
        <v>9</v>
      </c>
      <c r="P88" s="15">
        <f t="shared" si="36"/>
        <v>32</v>
      </c>
      <c r="R88" s="8"/>
      <c r="T88"/>
    </row>
    <row r="89" spans="2:20" ht="23.1" customHeight="1" x14ac:dyDescent="0.25">
      <c r="B89" s="45" t="s">
        <v>129</v>
      </c>
      <c r="C89" s="50">
        <v>4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1</v>
      </c>
      <c r="L89" s="50">
        <v>0</v>
      </c>
      <c r="M89" s="50">
        <v>10</v>
      </c>
      <c r="N89" s="50">
        <v>0</v>
      </c>
      <c r="O89" s="15">
        <f t="shared" ref="O89:O105" si="37">SUM(C89:L89,N89)</f>
        <v>5</v>
      </c>
      <c r="P89" s="15">
        <f t="shared" ref="P89:P105" si="38">SUM(C89:N89)</f>
        <v>15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0</v>
      </c>
      <c r="E90" s="50">
        <v>1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1</v>
      </c>
      <c r="L90" s="50">
        <v>2</v>
      </c>
      <c r="M90" s="50">
        <v>10</v>
      </c>
      <c r="N90" s="50">
        <v>0</v>
      </c>
      <c r="O90" s="15">
        <f t="shared" si="37"/>
        <v>6</v>
      </c>
      <c r="P90" s="15">
        <f t="shared" si="38"/>
        <v>16</v>
      </c>
      <c r="R90" s="8"/>
      <c r="T90"/>
    </row>
    <row r="91" spans="2:20" ht="23.1" customHeight="1" x14ac:dyDescent="0.25">
      <c r="B91" s="45" t="s">
        <v>131</v>
      </c>
      <c r="C91" s="50">
        <v>2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1</v>
      </c>
      <c r="M91" s="50">
        <v>6</v>
      </c>
      <c r="N91" s="50">
        <v>0</v>
      </c>
      <c r="O91" s="15">
        <f t="shared" si="37"/>
        <v>3</v>
      </c>
      <c r="P91" s="15">
        <f t="shared" si="38"/>
        <v>9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1</v>
      </c>
      <c r="F92" s="50">
        <v>0</v>
      </c>
      <c r="G92" s="50">
        <v>0</v>
      </c>
      <c r="H92" s="50">
        <v>0</v>
      </c>
      <c r="I92" s="50">
        <v>0</v>
      </c>
      <c r="J92" s="50">
        <v>1</v>
      </c>
      <c r="K92" s="50">
        <v>1</v>
      </c>
      <c r="L92" s="50">
        <v>2</v>
      </c>
      <c r="M92" s="50">
        <v>9</v>
      </c>
      <c r="N92" s="50">
        <v>0</v>
      </c>
      <c r="O92" s="15">
        <f t="shared" si="37"/>
        <v>6</v>
      </c>
      <c r="P92" s="15">
        <f t="shared" si="38"/>
        <v>15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1</v>
      </c>
      <c r="K93" s="50">
        <v>0</v>
      </c>
      <c r="L93" s="50">
        <v>0</v>
      </c>
      <c r="M93" s="50">
        <v>12</v>
      </c>
      <c r="N93" s="50">
        <v>0</v>
      </c>
      <c r="O93" s="15">
        <f t="shared" si="37"/>
        <v>1</v>
      </c>
      <c r="P93" s="15">
        <f t="shared" si="38"/>
        <v>13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1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2</v>
      </c>
      <c r="K94" s="50">
        <v>1</v>
      </c>
      <c r="L94" s="50">
        <v>1</v>
      </c>
      <c r="M94" s="50">
        <v>16</v>
      </c>
      <c r="N94" s="50">
        <v>0</v>
      </c>
      <c r="O94" s="15">
        <f t="shared" si="37"/>
        <v>7</v>
      </c>
      <c r="P94" s="15">
        <f t="shared" si="38"/>
        <v>23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1</v>
      </c>
      <c r="M95" s="50">
        <v>13</v>
      </c>
      <c r="N95" s="50">
        <v>0</v>
      </c>
      <c r="O95" s="15">
        <f t="shared" si="37"/>
        <v>2</v>
      </c>
      <c r="P95" s="15">
        <f t="shared" si="38"/>
        <v>15</v>
      </c>
      <c r="R95" s="8"/>
      <c r="T95"/>
    </row>
    <row r="96" spans="2:20" ht="23.1" customHeight="1" x14ac:dyDescent="0.25">
      <c r="B96" s="47" t="s">
        <v>136</v>
      </c>
      <c r="C96" s="50">
        <v>2</v>
      </c>
      <c r="D96" s="50">
        <v>0</v>
      </c>
      <c r="E96" s="50">
        <v>1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22</v>
      </c>
      <c r="N96" s="50">
        <v>0</v>
      </c>
      <c r="O96" s="15">
        <f t="shared" si="37"/>
        <v>3</v>
      </c>
      <c r="P96" s="15">
        <f t="shared" si="38"/>
        <v>25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1</v>
      </c>
      <c r="F97" s="50">
        <v>0</v>
      </c>
      <c r="G97" s="50">
        <v>0</v>
      </c>
      <c r="H97" s="50">
        <v>0</v>
      </c>
      <c r="I97" s="50">
        <v>2</v>
      </c>
      <c r="J97" s="50">
        <v>0</v>
      </c>
      <c r="K97" s="50">
        <v>0</v>
      </c>
      <c r="L97" s="50">
        <v>0</v>
      </c>
      <c r="M97" s="50">
        <v>28</v>
      </c>
      <c r="N97" s="50">
        <v>0</v>
      </c>
      <c r="O97" s="15">
        <f t="shared" si="37"/>
        <v>5</v>
      </c>
      <c r="P97" s="15">
        <f t="shared" si="38"/>
        <v>33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1</v>
      </c>
      <c r="E98" s="50">
        <v>1</v>
      </c>
      <c r="F98" s="50">
        <v>2</v>
      </c>
      <c r="G98" s="50">
        <v>0</v>
      </c>
      <c r="H98" s="50">
        <v>0</v>
      </c>
      <c r="I98" s="50">
        <v>1</v>
      </c>
      <c r="J98" s="50">
        <v>0</v>
      </c>
      <c r="K98" s="50">
        <v>1</v>
      </c>
      <c r="L98" s="50">
        <v>0</v>
      </c>
      <c r="M98" s="50">
        <v>24</v>
      </c>
      <c r="N98" s="50">
        <v>0</v>
      </c>
      <c r="O98" s="15">
        <f t="shared" si="37"/>
        <v>7</v>
      </c>
      <c r="P98" s="15">
        <f t="shared" si="38"/>
        <v>31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0</v>
      </c>
      <c r="E99" s="50">
        <v>1</v>
      </c>
      <c r="F99" s="50">
        <v>1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2</v>
      </c>
      <c r="M99" s="50">
        <v>32</v>
      </c>
      <c r="N99" s="50">
        <v>0</v>
      </c>
      <c r="O99" s="15">
        <f t="shared" si="37"/>
        <v>7</v>
      </c>
      <c r="P99" s="15">
        <f t="shared" si="38"/>
        <v>39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5</v>
      </c>
      <c r="G100" s="50">
        <v>0</v>
      </c>
      <c r="H100" s="50">
        <v>0</v>
      </c>
      <c r="I100" s="50">
        <v>5</v>
      </c>
      <c r="J100" s="50">
        <v>3</v>
      </c>
      <c r="K100" s="50">
        <v>4</v>
      </c>
      <c r="L100" s="50">
        <v>3</v>
      </c>
      <c r="M100" s="50">
        <v>70</v>
      </c>
      <c r="N100" s="50">
        <v>0</v>
      </c>
      <c r="O100" s="15">
        <f t="shared" si="37"/>
        <v>21</v>
      </c>
      <c r="P100" s="15">
        <f t="shared" si="38"/>
        <v>91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2</v>
      </c>
      <c r="E101" s="50">
        <v>0</v>
      </c>
      <c r="F101" s="50">
        <v>6</v>
      </c>
      <c r="G101" s="50">
        <v>0</v>
      </c>
      <c r="H101" s="50">
        <v>0</v>
      </c>
      <c r="I101" s="50">
        <v>3</v>
      </c>
      <c r="J101" s="50">
        <v>4</v>
      </c>
      <c r="K101" s="50">
        <v>0</v>
      </c>
      <c r="L101" s="50">
        <v>5</v>
      </c>
      <c r="M101" s="50">
        <v>87</v>
      </c>
      <c r="N101" s="50">
        <v>0</v>
      </c>
      <c r="O101" s="15">
        <f t="shared" si="37"/>
        <v>23</v>
      </c>
      <c r="P101" s="15">
        <f t="shared" si="38"/>
        <v>110</v>
      </c>
      <c r="R101" s="8"/>
      <c r="T101"/>
    </row>
    <row r="102" spans="2:20" ht="23.1" customHeight="1" x14ac:dyDescent="0.25">
      <c r="B102" s="46" t="s">
        <v>142</v>
      </c>
      <c r="C102" s="50">
        <v>8</v>
      </c>
      <c r="D102" s="50">
        <v>2</v>
      </c>
      <c r="E102" s="50">
        <v>1</v>
      </c>
      <c r="F102" s="50">
        <v>10</v>
      </c>
      <c r="G102" s="50">
        <v>3</v>
      </c>
      <c r="H102" s="50">
        <v>0</v>
      </c>
      <c r="I102" s="50">
        <v>0</v>
      </c>
      <c r="J102" s="50">
        <v>0</v>
      </c>
      <c r="K102" s="50">
        <v>1</v>
      </c>
      <c r="L102" s="50">
        <v>3</v>
      </c>
      <c r="M102" s="50">
        <v>129</v>
      </c>
      <c r="N102" s="50">
        <v>0</v>
      </c>
      <c r="O102" s="15">
        <f t="shared" si="37"/>
        <v>28</v>
      </c>
      <c r="P102" s="15">
        <f t="shared" si="38"/>
        <v>157</v>
      </c>
      <c r="R102" s="8"/>
      <c r="T102"/>
    </row>
    <row r="103" spans="2:20" ht="23.1" customHeight="1" x14ac:dyDescent="0.25">
      <c r="B103" s="45" t="s">
        <v>143</v>
      </c>
      <c r="C103" s="50">
        <v>27</v>
      </c>
      <c r="D103" s="50">
        <v>3</v>
      </c>
      <c r="E103" s="50">
        <v>4</v>
      </c>
      <c r="F103" s="50">
        <v>15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6</v>
      </c>
      <c r="M103" s="50">
        <v>140</v>
      </c>
      <c r="N103" s="50">
        <v>0</v>
      </c>
      <c r="O103" s="15">
        <f t="shared" si="37"/>
        <v>56</v>
      </c>
      <c r="P103" s="15">
        <f t="shared" si="38"/>
        <v>196</v>
      </c>
      <c r="R103" s="8"/>
      <c r="T103"/>
    </row>
    <row r="104" spans="2:20" ht="23.1" customHeight="1" x14ac:dyDescent="0.25">
      <c r="B104" s="47" t="s">
        <v>144</v>
      </c>
      <c r="C104" s="50">
        <v>44</v>
      </c>
      <c r="D104" s="50">
        <v>12</v>
      </c>
      <c r="E104" s="50">
        <v>5</v>
      </c>
      <c r="F104" s="50">
        <v>26</v>
      </c>
      <c r="G104" s="50">
        <v>1</v>
      </c>
      <c r="H104" s="50">
        <v>0</v>
      </c>
      <c r="I104" s="50">
        <v>3</v>
      </c>
      <c r="J104" s="50">
        <v>2</v>
      </c>
      <c r="K104" s="50">
        <v>0</v>
      </c>
      <c r="L104" s="50">
        <v>2</v>
      </c>
      <c r="M104" s="50">
        <v>100</v>
      </c>
      <c r="N104" s="50">
        <v>0</v>
      </c>
      <c r="O104" s="15">
        <f t="shared" si="37"/>
        <v>95</v>
      </c>
      <c r="P104" s="15">
        <f t="shared" si="38"/>
        <v>195</v>
      </c>
      <c r="R104" s="8"/>
      <c r="T104"/>
    </row>
    <row r="105" spans="2:20" ht="23.1" customHeight="1" x14ac:dyDescent="0.25">
      <c r="B105" s="45" t="s">
        <v>145</v>
      </c>
      <c r="C105" s="50">
        <v>63</v>
      </c>
      <c r="D105" s="50">
        <v>11</v>
      </c>
      <c r="E105" s="50">
        <v>7</v>
      </c>
      <c r="F105" s="50">
        <v>16</v>
      </c>
      <c r="G105" s="50">
        <v>1</v>
      </c>
      <c r="H105" s="50">
        <v>0</v>
      </c>
      <c r="I105" s="50">
        <v>1</v>
      </c>
      <c r="J105" s="50">
        <v>3</v>
      </c>
      <c r="K105" s="50">
        <v>0</v>
      </c>
      <c r="L105" s="50">
        <v>5</v>
      </c>
      <c r="M105" s="50">
        <v>82</v>
      </c>
      <c r="N105" s="50">
        <v>0</v>
      </c>
      <c r="O105" s="15">
        <f t="shared" si="37"/>
        <v>107</v>
      </c>
      <c r="P105" s="15">
        <f t="shared" si="38"/>
        <v>189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2429</v>
      </c>
      <c r="D106" s="16">
        <f>SUM(D10:D105)</f>
        <v>599</v>
      </c>
      <c r="E106" s="16">
        <f>SUM(E10:E105)</f>
        <v>408</v>
      </c>
      <c r="F106" s="16">
        <f>SUM(F10:F105)</f>
        <v>496</v>
      </c>
      <c r="G106" s="16">
        <f>SUM(G10:G105)</f>
        <v>86</v>
      </c>
      <c r="H106" s="16">
        <f t="shared" ref="H106:P106" si="39">SUM(H10:H105)</f>
        <v>6</v>
      </c>
      <c r="I106" s="16">
        <f t="shared" si="39"/>
        <v>199</v>
      </c>
      <c r="J106" s="16">
        <f t="shared" si="39"/>
        <v>158</v>
      </c>
      <c r="K106" s="16">
        <f t="shared" si="39"/>
        <v>124</v>
      </c>
      <c r="L106" s="16">
        <f t="shared" si="39"/>
        <v>240</v>
      </c>
      <c r="M106" s="16">
        <f t="shared" si="39"/>
        <v>9419</v>
      </c>
      <c r="N106" s="16">
        <f t="shared" si="39"/>
        <v>1</v>
      </c>
      <c r="O106" s="16">
        <f t="shared" si="39"/>
        <v>4746</v>
      </c>
      <c r="P106" s="16">
        <f t="shared" si="39"/>
        <v>14165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40">C106/$P$106</f>
        <v>0.17147899752912107</v>
      </c>
      <c r="D107" s="43">
        <f t="shared" si="40"/>
        <v>4.2287327920931872E-2</v>
      </c>
      <c r="E107" s="43">
        <f t="shared" si="40"/>
        <v>2.8803388633956935E-2</v>
      </c>
      <c r="F107" s="43">
        <f t="shared" si="40"/>
        <v>3.5015884221673135E-2</v>
      </c>
      <c r="G107" s="43">
        <f t="shared" si="40"/>
        <v>6.0713025061771972E-3</v>
      </c>
      <c r="H107" s="43">
        <f t="shared" si="40"/>
        <v>4.2357924461701376E-4</v>
      </c>
      <c r="I107" s="43">
        <f t="shared" si="40"/>
        <v>1.4048711613130956E-2</v>
      </c>
      <c r="J107" s="43">
        <f t="shared" si="40"/>
        <v>1.1154253441581363E-2</v>
      </c>
      <c r="K107" s="43">
        <f t="shared" si="40"/>
        <v>8.7539710554182838E-3</v>
      </c>
      <c r="L107" s="43">
        <f t="shared" si="40"/>
        <v>1.6943169784680551E-2</v>
      </c>
      <c r="M107" s="43">
        <f t="shared" si="40"/>
        <v>0.6649488175079421</v>
      </c>
      <c r="N107" s="43">
        <f t="shared" si="40"/>
        <v>7.0596540769502297E-5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0.51179941002949858</v>
      </c>
      <c r="D108" s="44">
        <f t="shared" ref="D108:N108" si="41">D106/$O$106</f>
        <v>0.12621154656552885</v>
      </c>
      <c r="E108" s="44">
        <f t="shared" si="41"/>
        <v>8.5967130214917822E-2</v>
      </c>
      <c r="F108" s="44">
        <f t="shared" si="41"/>
        <v>0.10450906026127266</v>
      </c>
      <c r="G108" s="44">
        <f t="shared" si="41"/>
        <v>1.8120522545301308E-2</v>
      </c>
      <c r="H108" s="44">
        <f t="shared" si="41"/>
        <v>1.2642225031605564E-3</v>
      </c>
      <c r="I108" s="44">
        <f t="shared" si="41"/>
        <v>4.1930046354825119E-2</v>
      </c>
      <c r="J108" s="44">
        <f t="shared" si="41"/>
        <v>3.3291192583227984E-2</v>
      </c>
      <c r="K108" s="44">
        <f t="shared" si="41"/>
        <v>2.6127265065318164E-2</v>
      </c>
      <c r="L108" s="44">
        <f t="shared" si="41"/>
        <v>5.0568900126422248E-2</v>
      </c>
      <c r="M108" s="44"/>
      <c r="N108" s="44">
        <f t="shared" si="41"/>
        <v>2.1070375052675939E-4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0" zoomScale="60" workbookViewId="0">
      <selection activeCell="I104" sqref="I10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Spear Motors -URA'!C3:G3</f>
        <v>MCC - C1 - STN44- NAKAWA-JINJA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'01.08 Spear Motors-URA-24h'!D5</f>
        <v>01.08.19</v>
      </c>
      <c r="E5" s="3"/>
      <c r="F5" s="41" t="s">
        <v>1</v>
      </c>
      <c r="G5" s="63" t="str">
        <f>'01.08 Spear Motors-URA-24h'!G5:H5</f>
        <v>Spear Motors Limited</v>
      </c>
      <c r="H5" s="64"/>
      <c r="I5" s="14"/>
      <c r="J5" s="2" t="s">
        <v>5</v>
      </c>
      <c r="K5" s="63" t="s">
        <v>185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177</v>
      </c>
      <c r="E6" s="64"/>
      <c r="F6" s="2" t="s">
        <v>2</v>
      </c>
      <c r="G6" s="63" t="s">
        <v>180</v>
      </c>
      <c r="H6" s="64"/>
      <c r="J6" s="2" t="s">
        <v>21</v>
      </c>
      <c r="K6" s="63" t="str">
        <f>'01.08 Spear Motors-URA-24h'!K6:L6</f>
        <v>Nusulah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30</v>
      </c>
      <c r="D10" s="50">
        <v>3</v>
      </c>
      <c r="E10" s="50">
        <v>7</v>
      </c>
      <c r="F10" s="50">
        <v>0</v>
      </c>
      <c r="G10" s="50">
        <v>1</v>
      </c>
      <c r="H10" s="50">
        <v>0</v>
      </c>
      <c r="I10" s="50">
        <v>6</v>
      </c>
      <c r="J10" s="50">
        <v>0</v>
      </c>
      <c r="K10" s="50">
        <v>2</v>
      </c>
      <c r="L10" s="50">
        <v>0</v>
      </c>
      <c r="M10" s="50">
        <v>64</v>
      </c>
      <c r="N10" s="50">
        <v>0</v>
      </c>
      <c r="O10" s="15">
        <f t="shared" ref="O10:O73" si="0">SUM(C10:L10,N10)</f>
        <v>49</v>
      </c>
      <c r="P10" s="15">
        <f t="shared" ref="P10:P73" si="1">SUM(C10:N10)</f>
        <v>113</v>
      </c>
      <c r="R10" s="1" t="s">
        <v>6</v>
      </c>
      <c r="S10" s="17">
        <f t="shared" ref="S10:AF10" si="2">SUM(C10:C13)</f>
        <v>165</v>
      </c>
      <c r="T10" s="17">
        <f t="shared" si="2"/>
        <v>30</v>
      </c>
      <c r="U10" s="17">
        <f t="shared" si="2"/>
        <v>28</v>
      </c>
      <c r="V10" s="17">
        <f t="shared" si="2"/>
        <v>7</v>
      </c>
      <c r="W10" s="17">
        <f t="shared" si="2"/>
        <v>2</v>
      </c>
      <c r="X10" s="17">
        <f t="shared" si="2"/>
        <v>0</v>
      </c>
      <c r="Y10" s="17">
        <f t="shared" si="2"/>
        <v>29</v>
      </c>
      <c r="Z10" s="17">
        <f t="shared" si="2"/>
        <v>2</v>
      </c>
      <c r="AA10" s="17">
        <f t="shared" si="2"/>
        <v>3</v>
      </c>
      <c r="AB10" s="17">
        <f t="shared" si="2"/>
        <v>3</v>
      </c>
      <c r="AC10" s="17">
        <f t="shared" si="2"/>
        <v>270</v>
      </c>
      <c r="AD10" s="17">
        <f t="shared" si="2"/>
        <v>0</v>
      </c>
      <c r="AE10" s="31">
        <f t="shared" si="2"/>
        <v>269</v>
      </c>
      <c r="AF10" s="31">
        <f t="shared" si="2"/>
        <v>539</v>
      </c>
    </row>
    <row r="11" spans="2:32" s="6" customFormat="1" ht="23.1" customHeight="1" x14ac:dyDescent="0.25">
      <c r="B11" s="45" t="s">
        <v>38</v>
      </c>
      <c r="C11" s="50">
        <v>45</v>
      </c>
      <c r="D11" s="50">
        <v>10</v>
      </c>
      <c r="E11" s="50">
        <v>5</v>
      </c>
      <c r="F11" s="50">
        <v>2</v>
      </c>
      <c r="G11" s="50">
        <v>0</v>
      </c>
      <c r="H11" s="50">
        <v>0</v>
      </c>
      <c r="I11" s="50">
        <v>5</v>
      </c>
      <c r="J11" s="50">
        <v>0</v>
      </c>
      <c r="K11" s="50">
        <v>0</v>
      </c>
      <c r="L11" s="50">
        <v>3</v>
      </c>
      <c r="M11" s="50">
        <v>46</v>
      </c>
      <c r="N11" s="50">
        <v>0</v>
      </c>
      <c r="O11" s="15">
        <f t="shared" si="0"/>
        <v>70</v>
      </c>
      <c r="P11" s="15">
        <f t="shared" si="1"/>
        <v>116</v>
      </c>
      <c r="R11" s="1" t="s">
        <v>7</v>
      </c>
      <c r="S11" s="17">
        <f t="shared" ref="S11:AF11" si="3">SUM(C14:C17)</f>
        <v>120</v>
      </c>
      <c r="T11" s="17">
        <f t="shared" si="3"/>
        <v>40</v>
      </c>
      <c r="U11" s="17">
        <f t="shared" si="3"/>
        <v>19</v>
      </c>
      <c r="V11" s="17">
        <f t="shared" si="3"/>
        <v>17</v>
      </c>
      <c r="W11" s="17">
        <f t="shared" si="3"/>
        <v>6</v>
      </c>
      <c r="X11" s="17">
        <f t="shared" si="3"/>
        <v>2</v>
      </c>
      <c r="Y11" s="17">
        <f t="shared" si="3"/>
        <v>23</v>
      </c>
      <c r="Z11" s="17">
        <f t="shared" si="3"/>
        <v>1</v>
      </c>
      <c r="AA11" s="17">
        <f t="shared" si="3"/>
        <v>11</v>
      </c>
      <c r="AB11" s="17">
        <f t="shared" si="3"/>
        <v>4</v>
      </c>
      <c r="AC11" s="17">
        <f t="shared" si="3"/>
        <v>405</v>
      </c>
      <c r="AD11" s="17">
        <f t="shared" si="3"/>
        <v>0</v>
      </c>
      <c r="AE11" s="31">
        <f t="shared" si="3"/>
        <v>243</v>
      </c>
      <c r="AF11" s="31">
        <f t="shared" si="3"/>
        <v>648</v>
      </c>
    </row>
    <row r="12" spans="2:32" ht="23.1" customHeight="1" x14ac:dyDescent="0.25">
      <c r="B12" s="45" t="s">
        <v>39</v>
      </c>
      <c r="C12" s="50">
        <v>50</v>
      </c>
      <c r="D12" s="50">
        <v>8</v>
      </c>
      <c r="E12" s="50">
        <v>4</v>
      </c>
      <c r="F12" s="50">
        <v>0</v>
      </c>
      <c r="G12" s="50">
        <v>0</v>
      </c>
      <c r="H12" s="50">
        <v>0</v>
      </c>
      <c r="I12" s="50">
        <v>8</v>
      </c>
      <c r="J12" s="50">
        <v>0</v>
      </c>
      <c r="K12" s="50">
        <v>0</v>
      </c>
      <c r="L12" s="50">
        <v>0</v>
      </c>
      <c r="M12" s="50">
        <v>86</v>
      </c>
      <c r="N12" s="50">
        <v>0</v>
      </c>
      <c r="O12" s="15">
        <f t="shared" si="0"/>
        <v>70</v>
      </c>
      <c r="P12" s="15">
        <f t="shared" si="1"/>
        <v>156</v>
      </c>
      <c r="R12" s="1" t="s">
        <v>8</v>
      </c>
      <c r="S12" s="17">
        <f t="shared" ref="S12:AF12" si="4">SUM(C18:C21)</f>
        <v>101</v>
      </c>
      <c r="T12" s="17">
        <f t="shared" si="4"/>
        <v>22</v>
      </c>
      <c r="U12" s="17">
        <f t="shared" si="4"/>
        <v>19</v>
      </c>
      <c r="V12" s="17">
        <f t="shared" si="4"/>
        <v>19</v>
      </c>
      <c r="W12" s="17">
        <f t="shared" si="4"/>
        <v>3</v>
      </c>
      <c r="X12" s="17">
        <f t="shared" si="4"/>
        <v>0</v>
      </c>
      <c r="Y12" s="17">
        <f t="shared" si="4"/>
        <v>23</v>
      </c>
      <c r="Z12" s="17">
        <f t="shared" si="4"/>
        <v>17</v>
      </c>
      <c r="AA12" s="17">
        <f t="shared" si="4"/>
        <v>3</v>
      </c>
      <c r="AB12" s="17">
        <f t="shared" si="4"/>
        <v>10</v>
      </c>
      <c r="AC12" s="17">
        <f t="shared" si="4"/>
        <v>459</v>
      </c>
      <c r="AD12" s="17">
        <f t="shared" si="4"/>
        <v>1</v>
      </c>
      <c r="AE12" s="31">
        <f t="shared" si="4"/>
        <v>218</v>
      </c>
      <c r="AF12" s="31">
        <f t="shared" si="4"/>
        <v>677</v>
      </c>
    </row>
    <row r="13" spans="2:32" ht="23.1" customHeight="1" x14ac:dyDescent="0.25">
      <c r="B13" s="45" t="s">
        <v>40</v>
      </c>
      <c r="C13" s="50">
        <v>40</v>
      </c>
      <c r="D13" s="50">
        <v>9</v>
      </c>
      <c r="E13" s="50">
        <v>12</v>
      </c>
      <c r="F13" s="50">
        <v>5</v>
      </c>
      <c r="G13" s="50">
        <v>1</v>
      </c>
      <c r="H13" s="50">
        <v>0</v>
      </c>
      <c r="I13" s="50">
        <v>10</v>
      </c>
      <c r="J13" s="50">
        <v>2</v>
      </c>
      <c r="K13" s="50">
        <v>1</v>
      </c>
      <c r="L13" s="50">
        <v>0</v>
      </c>
      <c r="M13" s="50">
        <v>74</v>
      </c>
      <c r="N13" s="50">
        <v>0</v>
      </c>
      <c r="O13" s="15">
        <f t="shared" si="0"/>
        <v>80</v>
      </c>
      <c r="P13" s="15">
        <f t="shared" si="1"/>
        <v>154</v>
      </c>
      <c r="R13" s="1" t="s">
        <v>9</v>
      </c>
      <c r="S13" s="17">
        <f t="shared" ref="S13:AF13" si="5">SUM(C22:C25)</f>
        <v>111</v>
      </c>
      <c r="T13" s="17">
        <f t="shared" si="5"/>
        <v>35</v>
      </c>
      <c r="U13" s="17">
        <f t="shared" si="5"/>
        <v>23</v>
      </c>
      <c r="V13" s="17">
        <f t="shared" si="5"/>
        <v>22</v>
      </c>
      <c r="W13" s="17">
        <f t="shared" si="5"/>
        <v>3</v>
      </c>
      <c r="X13" s="17">
        <f t="shared" si="5"/>
        <v>1</v>
      </c>
      <c r="Y13" s="17">
        <f t="shared" si="5"/>
        <v>19</v>
      </c>
      <c r="Z13" s="17">
        <f t="shared" si="5"/>
        <v>9</v>
      </c>
      <c r="AA13" s="17">
        <f t="shared" si="5"/>
        <v>1</v>
      </c>
      <c r="AB13" s="17">
        <f t="shared" si="5"/>
        <v>17</v>
      </c>
      <c r="AC13" s="17">
        <f t="shared" si="5"/>
        <v>474</v>
      </c>
      <c r="AD13" s="17">
        <f t="shared" si="5"/>
        <v>0</v>
      </c>
      <c r="AE13" s="31">
        <f t="shared" si="5"/>
        <v>241</v>
      </c>
      <c r="AF13" s="31">
        <f t="shared" si="5"/>
        <v>715</v>
      </c>
    </row>
    <row r="14" spans="2:32" ht="23.1" customHeight="1" x14ac:dyDescent="0.25">
      <c r="B14" s="45" t="s">
        <v>41</v>
      </c>
      <c r="C14" s="50">
        <v>30</v>
      </c>
      <c r="D14" s="50">
        <v>10</v>
      </c>
      <c r="E14" s="50">
        <v>2</v>
      </c>
      <c r="F14" s="50">
        <v>4</v>
      </c>
      <c r="G14" s="50">
        <v>0</v>
      </c>
      <c r="H14" s="50">
        <v>0</v>
      </c>
      <c r="I14" s="50">
        <v>3</v>
      </c>
      <c r="J14" s="50">
        <v>0</v>
      </c>
      <c r="K14" s="50">
        <v>1</v>
      </c>
      <c r="L14" s="50">
        <v>0</v>
      </c>
      <c r="M14" s="50">
        <v>56</v>
      </c>
      <c r="N14" s="50">
        <v>0</v>
      </c>
      <c r="O14" s="15">
        <f t="shared" si="0"/>
        <v>50</v>
      </c>
      <c r="P14" s="15">
        <f t="shared" si="1"/>
        <v>106</v>
      </c>
      <c r="R14" s="1" t="s">
        <v>10</v>
      </c>
      <c r="S14" s="17">
        <f t="shared" ref="S14:AF14" si="6">SUM(C26:C29)</f>
        <v>117</v>
      </c>
      <c r="T14" s="17">
        <f t="shared" si="6"/>
        <v>33</v>
      </c>
      <c r="U14" s="17">
        <f t="shared" si="6"/>
        <v>15</v>
      </c>
      <c r="V14" s="17">
        <f t="shared" si="6"/>
        <v>17</v>
      </c>
      <c r="W14" s="17">
        <f t="shared" si="6"/>
        <v>2</v>
      </c>
      <c r="X14" s="17">
        <f t="shared" si="6"/>
        <v>0</v>
      </c>
      <c r="Y14" s="17">
        <f t="shared" si="6"/>
        <v>29</v>
      </c>
      <c r="Z14" s="17">
        <f t="shared" si="6"/>
        <v>8</v>
      </c>
      <c r="AA14" s="17">
        <f t="shared" si="6"/>
        <v>7</v>
      </c>
      <c r="AB14" s="17">
        <f t="shared" si="6"/>
        <v>7</v>
      </c>
      <c r="AC14" s="17">
        <f t="shared" si="6"/>
        <v>303</v>
      </c>
      <c r="AD14" s="17">
        <f t="shared" si="6"/>
        <v>0</v>
      </c>
      <c r="AE14" s="31">
        <f t="shared" si="6"/>
        <v>235</v>
      </c>
      <c r="AF14" s="31">
        <f t="shared" si="6"/>
        <v>538</v>
      </c>
    </row>
    <row r="15" spans="2:32" ht="23.1" customHeight="1" x14ac:dyDescent="0.25">
      <c r="B15" s="45" t="s">
        <v>42</v>
      </c>
      <c r="C15" s="50">
        <v>23</v>
      </c>
      <c r="D15" s="50">
        <v>14</v>
      </c>
      <c r="E15" s="50">
        <v>3</v>
      </c>
      <c r="F15" s="50">
        <v>1</v>
      </c>
      <c r="G15" s="50">
        <v>2</v>
      </c>
      <c r="H15" s="50">
        <v>0</v>
      </c>
      <c r="I15" s="50">
        <v>11</v>
      </c>
      <c r="J15" s="50">
        <v>1</v>
      </c>
      <c r="K15" s="50">
        <v>3</v>
      </c>
      <c r="L15" s="50">
        <v>0</v>
      </c>
      <c r="M15" s="50">
        <v>92</v>
      </c>
      <c r="N15" s="50">
        <v>0</v>
      </c>
      <c r="O15" s="15">
        <f t="shared" si="0"/>
        <v>58</v>
      </c>
      <c r="P15" s="15">
        <f t="shared" si="1"/>
        <v>150</v>
      </c>
      <c r="R15" s="1" t="s">
        <v>11</v>
      </c>
      <c r="S15" s="17">
        <f t="shared" ref="S15:AF15" si="7">SUM(C30:C33)</f>
        <v>213</v>
      </c>
      <c r="T15" s="17">
        <f t="shared" si="7"/>
        <v>29</v>
      </c>
      <c r="U15" s="17">
        <f t="shared" si="7"/>
        <v>22</v>
      </c>
      <c r="V15" s="17">
        <f t="shared" si="7"/>
        <v>20</v>
      </c>
      <c r="W15" s="17">
        <f t="shared" si="7"/>
        <v>1</v>
      </c>
      <c r="X15" s="17">
        <f t="shared" si="7"/>
        <v>0</v>
      </c>
      <c r="Y15" s="17">
        <f t="shared" si="7"/>
        <v>40</v>
      </c>
      <c r="Z15" s="17">
        <f t="shared" si="7"/>
        <v>10</v>
      </c>
      <c r="AA15" s="17">
        <f t="shared" si="7"/>
        <v>4</v>
      </c>
      <c r="AB15" s="17">
        <f t="shared" si="7"/>
        <v>7</v>
      </c>
      <c r="AC15" s="17">
        <f t="shared" si="7"/>
        <v>268</v>
      </c>
      <c r="AD15" s="17">
        <f t="shared" si="7"/>
        <v>0</v>
      </c>
      <c r="AE15" s="31">
        <f t="shared" si="7"/>
        <v>346</v>
      </c>
      <c r="AF15" s="31">
        <f t="shared" si="7"/>
        <v>614</v>
      </c>
    </row>
    <row r="16" spans="2:32" ht="23.1" customHeight="1" x14ac:dyDescent="0.25">
      <c r="B16" s="45" t="s">
        <v>43</v>
      </c>
      <c r="C16" s="50">
        <v>44</v>
      </c>
      <c r="D16" s="50">
        <v>15</v>
      </c>
      <c r="E16" s="50">
        <v>7</v>
      </c>
      <c r="F16" s="50">
        <v>7</v>
      </c>
      <c r="G16" s="50">
        <v>4</v>
      </c>
      <c r="H16" s="50">
        <v>2</v>
      </c>
      <c r="I16" s="50">
        <v>6</v>
      </c>
      <c r="J16" s="50">
        <v>0</v>
      </c>
      <c r="K16" s="50">
        <v>2</v>
      </c>
      <c r="L16" s="50">
        <v>3</v>
      </c>
      <c r="M16" s="50">
        <v>119</v>
      </c>
      <c r="N16" s="50">
        <v>0</v>
      </c>
      <c r="O16" s="15">
        <f t="shared" si="0"/>
        <v>90</v>
      </c>
      <c r="P16" s="15">
        <f t="shared" si="1"/>
        <v>209</v>
      </c>
      <c r="R16" s="1" t="s">
        <v>12</v>
      </c>
      <c r="S16" s="17">
        <f t="shared" ref="S16:AF16" si="8">SUM(C34:C37)</f>
        <v>248</v>
      </c>
      <c r="T16" s="17">
        <f t="shared" si="8"/>
        <v>48</v>
      </c>
      <c r="U16" s="17">
        <f t="shared" si="8"/>
        <v>23</v>
      </c>
      <c r="V16" s="17">
        <f t="shared" si="8"/>
        <v>22</v>
      </c>
      <c r="W16" s="17">
        <f t="shared" si="8"/>
        <v>0</v>
      </c>
      <c r="X16" s="17">
        <f t="shared" si="8"/>
        <v>0</v>
      </c>
      <c r="Y16" s="17">
        <f t="shared" si="8"/>
        <v>11</v>
      </c>
      <c r="Z16" s="17">
        <f t="shared" si="8"/>
        <v>9</v>
      </c>
      <c r="AA16" s="17">
        <f t="shared" si="8"/>
        <v>5</v>
      </c>
      <c r="AB16" s="17">
        <f t="shared" si="8"/>
        <v>6</v>
      </c>
      <c r="AC16" s="17">
        <f t="shared" si="8"/>
        <v>258</v>
      </c>
      <c r="AD16" s="17">
        <f t="shared" si="8"/>
        <v>0</v>
      </c>
      <c r="AE16" s="31">
        <f t="shared" si="8"/>
        <v>372</v>
      </c>
      <c r="AF16" s="31">
        <f t="shared" si="8"/>
        <v>630</v>
      </c>
    </row>
    <row r="17" spans="2:32" ht="23.1" customHeight="1" x14ac:dyDescent="0.25">
      <c r="B17" s="45" t="s">
        <v>44</v>
      </c>
      <c r="C17" s="50">
        <v>23</v>
      </c>
      <c r="D17" s="50">
        <v>1</v>
      </c>
      <c r="E17" s="50">
        <v>7</v>
      </c>
      <c r="F17" s="50">
        <v>5</v>
      </c>
      <c r="G17" s="50">
        <v>0</v>
      </c>
      <c r="H17" s="50">
        <v>0</v>
      </c>
      <c r="I17" s="50">
        <v>3</v>
      </c>
      <c r="J17" s="50">
        <v>0</v>
      </c>
      <c r="K17" s="50">
        <v>5</v>
      </c>
      <c r="L17" s="50">
        <v>1</v>
      </c>
      <c r="M17" s="50">
        <v>138</v>
      </c>
      <c r="N17" s="50">
        <v>0</v>
      </c>
      <c r="O17" s="15">
        <f t="shared" si="0"/>
        <v>45</v>
      </c>
      <c r="P17" s="15">
        <f t="shared" si="1"/>
        <v>183</v>
      </c>
      <c r="R17" s="1" t="s">
        <v>13</v>
      </c>
      <c r="S17" s="17">
        <f t="shared" ref="S17:AF17" si="9">SUM(C38:C41)</f>
        <v>271</v>
      </c>
      <c r="T17" s="17">
        <f t="shared" si="9"/>
        <v>16</v>
      </c>
      <c r="U17" s="17">
        <f t="shared" si="9"/>
        <v>25</v>
      </c>
      <c r="V17" s="17">
        <f t="shared" si="9"/>
        <v>28</v>
      </c>
      <c r="W17" s="17">
        <f t="shared" si="9"/>
        <v>0</v>
      </c>
      <c r="X17" s="17">
        <f t="shared" si="9"/>
        <v>1</v>
      </c>
      <c r="Y17" s="17">
        <f t="shared" si="9"/>
        <v>10</v>
      </c>
      <c r="Z17" s="17">
        <f t="shared" si="9"/>
        <v>8</v>
      </c>
      <c r="AA17" s="17">
        <f t="shared" si="9"/>
        <v>4</v>
      </c>
      <c r="AB17" s="17">
        <f t="shared" si="9"/>
        <v>1</v>
      </c>
      <c r="AC17" s="17">
        <f t="shared" si="9"/>
        <v>241</v>
      </c>
      <c r="AD17" s="17">
        <f t="shared" si="9"/>
        <v>0</v>
      </c>
      <c r="AE17" s="31">
        <f t="shared" si="9"/>
        <v>364</v>
      </c>
      <c r="AF17" s="31">
        <f t="shared" si="9"/>
        <v>605</v>
      </c>
    </row>
    <row r="18" spans="2:32" ht="23.1" customHeight="1" x14ac:dyDescent="0.25">
      <c r="B18" s="45" t="s">
        <v>45</v>
      </c>
      <c r="C18" s="50">
        <v>18</v>
      </c>
      <c r="D18" s="50">
        <v>6</v>
      </c>
      <c r="E18" s="50">
        <v>7</v>
      </c>
      <c r="F18" s="50">
        <v>2</v>
      </c>
      <c r="G18" s="50">
        <v>0</v>
      </c>
      <c r="H18" s="50">
        <v>0</v>
      </c>
      <c r="I18" s="50">
        <v>5</v>
      </c>
      <c r="J18" s="50">
        <v>2</v>
      </c>
      <c r="K18" s="50">
        <v>1</v>
      </c>
      <c r="L18" s="50">
        <v>3</v>
      </c>
      <c r="M18" s="50">
        <v>125</v>
      </c>
      <c r="N18" s="50">
        <v>1</v>
      </c>
      <c r="O18" s="15">
        <f t="shared" si="0"/>
        <v>45</v>
      </c>
      <c r="P18" s="15">
        <f t="shared" si="1"/>
        <v>170</v>
      </c>
      <c r="R18" s="1" t="s">
        <v>14</v>
      </c>
      <c r="S18" s="17">
        <f t="shared" ref="S18:AF18" si="10">SUM(C42:C45)</f>
        <v>164</v>
      </c>
      <c r="T18" s="17">
        <f t="shared" si="10"/>
        <v>41</v>
      </c>
      <c r="U18" s="17">
        <f t="shared" si="10"/>
        <v>28</v>
      </c>
      <c r="V18" s="17">
        <f t="shared" si="10"/>
        <v>35</v>
      </c>
      <c r="W18" s="17">
        <f t="shared" si="10"/>
        <v>5</v>
      </c>
      <c r="X18" s="17">
        <f t="shared" si="10"/>
        <v>0</v>
      </c>
      <c r="Y18" s="17">
        <f t="shared" si="10"/>
        <v>32</v>
      </c>
      <c r="Z18" s="17">
        <f t="shared" si="10"/>
        <v>7</v>
      </c>
      <c r="AA18" s="17">
        <f t="shared" si="10"/>
        <v>0</v>
      </c>
      <c r="AB18" s="17">
        <f t="shared" si="10"/>
        <v>2</v>
      </c>
      <c r="AC18" s="17">
        <f t="shared" si="10"/>
        <v>183</v>
      </c>
      <c r="AD18" s="17">
        <f t="shared" si="10"/>
        <v>0</v>
      </c>
      <c r="AE18" s="31">
        <f t="shared" si="10"/>
        <v>314</v>
      </c>
      <c r="AF18" s="31">
        <f t="shared" si="10"/>
        <v>497</v>
      </c>
    </row>
    <row r="19" spans="2:32" ht="23.1" customHeight="1" x14ac:dyDescent="0.25">
      <c r="B19" s="45" t="s">
        <v>46</v>
      </c>
      <c r="C19" s="50">
        <v>31</v>
      </c>
      <c r="D19" s="50">
        <v>9</v>
      </c>
      <c r="E19" s="50">
        <v>5</v>
      </c>
      <c r="F19" s="50">
        <v>11</v>
      </c>
      <c r="G19" s="50">
        <v>0</v>
      </c>
      <c r="H19" s="50">
        <v>0</v>
      </c>
      <c r="I19" s="50">
        <v>12</v>
      </c>
      <c r="J19" s="50">
        <v>3</v>
      </c>
      <c r="K19" s="50">
        <v>0</v>
      </c>
      <c r="L19" s="50">
        <v>0</v>
      </c>
      <c r="M19" s="50">
        <v>135</v>
      </c>
      <c r="N19" s="50">
        <v>0</v>
      </c>
      <c r="O19" s="15">
        <f t="shared" si="0"/>
        <v>71</v>
      </c>
      <c r="P19" s="15">
        <f t="shared" si="1"/>
        <v>206</v>
      </c>
      <c r="R19" s="1" t="s">
        <v>15</v>
      </c>
      <c r="S19" s="17">
        <f t="shared" ref="S19:AF19" si="11">SUM(C46:C49)</f>
        <v>194</v>
      </c>
      <c r="T19" s="17">
        <f t="shared" si="11"/>
        <v>49</v>
      </c>
      <c r="U19" s="17">
        <f t="shared" si="11"/>
        <v>28</v>
      </c>
      <c r="V19" s="17">
        <f t="shared" si="11"/>
        <v>16</v>
      </c>
      <c r="W19" s="17">
        <f t="shared" si="11"/>
        <v>0</v>
      </c>
      <c r="X19" s="17">
        <f t="shared" si="11"/>
        <v>0</v>
      </c>
      <c r="Y19" s="17">
        <f t="shared" si="11"/>
        <v>39</v>
      </c>
      <c r="Z19" s="17">
        <f t="shared" si="11"/>
        <v>11</v>
      </c>
      <c r="AA19" s="17">
        <f t="shared" si="11"/>
        <v>6</v>
      </c>
      <c r="AB19" s="17">
        <f t="shared" si="11"/>
        <v>8</v>
      </c>
      <c r="AC19" s="17">
        <f t="shared" si="11"/>
        <v>248</v>
      </c>
      <c r="AD19" s="17">
        <f t="shared" si="11"/>
        <v>0</v>
      </c>
      <c r="AE19" s="31">
        <f t="shared" si="11"/>
        <v>351</v>
      </c>
      <c r="AF19" s="31">
        <f t="shared" si="11"/>
        <v>599</v>
      </c>
    </row>
    <row r="20" spans="2:32" ht="23.1" customHeight="1" x14ac:dyDescent="0.25">
      <c r="B20" s="45" t="s">
        <v>47</v>
      </c>
      <c r="C20" s="50">
        <v>29</v>
      </c>
      <c r="D20" s="50">
        <v>5</v>
      </c>
      <c r="E20" s="50">
        <v>7</v>
      </c>
      <c r="F20" s="50">
        <v>5</v>
      </c>
      <c r="G20" s="50">
        <v>2</v>
      </c>
      <c r="H20" s="50">
        <v>0</v>
      </c>
      <c r="I20" s="50">
        <v>3</v>
      </c>
      <c r="J20" s="50">
        <v>8</v>
      </c>
      <c r="K20" s="50">
        <v>1</v>
      </c>
      <c r="L20" s="50">
        <v>5</v>
      </c>
      <c r="M20" s="50">
        <v>115</v>
      </c>
      <c r="N20" s="50">
        <v>0</v>
      </c>
      <c r="O20" s="15">
        <f t="shared" si="0"/>
        <v>65</v>
      </c>
      <c r="P20" s="15">
        <f t="shared" si="1"/>
        <v>180</v>
      </c>
      <c r="R20" s="1" t="s">
        <v>16</v>
      </c>
      <c r="S20" s="17">
        <f t="shared" ref="S20:AF20" si="12">SUM(C50:C53)</f>
        <v>251</v>
      </c>
      <c r="T20" s="17">
        <f t="shared" si="12"/>
        <v>38</v>
      </c>
      <c r="U20" s="17">
        <f t="shared" si="12"/>
        <v>22</v>
      </c>
      <c r="V20" s="17">
        <f t="shared" si="12"/>
        <v>18</v>
      </c>
      <c r="W20" s="17">
        <f t="shared" si="12"/>
        <v>1</v>
      </c>
      <c r="X20" s="17">
        <f t="shared" si="12"/>
        <v>0</v>
      </c>
      <c r="Y20" s="17">
        <f t="shared" si="12"/>
        <v>14</v>
      </c>
      <c r="Z20" s="17">
        <f t="shared" si="12"/>
        <v>2</v>
      </c>
      <c r="AA20" s="17">
        <f t="shared" si="12"/>
        <v>4</v>
      </c>
      <c r="AB20" s="17">
        <f t="shared" si="12"/>
        <v>1</v>
      </c>
      <c r="AC20" s="17">
        <f t="shared" si="12"/>
        <v>368</v>
      </c>
      <c r="AD20" s="17">
        <f t="shared" si="12"/>
        <v>0</v>
      </c>
      <c r="AE20" s="31">
        <f t="shared" si="12"/>
        <v>351</v>
      </c>
      <c r="AF20" s="31">
        <f t="shared" si="12"/>
        <v>719</v>
      </c>
    </row>
    <row r="21" spans="2:32" ht="23.1" customHeight="1" x14ac:dyDescent="0.25">
      <c r="B21" s="45" t="s">
        <v>48</v>
      </c>
      <c r="C21" s="50">
        <v>23</v>
      </c>
      <c r="D21" s="50">
        <v>2</v>
      </c>
      <c r="E21" s="50">
        <v>0</v>
      </c>
      <c r="F21" s="50">
        <v>1</v>
      </c>
      <c r="G21" s="50">
        <v>1</v>
      </c>
      <c r="H21" s="50">
        <v>0</v>
      </c>
      <c r="I21" s="50">
        <v>3</v>
      </c>
      <c r="J21" s="50">
        <v>4</v>
      </c>
      <c r="K21" s="50">
        <v>1</v>
      </c>
      <c r="L21" s="50">
        <v>2</v>
      </c>
      <c r="M21" s="50">
        <v>84</v>
      </c>
      <c r="N21" s="50">
        <v>0</v>
      </c>
      <c r="O21" s="15">
        <f t="shared" si="0"/>
        <v>37</v>
      </c>
      <c r="P21" s="15">
        <f t="shared" si="1"/>
        <v>121</v>
      </c>
      <c r="R21" s="36" t="s">
        <v>20</v>
      </c>
      <c r="S21" s="34">
        <f t="shared" ref="S21:AF21" si="13">SUM(C54:C57)</f>
        <v>252</v>
      </c>
      <c r="T21" s="17">
        <f t="shared" si="13"/>
        <v>46</v>
      </c>
      <c r="U21" s="17">
        <f t="shared" si="13"/>
        <v>14</v>
      </c>
      <c r="V21" s="17">
        <f t="shared" si="13"/>
        <v>18</v>
      </c>
      <c r="W21" s="17">
        <f t="shared" si="13"/>
        <v>3</v>
      </c>
      <c r="X21" s="17">
        <f t="shared" si="13"/>
        <v>1</v>
      </c>
      <c r="Y21" s="17">
        <f t="shared" si="13"/>
        <v>17</v>
      </c>
      <c r="Z21" s="17">
        <f t="shared" si="13"/>
        <v>5</v>
      </c>
      <c r="AA21" s="17">
        <f t="shared" si="13"/>
        <v>1</v>
      </c>
      <c r="AB21" s="17">
        <f t="shared" si="13"/>
        <v>11</v>
      </c>
      <c r="AC21" s="17">
        <f t="shared" si="13"/>
        <v>291</v>
      </c>
      <c r="AD21" s="17">
        <f t="shared" si="13"/>
        <v>0</v>
      </c>
      <c r="AE21" s="31">
        <f t="shared" si="13"/>
        <v>368</v>
      </c>
      <c r="AF21" s="31">
        <f t="shared" si="13"/>
        <v>659</v>
      </c>
    </row>
    <row r="22" spans="2:32" ht="23.1" customHeight="1" x14ac:dyDescent="0.25">
      <c r="B22" s="45" t="s">
        <v>49</v>
      </c>
      <c r="C22" s="50">
        <v>27</v>
      </c>
      <c r="D22" s="50">
        <v>10</v>
      </c>
      <c r="E22" s="50">
        <v>6</v>
      </c>
      <c r="F22" s="50">
        <v>5</v>
      </c>
      <c r="G22" s="50">
        <v>1</v>
      </c>
      <c r="H22" s="50">
        <v>0</v>
      </c>
      <c r="I22" s="50">
        <v>7</v>
      </c>
      <c r="J22" s="50">
        <v>4</v>
      </c>
      <c r="K22" s="50">
        <v>0</v>
      </c>
      <c r="L22" s="50">
        <v>9</v>
      </c>
      <c r="M22" s="50">
        <v>124</v>
      </c>
      <c r="N22" s="50">
        <v>0</v>
      </c>
      <c r="O22" s="15">
        <f t="shared" si="0"/>
        <v>69</v>
      </c>
      <c r="P22" s="15">
        <f t="shared" si="1"/>
        <v>193</v>
      </c>
      <c r="R22" s="36" t="s">
        <v>146</v>
      </c>
      <c r="S22" s="34">
        <f>SUM(C58:C61)</f>
        <v>42</v>
      </c>
      <c r="T22" s="34">
        <f t="shared" ref="T22:AF22" si="14">SUM(D58:D61)</f>
        <v>11</v>
      </c>
      <c r="U22" s="34">
        <f t="shared" si="14"/>
        <v>2</v>
      </c>
      <c r="V22" s="34">
        <f t="shared" si="14"/>
        <v>4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2</v>
      </c>
      <c r="AA22" s="34">
        <f t="shared" si="14"/>
        <v>8</v>
      </c>
      <c r="AB22" s="34">
        <f t="shared" si="14"/>
        <v>10</v>
      </c>
      <c r="AC22" s="34">
        <f t="shared" si="14"/>
        <v>958</v>
      </c>
      <c r="AD22" s="34">
        <f t="shared" si="14"/>
        <v>0</v>
      </c>
      <c r="AE22" s="31">
        <f t="shared" si="14"/>
        <v>81</v>
      </c>
      <c r="AF22" s="31">
        <f t="shared" si="14"/>
        <v>1039</v>
      </c>
    </row>
    <row r="23" spans="2:32" ht="23.1" customHeight="1" x14ac:dyDescent="0.25">
      <c r="B23" s="45" t="s">
        <v>50</v>
      </c>
      <c r="C23" s="50">
        <v>31</v>
      </c>
      <c r="D23" s="50">
        <v>5</v>
      </c>
      <c r="E23" s="50">
        <v>4</v>
      </c>
      <c r="F23" s="50">
        <v>8</v>
      </c>
      <c r="G23" s="50">
        <v>2</v>
      </c>
      <c r="H23" s="50">
        <v>1</v>
      </c>
      <c r="I23" s="50">
        <v>4</v>
      </c>
      <c r="J23" s="50">
        <v>3</v>
      </c>
      <c r="K23" s="50">
        <v>1</v>
      </c>
      <c r="L23" s="50">
        <v>3</v>
      </c>
      <c r="M23" s="50">
        <v>88</v>
      </c>
      <c r="N23" s="50">
        <v>0</v>
      </c>
      <c r="O23" s="15">
        <f t="shared" si="0"/>
        <v>62</v>
      </c>
      <c r="P23" s="15">
        <f t="shared" si="1"/>
        <v>150</v>
      </c>
      <c r="R23" s="36" t="s">
        <v>147</v>
      </c>
      <c r="S23" s="34">
        <f>SUM(C62:C65)</f>
        <v>115</v>
      </c>
      <c r="T23" s="34">
        <f t="shared" ref="T23:AF23" si="15">SUM(D62:D65)</f>
        <v>38</v>
      </c>
      <c r="U23" s="34">
        <f t="shared" si="15"/>
        <v>17</v>
      </c>
      <c r="V23" s="34">
        <f t="shared" si="15"/>
        <v>34</v>
      </c>
      <c r="W23" s="34">
        <f t="shared" si="15"/>
        <v>3</v>
      </c>
      <c r="X23" s="34">
        <f t="shared" si="15"/>
        <v>0</v>
      </c>
      <c r="Y23" s="34">
        <f t="shared" si="15"/>
        <v>1</v>
      </c>
      <c r="Z23" s="34">
        <f t="shared" si="15"/>
        <v>2</v>
      </c>
      <c r="AA23" s="34">
        <f t="shared" si="15"/>
        <v>1</v>
      </c>
      <c r="AB23" s="34">
        <f t="shared" si="15"/>
        <v>0</v>
      </c>
      <c r="AC23" s="34">
        <f t="shared" si="15"/>
        <v>482</v>
      </c>
      <c r="AD23" s="34">
        <f t="shared" si="15"/>
        <v>0</v>
      </c>
      <c r="AE23" s="31">
        <f t="shared" si="15"/>
        <v>211</v>
      </c>
      <c r="AF23" s="31">
        <f t="shared" si="15"/>
        <v>693</v>
      </c>
    </row>
    <row r="24" spans="2:32" ht="23.1" customHeight="1" x14ac:dyDescent="0.25">
      <c r="B24" s="45" t="s">
        <v>51</v>
      </c>
      <c r="C24" s="50">
        <v>24</v>
      </c>
      <c r="D24" s="50">
        <v>6</v>
      </c>
      <c r="E24" s="50">
        <v>5</v>
      </c>
      <c r="F24" s="50">
        <v>3</v>
      </c>
      <c r="G24" s="50">
        <v>0</v>
      </c>
      <c r="H24" s="50">
        <v>0</v>
      </c>
      <c r="I24" s="50">
        <v>3</v>
      </c>
      <c r="J24" s="50">
        <v>1</v>
      </c>
      <c r="K24" s="50">
        <v>0</v>
      </c>
      <c r="L24" s="50">
        <v>4</v>
      </c>
      <c r="M24" s="50">
        <v>120</v>
      </c>
      <c r="N24" s="50">
        <v>0</v>
      </c>
      <c r="O24" s="15">
        <f t="shared" si="0"/>
        <v>46</v>
      </c>
      <c r="P24" s="15">
        <f t="shared" si="1"/>
        <v>166</v>
      </c>
      <c r="R24" s="36" t="s">
        <v>148</v>
      </c>
      <c r="S24" s="34">
        <f>SUM(C66:C69)</f>
        <v>73</v>
      </c>
      <c r="T24" s="34">
        <f t="shared" ref="T24:AF24" si="16">SUM(D66:D69)</f>
        <v>45</v>
      </c>
      <c r="U24" s="34">
        <f t="shared" si="16"/>
        <v>14</v>
      </c>
      <c r="V24" s="34">
        <f t="shared" si="16"/>
        <v>34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361</v>
      </c>
      <c r="AD24" s="34">
        <f t="shared" si="16"/>
        <v>0</v>
      </c>
      <c r="AE24" s="31">
        <f t="shared" si="16"/>
        <v>167</v>
      </c>
      <c r="AF24" s="31">
        <f t="shared" si="16"/>
        <v>528</v>
      </c>
    </row>
    <row r="25" spans="2:32" ht="23.1" customHeight="1" x14ac:dyDescent="0.25">
      <c r="B25" s="45" t="s">
        <v>52</v>
      </c>
      <c r="C25" s="50">
        <v>29</v>
      </c>
      <c r="D25" s="50">
        <v>14</v>
      </c>
      <c r="E25" s="50">
        <v>8</v>
      </c>
      <c r="F25" s="50">
        <v>6</v>
      </c>
      <c r="G25" s="50">
        <v>0</v>
      </c>
      <c r="H25" s="50">
        <v>0</v>
      </c>
      <c r="I25" s="50">
        <v>5</v>
      </c>
      <c r="J25" s="50">
        <v>1</v>
      </c>
      <c r="K25" s="50">
        <v>0</v>
      </c>
      <c r="L25" s="50">
        <v>1</v>
      </c>
      <c r="M25" s="50">
        <v>142</v>
      </c>
      <c r="N25" s="50">
        <v>0</v>
      </c>
      <c r="O25" s="15">
        <f t="shared" si="0"/>
        <v>64</v>
      </c>
      <c r="P25" s="15">
        <f t="shared" si="1"/>
        <v>206</v>
      </c>
      <c r="R25" s="36" t="s">
        <v>149</v>
      </c>
      <c r="S25" s="34">
        <f>SUM(C70:C73)</f>
        <v>44</v>
      </c>
      <c r="T25" s="34">
        <f t="shared" ref="T25:AF25" si="17">SUM(D70:D73)</f>
        <v>43</v>
      </c>
      <c r="U25" s="34">
        <f t="shared" si="17"/>
        <v>8</v>
      </c>
      <c r="V25" s="34">
        <f t="shared" si="17"/>
        <v>13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2</v>
      </c>
      <c r="AA25" s="34">
        <f t="shared" si="17"/>
        <v>0</v>
      </c>
      <c r="AB25" s="34">
        <f t="shared" si="17"/>
        <v>2</v>
      </c>
      <c r="AC25" s="34">
        <f t="shared" si="17"/>
        <v>156</v>
      </c>
      <c r="AD25" s="34">
        <f t="shared" si="17"/>
        <v>0</v>
      </c>
      <c r="AE25" s="31">
        <f t="shared" si="17"/>
        <v>112</v>
      </c>
      <c r="AF25" s="31">
        <f t="shared" si="17"/>
        <v>268</v>
      </c>
    </row>
    <row r="26" spans="2:32" ht="23.1" customHeight="1" x14ac:dyDescent="0.25">
      <c r="B26" s="45" t="s">
        <v>53</v>
      </c>
      <c r="C26" s="50">
        <v>17</v>
      </c>
      <c r="D26" s="50">
        <v>7</v>
      </c>
      <c r="E26" s="50">
        <v>2</v>
      </c>
      <c r="F26" s="50">
        <v>2</v>
      </c>
      <c r="G26" s="50">
        <v>0</v>
      </c>
      <c r="H26" s="50">
        <v>0</v>
      </c>
      <c r="I26" s="50">
        <v>4</v>
      </c>
      <c r="J26" s="50">
        <v>1</v>
      </c>
      <c r="K26" s="50">
        <v>2</v>
      </c>
      <c r="L26" s="50">
        <v>1</v>
      </c>
      <c r="M26" s="50">
        <v>102</v>
      </c>
      <c r="N26" s="50">
        <v>0</v>
      </c>
      <c r="O26" s="15">
        <f t="shared" si="0"/>
        <v>36</v>
      </c>
      <c r="P26" s="15">
        <f t="shared" si="1"/>
        <v>138</v>
      </c>
      <c r="R26" s="36" t="s">
        <v>150</v>
      </c>
      <c r="S26" s="34">
        <f>SUM(C74:C77)</f>
        <v>47</v>
      </c>
      <c r="T26" s="34">
        <f t="shared" ref="T26:AF26" si="18">SUM(D74:D77)</f>
        <v>29</v>
      </c>
      <c r="U26" s="34">
        <f t="shared" si="18"/>
        <v>6</v>
      </c>
      <c r="V26" s="34">
        <f t="shared" si="18"/>
        <v>4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160</v>
      </c>
      <c r="AD26" s="34">
        <f t="shared" si="18"/>
        <v>0</v>
      </c>
      <c r="AE26" s="31">
        <f t="shared" si="18"/>
        <v>89</v>
      </c>
      <c r="AF26" s="31">
        <f t="shared" si="18"/>
        <v>249</v>
      </c>
    </row>
    <row r="27" spans="2:32" ht="23.1" customHeight="1" x14ac:dyDescent="0.25">
      <c r="B27" s="45" t="s">
        <v>54</v>
      </c>
      <c r="C27" s="50">
        <v>42</v>
      </c>
      <c r="D27" s="50">
        <v>14</v>
      </c>
      <c r="E27" s="50">
        <v>6</v>
      </c>
      <c r="F27" s="50">
        <v>9</v>
      </c>
      <c r="G27" s="50">
        <v>0</v>
      </c>
      <c r="H27" s="50">
        <v>0</v>
      </c>
      <c r="I27" s="50">
        <v>9</v>
      </c>
      <c r="J27" s="50">
        <v>1</v>
      </c>
      <c r="K27" s="50">
        <v>3</v>
      </c>
      <c r="L27" s="50">
        <v>1</v>
      </c>
      <c r="M27" s="50">
        <v>78</v>
      </c>
      <c r="N27" s="50">
        <v>0</v>
      </c>
      <c r="O27" s="15">
        <f t="shared" si="0"/>
        <v>85</v>
      </c>
      <c r="P27" s="15">
        <f t="shared" si="1"/>
        <v>163</v>
      </c>
      <c r="R27" s="36" t="s">
        <v>151</v>
      </c>
      <c r="S27" s="34">
        <f>SUM(C78:C81)</f>
        <v>31</v>
      </c>
      <c r="T27" s="34">
        <f t="shared" ref="T27:AF27" si="19">SUM(D78:D81)</f>
        <v>11</v>
      </c>
      <c r="U27" s="34">
        <f t="shared" si="19"/>
        <v>5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138</v>
      </c>
      <c r="AD27" s="34">
        <f t="shared" si="19"/>
        <v>0</v>
      </c>
      <c r="AE27" s="31">
        <f t="shared" si="19"/>
        <v>47</v>
      </c>
      <c r="AF27" s="31">
        <f t="shared" si="19"/>
        <v>185</v>
      </c>
    </row>
    <row r="28" spans="2:32" ht="23.1" customHeight="1" x14ac:dyDescent="0.25">
      <c r="B28" s="45" t="s">
        <v>55</v>
      </c>
      <c r="C28" s="50">
        <v>44</v>
      </c>
      <c r="D28" s="50">
        <v>9</v>
      </c>
      <c r="E28" s="50">
        <v>6</v>
      </c>
      <c r="F28" s="50">
        <v>5</v>
      </c>
      <c r="G28" s="50">
        <v>1</v>
      </c>
      <c r="H28" s="50">
        <v>0</v>
      </c>
      <c r="I28" s="50">
        <v>10</v>
      </c>
      <c r="J28" s="50">
        <v>6</v>
      </c>
      <c r="K28" s="50">
        <v>0</v>
      </c>
      <c r="L28" s="50">
        <v>5</v>
      </c>
      <c r="M28" s="50">
        <v>46</v>
      </c>
      <c r="N28" s="50">
        <v>0</v>
      </c>
      <c r="O28" s="15">
        <f t="shared" si="0"/>
        <v>86</v>
      </c>
      <c r="P28" s="15">
        <f t="shared" si="1"/>
        <v>132</v>
      </c>
      <c r="R28" s="36" t="s">
        <v>152</v>
      </c>
      <c r="S28" s="34">
        <f>SUM(C82:C85)</f>
        <v>11</v>
      </c>
      <c r="T28" s="34">
        <f t="shared" ref="T28:AF28" si="20">SUM(D82:D85)</f>
        <v>6</v>
      </c>
      <c r="U28" s="34">
        <f t="shared" si="20"/>
        <v>2</v>
      </c>
      <c r="V28" s="34">
        <f t="shared" si="20"/>
        <v>5</v>
      </c>
      <c r="W28" s="34">
        <f t="shared" si="20"/>
        <v>1</v>
      </c>
      <c r="X28" s="34">
        <f t="shared" si="20"/>
        <v>0</v>
      </c>
      <c r="Y28" s="34">
        <f t="shared" si="20"/>
        <v>1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50</v>
      </c>
      <c r="AD28" s="34">
        <f t="shared" si="20"/>
        <v>0</v>
      </c>
      <c r="AE28" s="31">
        <f t="shared" si="20"/>
        <v>27</v>
      </c>
      <c r="AF28" s="31">
        <f t="shared" si="20"/>
        <v>77</v>
      </c>
    </row>
    <row r="29" spans="2:32" ht="23.1" customHeight="1" x14ac:dyDescent="0.25">
      <c r="B29" s="45" t="s">
        <v>56</v>
      </c>
      <c r="C29" s="50">
        <v>14</v>
      </c>
      <c r="D29" s="50">
        <v>3</v>
      </c>
      <c r="E29" s="50">
        <v>1</v>
      </c>
      <c r="F29" s="50">
        <v>1</v>
      </c>
      <c r="G29" s="50">
        <v>1</v>
      </c>
      <c r="H29" s="50">
        <v>0</v>
      </c>
      <c r="I29" s="50">
        <v>6</v>
      </c>
      <c r="J29" s="50">
        <v>0</v>
      </c>
      <c r="K29" s="50">
        <v>2</v>
      </c>
      <c r="L29" s="50">
        <v>0</v>
      </c>
      <c r="M29" s="50">
        <v>77</v>
      </c>
      <c r="N29" s="50">
        <v>0</v>
      </c>
      <c r="O29" s="15">
        <f t="shared" si="0"/>
        <v>28</v>
      </c>
      <c r="P29" s="15">
        <f t="shared" si="1"/>
        <v>105</v>
      </c>
      <c r="R29" s="36" t="s">
        <v>153</v>
      </c>
      <c r="S29" s="34">
        <f>SUM(C86:C89)</f>
        <v>6</v>
      </c>
      <c r="T29" s="34">
        <f t="shared" ref="T29:AF29" si="21">SUM(D86:D89)</f>
        <v>6</v>
      </c>
      <c r="U29" s="34">
        <f t="shared" si="21"/>
        <v>1</v>
      </c>
      <c r="V29" s="34">
        <f t="shared" si="21"/>
        <v>3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51</v>
      </c>
      <c r="AD29" s="34">
        <f t="shared" si="21"/>
        <v>0</v>
      </c>
      <c r="AE29" s="31">
        <f t="shared" si="21"/>
        <v>16</v>
      </c>
      <c r="AF29" s="31">
        <f t="shared" si="21"/>
        <v>67</v>
      </c>
    </row>
    <row r="30" spans="2:32" ht="23.1" customHeight="1" x14ac:dyDescent="0.25">
      <c r="B30" s="45" t="s">
        <v>57</v>
      </c>
      <c r="C30" s="50">
        <v>53</v>
      </c>
      <c r="D30" s="50">
        <v>11</v>
      </c>
      <c r="E30" s="50">
        <v>5</v>
      </c>
      <c r="F30" s="50">
        <v>7</v>
      </c>
      <c r="G30" s="50">
        <v>0</v>
      </c>
      <c r="H30" s="50">
        <v>0</v>
      </c>
      <c r="I30" s="50">
        <v>17</v>
      </c>
      <c r="J30" s="50">
        <v>3</v>
      </c>
      <c r="K30" s="50">
        <v>2</v>
      </c>
      <c r="L30" s="50">
        <v>1</v>
      </c>
      <c r="M30" s="50">
        <v>61</v>
      </c>
      <c r="N30" s="50">
        <v>0</v>
      </c>
      <c r="O30" s="15">
        <f t="shared" si="0"/>
        <v>99</v>
      </c>
      <c r="P30" s="15">
        <f t="shared" si="1"/>
        <v>160</v>
      </c>
      <c r="R30" s="36" t="s">
        <v>154</v>
      </c>
      <c r="S30" s="34">
        <f>SUM(C90:C93)</f>
        <v>7</v>
      </c>
      <c r="T30" s="34">
        <f t="shared" ref="T30:AF30" si="22">SUM(D90:D93)</f>
        <v>5</v>
      </c>
      <c r="U30" s="34">
        <f t="shared" si="22"/>
        <v>0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50</v>
      </c>
      <c r="AD30" s="34">
        <f t="shared" si="22"/>
        <v>0</v>
      </c>
      <c r="AE30" s="31">
        <f t="shared" si="22"/>
        <v>15</v>
      </c>
      <c r="AF30" s="31">
        <f t="shared" si="22"/>
        <v>65</v>
      </c>
    </row>
    <row r="31" spans="2:32" ht="23.1" customHeight="1" x14ac:dyDescent="0.25">
      <c r="B31" s="46" t="s">
        <v>58</v>
      </c>
      <c r="C31" s="50">
        <v>35</v>
      </c>
      <c r="D31" s="50">
        <v>8</v>
      </c>
      <c r="E31" s="50">
        <v>5</v>
      </c>
      <c r="F31" s="50">
        <v>3</v>
      </c>
      <c r="G31" s="50">
        <v>0</v>
      </c>
      <c r="H31" s="50">
        <v>0</v>
      </c>
      <c r="I31" s="50">
        <v>7</v>
      </c>
      <c r="J31" s="50">
        <v>2</v>
      </c>
      <c r="K31" s="50">
        <v>0</v>
      </c>
      <c r="L31" s="50">
        <v>1</v>
      </c>
      <c r="M31" s="50">
        <v>39</v>
      </c>
      <c r="N31" s="50">
        <v>0</v>
      </c>
      <c r="O31" s="15">
        <f t="shared" si="0"/>
        <v>61</v>
      </c>
      <c r="P31" s="15">
        <f t="shared" si="1"/>
        <v>100</v>
      </c>
      <c r="R31" s="36" t="s">
        <v>155</v>
      </c>
      <c r="S31" s="34">
        <f>SUM(C94:C97)</f>
        <v>6</v>
      </c>
      <c r="T31" s="34">
        <f t="shared" ref="T31:AF31" si="23">SUM(D94:D97)</f>
        <v>8</v>
      </c>
      <c r="U31" s="34">
        <f t="shared" si="23"/>
        <v>2</v>
      </c>
      <c r="V31" s="34">
        <f t="shared" si="23"/>
        <v>4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1</v>
      </c>
      <c r="AA31" s="34">
        <f t="shared" si="23"/>
        <v>0</v>
      </c>
      <c r="AB31" s="34">
        <f t="shared" si="23"/>
        <v>1</v>
      </c>
      <c r="AC31" s="34">
        <f t="shared" si="23"/>
        <v>88</v>
      </c>
      <c r="AD31" s="34">
        <f t="shared" si="23"/>
        <v>0</v>
      </c>
      <c r="AE31" s="31">
        <f t="shared" si="23"/>
        <v>24</v>
      </c>
      <c r="AF31" s="31">
        <f t="shared" si="23"/>
        <v>112</v>
      </c>
    </row>
    <row r="32" spans="2:32" ht="23.1" customHeight="1" x14ac:dyDescent="0.25">
      <c r="B32" s="46" t="s">
        <v>59</v>
      </c>
      <c r="C32" s="50">
        <v>40</v>
      </c>
      <c r="D32" s="50">
        <v>3</v>
      </c>
      <c r="E32" s="50">
        <v>7</v>
      </c>
      <c r="F32" s="50">
        <v>5</v>
      </c>
      <c r="G32" s="50">
        <v>0</v>
      </c>
      <c r="H32" s="50">
        <v>0</v>
      </c>
      <c r="I32" s="50">
        <v>9</v>
      </c>
      <c r="J32" s="50">
        <v>3</v>
      </c>
      <c r="K32" s="50">
        <v>1</v>
      </c>
      <c r="L32" s="50">
        <v>3</v>
      </c>
      <c r="M32" s="50">
        <v>73</v>
      </c>
      <c r="N32" s="50">
        <v>0</v>
      </c>
      <c r="O32" s="15">
        <f t="shared" si="0"/>
        <v>71</v>
      </c>
      <c r="P32" s="15">
        <f t="shared" si="1"/>
        <v>144</v>
      </c>
      <c r="R32" s="33" t="s">
        <v>156</v>
      </c>
      <c r="S32" s="34">
        <f>SUM(C98:C101)</f>
        <v>3</v>
      </c>
      <c r="T32" s="34">
        <f t="shared" ref="T32:AF32" si="24">SUM(D98:D101)</f>
        <v>1</v>
      </c>
      <c r="U32" s="34">
        <f t="shared" si="24"/>
        <v>4</v>
      </c>
      <c r="V32" s="34">
        <f t="shared" si="24"/>
        <v>15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5</v>
      </c>
      <c r="AA32" s="34">
        <f t="shared" si="24"/>
        <v>0</v>
      </c>
      <c r="AB32" s="34">
        <f t="shared" si="24"/>
        <v>7</v>
      </c>
      <c r="AC32" s="34">
        <f t="shared" si="24"/>
        <v>218</v>
      </c>
      <c r="AD32" s="34">
        <f t="shared" si="24"/>
        <v>0</v>
      </c>
      <c r="AE32" s="31">
        <f t="shared" si="24"/>
        <v>35</v>
      </c>
      <c r="AF32" s="31">
        <f t="shared" si="24"/>
        <v>253</v>
      </c>
    </row>
    <row r="33" spans="2:32" ht="23.1" customHeight="1" x14ac:dyDescent="0.25">
      <c r="B33" s="45" t="s">
        <v>60</v>
      </c>
      <c r="C33" s="50">
        <v>85</v>
      </c>
      <c r="D33" s="50">
        <v>7</v>
      </c>
      <c r="E33" s="50">
        <v>5</v>
      </c>
      <c r="F33" s="50">
        <v>5</v>
      </c>
      <c r="G33" s="50">
        <v>1</v>
      </c>
      <c r="H33" s="50">
        <v>0</v>
      </c>
      <c r="I33" s="50">
        <v>7</v>
      </c>
      <c r="J33" s="50">
        <v>2</v>
      </c>
      <c r="K33" s="50">
        <v>1</v>
      </c>
      <c r="L33" s="50">
        <v>2</v>
      </c>
      <c r="M33" s="50">
        <v>95</v>
      </c>
      <c r="N33" s="50">
        <v>0</v>
      </c>
      <c r="O33" s="15">
        <f t="shared" si="0"/>
        <v>115</v>
      </c>
      <c r="P33" s="15">
        <f t="shared" si="1"/>
        <v>210</v>
      </c>
      <c r="R33" s="33" t="s">
        <v>157</v>
      </c>
      <c r="S33" s="34">
        <f>SUM(C102:C105)</f>
        <v>46</v>
      </c>
      <c r="T33" s="34">
        <f t="shared" ref="T33:AF33" si="25">SUM(D102:D105)</f>
        <v>37</v>
      </c>
      <c r="U33" s="34">
        <f t="shared" si="25"/>
        <v>21</v>
      </c>
      <c r="V33" s="34">
        <f t="shared" si="25"/>
        <v>66</v>
      </c>
      <c r="W33" s="34">
        <f t="shared" si="25"/>
        <v>3</v>
      </c>
      <c r="X33" s="34">
        <f t="shared" si="25"/>
        <v>0</v>
      </c>
      <c r="Y33" s="34">
        <f t="shared" si="25"/>
        <v>2</v>
      </c>
      <c r="Z33" s="34">
        <f t="shared" si="25"/>
        <v>0</v>
      </c>
      <c r="AA33" s="34">
        <f t="shared" si="25"/>
        <v>0</v>
      </c>
      <c r="AB33" s="34">
        <f t="shared" si="25"/>
        <v>16</v>
      </c>
      <c r="AC33" s="34">
        <f t="shared" si="25"/>
        <v>392</v>
      </c>
      <c r="AD33" s="34">
        <f t="shared" si="25"/>
        <v>0</v>
      </c>
      <c r="AE33" s="31">
        <f t="shared" si="25"/>
        <v>191</v>
      </c>
      <c r="AF33" s="31">
        <f t="shared" si="25"/>
        <v>583</v>
      </c>
    </row>
    <row r="34" spans="2:32" ht="23.1" customHeight="1" x14ac:dyDescent="0.25">
      <c r="B34" s="46" t="s">
        <v>61</v>
      </c>
      <c r="C34" s="50">
        <v>55</v>
      </c>
      <c r="D34" s="50">
        <v>12</v>
      </c>
      <c r="E34" s="50">
        <v>6</v>
      </c>
      <c r="F34" s="50">
        <v>8</v>
      </c>
      <c r="G34" s="50">
        <v>0</v>
      </c>
      <c r="H34" s="50">
        <v>0</v>
      </c>
      <c r="I34" s="50">
        <v>5</v>
      </c>
      <c r="J34" s="50">
        <v>2</v>
      </c>
      <c r="K34" s="50">
        <v>1</v>
      </c>
      <c r="L34" s="50">
        <v>1</v>
      </c>
      <c r="M34" s="50">
        <v>52</v>
      </c>
      <c r="N34" s="50">
        <v>0</v>
      </c>
      <c r="O34" s="15">
        <f t="shared" si="0"/>
        <v>90</v>
      </c>
      <c r="P34" s="15">
        <f t="shared" si="1"/>
        <v>142</v>
      </c>
      <c r="R34" s="38" t="s">
        <v>90</v>
      </c>
      <c r="S34" s="39">
        <f t="shared" ref="S34:AF34" si="26">MAX(S10:S12)</f>
        <v>165</v>
      </c>
      <c r="T34" s="39">
        <f t="shared" si="26"/>
        <v>40</v>
      </c>
      <c r="U34" s="39">
        <f t="shared" si="26"/>
        <v>28</v>
      </c>
      <c r="V34" s="39">
        <f t="shared" si="26"/>
        <v>19</v>
      </c>
      <c r="W34" s="39">
        <f t="shared" si="26"/>
        <v>6</v>
      </c>
      <c r="X34" s="39">
        <f t="shared" si="26"/>
        <v>2</v>
      </c>
      <c r="Y34" s="39">
        <f t="shared" si="26"/>
        <v>29</v>
      </c>
      <c r="Z34" s="39">
        <f t="shared" si="26"/>
        <v>17</v>
      </c>
      <c r="AA34" s="39">
        <f t="shared" si="26"/>
        <v>11</v>
      </c>
      <c r="AB34" s="39">
        <f t="shared" si="26"/>
        <v>10</v>
      </c>
      <c r="AC34" s="39">
        <f t="shared" si="26"/>
        <v>459</v>
      </c>
      <c r="AD34" s="39">
        <f t="shared" si="26"/>
        <v>1</v>
      </c>
      <c r="AE34" s="40">
        <f t="shared" si="26"/>
        <v>269</v>
      </c>
      <c r="AF34" s="40">
        <f t="shared" si="26"/>
        <v>677</v>
      </c>
    </row>
    <row r="35" spans="2:32" ht="23.1" customHeight="1" x14ac:dyDescent="0.25">
      <c r="B35" s="46" t="s">
        <v>62</v>
      </c>
      <c r="C35" s="50">
        <v>70</v>
      </c>
      <c r="D35" s="50">
        <v>22</v>
      </c>
      <c r="E35" s="50">
        <v>11</v>
      </c>
      <c r="F35" s="50">
        <v>9</v>
      </c>
      <c r="G35" s="50">
        <v>0</v>
      </c>
      <c r="H35" s="50">
        <v>0</v>
      </c>
      <c r="I35" s="50">
        <v>4</v>
      </c>
      <c r="J35" s="50">
        <v>1</v>
      </c>
      <c r="K35" s="50">
        <v>0</v>
      </c>
      <c r="L35" s="50">
        <v>2</v>
      </c>
      <c r="M35" s="50">
        <v>56</v>
      </c>
      <c r="N35" s="50">
        <v>0</v>
      </c>
      <c r="O35" s="15">
        <f t="shared" si="0"/>
        <v>119</v>
      </c>
      <c r="P35" s="15">
        <f t="shared" si="1"/>
        <v>175</v>
      </c>
      <c r="R35" s="38" t="s">
        <v>91</v>
      </c>
      <c r="S35" s="39">
        <f t="shared" ref="S35:AF35" si="27">MAX(S13:S18)</f>
        <v>271</v>
      </c>
      <c r="T35" s="39">
        <f t="shared" si="27"/>
        <v>48</v>
      </c>
      <c r="U35" s="39">
        <f t="shared" si="27"/>
        <v>28</v>
      </c>
      <c r="V35" s="39">
        <f t="shared" si="27"/>
        <v>35</v>
      </c>
      <c r="W35" s="39">
        <f t="shared" si="27"/>
        <v>5</v>
      </c>
      <c r="X35" s="39">
        <f t="shared" si="27"/>
        <v>1</v>
      </c>
      <c r="Y35" s="39">
        <f t="shared" si="27"/>
        <v>40</v>
      </c>
      <c r="Z35" s="39">
        <f t="shared" si="27"/>
        <v>10</v>
      </c>
      <c r="AA35" s="39">
        <f t="shared" si="27"/>
        <v>7</v>
      </c>
      <c r="AB35" s="39">
        <f t="shared" si="27"/>
        <v>17</v>
      </c>
      <c r="AC35" s="39">
        <f t="shared" si="27"/>
        <v>474</v>
      </c>
      <c r="AD35" s="39">
        <f t="shared" si="27"/>
        <v>0</v>
      </c>
      <c r="AE35" s="40">
        <f t="shared" si="27"/>
        <v>372</v>
      </c>
      <c r="AF35" s="40">
        <f t="shared" si="27"/>
        <v>715</v>
      </c>
    </row>
    <row r="36" spans="2:32" ht="23.1" customHeight="1" x14ac:dyDescent="0.25">
      <c r="B36" s="46" t="s">
        <v>63</v>
      </c>
      <c r="C36" s="50">
        <v>62</v>
      </c>
      <c r="D36" s="50">
        <v>10</v>
      </c>
      <c r="E36" s="50">
        <v>5</v>
      </c>
      <c r="F36" s="50">
        <v>2</v>
      </c>
      <c r="G36" s="50">
        <v>0</v>
      </c>
      <c r="H36" s="50">
        <v>0</v>
      </c>
      <c r="I36" s="50">
        <v>1</v>
      </c>
      <c r="J36" s="50">
        <v>3</v>
      </c>
      <c r="K36" s="50">
        <v>2</v>
      </c>
      <c r="L36" s="50">
        <v>2</v>
      </c>
      <c r="M36" s="50">
        <v>55</v>
      </c>
      <c r="N36" s="50">
        <v>0</v>
      </c>
      <c r="O36" s="15">
        <f t="shared" si="0"/>
        <v>87</v>
      </c>
      <c r="P36" s="15">
        <f t="shared" si="1"/>
        <v>142</v>
      </c>
      <c r="R36" s="38" t="s">
        <v>92</v>
      </c>
      <c r="S36" s="39">
        <f t="shared" ref="S36:AF36" si="28">MAX(S19:S21)</f>
        <v>252</v>
      </c>
      <c r="T36" s="39">
        <f t="shared" si="28"/>
        <v>49</v>
      </c>
      <c r="U36" s="39">
        <f t="shared" si="28"/>
        <v>28</v>
      </c>
      <c r="V36" s="39">
        <f t="shared" si="28"/>
        <v>18</v>
      </c>
      <c r="W36" s="39">
        <f t="shared" si="28"/>
        <v>3</v>
      </c>
      <c r="X36" s="39">
        <f t="shared" si="28"/>
        <v>1</v>
      </c>
      <c r="Y36" s="39">
        <f t="shared" si="28"/>
        <v>39</v>
      </c>
      <c r="Z36" s="39">
        <f t="shared" si="28"/>
        <v>11</v>
      </c>
      <c r="AA36" s="39">
        <f t="shared" si="28"/>
        <v>6</v>
      </c>
      <c r="AB36" s="39">
        <f t="shared" si="28"/>
        <v>11</v>
      </c>
      <c r="AC36" s="39">
        <f t="shared" si="28"/>
        <v>368</v>
      </c>
      <c r="AD36" s="39">
        <f t="shared" si="28"/>
        <v>0</v>
      </c>
      <c r="AE36" s="40">
        <f t="shared" si="28"/>
        <v>368</v>
      </c>
      <c r="AF36" s="40">
        <f t="shared" si="28"/>
        <v>719</v>
      </c>
    </row>
    <row r="37" spans="2:32" ht="23.1" customHeight="1" x14ac:dyDescent="0.25">
      <c r="B37" s="45" t="s">
        <v>64</v>
      </c>
      <c r="C37" s="50">
        <v>61</v>
      </c>
      <c r="D37" s="50">
        <v>4</v>
      </c>
      <c r="E37" s="50">
        <v>1</v>
      </c>
      <c r="F37" s="50">
        <v>3</v>
      </c>
      <c r="G37" s="50">
        <v>0</v>
      </c>
      <c r="H37" s="50">
        <v>0</v>
      </c>
      <c r="I37" s="50">
        <v>1</v>
      </c>
      <c r="J37" s="50">
        <v>3</v>
      </c>
      <c r="K37" s="50">
        <v>2</v>
      </c>
      <c r="L37" s="50">
        <v>1</v>
      </c>
      <c r="M37" s="50">
        <v>95</v>
      </c>
      <c r="N37" s="50">
        <v>0</v>
      </c>
      <c r="O37" s="15">
        <f t="shared" si="0"/>
        <v>76</v>
      </c>
      <c r="P37" s="15">
        <f t="shared" si="1"/>
        <v>171</v>
      </c>
      <c r="R37" s="37" t="s">
        <v>85</v>
      </c>
      <c r="S37" s="35">
        <f t="shared" ref="S37:AF37" si="29">SUM(S10:S12)</f>
        <v>386</v>
      </c>
      <c r="T37" s="16">
        <f t="shared" si="29"/>
        <v>92</v>
      </c>
      <c r="U37" s="16">
        <f t="shared" si="29"/>
        <v>66</v>
      </c>
      <c r="V37" s="16">
        <f t="shared" si="29"/>
        <v>43</v>
      </c>
      <c r="W37" s="16">
        <f t="shared" si="29"/>
        <v>11</v>
      </c>
      <c r="X37" s="16">
        <f t="shared" si="29"/>
        <v>2</v>
      </c>
      <c r="Y37" s="16">
        <f t="shared" si="29"/>
        <v>75</v>
      </c>
      <c r="Z37" s="16">
        <f t="shared" si="29"/>
        <v>20</v>
      </c>
      <c r="AA37" s="16">
        <f t="shared" si="29"/>
        <v>17</v>
      </c>
      <c r="AB37" s="16">
        <f t="shared" si="29"/>
        <v>17</v>
      </c>
      <c r="AC37" s="16">
        <f t="shared" si="29"/>
        <v>1134</v>
      </c>
      <c r="AD37" s="16">
        <f t="shared" si="29"/>
        <v>1</v>
      </c>
      <c r="AE37" s="32">
        <f t="shared" si="29"/>
        <v>730</v>
      </c>
      <c r="AF37" s="32">
        <f t="shared" si="29"/>
        <v>1864</v>
      </c>
    </row>
    <row r="38" spans="2:32" ht="23.1" customHeight="1" x14ac:dyDescent="0.25">
      <c r="B38" s="46" t="s">
        <v>65</v>
      </c>
      <c r="C38" s="50">
        <v>65</v>
      </c>
      <c r="D38" s="50">
        <v>4</v>
      </c>
      <c r="E38" s="50">
        <v>1</v>
      </c>
      <c r="F38" s="50">
        <v>6</v>
      </c>
      <c r="G38" s="50">
        <v>0</v>
      </c>
      <c r="H38" s="50">
        <v>0</v>
      </c>
      <c r="I38" s="50">
        <v>5</v>
      </c>
      <c r="J38" s="50">
        <v>1</v>
      </c>
      <c r="K38" s="50">
        <v>1</v>
      </c>
      <c r="L38" s="50">
        <v>1</v>
      </c>
      <c r="M38" s="50">
        <v>107</v>
      </c>
      <c r="N38" s="50">
        <v>0</v>
      </c>
      <c r="O38" s="15">
        <f t="shared" si="0"/>
        <v>84</v>
      </c>
      <c r="P38" s="15">
        <f t="shared" si="1"/>
        <v>191</v>
      </c>
      <c r="R38" s="28" t="s">
        <v>86</v>
      </c>
      <c r="S38" s="16">
        <f t="shared" ref="S38:AF38" si="30">SUM(S13:S18)</f>
        <v>1124</v>
      </c>
      <c r="T38" s="16">
        <f t="shared" si="30"/>
        <v>202</v>
      </c>
      <c r="U38" s="16">
        <f t="shared" si="30"/>
        <v>136</v>
      </c>
      <c r="V38" s="16">
        <f t="shared" si="30"/>
        <v>144</v>
      </c>
      <c r="W38" s="16">
        <f t="shared" si="30"/>
        <v>11</v>
      </c>
      <c r="X38" s="16">
        <f t="shared" si="30"/>
        <v>2</v>
      </c>
      <c r="Y38" s="16">
        <f t="shared" si="30"/>
        <v>141</v>
      </c>
      <c r="Z38" s="16">
        <f t="shared" si="30"/>
        <v>51</v>
      </c>
      <c r="AA38" s="16">
        <f t="shared" si="30"/>
        <v>21</v>
      </c>
      <c r="AB38" s="16">
        <f t="shared" si="30"/>
        <v>40</v>
      </c>
      <c r="AC38" s="16">
        <f t="shared" si="30"/>
        <v>1727</v>
      </c>
      <c r="AD38" s="16">
        <f t="shared" si="30"/>
        <v>0</v>
      </c>
      <c r="AE38" s="32">
        <f t="shared" si="30"/>
        <v>1872</v>
      </c>
      <c r="AF38" s="32">
        <f t="shared" si="30"/>
        <v>3599</v>
      </c>
    </row>
    <row r="39" spans="2:32" ht="23.1" customHeight="1" x14ac:dyDescent="0.25">
      <c r="B39" s="46" t="s">
        <v>66</v>
      </c>
      <c r="C39" s="50">
        <v>60</v>
      </c>
      <c r="D39" s="50">
        <v>6</v>
      </c>
      <c r="E39" s="50">
        <v>8</v>
      </c>
      <c r="F39" s="50">
        <v>5</v>
      </c>
      <c r="G39" s="50">
        <v>0</v>
      </c>
      <c r="H39" s="50">
        <v>0</v>
      </c>
      <c r="I39" s="50">
        <v>2</v>
      </c>
      <c r="J39" s="50">
        <v>4</v>
      </c>
      <c r="K39" s="50">
        <v>3</v>
      </c>
      <c r="L39" s="50">
        <v>0</v>
      </c>
      <c r="M39" s="50">
        <v>76</v>
      </c>
      <c r="N39" s="50">
        <v>0</v>
      </c>
      <c r="O39" s="15">
        <f t="shared" si="0"/>
        <v>88</v>
      </c>
      <c r="P39" s="15">
        <f t="shared" si="1"/>
        <v>164</v>
      </c>
      <c r="R39" s="29" t="s">
        <v>87</v>
      </c>
      <c r="S39" s="16">
        <f t="shared" ref="S39:AF39" si="31">SUM(S19:S21)</f>
        <v>697</v>
      </c>
      <c r="T39" s="16">
        <f t="shared" si="31"/>
        <v>133</v>
      </c>
      <c r="U39" s="16">
        <f t="shared" si="31"/>
        <v>64</v>
      </c>
      <c r="V39" s="16">
        <f t="shared" si="31"/>
        <v>52</v>
      </c>
      <c r="W39" s="16">
        <f t="shared" si="31"/>
        <v>4</v>
      </c>
      <c r="X39" s="16">
        <f t="shared" si="31"/>
        <v>1</v>
      </c>
      <c r="Y39" s="16">
        <f t="shared" si="31"/>
        <v>70</v>
      </c>
      <c r="Z39" s="16">
        <f t="shared" si="31"/>
        <v>18</v>
      </c>
      <c r="AA39" s="16">
        <f t="shared" si="31"/>
        <v>11</v>
      </c>
      <c r="AB39" s="16">
        <f t="shared" si="31"/>
        <v>20</v>
      </c>
      <c r="AC39" s="16">
        <f t="shared" si="31"/>
        <v>907</v>
      </c>
      <c r="AD39" s="16">
        <f t="shared" si="31"/>
        <v>0</v>
      </c>
      <c r="AE39" s="32">
        <f t="shared" si="31"/>
        <v>1070</v>
      </c>
      <c r="AF39" s="32">
        <f t="shared" si="31"/>
        <v>1977</v>
      </c>
    </row>
    <row r="40" spans="2:32" ht="23.1" customHeight="1" x14ac:dyDescent="0.25">
      <c r="B40" s="46" t="s">
        <v>67</v>
      </c>
      <c r="C40" s="50">
        <v>110</v>
      </c>
      <c r="D40" s="50">
        <v>4</v>
      </c>
      <c r="E40" s="50">
        <v>5</v>
      </c>
      <c r="F40" s="50">
        <v>14</v>
      </c>
      <c r="G40" s="50">
        <v>0</v>
      </c>
      <c r="H40" s="50">
        <v>1</v>
      </c>
      <c r="I40" s="50">
        <v>1</v>
      </c>
      <c r="J40" s="50">
        <v>0</v>
      </c>
      <c r="K40" s="50">
        <v>0</v>
      </c>
      <c r="L40" s="50">
        <v>0</v>
      </c>
      <c r="M40" s="50">
        <v>39</v>
      </c>
      <c r="N40" s="50">
        <v>0</v>
      </c>
      <c r="O40" s="15">
        <f t="shared" si="0"/>
        <v>135</v>
      </c>
      <c r="P40" s="15">
        <f t="shared" si="1"/>
        <v>174</v>
      </c>
      <c r="R40" s="5" t="s">
        <v>17</v>
      </c>
      <c r="S40" s="16">
        <f t="shared" ref="S40:AF40" si="32">SUM(S10:S21)</f>
        <v>2207</v>
      </c>
      <c r="T40" s="16">
        <f t="shared" si="32"/>
        <v>427</v>
      </c>
      <c r="U40" s="16">
        <f t="shared" si="32"/>
        <v>266</v>
      </c>
      <c r="V40" s="16">
        <f t="shared" si="32"/>
        <v>239</v>
      </c>
      <c r="W40" s="16">
        <f t="shared" si="32"/>
        <v>26</v>
      </c>
      <c r="X40" s="16">
        <f t="shared" si="32"/>
        <v>5</v>
      </c>
      <c r="Y40" s="16">
        <f t="shared" si="32"/>
        <v>286</v>
      </c>
      <c r="Z40" s="16">
        <f t="shared" si="32"/>
        <v>89</v>
      </c>
      <c r="AA40" s="16">
        <f t="shared" si="32"/>
        <v>49</v>
      </c>
      <c r="AB40" s="16">
        <f t="shared" si="32"/>
        <v>77</v>
      </c>
      <c r="AC40" s="16">
        <f t="shared" si="32"/>
        <v>3768</v>
      </c>
      <c r="AD40" s="16">
        <f t="shared" si="32"/>
        <v>1</v>
      </c>
      <c r="AE40" s="32">
        <f t="shared" si="32"/>
        <v>3672</v>
      </c>
      <c r="AF40" s="32">
        <f t="shared" si="32"/>
        <v>7440</v>
      </c>
    </row>
    <row r="41" spans="2:32" ht="23.1" customHeight="1" x14ac:dyDescent="0.25">
      <c r="B41" s="45" t="s">
        <v>68</v>
      </c>
      <c r="C41" s="50">
        <v>36</v>
      </c>
      <c r="D41" s="50">
        <v>2</v>
      </c>
      <c r="E41" s="50">
        <v>11</v>
      </c>
      <c r="F41" s="50">
        <v>3</v>
      </c>
      <c r="G41" s="50">
        <v>0</v>
      </c>
      <c r="H41" s="50">
        <v>0</v>
      </c>
      <c r="I41" s="50">
        <v>2</v>
      </c>
      <c r="J41" s="50">
        <v>3</v>
      </c>
      <c r="K41" s="50">
        <v>0</v>
      </c>
      <c r="L41" s="50">
        <v>0</v>
      </c>
      <c r="M41" s="50">
        <v>19</v>
      </c>
      <c r="N41" s="50">
        <v>0</v>
      </c>
      <c r="O41" s="15">
        <f t="shared" si="0"/>
        <v>57</v>
      </c>
      <c r="P41" s="15">
        <f t="shared" si="1"/>
        <v>76</v>
      </c>
      <c r="R41" s="5" t="s">
        <v>159</v>
      </c>
      <c r="S41" s="16">
        <f>SUM(S10:S33)</f>
        <v>2638</v>
      </c>
      <c r="T41" s="16">
        <f t="shared" ref="T41:AF41" si="33">SUM(T10:T33)</f>
        <v>667</v>
      </c>
      <c r="U41" s="16">
        <f t="shared" si="33"/>
        <v>348</v>
      </c>
      <c r="V41" s="16">
        <f t="shared" si="33"/>
        <v>423</v>
      </c>
      <c r="W41" s="16">
        <f t="shared" si="33"/>
        <v>33</v>
      </c>
      <c r="X41" s="16">
        <f t="shared" si="33"/>
        <v>5</v>
      </c>
      <c r="Y41" s="16">
        <f t="shared" si="33"/>
        <v>298</v>
      </c>
      <c r="Z41" s="16">
        <f t="shared" si="33"/>
        <v>103</v>
      </c>
      <c r="AA41" s="16">
        <f t="shared" si="33"/>
        <v>58</v>
      </c>
      <c r="AB41" s="16">
        <f t="shared" si="33"/>
        <v>113</v>
      </c>
      <c r="AC41" s="16">
        <f t="shared" si="33"/>
        <v>6872</v>
      </c>
      <c r="AD41" s="16">
        <f t="shared" si="33"/>
        <v>1</v>
      </c>
      <c r="AE41" s="32">
        <f t="shared" si="33"/>
        <v>4687</v>
      </c>
      <c r="AF41" s="32">
        <f t="shared" si="33"/>
        <v>11559</v>
      </c>
    </row>
    <row r="42" spans="2:32" ht="23.1" customHeight="1" x14ac:dyDescent="0.25">
      <c r="B42" s="46" t="s">
        <v>69</v>
      </c>
      <c r="C42" s="50">
        <v>39</v>
      </c>
      <c r="D42" s="50">
        <v>8</v>
      </c>
      <c r="E42" s="50">
        <v>6</v>
      </c>
      <c r="F42" s="50">
        <v>10</v>
      </c>
      <c r="G42" s="50">
        <v>0</v>
      </c>
      <c r="H42" s="50">
        <v>0</v>
      </c>
      <c r="I42" s="50">
        <v>5</v>
      </c>
      <c r="J42" s="50">
        <v>1</v>
      </c>
      <c r="K42" s="50">
        <v>0</v>
      </c>
      <c r="L42" s="50">
        <v>0</v>
      </c>
      <c r="M42" s="50">
        <v>28</v>
      </c>
      <c r="N42" s="50">
        <v>0</v>
      </c>
      <c r="O42" s="15">
        <f t="shared" si="0"/>
        <v>69</v>
      </c>
      <c r="P42" s="15">
        <f t="shared" si="1"/>
        <v>97</v>
      </c>
      <c r="R42" s="5" t="s">
        <v>160</v>
      </c>
      <c r="S42" s="48">
        <f>S41/S40</f>
        <v>1.1952877208880834</v>
      </c>
      <c r="T42" s="48">
        <f t="shared" ref="T42:AF42" si="34">T41/T40</f>
        <v>1.5620608899297423</v>
      </c>
      <c r="U42" s="48">
        <f t="shared" si="34"/>
        <v>1.3082706766917294</v>
      </c>
      <c r="V42" s="48">
        <f t="shared" si="34"/>
        <v>1.7698744769874477</v>
      </c>
      <c r="W42" s="48">
        <f t="shared" si="34"/>
        <v>1.2692307692307692</v>
      </c>
      <c r="X42" s="48">
        <f t="shared" si="34"/>
        <v>1</v>
      </c>
      <c r="Y42" s="48">
        <f t="shared" si="34"/>
        <v>1.0419580419580419</v>
      </c>
      <c r="Z42" s="48">
        <f t="shared" si="34"/>
        <v>1.1573033707865168</v>
      </c>
      <c r="AA42" s="48">
        <f t="shared" si="34"/>
        <v>1.1836734693877551</v>
      </c>
      <c r="AB42" s="48">
        <f t="shared" si="34"/>
        <v>1.4675324675324675</v>
      </c>
      <c r="AC42" s="48">
        <f t="shared" si="34"/>
        <v>1.8237791932059448</v>
      </c>
      <c r="AD42" s="48">
        <f t="shared" si="34"/>
        <v>1</v>
      </c>
      <c r="AE42" s="48">
        <f t="shared" si="34"/>
        <v>1.2764161220043573</v>
      </c>
      <c r="AF42" s="48">
        <f t="shared" si="34"/>
        <v>1.5536290322580646</v>
      </c>
    </row>
    <row r="43" spans="2:32" ht="23.1" customHeight="1" x14ac:dyDescent="0.25">
      <c r="B43" s="45" t="s">
        <v>70</v>
      </c>
      <c r="C43" s="50">
        <v>37</v>
      </c>
      <c r="D43" s="50">
        <v>12</v>
      </c>
      <c r="E43" s="50">
        <v>12</v>
      </c>
      <c r="F43" s="50">
        <v>5</v>
      </c>
      <c r="G43" s="50">
        <v>0</v>
      </c>
      <c r="H43" s="50">
        <v>0</v>
      </c>
      <c r="I43" s="50">
        <v>2</v>
      </c>
      <c r="J43" s="50">
        <v>2</v>
      </c>
      <c r="K43" s="50">
        <v>0</v>
      </c>
      <c r="L43" s="50">
        <v>1</v>
      </c>
      <c r="M43" s="50">
        <v>16</v>
      </c>
      <c r="N43" s="50">
        <v>0</v>
      </c>
      <c r="O43" s="15">
        <f t="shared" si="0"/>
        <v>71</v>
      </c>
      <c r="P43" s="15">
        <f t="shared" si="1"/>
        <v>87</v>
      </c>
    </row>
    <row r="44" spans="2:32" ht="23.1" customHeight="1" x14ac:dyDescent="0.25">
      <c r="B44" s="47" t="s">
        <v>71</v>
      </c>
      <c r="C44" s="50">
        <v>35</v>
      </c>
      <c r="D44" s="50">
        <v>6</v>
      </c>
      <c r="E44" s="50">
        <v>5</v>
      </c>
      <c r="F44" s="50">
        <v>12</v>
      </c>
      <c r="G44" s="50">
        <v>5</v>
      </c>
      <c r="H44" s="50">
        <v>0</v>
      </c>
      <c r="I44" s="50">
        <v>23</v>
      </c>
      <c r="J44" s="50">
        <v>1</v>
      </c>
      <c r="K44" s="50">
        <v>0</v>
      </c>
      <c r="L44" s="50">
        <v>1</v>
      </c>
      <c r="M44" s="50">
        <v>35</v>
      </c>
      <c r="N44" s="50">
        <v>0</v>
      </c>
      <c r="O44" s="15">
        <f t="shared" si="0"/>
        <v>88</v>
      </c>
      <c r="P44" s="15">
        <f t="shared" si="1"/>
        <v>123</v>
      </c>
    </row>
    <row r="45" spans="2:32" ht="23.1" customHeight="1" x14ac:dyDescent="0.25">
      <c r="B45" s="45" t="s">
        <v>72</v>
      </c>
      <c r="C45" s="50">
        <v>53</v>
      </c>
      <c r="D45" s="50">
        <v>15</v>
      </c>
      <c r="E45" s="50">
        <v>5</v>
      </c>
      <c r="F45" s="50">
        <v>8</v>
      </c>
      <c r="G45" s="50">
        <v>0</v>
      </c>
      <c r="H45" s="50">
        <v>0</v>
      </c>
      <c r="I45" s="50">
        <v>2</v>
      </c>
      <c r="J45" s="50">
        <v>3</v>
      </c>
      <c r="K45" s="50">
        <v>0</v>
      </c>
      <c r="L45" s="50">
        <v>0</v>
      </c>
      <c r="M45" s="50">
        <v>104</v>
      </c>
      <c r="N45" s="50">
        <v>0</v>
      </c>
      <c r="O45" s="15">
        <f t="shared" si="0"/>
        <v>86</v>
      </c>
      <c r="P45" s="15">
        <f t="shared" si="1"/>
        <v>190</v>
      </c>
    </row>
    <row r="46" spans="2:32" ht="23.1" customHeight="1" x14ac:dyDescent="0.25">
      <c r="B46" s="46" t="s">
        <v>73</v>
      </c>
      <c r="C46" s="50">
        <v>20</v>
      </c>
      <c r="D46" s="50">
        <v>5</v>
      </c>
      <c r="E46" s="50">
        <v>7</v>
      </c>
      <c r="F46" s="50">
        <v>3</v>
      </c>
      <c r="G46" s="50">
        <v>0</v>
      </c>
      <c r="H46" s="50">
        <v>0</v>
      </c>
      <c r="I46" s="50">
        <v>11</v>
      </c>
      <c r="J46" s="50">
        <v>1</v>
      </c>
      <c r="K46" s="50">
        <v>0</v>
      </c>
      <c r="L46" s="50">
        <v>4</v>
      </c>
      <c r="M46" s="50">
        <v>38</v>
      </c>
      <c r="N46" s="50">
        <v>0</v>
      </c>
      <c r="O46" s="15">
        <f t="shared" si="0"/>
        <v>51</v>
      </c>
      <c r="P46" s="15">
        <f t="shared" si="1"/>
        <v>89</v>
      </c>
      <c r="R46" s="8"/>
      <c r="T46"/>
    </row>
    <row r="47" spans="2:32" ht="23.1" customHeight="1" x14ac:dyDescent="0.25">
      <c r="B47" s="46" t="s">
        <v>74</v>
      </c>
      <c r="C47" s="50">
        <v>65</v>
      </c>
      <c r="D47" s="50">
        <v>23</v>
      </c>
      <c r="E47" s="50">
        <v>7</v>
      </c>
      <c r="F47" s="50">
        <v>7</v>
      </c>
      <c r="G47" s="50">
        <v>0</v>
      </c>
      <c r="H47" s="50">
        <v>0</v>
      </c>
      <c r="I47" s="50">
        <v>8</v>
      </c>
      <c r="J47" s="50">
        <v>5</v>
      </c>
      <c r="K47" s="50">
        <v>0</v>
      </c>
      <c r="L47" s="50">
        <v>0</v>
      </c>
      <c r="M47" s="50">
        <v>69</v>
      </c>
      <c r="N47" s="50">
        <v>0</v>
      </c>
      <c r="O47" s="15">
        <f t="shared" si="0"/>
        <v>115</v>
      </c>
      <c r="P47" s="15">
        <f t="shared" si="1"/>
        <v>184</v>
      </c>
      <c r="R47" s="8"/>
      <c r="T47"/>
    </row>
    <row r="48" spans="2:32" ht="23.1" customHeight="1" x14ac:dyDescent="0.25">
      <c r="B48" s="46" t="s">
        <v>75</v>
      </c>
      <c r="C48" s="50">
        <v>47</v>
      </c>
      <c r="D48" s="50">
        <v>8</v>
      </c>
      <c r="E48" s="50">
        <v>6</v>
      </c>
      <c r="F48" s="50">
        <v>3</v>
      </c>
      <c r="G48" s="50">
        <v>0</v>
      </c>
      <c r="H48" s="50">
        <v>0</v>
      </c>
      <c r="I48" s="50">
        <v>14</v>
      </c>
      <c r="J48" s="50">
        <v>3</v>
      </c>
      <c r="K48" s="50">
        <v>5</v>
      </c>
      <c r="L48" s="50">
        <v>2</v>
      </c>
      <c r="M48" s="50">
        <v>54</v>
      </c>
      <c r="N48" s="50">
        <v>0</v>
      </c>
      <c r="O48" s="15">
        <f t="shared" si="0"/>
        <v>88</v>
      </c>
      <c r="P48" s="15">
        <f t="shared" si="1"/>
        <v>142</v>
      </c>
      <c r="R48" s="8"/>
      <c r="T48"/>
    </row>
    <row r="49" spans="2:20" ht="23.1" customHeight="1" x14ac:dyDescent="0.25">
      <c r="B49" s="45" t="s">
        <v>76</v>
      </c>
      <c r="C49" s="50">
        <v>62</v>
      </c>
      <c r="D49" s="50">
        <v>13</v>
      </c>
      <c r="E49" s="50">
        <v>8</v>
      </c>
      <c r="F49" s="50">
        <v>3</v>
      </c>
      <c r="G49" s="50">
        <v>0</v>
      </c>
      <c r="H49" s="50">
        <v>0</v>
      </c>
      <c r="I49" s="50">
        <v>6</v>
      </c>
      <c r="J49" s="50">
        <v>2</v>
      </c>
      <c r="K49" s="50">
        <v>1</v>
      </c>
      <c r="L49" s="50">
        <v>2</v>
      </c>
      <c r="M49" s="50">
        <v>87</v>
      </c>
      <c r="N49" s="50">
        <v>0</v>
      </c>
      <c r="O49" s="15">
        <f t="shared" si="0"/>
        <v>97</v>
      </c>
      <c r="P49" s="15">
        <f t="shared" si="1"/>
        <v>184</v>
      </c>
      <c r="R49" s="8"/>
      <c r="T49"/>
    </row>
    <row r="50" spans="2:20" ht="23.1" customHeight="1" x14ac:dyDescent="0.25">
      <c r="B50" s="46" t="s">
        <v>77</v>
      </c>
      <c r="C50" s="50">
        <v>65</v>
      </c>
      <c r="D50" s="50">
        <v>6</v>
      </c>
      <c r="E50" s="50">
        <v>4</v>
      </c>
      <c r="F50" s="50">
        <v>6</v>
      </c>
      <c r="G50" s="50">
        <v>0</v>
      </c>
      <c r="H50" s="50">
        <v>0</v>
      </c>
      <c r="I50" s="50">
        <v>2</v>
      </c>
      <c r="J50" s="50">
        <v>1</v>
      </c>
      <c r="K50" s="50">
        <v>1</v>
      </c>
      <c r="L50" s="50">
        <v>0</v>
      </c>
      <c r="M50" s="50">
        <v>101</v>
      </c>
      <c r="N50" s="50">
        <v>0</v>
      </c>
      <c r="O50" s="15">
        <f t="shared" si="0"/>
        <v>85</v>
      </c>
      <c r="P50" s="15">
        <f t="shared" si="1"/>
        <v>186</v>
      </c>
      <c r="R50" s="8"/>
      <c r="T50"/>
    </row>
    <row r="51" spans="2:20" ht="23.1" customHeight="1" x14ac:dyDescent="0.25">
      <c r="B51" s="46" t="s">
        <v>78</v>
      </c>
      <c r="C51" s="50">
        <v>60</v>
      </c>
      <c r="D51" s="50">
        <v>7</v>
      </c>
      <c r="E51" s="50">
        <v>6</v>
      </c>
      <c r="F51" s="50">
        <v>2</v>
      </c>
      <c r="G51" s="50">
        <v>1</v>
      </c>
      <c r="H51" s="50">
        <v>0</v>
      </c>
      <c r="I51" s="50">
        <v>6</v>
      </c>
      <c r="J51" s="50">
        <v>0</v>
      </c>
      <c r="K51" s="50">
        <v>0</v>
      </c>
      <c r="L51" s="50">
        <v>1</v>
      </c>
      <c r="M51" s="50">
        <v>92</v>
      </c>
      <c r="N51" s="50">
        <v>0</v>
      </c>
      <c r="O51" s="15">
        <f t="shared" si="0"/>
        <v>83</v>
      </c>
      <c r="P51" s="15">
        <f t="shared" si="1"/>
        <v>175</v>
      </c>
      <c r="R51" s="8"/>
      <c r="T51"/>
    </row>
    <row r="52" spans="2:20" ht="23.1" customHeight="1" x14ac:dyDescent="0.25">
      <c r="B52" s="46" t="s">
        <v>79</v>
      </c>
      <c r="C52" s="50">
        <v>76</v>
      </c>
      <c r="D52" s="50">
        <v>13</v>
      </c>
      <c r="E52" s="50">
        <v>4</v>
      </c>
      <c r="F52" s="50">
        <v>2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85</v>
      </c>
      <c r="N52" s="50">
        <v>0</v>
      </c>
      <c r="O52" s="15">
        <f t="shared" si="0"/>
        <v>97</v>
      </c>
      <c r="P52" s="15">
        <f t="shared" si="1"/>
        <v>182</v>
      </c>
      <c r="R52" s="8"/>
      <c r="T52"/>
    </row>
    <row r="53" spans="2:20" ht="23.1" customHeight="1" x14ac:dyDescent="0.25">
      <c r="B53" s="45" t="s">
        <v>80</v>
      </c>
      <c r="C53" s="50">
        <v>50</v>
      </c>
      <c r="D53" s="50">
        <v>12</v>
      </c>
      <c r="E53" s="50">
        <v>8</v>
      </c>
      <c r="F53" s="50">
        <v>8</v>
      </c>
      <c r="G53" s="50">
        <v>0</v>
      </c>
      <c r="H53" s="50">
        <v>0</v>
      </c>
      <c r="I53" s="50">
        <v>4</v>
      </c>
      <c r="J53" s="50">
        <v>1</v>
      </c>
      <c r="K53" s="50">
        <v>3</v>
      </c>
      <c r="L53" s="50">
        <v>0</v>
      </c>
      <c r="M53" s="50">
        <v>90</v>
      </c>
      <c r="N53" s="50">
        <v>0</v>
      </c>
      <c r="O53" s="15">
        <f t="shared" si="0"/>
        <v>86</v>
      </c>
      <c r="P53" s="15">
        <f t="shared" si="1"/>
        <v>176</v>
      </c>
      <c r="R53" s="8"/>
      <c r="T53"/>
    </row>
    <row r="54" spans="2:20" ht="23.1" customHeight="1" x14ac:dyDescent="0.25">
      <c r="B54" s="45" t="s">
        <v>81</v>
      </c>
      <c r="C54" s="50">
        <v>65</v>
      </c>
      <c r="D54" s="50">
        <v>11</v>
      </c>
      <c r="E54" s="50">
        <v>3</v>
      </c>
      <c r="F54" s="50">
        <v>4</v>
      </c>
      <c r="G54" s="50">
        <v>0</v>
      </c>
      <c r="H54" s="50">
        <v>0</v>
      </c>
      <c r="I54" s="50">
        <v>2</v>
      </c>
      <c r="J54" s="50">
        <v>1</v>
      </c>
      <c r="K54" s="50">
        <v>1</v>
      </c>
      <c r="L54" s="50">
        <v>0</v>
      </c>
      <c r="M54" s="50">
        <v>44</v>
      </c>
      <c r="N54" s="50">
        <v>0</v>
      </c>
      <c r="O54" s="15">
        <f t="shared" si="0"/>
        <v>87</v>
      </c>
      <c r="P54" s="15">
        <f t="shared" si="1"/>
        <v>131</v>
      </c>
      <c r="R54" s="8"/>
      <c r="T54"/>
    </row>
    <row r="55" spans="2:20" ht="23.1" customHeight="1" x14ac:dyDescent="0.25">
      <c r="B55" s="45" t="s">
        <v>82</v>
      </c>
      <c r="C55" s="50">
        <v>81</v>
      </c>
      <c r="D55" s="50">
        <v>14</v>
      </c>
      <c r="E55" s="50">
        <v>8</v>
      </c>
      <c r="F55" s="50">
        <v>2</v>
      </c>
      <c r="G55" s="50">
        <v>1</v>
      </c>
      <c r="H55" s="50">
        <v>0</v>
      </c>
      <c r="I55" s="50">
        <v>4</v>
      </c>
      <c r="J55" s="50">
        <v>2</v>
      </c>
      <c r="K55" s="50">
        <v>0</v>
      </c>
      <c r="L55" s="50">
        <v>0</v>
      </c>
      <c r="M55" s="50">
        <v>78</v>
      </c>
      <c r="N55" s="50">
        <v>0</v>
      </c>
      <c r="O55" s="15">
        <f t="shared" si="0"/>
        <v>112</v>
      </c>
      <c r="P55" s="15">
        <f t="shared" si="1"/>
        <v>190</v>
      </c>
      <c r="R55" s="8"/>
      <c r="T55"/>
    </row>
    <row r="56" spans="2:20" ht="23.1" customHeight="1" x14ac:dyDescent="0.25">
      <c r="B56" s="45" t="s">
        <v>83</v>
      </c>
      <c r="C56" s="50">
        <v>52</v>
      </c>
      <c r="D56" s="50">
        <v>14</v>
      </c>
      <c r="E56" s="50">
        <v>0</v>
      </c>
      <c r="F56" s="50">
        <v>7</v>
      </c>
      <c r="G56" s="50">
        <v>1</v>
      </c>
      <c r="H56" s="50">
        <v>1</v>
      </c>
      <c r="I56" s="50">
        <v>4</v>
      </c>
      <c r="J56" s="50">
        <v>0</v>
      </c>
      <c r="K56" s="50">
        <v>0</v>
      </c>
      <c r="L56" s="50">
        <v>11</v>
      </c>
      <c r="M56" s="50">
        <v>70</v>
      </c>
      <c r="N56" s="50">
        <v>0</v>
      </c>
      <c r="O56" s="15">
        <f t="shared" si="0"/>
        <v>90</v>
      </c>
      <c r="P56" s="15">
        <f t="shared" si="1"/>
        <v>160</v>
      </c>
      <c r="R56" s="8"/>
      <c r="T56"/>
    </row>
    <row r="57" spans="2:20" ht="23.1" customHeight="1" x14ac:dyDescent="0.25">
      <c r="B57" s="45" t="s">
        <v>84</v>
      </c>
      <c r="C57" s="50">
        <v>54</v>
      </c>
      <c r="D57" s="50">
        <v>7</v>
      </c>
      <c r="E57" s="50">
        <v>3</v>
      </c>
      <c r="F57" s="50">
        <v>5</v>
      </c>
      <c r="G57" s="50">
        <v>1</v>
      </c>
      <c r="H57" s="50">
        <v>0</v>
      </c>
      <c r="I57" s="50">
        <v>7</v>
      </c>
      <c r="J57" s="50">
        <v>2</v>
      </c>
      <c r="K57" s="50">
        <v>0</v>
      </c>
      <c r="L57" s="50">
        <v>0</v>
      </c>
      <c r="M57" s="50">
        <v>99</v>
      </c>
      <c r="N57" s="50">
        <v>0</v>
      </c>
      <c r="O57" s="15">
        <f t="shared" si="0"/>
        <v>79</v>
      </c>
      <c r="P57" s="15">
        <f t="shared" si="1"/>
        <v>178</v>
      </c>
      <c r="R57" s="8"/>
      <c r="T57"/>
    </row>
    <row r="58" spans="2:20" ht="23.1" customHeight="1" x14ac:dyDescent="0.25">
      <c r="B58" s="45" t="s">
        <v>99</v>
      </c>
      <c r="C58" s="50">
        <v>9</v>
      </c>
      <c r="D58" s="50">
        <v>2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1</v>
      </c>
      <c r="L58" s="50">
        <v>4</v>
      </c>
      <c r="M58" s="50">
        <v>180</v>
      </c>
      <c r="N58" s="50">
        <v>0</v>
      </c>
      <c r="O58" s="15">
        <f t="shared" si="0"/>
        <v>16</v>
      </c>
      <c r="P58" s="15">
        <f t="shared" si="1"/>
        <v>196</v>
      </c>
      <c r="R58" s="8"/>
      <c r="T58"/>
    </row>
    <row r="59" spans="2:20" ht="23.1" customHeight="1" x14ac:dyDescent="0.25">
      <c r="B59" s="45" t="s">
        <v>100</v>
      </c>
      <c r="C59" s="50">
        <v>10</v>
      </c>
      <c r="D59" s="50">
        <v>5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3</v>
      </c>
      <c r="L59" s="50">
        <v>2</v>
      </c>
      <c r="M59" s="50">
        <v>291</v>
      </c>
      <c r="N59" s="50">
        <v>0</v>
      </c>
      <c r="O59" s="15">
        <f t="shared" si="0"/>
        <v>20</v>
      </c>
      <c r="P59" s="15">
        <f t="shared" si="1"/>
        <v>311</v>
      </c>
      <c r="R59" s="8"/>
      <c r="T59"/>
    </row>
    <row r="60" spans="2:20" ht="23.1" customHeight="1" x14ac:dyDescent="0.25">
      <c r="B60" s="45" t="s">
        <v>101</v>
      </c>
      <c r="C60" s="50">
        <v>4</v>
      </c>
      <c r="D60" s="50">
        <v>3</v>
      </c>
      <c r="E60" s="50">
        <v>0</v>
      </c>
      <c r="F60" s="50">
        <v>0</v>
      </c>
      <c r="G60" s="50">
        <v>0</v>
      </c>
      <c r="H60" s="50">
        <v>0</v>
      </c>
      <c r="I60" s="50">
        <v>2</v>
      </c>
      <c r="J60" s="50">
        <v>0</v>
      </c>
      <c r="K60" s="50">
        <v>4</v>
      </c>
      <c r="L60" s="50">
        <v>2</v>
      </c>
      <c r="M60" s="50">
        <v>340</v>
      </c>
      <c r="N60" s="50">
        <v>0</v>
      </c>
      <c r="O60" s="15">
        <f t="shared" si="0"/>
        <v>15</v>
      </c>
      <c r="P60" s="15">
        <f t="shared" si="1"/>
        <v>355</v>
      </c>
      <c r="R60" s="8"/>
      <c r="T60"/>
    </row>
    <row r="61" spans="2:20" ht="23.1" customHeight="1" x14ac:dyDescent="0.25">
      <c r="B61" s="45" t="s">
        <v>102</v>
      </c>
      <c r="C61" s="50">
        <v>19</v>
      </c>
      <c r="D61" s="50">
        <v>1</v>
      </c>
      <c r="E61" s="50">
        <v>2</v>
      </c>
      <c r="F61" s="50">
        <v>4</v>
      </c>
      <c r="G61" s="50">
        <v>0</v>
      </c>
      <c r="H61" s="50">
        <v>0</v>
      </c>
      <c r="I61" s="50">
        <v>0</v>
      </c>
      <c r="J61" s="50">
        <v>2</v>
      </c>
      <c r="K61" s="50">
        <v>0</v>
      </c>
      <c r="L61" s="50">
        <v>2</v>
      </c>
      <c r="M61" s="50">
        <v>147</v>
      </c>
      <c r="N61" s="50">
        <v>0</v>
      </c>
      <c r="O61" s="15">
        <f t="shared" si="0"/>
        <v>30</v>
      </c>
      <c r="P61" s="15">
        <f t="shared" si="1"/>
        <v>177</v>
      </c>
      <c r="R61" s="8"/>
      <c r="T61"/>
    </row>
    <row r="62" spans="2:20" ht="23.1" customHeight="1" x14ac:dyDescent="0.25">
      <c r="B62" s="45" t="s">
        <v>107</v>
      </c>
      <c r="C62" s="50">
        <v>35</v>
      </c>
      <c r="D62" s="50">
        <v>13</v>
      </c>
      <c r="E62" s="50">
        <v>3</v>
      </c>
      <c r="F62" s="50">
        <v>12</v>
      </c>
      <c r="G62" s="50">
        <v>2</v>
      </c>
      <c r="H62" s="50">
        <v>0</v>
      </c>
      <c r="I62" s="50">
        <v>1</v>
      </c>
      <c r="J62" s="50">
        <v>2</v>
      </c>
      <c r="K62" s="50">
        <v>1</v>
      </c>
      <c r="L62" s="50">
        <v>0</v>
      </c>
      <c r="M62" s="50">
        <v>143</v>
      </c>
      <c r="N62" s="50">
        <v>0</v>
      </c>
      <c r="O62" s="15">
        <f t="shared" si="0"/>
        <v>69</v>
      </c>
      <c r="P62" s="15">
        <f t="shared" si="1"/>
        <v>212</v>
      </c>
      <c r="R62" s="8"/>
      <c r="T62"/>
    </row>
    <row r="63" spans="2:20" ht="23.1" customHeight="1" x14ac:dyDescent="0.25">
      <c r="B63" s="45" t="s">
        <v>108</v>
      </c>
      <c r="C63" s="50">
        <v>28</v>
      </c>
      <c r="D63" s="50">
        <v>8</v>
      </c>
      <c r="E63" s="50">
        <v>9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141</v>
      </c>
      <c r="N63" s="50">
        <v>0</v>
      </c>
      <c r="O63" s="15">
        <f t="shared" si="0"/>
        <v>45</v>
      </c>
      <c r="P63" s="15">
        <f t="shared" si="1"/>
        <v>186</v>
      </c>
      <c r="R63" s="8"/>
      <c r="T63"/>
    </row>
    <row r="64" spans="2:20" ht="23.1" customHeight="1" x14ac:dyDescent="0.25">
      <c r="B64" s="45" t="s">
        <v>109</v>
      </c>
      <c r="C64" s="50">
        <v>27</v>
      </c>
      <c r="D64" s="50">
        <v>7</v>
      </c>
      <c r="E64" s="50">
        <v>2</v>
      </c>
      <c r="F64" s="50">
        <v>15</v>
      </c>
      <c r="G64" s="50">
        <v>1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120</v>
      </c>
      <c r="N64" s="50">
        <v>0</v>
      </c>
      <c r="O64" s="15">
        <f t="shared" si="0"/>
        <v>52</v>
      </c>
      <c r="P64" s="15">
        <f t="shared" si="1"/>
        <v>172</v>
      </c>
      <c r="R64" s="8"/>
      <c r="T64"/>
    </row>
    <row r="65" spans="2:20" ht="23.1" customHeight="1" x14ac:dyDescent="0.25">
      <c r="B65" s="45" t="s">
        <v>158</v>
      </c>
      <c r="C65" s="50">
        <v>25</v>
      </c>
      <c r="D65" s="50">
        <v>10</v>
      </c>
      <c r="E65" s="50">
        <v>3</v>
      </c>
      <c r="F65" s="50">
        <v>7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78</v>
      </c>
      <c r="N65" s="50">
        <v>0</v>
      </c>
      <c r="O65" s="15">
        <f t="shared" si="0"/>
        <v>45</v>
      </c>
      <c r="P65" s="15">
        <f t="shared" si="1"/>
        <v>123</v>
      </c>
      <c r="R65" s="8"/>
      <c r="T65"/>
    </row>
    <row r="66" spans="2:20" ht="23.1" customHeight="1" x14ac:dyDescent="0.25">
      <c r="B66" s="45" t="s">
        <v>103</v>
      </c>
      <c r="C66" s="50">
        <v>18</v>
      </c>
      <c r="D66" s="50">
        <v>7</v>
      </c>
      <c r="E66" s="50">
        <v>3</v>
      </c>
      <c r="F66" s="50">
        <v>11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94</v>
      </c>
      <c r="N66" s="50">
        <v>0</v>
      </c>
      <c r="O66" s="15">
        <f t="shared" si="0"/>
        <v>39</v>
      </c>
      <c r="P66" s="15">
        <f t="shared" si="1"/>
        <v>133</v>
      </c>
      <c r="R66" s="8"/>
      <c r="T66"/>
    </row>
    <row r="67" spans="2:20" ht="23.1" customHeight="1" x14ac:dyDescent="0.25">
      <c r="B67" s="45" t="s">
        <v>104</v>
      </c>
      <c r="C67" s="50">
        <v>18</v>
      </c>
      <c r="D67" s="50">
        <v>10</v>
      </c>
      <c r="E67" s="50">
        <v>3</v>
      </c>
      <c r="F67" s="50">
        <v>9</v>
      </c>
      <c r="G67" s="50">
        <v>0</v>
      </c>
      <c r="H67" s="50">
        <v>0</v>
      </c>
      <c r="I67" s="50">
        <v>0</v>
      </c>
      <c r="J67" s="50">
        <v>1</v>
      </c>
      <c r="K67" s="50">
        <v>0</v>
      </c>
      <c r="L67" s="50">
        <v>0</v>
      </c>
      <c r="M67" s="50">
        <v>71</v>
      </c>
      <c r="N67" s="50">
        <v>0</v>
      </c>
      <c r="O67" s="15">
        <f t="shared" si="0"/>
        <v>41</v>
      </c>
      <c r="P67" s="15">
        <f t="shared" si="1"/>
        <v>112</v>
      </c>
      <c r="R67" s="8"/>
      <c r="T67"/>
    </row>
    <row r="68" spans="2:20" ht="23.1" customHeight="1" x14ac:dyDescent="0.25">
      <c r="B68" s="45" t="s">
        <v>105</v>
      </c>
      <c r="C68" s="50">
        <v>23</v>
      </c>
      <c r="D68" s="50">
        <v>12</v>
      </c>
      <c r="E68" s="50">
        <v>3</v>
      </c>
      <c r="F68" s="50">
        <v>10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82</v>
      </c>
      <c r="N68" s="50">
        <v>0</v>
      </c>
      <c r="O68" s="15">
        <f t="shared" si="0"/>
        <v>48</v>
      </c>
      <c r="P68" s="15">
        <f t="shared" si="1"/>
        <v>130</v>
      </c>
      <c r="R68" s="8"/>
      <c r="T68"/>
    </row>
    <row r="69" spans="2:20" ht="23.1" customHeight="1" x14ac:dyDescent="0.25">
      <c r="B69" s="45" t="s">
        <v>106</v>
      </c>
      <c r="C69" s="50">
        <v>14</v>
      </c>
      <c r="D69" s="50">
        <v>16</v>
      </c>
      <c r="E69" s="50">
        <v>5</v>
      </c>
      <c r="F69" s="50">
        <v>4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114</v>
      </c>
      <c r="N69" s="50">
        <v>0</v>
      </c>
      <c r="O69" s="15">
        <f t="shared" si="0"/>
        <v>39</v>
      </c>
      <c r="P69" s="15">
        <f t="shared" si="1"/>
        <v>153</v>
      </c>
      <c r="R69" s="8"/>
      <c r="T69"/>
    </row>
    <row r="70" spans="2:20" ht="23.1" customHeight="1" x14ac:dyDescent="0.25">
      <c r="B70" s="45" t="s">
        <v>110</v>
      </c>
      <c r="C70" s="50">
        <v>11</v>
      </c>
      <c r="D70" s="50">
        <v>7</v>
      </c>
      <c r="E70" s="50">
        <v>0</v>
      </c>
      <c r="F70" s="50">
        <v>4</v>
      </c>
      <c r="G70" s="50">
        <v>0</v>
      </c>
      <c r="H70" s="50">
        <v>0</v>
      </c>
      <c r="I70" s="50">
        <v>0</v>
      </c>
      <c r="J70" s="50">
        <v>2</v>
      </c>
      <c r="K70" s="50">
        <v>0</v>
      </c>
      <c r="L70" s="50">
        <v>0</v>
      </c>
      <c r="M70" s="50">
        <v>62</v>
      </c>
      <c r="N70" s="50">
        <v>0</v>
      </c>
      <c r="O70" s="15">
        <f t="shared" si="0"/>
        <v>24</v>
      </c>
      <c r="P70" s="15">
        <f t="shared" si="1"/>
        <v>86</v>
      </c>
      <c r="R70" s="8"/>
      <c r="T70"/>
    </row>
    <row r="71" spans="2:20" ht="23.1" customHeight="1" x14ac:dyDescent="0.25">
      <c r="B71" s="45" t="s">
        <v>111</v>
      </c>
      <c r="C71" s="50">
        <v>14</v>
      </c>
      <c r="D71" s="50">
        <v>15</v>
      </c>
      <c r="E71" s="50">
        <v>1</v>
      </c>
      <c r="F71" s="50">
        <v>5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1</v>
      </c>
      <c r="M71" s="50">
        <v>44</v>
      </c>
      <c r="N71" s="50">
        <v>0</v>
      </c>
      <c r="O71" s="15">
        <f t="shared" si="0"/>
        <v>36</v>
      </c>
      <c r="P71" s="15">
        <f t="shared" si="1"/>
        <v>80</v>
      </c>
      <c r="R71" s="8"/>
      <c r="T71"/>
    </row>
    <row r="72" spans="2:20" ht="23.1" customHeight="1" x14ac:dyDescent="0.25">
      <c r="B72" s="45" t="s">
        <v>112</v>
      </c>
      <c r="C72" s="50">
        <v>12</v>
      </c>
      <c r="D72" s="50">
        <v>11</v>
      </c>
      <c r="E72" s="50">
        <v>1</v>
      </c>
      <c r="F72" s="50">
        <v>1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1</v>
      </c>
      <c r="M72" s="50">
        <v>23</v>
      </c>
      <c r="N72" s="50">
        <v>0</v>
      </c>
      <c r="O72" s="15">
        <f t="shared" si="0"/>
        <v>26</v>
      </c>
      <c r="P72" s="15">
        <f t="shared" si="1"/>
        <v>49</v>
      </c>
      <c r="R72" s="8"/>
      <c r="T72"/>
    </row>
    <row r="73" spans="2:20" ht="23.1" customHeight="1" x14ac:dyDescent="0.25">
      <c r="B73" s="45" t="s">
        <v>113</v>
      </c>
      <c r="C73" s="50">
        <v>7</v>
      </c>
      <c r="D73" s="50">
        <v>10</v>
      </c>
      <c r="E73" s="50">
        <v>6</v>
      </c>
      <c r="F73" s="50">
        <v>3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27</v>
      </c>
      <c r="N73" s="50">
        <v>0</v>
      </c>
      <c r="O73" s="15">
        <f t="shared" si="0"/>
        <v>26</v>
      </c>
      <c r="P73" s="15">
        <f t="shared" si="1"/>
        <v>53</v>
      </c>
      <c r="R73" s="8"/>
      <c r="T73"/>
    </row>
    <row r="74" spans="2:20" ht="23.1" customHeight="1" x14ac:dyDescent="0.25">
      <c r="B74" s="45" t="s">
        <v>114</v>
      </c>
      <c r="C74" s="50">
        <v>20</v>
      </c>
      <c r="D74" s="50">
        <v>7</v>
      </c>
      <c r="E74" s="50">
        <v>0</v>
      </c>
      <c r="F74" s="50">
        <v>2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24</v>
      </c>
      <c r="N74" s="50">
        <v>0</v>
      </c>
      <c r="O74" s="15">
        <f t="shared" ref="O74:O105" si="35">SUM(C74:L74,N74)</f>
        <v>30</v>
      </c>
      <c r="P74" s="15">
        <f t="shared" ref="P74:P105" si="36">SUM(C74:N74)</f>
        <v>54</v>
      </c>
      <c r="R74" s="8"/>
      <c r="T74"/>
    </row>
    <row r="75" spans="2:20" ht="23.1" customHeight="1" x14ac:dyDescent="0.25">
      <c r="B75" s="45" t="s">
        <v>115</v>
      </c>
      <c r="C75" s="50">
        <v>6</v>
      </c>
      <c r="D75" s="50">
        <v>8</v>
      </c>
      <c r="E75" s="50">
        <v>4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34</v>
      </c>
      <c r="N75" s="50">
        <v>0</v>
      </c>
      <c r="O75" s="15">
        <f t="shared" si="35"/>
        <v>18</v>
      </c>
      <c r="P75" s="15">
        <f t="shared" si="36"/>
        <v>52</v>
      </c>
      <c r="R75" s="8"/>
      <c r="T75"/>
    </row>
    <row r="76" spans="2:20" ht="23.1" customHeight="1" x14ac:dyDescent="0.25">
      <c r="B76" s="45" t="s">
        <v>116</v>
      </c>
      <c r="C76" s="50">
        <v>12</v>
      </c>
      <c r="D76" s="50">
        <v>9</v>
      </c>
      <c r="E76" s="50">
        <v>1</v>
      </c>
      <c r="F76" s="50">
        <v>2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49</v>
      </c>
      <c r="N76" s="50">
        <v>0</v>
      </c>
      <c r="O76" s="15">
        <f t="shared" si="35"/>
        <v>24</v>
      </c>
      <c r="P76" s="15">
        <f t="shared" si="36"/>
        <v>73</v>
      </c>
      <c r="R76" s="8"/>
      <c r="T76"/>
    </row>
    <row r="77" spans="2:20" ht="23.1" customHeight="1" x14ac:dyDescent="0.25">
      <c r="B77" s="45" t="s">
        <v>117</v>
      </c>
      <c r="C77" s="50">
        <v>9</v>
      </c>
      <c r="D77" s="50">
        <v>5</v>
      </c>
      <c r="E77" s="50">
        <v>1</v>
      </c>
      <c r="F77" s="50">
        <v>0</v>
      </c>
      <c r="G77" s="50">
        <v>0</v>
      </c>
      <c r="H77" s="50">
        <v>0</v>
      </c>
      <c r="I77" s="50">
        <v>2</v>
      </c>
      <c r="J77" s="50">
        <v>0</v>
      </c>
      <c r="K77" s="50">
        <v>0</v>
      </c>
      <c r="L77" s="50">
        <v>0</v>
      </c>
      <c r="M77" s="50">
        <v>53</v>
      </c>
      <c r="N77" s="50">
        <v>0</v>
      </c>
      <c r="O77" s="15">
        <f t="shared" si="35"/>
        <v>17</v>
      </c>
      <c r="P77" s="15">
        <f t="shared" si="36"/>
        <v>70</v>
      </c>
      <c r="R77" s="8"/>
      <c r="T77"/>
    </row>
    <row r="78" spans="2:20" ht="23.1" customHeight="1" x14ac:dyDescent="0.25">
      <c r="B78" s="46" t="s">
        <v>118</v>
      </c>
      <c r="C78" s="50">
        <v>10</v>
      </c>
      <c r="D78" s="50">
        <v>5</v>
      </c>
      <c r="E78" s="50">
        <v>2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45</v>
      </c>
      <c r="N78" s="50">
        <v>0</v>
      </c>
      <c r="O78" s="15">
        <f t="shared" si="35"/>
        <v>17</v>
      </c>
      <c r="P78" s="15">
        <f t="shared" si="36"/>
        <v>62</v>
      </c>
      <c r="R78" s="8"/>
      <c r="T78"/>
    </row>
    <row r="79" spans="2:20" ht="23.1" customHeight="1" x14ac:dyDescent="0.25">
      <c r="B79" s="45" t="s">
        <v>119</v>
      </c>
      <c r="C79" s="50">
        <v>10</v>
      </c>
      <c r="D79" s="50">
        <v>3</v>
      </c>
      <c r="E79" s="50">
        <v>1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35</v>
      </c>
      <c r="N79" s="50">
        <v>0</v>
      </c>
      <c r="O79" s="15">
        <f t="shared" si="35"/>
        <v>14</v>
      </c>
      <c r="P79" s="15">
        <f t="shared" si="36"/>
        <v>49</v>
      </c>
      <c r="R79" s="8"/>
      <c r="T79"/>
    </row>
    <row r="80" spans="2:20" ht="23.1" customHeight="1" x14ac:dyDescent="0.25">
      <c r="B80" s="47" t="s">
        <v>120</v>
      </c>
      <c r="C80" s="50">
        <v>6</v>
      </c>
      <c r="D80" s="50">
        <v>3</v>
      </c>
      <c r="E80" s="50">
        <v>2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40</v>
      </c>
      <c r="N80" s="50">
        <v>0</v>
      </c>
      <c r="O80" s="15">
        <f t="shared" si="35"/>
        <v>11</v>
      </c>
      <c r="P80" s="15">
        <f t="shared" si="36"/>
        <v>51</v>
      </c>
      <c r="R80" s="8"/>
      <c r="T80"/>
    </row>
    <row r="81" spans="2:20" ht="23.1" customHeight="1" x14ac:dyDescent="0.25">
      <c r="B81" s="45" t="s">
        <v>121</v>
      </c>
      <c r="C81" s="50">
        <v>5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18</v>
      </c>
      <c r="N81" s="50">
        <v>0</v>
      </c>
      <c r="O81" s="15">
        <f t="shared" si="35"/>
        <v>5</v>
      </c>
      <c r="P81" s="15">
        <f t="shared" si="36"/>
        <v>23</v>
      </c>
      <c r="R81" s="8"/>
      <c r="T81"/>
    </row>
    <row r="82" spans="2:20" ht="23.1" customHeight="1" x14ac:dyDescent="0.25">
      <c r="B82" s="46" t="s">
        <v>122</v>
      </c>
      <c r="C82" s="50">
        <v>3</v>
      </c>
      <c r="D82" s="50">
        <v>0</v>
      </c>
      <c r="E82" s="50">
        <v>1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10</v>
      </c>
      <c r="N82" s="50">
        <v>0</v>
      </c>
      <c r="O82" s="15">
        <f t="shared" si="35"/>
        <v>4</v>
      </c>
      <c r="P82" s="15">
        <f t="shared" si="36"/>
        <v>14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3</v>
      </c>
      <c r="E83" s="50">
        <v>0</v>
      </c>
      <c r="F83" s="50">
        <v>3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20</v>
      </c>
      <c r="N83" s="50">
        <v>0</v>
      </c>
      <c r="O83" s="15">
        <f t="shared" si="35"/>
        <v>9</v>
      </c>
      <c r="P83" s="15">
        <f t="shared" si="36"/>
        <v>29</v>
      </c>
      <c r="R83" s="8"/>
      <c r="T83"/>
    </row>
    <row r="84" spans="2:20" ht="23.1" customHeight="1" x14ac:dyDescent="0.25">
      <c r="B84" s="47" t="s">
        <v>124</v>
      </c>
      <c r="C84" s="50">
        <v>4</v>
      </c>
      <c r="D84" s="50">
        <v>0</v>
      </c>
      <c r="E84" s="50">
        <v>1</v>
      </c>
      <c r="F84" s="50">
        <v>2</v>
      </c>
      <c r="G84" s="50">
        <v>1</v>
      </c>
      <c r="H84" s="50">
        <v>0</v>
      </c>
      <c r="I84" s="50">
        <v>0</v>
      </c>
      <c r="J84" s="50">
        <v>1</v>
      </c>
      <c r="K84" s="50">
        <v>0</v>
      </c>
      <c r="L84" s="50">
        <v>0</v>
      </c>
      <c r="M84" s="50">
        <v>8</v>
      </c>
      <c r="N84" s="50">
        <v>0</v>
      </c>
      <c r="O84" s="15">
        <f t="shared" si="35"/>
        <v>9</v>
      </c>
      <c r="P84" s="15">
        <f t="shared" si="36"/>
        <v>17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3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12</v>
      </c>
      <c r="N85" s="50">
        <v>0</v>
      </c>
      <c r="O85" s="15">
        <f t="shared" si="35"/>
        <v>5</v>
      </c>
      <c r="P85" s="15">
        <f t="shared" si="36"/>
        <v>17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1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12</v>
      </c>
      <c r="N86" s="50">
        <v>0</v>
      </c>
      <c r="O86" s="15">
        <f t="shared" si="35"/>
        <v>3</v>
      </c>
      <c r="P86" s="15">
        <f t="shared" si="36"/>
        <v>15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2</v>
      </c>
      <c r="E87" s="50">
        <v>0</v>
      </c>
      <c r="F87" s="50">
        <v>2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14</v>
      </c>
      <c r="N87" s="50">
        <v>0</v>
      </c>
      <c r="O87" s="15">
        <f t="shared" si="35"/>
        <v>5</v>
      </c>
      <c r="P87" s="15">
        <f t="shared" si="36"/>
        <v>19</v>
      </c>
      <c r="R87" s="8"/>
      <c r="T87"/>
    </row>
    <row r="88" spans="2:20" ht="23.1" customHeight="1" x14ac:dyDescent="0.25">
      <c r="B88" s="47" t="s">
        <v>128</v>
      </c>
      <c r="C88" s="50">
        <v>2</v>
      </c>
      <c r="D88" s="50">
        <v>1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12</v>
      </c>
      <c r="N88" s="50">
        <v>0</v>
      </c>
      <c r="O88" s="15">
        <f t="shared" si="35"/>
        <v>3</v>
      </c>
      <c r="P88" s="15">
        <f t="shared" si="36"/>
        <v>15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2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13</v>
      </c>
      <c r="N89" s="50">
        <v>0</v>
      </c>
      <c r="O89" s="15">
        <f t="shared" si="35"/>
        <v>5</v>
      </c>
      <c r="P89" s="15">
        <f t="shared" si="36"/>
        <v>18</v>
      </c>
      <c r="R89" s="8"/>
      <c r="T89"/>
    </row>
    <row r="90" spans="2:20" ht="23.1" customHeight="1" x14ac:dyDescent="0.25">
      <c r="B90" s="46" t="s">
        <v>130</v>
      </c>
      <c r="C90" s="50">
        <v>3</v>
      </c>
      <c r="D90" s="50">
        <v>1</v>
      </c>
      <c r="E90" s="50">
        <v>0</v>
      </c>
      <c r="F90" s="50">
        <v>1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12</v>
      </c>
      <c r="N90" s="50">
        <v>0</v>
      </c>
      <c r="O90" s="15">
        <f t="shared" si="35"/>
        <v>5</v>
      </c>
      <c r="P90" s="15">
        <f t="shared" si="36"/>
        <v>17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1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8</v>
      </c>
      <c r="N91" s="50">
        <v>0</v>
      </c>
      <c r="O91" s="15">
        <f t="shared" si="35"/>
        <v>1</v>
      </c>
      <c r="P91" s="15">
        <f t="shared" si="36"/>
        <v>9</v>
      </c>
      <c r="R91" s="8"/>
      <c r="T91"/>
    </row>
    <row r="92" spans="2:20" ht="23.1" customHeight="1" x14ac:dyDescent="0.25">
      <c r="B92" s="47" t="s">
        <v>132</v>
      </c>
      <c r="C92" s="50">
        <v>4</v>
      </c>
      <c r="D92" s="50">
        <v>1</v>
      </c>
      <c r="E92" s="50">
        <v>0</v>
      </c>
      <c r="F92" s="50">
        <v>1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10</v>
      </c>
      <c r="N92" s="50">
        <v>0</v>
      </c>
      <c r="O92" s="15">
        <f t="shared" si="35"/>
        <v>7</v>
      </c>
      <c r="P92" s="15">
        <f t="shared" si="36"/>
        <v>17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2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20</v>
      </c>
      <c r="N93" s="50">
        <v>0</v>
      </c>
      <c r="O93" s="15">
        <f t="shared" si="35"/>
        <v>2</v>
      </c>
      <c r="P93" s="15">
        <f t="shared" si="36"/>
        <v>22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1</v>
      </c>
      <c r="E94" s="50">
        <v>1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1</v>
      </c>
      <c r="M94" s="50">
        <v>20</v>
      </c>
      <c r="N94" s="50">
        <v>0</v>
      </c>
      <c r="O94" s="15">
        <f t="shared" si="35"/>
        <v>6</v>
      </c>
      <c r="P94" s="15">
        <f t="shared" si="36"/>
        <v>26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1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18</v>
      </c>
      <c r="N95" s="50">
        <v>0</v>
      </c>
      <c r="O95" s="15">
        <f t="shared" si="35"/>
        <v>3</v>
      </c>
      <c r="P95" s="15">
        <f t="shared" si="36"/>
        <v>21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4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27</v>
      </c>
      <c r="N96" s="50">
        <v>0</v>
      </c>
      <c r="O96" s="15">
        <f t="shared" si="35"/>
        <v>5</v>
      </c>
      <c r="P96" s="15">
        <f t="shared" si="36"/>
        <v>32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2</v>
      </c>
      <c r="E97" s="50">
        <v>1</v>
      </c>
      <c r="F97" s="50">
        <v>4</v>
      </c>
      <c r="G97" s="50">
        <v>0</v>
      </c>
      <c r="H97" s="50">
        <v>0</v>
      </c>
      <c r="I97" s="50">
        <v>0</v>
      </c>
      <c r="J97" s="50">
        <v>1</v>
      </c>
      <c r="K97" s="50">
        <v>0</v>
      </c>
      <c r="L97" s="50">
        <v>0</v>
      </c>
      <c r="M97" s="50">
        <v>23</v>
      </c>
      <c r="N97" s="50">
        <v>0</v>
      </c>
      <c r="O97" s="15">
        <f t="shared" si="35"/>
        <v>10</v>
      </c>
      <c r="P97" s="15">
        <f t="shared" si="36"/>
        <v>33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2</v>
      </c>
      <c r="G98" s="50">
        <v>0</v>
      </c>
      <c r="H98" s="50">
        <v>0</v>
      </c>
      <c r="I98" s="50">
        <v>0</v>
      </c>
      <c r="J98" s="50">
        <v>2</v>
      </c>
      <c r="K98" s="50">
        <v>0</v>
      </c>
      <c r="L98" s="50">
        <v>0</v>
      </c>
      <c r="M98" s="50">
        <v>39</v>
      </c>
      <c r="N98" s="50">
        <v>0</v>
      </c>
      <c r="O98" s="15">
        <f t="shared" si="35"/>
        <v>4</v>
      </c>
      <c r="P98" s="15">
        <f t="shared" si="36"/>
        <v>43</v>
      </c>
      <c r="R98" s="8"/>
      <c r="T98"/>
    </row>
    <row r="99" spans="2:20" ht="23.1" customHeight="1" x14ac:dyDescent="0.25">
      <c r="B99" s="45" t="s">
        <v>139</v>
      </c>
      <c r="C99" s="50">
        <v>3</v>
      </c>
      <c r="D99" s="50">
        <v>0</v>
      </c>
      <c r="E99" s="50">
        <v>2</v>
      </c>
      <c r="F99" s="50">
        <v>5</v>
      </c>
      <c r="G99" s="50">
        <v>0</v>
      </c>
      <c r="H99" s="50">
        <v>0</v>
      </c>
      <c r="I99" s="50">
        <v>0</v>
      </c>
      <c r="J99" s="50">
        <v>2</v>
      </c>
      <c r="K99" s="50">
        <v>0</v>
      </c>
      <c r="L99" s="50">
        <v>1</v>
      </c>
      <c r="M99" s="50">
        <v>44</v>
      </c>
      <c r="N99" s="50">
        <v>0</v>
      </c>
      <c r="O99" s="15">
        <f t="shared" si="35"/>
        <v>13</v>
      </c>
      <c r="P99" s="15">
        <f t="shared" si="36"/>
        <v>57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1</v>
      </c>
      <c r="F100" s="50">
        <v>3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57</v>
      </c>
      <c r="N100" s="50">
        <v>0</v>
      </c>
      <c r="O100" s="15">
        <f t="shared" si="35"/>
        <v>5</v>
      </c>
      <c r="P100" s="15">
        <f t="shared" si="36"/>
        <v>62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1</v>
      </c>
      <c r="E101" s="50">
        <v>1</v>
      </c>
      <c r="F101" s="50">
        <v>5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6</v>
      </c>
      <c r="M101" s="50">
        <v>78</v>
      </c>
      <c r="N101" s="50">
        <v>0</v>
      </c>
      <c r="O101" s="15">
        <f t="shared" si="35"/>
        <v>13</v>
      </c>
      <c r="P101" s="15">
        <f t="shared" si="36"/>
        <v>91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4</v>
      </c>
      <c r="E102" s="50">
        <v>0</v>
      </c>
      <c r="F102" s="50">
        <v>5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12</v>
      </c>
      <c r="M102" s="50">
        <v>77</v>
      </c>
      <c r="N102" s="50">
        <v>0</v>
      </c>
      <c r="O102" s="15">
        <f t="shared" si="35"/>
        <v>23</v>
      </c>
      <c r="P102" s="15">
        <f t="shared" si="36"/>
        <v>100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4</v>
      </c>
      <c r="E103" s="50">
        <v>2</v>
      </c>
      <c r="F103" s="50">
        <v>6</v>
      </c>
      <c r="G103" s="50">
        <v>1</v>
      </c>
      <c r="H103" s="50">
        <v>0</v>
      </c>
      <c r="I103" s="50">
        <v>0</v>
      </c>
      <c r="J103" s="50">
        <v>0</v>
      </c>
      <c r="K103" s="50">
        <v>0</v>
      </c>
      <c r="L103" s="50">
        <v>4</v>
      </c>
      <c r="M103" s="50">
        <v>98</v>
      </c>
      <c r="N103" s="50">
        <v>0</v>
      </c>
      <c r="O103" s="15">
        <f t="shared" si="35"/>
        <v>20</v>
      </c>
      <c r="P103" s="15">
        <f t="shared" si="36"/>
        <v>118</v>
      </c>
      <c r="R103" s="8"/>
      <c r="T103"/>
    </row>
    <row r="104" spans="2:20" ht="23.1" customHeight="1" x14ac:dyDescent="0.25">
      <c r="B104" s="47" t="s">
        <v>144</v>
      </c>
      <c r="C104" s="50">
        <v>31</v>
      </c>
      <c r="D104" s="50">
        <v>21</v>
      </c>
      <c r="E104" s="50">
        <v>15</v>
      </c>
      <c r="F104" s="50">
        <v>40</v>
      </c>
      <c r="G104" s="50">
        <v>1</v>
      </c>
      <c r="H104" s="50">
        <v>0</v>
      </c>
      <c r="I104" s="50">
        <v>1</v>
      </c>
      <c r="J104" s="50">
        <v>0</v>
      </c>
      <c r="K104" s="50">
        <v>0</v>
      </c>
      <c r="L104" s="50">
        <v>0</v>
      </c>
      <c r="M104" s="50">
        <v>134</v>
      </c>
      <c r="N104" s="50">
        <v>0</v>
      </c>
      <c r="O104" s="15">
        <f t="shared" si="35"/>
        <v>109</v>
      </c>
      <c r="P104" s="15">
        <f t="shared" si="36"/>
        <v>243</v>
      </c>
      <c r="R104" s="8"/>
      <c r="T104"/>
    </row>
    <row r="105" spans="2:20" ht="23.1" customHeight="1" x14ac:dyDescent="0.25">
      <c r="B105" s="45" t="s">
        <v>145</v>
      </c>
      <c r="C105" s="50">
        <v>10</v>
      </c>
      <c r="D105" s="50">
        <v>8</v>
      </c>
      <c r="E105" s="50">
        <v>4</v>
      </c>
      <c r="F105" s="50">
        <v>15</v>
      </c>
      <c r="G105" s="50">
        <v>1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83</v>
      </c>
      <c r="N105" s="50">
        <v>0</v>
      </c>
      <c r="O105" s="15">
        <f t="shared" si="35"/>
        <v>39</v>
      </c>
      <c r="P105" s="15">
        <f t="shared" si="36"/>
        <v>122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2638</v>
      </c>
      <c r="D106" s="16">
        <f t="shared" ref="D106:P106" si="37">SUM(D10:D105)</f>
        <v>667</v>
      </c>
      <c r="E106" s="16">
        <f t="shared" si="37"/>
        <v>348</v>
      </c>
      <c r="F106" s="16">
        <f t="shared" si="37"/>
        <v>423</v>
      </c>
      <c r="G106" s="16">
        <f t="shared" si="37"/>
        <v>33</v>
      </c>
      <c r="H106" s="16">
        <f t="shared" si="37"/>
        <v>5</v>
      </c>
      <c r="I106" s="16">
        <f t="shared" si="37"/>
        <v>298</v>
      </c>
      <c r="J106" s="16">
        <f t="shared" si="37"/>
        <v>103</v>
      </c>
      <c r="K106" s="16">
        <f t="shared" si="37"/>
        <v>58</v>
      </c>
      <c r="L106" s="16">
        <f t="shared" si="37"/>
        <v>113</v>
      </c>
      <c r="M106" s="16">
        <f t="shared" si="37"/>
        <v>6872</v>
      </c>
      <c r="N106" s="16">
        <f t="shared" si="37"/>
        <v>1</v>
      </c>
      <c r="O106" s="16">
        <f t="shared" si="37"/>
        <v>4687</v>
      </c>
      <c r="P106" s="16">
        <f t="shared" si="37"/>
        <v>11559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0.22822043429362401</v>
      </c>
      <c r="D107" s="43">
        <f t="shared" si="38"/>
        <v>5.7703953629206682E-2</v>
      </c>
      <c r="E107" s="43">
        <f t="shared" si="38"/>
        <v>3.0106410589151311E-2</v>
      </c>
      <c r="F107" s="43">
        <f t="shared" si="38"/>
        <v>3.6594861147158056E-2</v>
      </c>
      <c r="G107" s="43">
        <f t="shared" si="38"/>
        <v>2.8549182455229693E-3</v>
      </c>
      <c r="H107" s="43">
        <f t="shared" si="38"/>
        <v>4.3256337053378319E-4</v>
      </c>
      <c r="I107" s="43">
        <f t="shared" si="38"/>
        <v>2.5780776883813479E-2</v>
      </c>
      <c r="J107" s="43">
        <f t="shared" si="38"/>
        <v>8.9108054329959333E-3</v>
      </c>
      <c r="K107" s="43">
        <f t="shared" si="38"/>
        <v>5.0177350981918849E-3</v>
      </c>
      <c r="L107" s="43">
        <f t="shared" si="38"/>
        <v>9.7759321740635008E-3</v>
      </c>
      <c r="M107" s="43">
        <f t="shared" si="38"/>
        <v>0.59451509646163159</v>
      </c>
      <c r="N107" s="43">
        <f t="shared" si="38"/>
        <v>8.6512674106756636E-5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0.56283336889268187</v>
      </c>
      <c r="D108" s="44">
        <f t="shared" ref="D108:N108" si="39">D106/$O$106</f>
        <v>0.14230851290804353</v>
      </c>
      <c r="E108" s="44">
        <f t="shared" si="39"/>
        <v>7.4247919778109669E-2</v>
      </c>
      <c r="F108" s="44">
        <f t="shared" si="39"/>
        <v>9.024962662684019E-2</v>
      </c>
      <c r="G108" s="44">
        <f t="shared" si="39"/>
        <v>7.0407510134414333E-3</v>
      </c>
      <c r="H108" s="44">
        <f t="shared" si="39"/>
        <v>1.0667804565820354E-3</v>
      </c>
      <c r="I108" s="44">
        <f t="shared" si="39"/>
        <v>6.3580115212289318E-2</v>
      </c>
      <c r="J108" s="44">
        <f t="shared" si="39"/>
        <v>2.1975677405589929E-2</v>
      </c>
      <c r="K108" s="44">
        <f t="shared" si="39"/>
        <v>1.2374653296351611E-2</v>
      </c>
      <c r="L108" s="44">
        <f t="shared" si="39"/>
        <v>2.4109238318754E-2</v>
      </c>
      <c r="M108" s="44"/>
      <c r="N108" s="44">
        <f t="shared" si="39"/>
        <v>2.1335609131640709E-4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I54" sqref="I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Spear Motors -URA'!C3:G3</f>
        <v>MCC - C1 - STN44- NAKAWA-JINJA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63" t="str">
        <f>'31.07 URA-Spear Motors'!G5:H5</f>
        <v>Spear Motors Limited</v>
      </c>
      <c r="H5" s="64"/>
      <c r="I5" s="14"/>
      <c r="J5" s="2" t="s">
        <v>5</v>
      </c>
      <c r="K5" s="63" t="s">
        <v>188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Spear Motors -URA'!D6:E6</f>
        <v>Spear Motors</v>
      </c>
      <c r="E6" s="64"/>
      <c r="F6" s="2" t="s">
        <v>2</v>
      </c>
      <c r="G6" s="63" t="str">
        <f>'29.07 Spear Motors -URA'!G6:H6</f>
        <v>URA</v>
      </c>
      <c r="H6" s="64"/>
      <c r="J6" s="2" t="s">
        <v>21</v>
      </c>
      <c r="K6" s="63" t="s">
        <v>189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33</v>
      </c>
      <c r="D10" s="50">
        <v>7</v>
      </c>
      <c r="E10" s="50">
        <v>11</v>
      </c>
      <c r="F10" s="50">
        <v>5</v>
      </c>
      <c r="G10" s="50">
        <v>5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62</v>
      </c>
      <c r="P10" s="15">
        <f t="shared" ref="P10:P57" si="1">SUM(C10:N10)</f>
        <v>62</v>
      </c>
      <c r="R10" s="1" t="s">
        <v>6</v>
      </c>
      <c r="S10" s="17">
        <f t="shared" ref="S10:AF10" si="2">SUM(C10:C13)</f>
        <v>135</v>
      </c>
      <c r="T10" s="17">
        <f t="shared" si="2"/>
        <v>33</v>
      </c>
      <c r="U10" s="17">
        <f t="shared" si="2"/>
        <v>33</v>
      </c>
      <c r="V10" s="17">
        <f t="shared" si="2"/>
        <v>22</v>
      </c>
      <c r="W10" s="17">
        <f t="shared" si="2"/>
        <v>7</v>
      </c>
      <c r="X10" s="17">
        <f t="shared" si="2"/>
        <v>0</v>
      </c>
      <c r="Y10" s="17">
        <f t="shared" si="2"/>
        <v>2</v>
      </c>
      <c r="Z10" s="17">
        <f t="shared" si="2"/>
        <v>5</v>
      </c>
      <c r="AA10" s="17">
        <f t="shared" si="2"/>
        <v>2</v>
      </c>
      <c r="AB10" s="17">
        <f t="shared" si="2"/>
        <v>2</v>
      </c>
      <c r="AC10" s="17">
        <f t="shared" si="2"/>
        <v>353</v>
      </c>
      <c r="AD10" s="17">
        <f t="shared" si="2"/>
        <v>0</v>
      </c>
      <c r="AE10" s="31">
        <f t="shared" si="2"/>
        <v>241</v>
      </c>
      <c r="AF10" s="31">
        <f t="shared" si="2"/>
        <v>594</v>
      </c>
    </row>
    <row r="11" spans="2:32" s="6" customFormat="1" ht="23.1" customHeight="1" x14ac:dyDescent="0.25">
      <c r="B11" s="23" t="s">
        <v>38</v>
      </c>
      <c r="C11" s="50">
        <v>35</v>
      </c>
      <c r="D11" s="50">
        <v>5</v>
      </c>
      <c r="E11" s="50">
        <v>7</v>
      </c>
      <c r="F11" s="50">
        <v>8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1</v>
      </c>
      <c r="M11" s="50">
        <v>134</v>
      </c>
      <c r="N11" s="50">
        <v>0</v>
      </c>
      <c r="O11" s="15">
        <f t="shared" si="0"/>
        <v>58</v>
      </c>
      <c r="P11" s="15">
        <f t="shared" si="1"/>
        <v>192</v>
      </c>
      <c r="R11" s="1" t="s">
        <v>7</v>
      </c>
      <c r="S11" s="17">
        <f t="shared" ref="S11:AF11" si="3">SUM(C14:C17)</f>
        <v>161</v>
      </c>
      <c r="T11" s="17">
        <f t="shared" si="3"/>
        <v>26</v>
      </c>
      <c r="U11" s="17">
        <f t="shared" si="3"/>
        <v>18</v>
      </c>
      <c r="V11" s="17">
        <f t="shared" si="3"/>
        <v>31</v>
      </c>
      <c r="W11" s="17">
        <f t="shared" si="3"/>
        <v>2</v>
      </c>
      <c r="X11" s="17">
        <f t="shared" si="3"/>
        <v>0</v>
      </c>
      <c r="Y11" s="17">
        <f t="shared" si="3"/>
        <v>9</v>
      </c>
      <c r="Z11" s="17">
        <f t="shared" si="3"/>
        <v>3</v>
      </c>
      <c r="AA11" s="17">
        <f t="shared" si="3"/>
        <v>6</v>
      </c>
      <c r="AB11" s="17">
        <f t="shared" si="3"/>
        <v>11</v>
      </c>
      <c r="AC11" s="17">
        <f t="shared" si="3"/>
        <v>490</v>
      </c>
      <c r="AD11" s="17">
        <f t="shared" si="3"/>
        <v>0</v>
      </c>
      <c r="AE11" s="31">
        <f t="shared" si="3"/>
        <v>267</v>
      </c>
      <c r="AF11" s="31">
        <f t="shared" si="3"/>
        <v>757</v>
      </c>
    </row>
    <row r="12" spans="2:32" ht="23.1" customHeight="1" x14ac:dyDescent="0.25">
      <c r="B12" s="23" t="s">
        <v>39</v>
      </c>
      <c r="C12" s="50">
        <v>31</v>
      </c>
      <c r="D12" s="50">
        <v>9</v>
      </c>
      <c r="E12" s="50">
        <v>8</v>
      </c>
      <c r="F12" s="50">
        <v>5</v>
      </c>
      <c r="G12" s="50">
        <v>2</v>
      </c>
      <c r="H12" s="50">
        <v>0</v>
      </c>
      <c r="I12" s="50">
        <v>0</v>
      </c>
      <c r="J12" s="50">
        <v>2</v>
      </c>
      <c r="K12" s="50">
        <v>1</v>
      </c>
      <c r="L12" s="50">
        <v>1</v>
      </c>
      <c r="M12" s="50">
        <v>121</v>
      </c>
      <c r="N12" s="50">
        <v>0</v>
      </c>
      <c r="O12" s="15">
        <f t="shared" si="0"/>
        <v>59</v>
      </c>
      <c r="P12" s="15">
        <f t="shared" si="1"/>
        <v>180</v>
      </c>
      <c r="R12" s="1" t="s">
        <v>8</v>
      </c>
      <c r="S12" s="17">
        <f t="shared" ref="S12:AF12" si="4">SUM(C18:C21)</f>
        <v>173</v>
      </c>
      <c r="T12" s="17">
        <f t="shared" si="4"/>
        <v>29</v>
      </c>
      <c r="U12" s="17">
        <f t="shared" si="4"/>
        <v>24</v>
      </c>
      <c r="V12" s="17">
        <f t="shared" si="4"/>
        <v>22</v>
      </c>
      <c r="W12" s="17">
        <f t="shared" si="4"/>
        <v>3</v>
      </c>
      <c r="X12" s="17">
        <f t="shared" si="4"/>
        <v>0</v>
      </c>
      <c r="Y12" s="17">
        <f t="shared" si="4"/>
        <v>15</v>
      </c>
      <c r="Z12" s="17">
        <f t="shared" si="4"/>
        <v>15</v>
      </c>
      <c r="AA12" s="17">
        <f t="shared" si="4"/>
        <v>0</v>
      </c>
      <c r="AB12" s="17">
        <f t="shared" si="4"/>
        <v>14</v>
      </c>
      <c r="AC12" s="17">
        <f t="shared" si="4"/>
        <v>448</v>
      </c>
      <c r="AD12" s="17">
        <f t="shared" si="4"/>
        <v>0</v>
      </c>
      <c r="AE12" s="31">
        <f t="shared" si="4"/>
        <v>295</v>
      </c>
      <c r="AF12" s="31">
        <f t="shared" si="4"/>
        <v>743</v>
      </c>
    </row>
    <row r="13" spans="2:32" ht="23.1" customHeight="1" x14ac:dyDescent="0.25">
      <c r="B13" s="23" t="s">
        <v>40</v>
      </c>
      <c r="C13" s="50">
        <v>36</v>
      </c>
      <c r="D13" s="50">
        <v>12</v>
      </c>
      <c r="E13" s="50">
        <v>7</v>
      </c>
      <c r="F13" s="50">
        <v>4</v>
      </c>
      <c r="G13" s="50">
        <v>0</v>
      </c>
      <c r="H13" s="50">
        <v>0</v>
      </c>
      <c r="I13" s="50">
        <v>0</v>
      </c>
      <c r="J13" s="50">
        <v>2</v>
      </c>
      <c r="K13" s="50">
        <v>1</v>
      </c>
      <c r="L13" s="50">
        <v>0</v>
      </c>
      <c r="M13" s="50">
        <v>98</v>
      </c>
      <c r="N13" s="50">
        <v>0</v>
      </c>
      <c r="O13" s="15">
        <f t="shared" si="0"/>
        <v>62</v>
      </c>
      <c r="P13" s="15">
        <f t="shared" si="1"/>
        <v>160</v>
      </c>
      <c r="R13" s="1" t="s">
        <v>9</v>
      </c>
      <c r="S13" s="17">
        <f t="shared" ref="S13:AF13" si="5">SUM(C22:C25)</f>
        <v>136</v>
      </c>
      <c r="T13" s="17">
        <f t="shared" si="5"/>
        <v>29</v>
      </c>
      <c r="U13" s="17">
        <f t="shared" si="5"/>
        <v>19</v>
      </c>
      <c r="V13" s="17">
        <f t="shared" si="5"/>
        <v>19</v>
      </c>
      <c r="W13" s="17">
        <f t="shared" si="5"/>
        <v>5</v>
      </c>
      <c r="X13" s="17">
        <f t="shared" si="5"/>
        <v>0</v>
      </c>
      <c r="Y13" s="17">
        <f t="shared" si="5"/>
        <v>15</v>
      </c>
      <c r="Z13" s="17">
        <f t="shared" si="5"/>
        <v>9</v>
      </c>
      <c r="AA13" s="17">
        <f t="shared" si="5"/>
        <v>9</v>
      </c>
      <c r="AB13" s="17">
        <f t="shared" si="5"/>
        <v>18</v>
      </c>
      <c r="AC13" s="17">
        <f t="shared" si="5"/>
        <v>464</v>
      </c>
      <c r="AD13" s="17">
        <f t="shared" si="5"/>
        <v>1</v>
      </c>
      <c r="AE13" s="31">
        <f t="shared" si="5"/>
        <v>260</v>
      </c>
      <c r="AF13" s="31">
        <f t="shared" si="5"/>
        <v>724</v>
      </c>
    </row>
    <row r="14" spans="2:32" ht="23.1" customHeight="1" x14ac:dyDescent="0.25">
      <c r="B14" s="23" t="s">
        <v>41</v>
      </c>
      <c r="C14" s="50">
        <v>51</v>
      </c>
      <c r="D14" s="50">
        <v>9</v>
      </c>
      <c r="E14" s="50">
        <v>8</v>
      </c>
      <c r="F14" s="50">
        <v>9</v>
      </c>
      <c r="G14" s="50">
        <v>0</v>
      </c>
      <c r="H14" s="50">
        <v>0</v>
      </c>
      <c r="I14" s="50">
        <v>1</v>
      </c>
      <c r="J14" s="50">
        <v>1</v>
      </c>
      <c r="K14" s="50">
        <v>1</v>
      </c>
      <c r="L14" s="50">
        <v>0</v>
      </c>
      <c r="M14" s="50">
        <v>132</v>
      </c>
      <c r="N14" s="50">
        <v>0</v>
      </c>
      <c r="O14" s="15">
        <f t="shared" si="0"/>
        <v>80</v>
      </c>
      <c r="P14" s="15">
        <f t="shared" si="1"/>
        <v>212</v>
      </c>
      <c r="R14" s="1" t="s">
        <v>10</v>
      </c>
      <c r="S14" s="17">
        <f t="shared" ref="S14:AF14" si="6">SUM(C26:C29)</f>
        <v>167</v>
      </c>
      <c r="T14" s="17">
        <f t="shared" si="6"/>
        <v>31</v>
      </c>
      <c r="U14" s="17">
        <f t="shared" si="6"/>
        <v>33</v>
      </c>
      <c r="V14" s="17">
        <f t="shared" si="6"/>
        <v>32</v>
      </c>
      <c r="W14" s="17">
        <f t="shared" si="6"/>
        <v>5</v>
      </c>
      <c r="X14" s="17">
        <f t="shared" si="6"/>
        <v>0</v>
      </c>
      <c r="Y14" s="17">
        <f t="shared" si="6"/>
        <v>11</v>
      </c>
      <c r="Z14" s="17">
        <f t="shared" si="6"/>
        <v>11</v>
      </c>
      <c r="AA14" s="17">
        <f t="shared" si="6"/>
        <v>16</v>
      </c>
      <c r="AB14" s="17">
        <f t="shared" si="6"/>
        <v>20</v>
      </c>
      <c r="AC14" s="17">
        <f t="shared" si="6"/>
        <v>475</v>
      </c>
      <c r="AD14" s="17">
        <f t="shared" si="6"/>
        <v>0</v>
      </c>
      <c r="AE14" s="31">
        <f t="shared" si="6"/>
        <v>326</v>
      </c>
      <c r="AF14" s="31">
        <f t="shared" si="6"/>
        <v>801</v>
      </c>
    </row>
    <row r="15" spans="2:32" ht="23.1" customHeight="1" x14ac:dyDescent="0.25">
      <c r="B15" s="23" t="s">
        <v>42</v>
      </c>
      <c r="C15" s="50">
        <v>33</v>
      </c>
      <c r="D15" s="50">
        <v>8</v>
      </c>
      <c r="E15" s="50">
        <v>3</v>
      </c>
      <c r="F15" s="50">
        <v>7</v>
      </c>
      <c r="G15" s="50">
        <v>1</v>
      </c>
      <c r="H15" s="50">
        <v>0</v>
      </c>
      <c r="I15" s="50">
        <v>2</v>
      </c>
      <c r="J15" s="50">
        <v>1</v>
      </c>
      <c r="K15" s="50">
        <v>1</v>
      </c>
      <c r="L15" s="50">
        <v>5</v>
      </c>
      <c r="M15" s="50">
        <v>120</v>
      </c>
      <c r="N15" s="50">
        <v>0</v>
      </c>
      <c r="O15" s="15">
        <f t="shared" si="0"/>
        <v>61</v>
      </c>
      <c r="P15" s="15">
        <f t="shared" si="1"/>
        <v>181</v>
      </c>
      <c r="R15" s="1" t="s">
        <v>11</v>
      </c>
      <c r="S15" s="17">
        <f t="shared" ref="S15:AF15" si="7">SUM(C30:C33)</f>
        <v>133</v>
      </c>
      <c r="T15" s="17">
        <f t="shared" si="7"/>
        <v>25</v>
      </c>
      <c r="U15" s="17">
        <f t="shared" si="7"/>
        <v>30</v>
      </c>
      <c r="V15" s="17">
        <f t="shared" si="7"/>
        <v>23</v>
      </c>
      <c r="W15" s="17">
        <f t="shared" si="7"/>
        <v>4</v>
      </c>
      <c r="X15" s="17">
        <f t="shared" si="7"/>
        <v>0</v>
      </c>
      <c r="Y15" s="17">
        <f t="shared" si="7"/>
        <v>8</v>
      </c>
      <c r="Z15" s="17">
        <f t="shared" si="7"/>
        <v>10</v>
      </c>
      <c r="AA15" s="17">
        <f t="shared" si="7"/>
        <v>14</v>
      </c>
      <c r="AB15" s="17">
        <f t="shared" si="7"/>
        <v>14</v>
      </c>
      <c r="AC15" s="17">
        <f t="shared" si="7"/>
        <v>243</v>
      </c>
      <c r="AD15" s="17">
        <f t="shared" si="7"/>
        <v>0</v>
      </c>
      <c r="AE15" s="31">
        <f t="shared" si="7"/>
        <v>261</v>
      </c>
      <c r="AF15" s="31">
        <f t="shared" si="7"/>
        <v>504</v>
      </c>
    </row>
    <row r="16" spans="2:32" ht="23.1" customHeight="1" x14ac:dyDescent="0.25">
      <c r="B16" s="23" t="s">
        <v>43</v>
      </c>
      <c r="C16" s="50">
        <v>36</v>
      </c>
      <c r="D16" s="50">
        <v>2</v>
      </c>
      <c r="E16" s="50">
        <v>1</v>
      </c>
      <c r="F16" s="50">
        <v>5</v>
      </c>
      <c r="G16" s="50">
        <v>0</v>
      </c>
      <c r="H16" s="50">
        <v>0</v>
      </c>
      <c r="I16" s="50">
        <v>5</v>
      </c>
      <c r="J16" s="50">
        <v>0</v>
      </c>
      <c r="K16" s="50">
        <v>3</v>
      </c>
      <c r="L16" s="50">
        <v>4</v>
      </c>
      <c r="M16" s="50">
        <v>155</v>
      </c>
      <c r="N16" s="50">
        <v>0</v>
      </c>
      <c r="O16" s="15">
        <f t="shared" si="0"/>
        <v>56</v>
      </c>
      <c r="P16" s="15">
        <f t="shared" si="1"/>
        <v>211</v>
      </c>
      <c r="R16" s="1" t="s">
        <v>12</v>
      </c>
      <c r="S16" s="17">
        <f t="shared" ref="S16:AF16" si="8">SUM(C34:C37)</f>
        <v>132</v>
      </c>
      <c r="T16" s="17">
        <f t="shared" si="8"/>
        <v>36</v>
      </c>
      <c r="U16" s="17">
        <f t="shared" si="8"/>
        <v>15</v>
      </c>
      <c r="V16" s="17">
        <f t="shared" si="8"/>
        <v>9</v>
      </c>
      <c r="W16" s="17">
        <f t="shared" si="8"/>
        <v>5</v>
      </c>
      <c r="X16" s="17">
        <f t="shared" si="8"/>
        <v>0</v>
      </c>
      <c r="Y16" s="17">
        <f t="shared" si="8"/>
        <v>8</v>
      </c>
      <c r="Z16" s="17">
        <f t="shared" si="8"/>
        <v>7</v>
      </c>
      <c r="AA16" s="17">
        <f t="shared" si="8"/>
        <v>3</v>
      </c>
      <c r="AB16" s="17">
        <f t="shared" si="8"/>
        <v>12</v>
      </c>
      <c r="AC16" s="17">
        <f t="shared" si="8"/>
        <v>145</v>
      </c>
      <c r="AD16" s="17">
        <f t="shared" si="8"/>
        <v>0</v>
      </c>
      <c r="AE16" s="31">
        <f t="shared" si="8"/>
        <v>227</v>
      </c>
      <c r="AF16" s="31">
        <f t="shared" si="8"/>
        <v>372</v>
      </c>
    </row>
    <row r="17" spans="2:32" ht="23.1" customHeight="1" x14ac:dyDescent="0.25">
      <c r="B17" s="23" t="s">
        <v>44</v>
      </c>
      <c r="C17" s="50">
        <v>41</v>
      </c>
      <c r="D17" s="50">
        <v>7</v>
      </c>
      <c r="E17" s="50">
        <v>6</v>
      </c>
      <c r="F17" s="50">
        <v>10</v>
      </c>
      <c r="G17" s="50">
        <v>1</v>
      </c>
      <c r="H17" s="50">
        <v>0</v>
      </c>
      <c r="I17" s="50">
        <v>1</v>
      </c>
      <c r="J17" s="50">
        <v>1</v>
      </c>
      <c r="K17" s="50">
        <v>1</v>
      </c>
      <c r="L17" s="50">
        <v>2</v>
      </c>
      <c r="M17" s="50">
        <v>83</v>
      </c>
      <c r="N17" s="50">
        <v>0</v>
      </c>
      <c r="O17" s="15">
        <f t="shared" si="0"/>
        <v>70</v>
      </c>
      <c r="P17" s="15">
        <f t="shared" si="1"/>
        <v>153</v>
      </c>
      <c r="R17" s="1" t="s">
        <v>13</v>
      </c>
      <c r="S17" s="17">
        <f t="shared" ref="S17:AF17" si="9">SUM(C38:C41)</f>
        <v>158</v>
      </c>
      <c r="T17" s="17">
        <f t="shared" si="9"/>
        <v>34</v>
      </c>
      <c r="U17" s="17">
        <f t="shared" si="9"/>
        <v>24</v>
      </c>
      <c r="V17" s="17">
        <f t="shared" si="9"/>
        <v>18</v>
      </c>
      <c r="W17" s="17">
        <f t="shared" si="9"/>
        <v>3</v>
      </c>
      <c r="X17" s="17">
        <f t="shared" si="9"/>
        <v>0</v>
      </c>
      <c r="Y17" s="17">
        <f t="shared" si="9"/>
        <v>11</v>
      </c>
      <c r="Z17" s="17">
        <f t="shared" si="9"/>
        <v>7</v>
      </c>
      <c r="AA17" s="17">
        <f t="shared" si="9"/>
        <v>8</v>
      </c>
      <c r="AB17" s="17">
        <f t="shared" si="9"/>
        <v>9</v>
      </c>
      <c r="AC17" s="17">
        <f t="shared" si="9"/>
        <v>372</v>
      </c>
      <c r="AD17" s="17">
        <f t="shared" si="9"/>
        <v>0</v>
      </c>
      <c r="AE17" s="31">
        <f t="shared" si="9"/>
        <v>272</v>
      </c>
      <c r="AF17" s="31">
        <f t="shared" si="9"/>
        <v>644</v>
      </c>
    </row>
    <row r="18" spans="2:32" ht="23.1" customHeight="1" x14ac:dyDescent="0.25">
      <c r="B18" s="23" t="s">
        <v>45</v>
      </c>
      <c r="C18" s="50">
        <v>41</v>
      </c>
      <c r="D18" s="50">
        <v>11</v>
      </c>
      <c r="E18" s="50">
        <v>7</v>
      </c>
      <c r="F18" s="50">
        <v>2</v>
      </c>
      <c r="G18" s="50">
        <v>0</v>
      </c>
      <c r="H18" s="50">
        <v>0</v>
      </c>
      <c r="I18" s="50">
        <v>4</v>
      </c>
      <c r="J18" s="50">
        <v>12</v>
      </c>
      <c r="K18" s="50">
        <v>0</v>
      </c>
      <c r="L18" s="50">
        <v>2</v>
      </c>
      <c r="M18" s="50">
        <v>100</v>
      </c>
      <c r="N18" s="50">
        <v>0</v>
      </c>
      <c r="O18" s="15">
        <f t="shared" si="0"/>
        <v>79</v>
      </c>
      <c r="P18" s="15">
        <f t="shared" si="1"/>
        <v>179</v>
      </c>
      <c r="R18" s="1" t="s">
        <v>14</v>
      </c>
      <c r="S18" s="17">
        <f t="shared" ref="S18:AF18" si="10">SUM(C42:C45)</f>
        <v>170</v>
      </c>
      <c r="T18" s="17">
        <f t="shared" si="10"/>
        <v>19</v>
      </c>
      <c r="U18" s="17">
        <f t="shared" si="10"/>
        <v>19</v>
      </c>
      <c r="V18" s="17">
        <f t="shared" si="10"/>
        <v>16</v>
      </c>
      <c r="W18" s="17">
        <f t="shared" si="10"/>
        <v>5</v>
      </c>
      <c r="X18" s="17">
        <f t="shared" si="10"/>
        <v>0</v>
      </c>
      <c r="Y18" s="17">
        <f t="shared" si="10"/>
        <v>13</v>
      </c>
      <c r="Z18" s="17">
        <f t="shared" si="10"/>
        <v>9</v>
      </c>
      <c r="AA18" s="17">
        <f t="shared" si="10"/>
        <v>9</v>
      </c>
      <c r="AB18" s="17">
        <f t="shared" si="10"/>
        <v>19</v>
      </c>
      <c r="AC18" s="17">
        <f t="shared" si="10"/>
        <v>233</v>
      </c>
      <c r="AD18" s="17">
        <f t="shared" si="10"/>
        <v>0</v>
      </c>
      <c r="AE18" s="31">
        <f t="shared" si="10"/>
        <v>279</v>
      </c>
      <c r="AF18" s="31">
        <f t="shared" si="10"/>
        <v>512</v>
      </c>
    </row>
    <row r="19" spans="2:32" ht="23.1" customHeight="1" x14ac:dyDescent="0.25">
      <c r="B19" s="23" t="s">
        <v>46</v>
      </c>
      <c r="C19" s="50">
        <v>40</v>
      </c>
      <c r="D19" s="50">
        <v>6</v>
      </c>
      <c r="E19" s="50">
        <v>4</v>
      </c>
      <c r="F19" s="50">
        <v>9</v>
      </c>
      <c r="G19" s="50">
        <v>2</v>
      </c>
      <c r="H19" s="50">
        <v>0</v>
      </c>
      <c r="I19" s="50">
        <v>5</v>
      </c>
      <c r="J19" s="50">
        <v>1</v>
      </c>
      <c r="K19" s="50">
        <v>0</v>
      </c>
      <c r="L19" s="50">
        <v>2</v>
      </c>
      <c r="M19" s="50">
        <v>70</v>
      </c>
      <c r="N19" s="50">
        <v>0</v>
      </c>
      <c r="O19" s="15">
        <f t="shared" si="0"/>
        <v>69</v>
      </c>
      <c r="P19" s="15">
        <f t="shared" si="1"/>
        <v>139</v>
      </c>
      <c r="R19" s="1" t="s">
        <v>15</v>
      </c>
      <c r="S19" s="17">
        <f t="shared" ref="S19:AF19" si="11">SUM(C46:C49)</f>
        <v>149</v>
      </c>
      <c r="T19" s="17">
        <f t="shared" si="11"/>
        <v>31</v>
      </c>
      <c r="U19" s="17">
        <f t="shared" si="11"/>
        <v>31</v>
      </c>
      <c r="V19" s="17">
        <f t="shared" si="11"/>
        <v>27</v>
      </c>
      <c r="W19" s="17">
        <f t="shared" si="11"/>
        <v>5</v>
      </c>
      <c r="X19" s="17">
        <f t="shared" si="11"/>
        <v>0</v>
      </c>
      <c r="Y19" s="17">
        <f t="shared" si="11"/>
        <v>10</v>
      </c>
      <c r="Z19" s="17">
        <f t="shared" si="11"/>
        <v>8</v>
      </c>
      <c r="AA19" s="17">
        <f t="shared" si="11"/>
        <v>5</v>
      </c>
      <c r="AB19" s="17">
        <f t="shared" si="11"/>
        <v>10</v>
      </c>
      <c r="AC19" s="17">
        <f t="shared" si="11"/>
        <v>201</v>
      </c>
      <c r="AD19" s="17">
        <f t="shared" si="11"/>
        <v>0</v>
      </c>
      <c r="AE19" s="31">
        <f t="shared" si="11"/>
        <v>276</v>
      </c>
      <c r="AF19" s="31">
        <f t="shared" si="11"/>
        <v>477</v>
      </c>
    </row>
    <row r="20" spans="2:32" ht="23.1" customHeight="1" x14ac:dyDescent="0.25">
      <c r="B20" s="23" t="s">
        <v>47</v>
      </c>
      <c r="C20" s="50">
        <v>39</v>
      </c>
      <c r="D20" s="50">
        <v>4</v>
      </c>
      <c r="E20" s="50">
        <v>6</v>
      </c>
      <c r="F20" s="50">
        <v>4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7</v>
      </c>
      <c r="M20" s="50">
        <v>157</v>
      </c>
      <c r="N20" s="50">
        <v>0</v>
      </c>
      <c r="O20" s="15">
        <f t="shared" si="0"/>
        <v>62</v>
      </c>
      <c r="P20" s="15">
        <f t="shared" si="1"/>
        <v>219</v>
      </c>
      <c r="R20" s="1" t="s">
        <v>16</v>
      </c>
      <c r="S20" s="17">
        <f t="shared" ref="S20:AF20" si="12">SUM(C50:C53)</f>
        <v>151</v>
      </c>
      <c r="T20" s="17">
        <f t="shared" si="12"/>
        <v>34</v>
      </c>
      <c r="U20" s="17">
        <f t="shared" si="12"/>
        <v>32</v>
      </c>
      <c r="V20" s="17">
        <f t="shared" si="12"/>
        <v>21</v>
      </c>
      <c r="W20" s="17">
        <f t="shared" si="12"/>
        <v>9</v>
      </c>
      <c r="X20" s="17">
        <f t="shared" si="12"/>
        <v>0</v>
      </c>
      <c r="Y20" s="17">
        <f t="shared" si="12"/>
        <v>7</v>
      </c>
      <c r="Z20" s="17">
        <f t="shared" si="12"/>
        <v>7</v>
      </c>
      <c r="AA20" s="17">
        <f t="shared" si="12"/>
        <v>3</v>
      </c>
      <c r="AB20" s="17">
        <f t="shared" si="12"/>
        <v>8</v>
      </c>
      <c r="AC20" s="17">
        <f t="shared" si="12"/>
        <v>505</v>
      </c>
      <c r="AD20" s="17">
        <f t="shared" si="12"/>
        <v>0</v>
      </c>
      <c r="AE20" s="31">
        <f t="shared" si="12"/>
        <v>272</v>
      </c>
      <c r="AF20" s="31">
        <f t="shared" si="12"/>
        <v>777</v>
      </c>
    </row>
    <row r="21" spans="2:32" ht="23.1" customHeight="1" x14ac:dyDescent="0.25">
      <c r="B21" s="23" t="s">
        <v>48</v>
      </c>
      <c r="C21" s="50">
        <v>53</v>
      </c>
      <c r="D21" s="50">
        <v>8</v>
      </c>
      <c r="E21" s="50">
        <v>7</v>
      </c>
      <c r="F21" s="50">
        <v>7</v>
      </c>
      <c r="G21" s="50">
        <v>1</v>
      </c>
      <c r="H21" s="50">
        <v>0</v>
      </c>
      <c r="I21" s="50">
        <v>4</v>
      </c>
      <c r="J21" s="50">
        <v>2</v>
      </c>
      <c r="K21" s="50">
        <v>0</v>
      </c>
      <c r="L21" s="50">
        <v>3</v>
      </c>
      <c r="M21" s="50">
        <v>121</v>
      </c>
      <c r="N21" s="50">
        <v>0</v>
      </c>
      <c r="O21" s="15">
        <f t="shared" si="0"/>
        <v>85</v>
      </c>
      <c r="P21" s="15">
        <f t="shared" si="1"/>
        <v>206</v>
      </c>
      <c r="R21" s="36" t="s">
        <v>20</v>
      </c>
      <c r="S21" s="34">
        <f t="shared" ref="S21:AF21" si="13">SUM(C54:C57)</f>
        <v>152</v>
      </c>
      <c r="T21" s="17">
        <f t="shared" si="13"/>
        <v>26</v>
      </c>
      <c r="U21" s="17">
        <f t="shared" si="13"/>
        <v>26</v>
      </c>
      <c r="V21" s="17">
        <f t="shared" si="13"/>
        <v>27</v>
      </c>
      <c r="W21" s="17">
        <f t="shared" si="13"/>
        <v>5</v>
      </c>
      <c r="X21" s="17">
        <f t="shared" si="13"/>
        <v>0</v>
      </c>
      <c r="Y21" s="17">
        <f t="shared" si="13"/>
        <v>3</v>
      </c>
      <c r="Z21" s="17">
        <f t="shared" si="13"/>
        <v>9</v>
      </c>
      <c r="AA21" s="17">
        <f t="shared" si="13"/>
        <v>5</v>
      </c>
      <c r="AB21" s="17">
        <f t="shared" si="13"/>
        <v>13</v>
      </c>
      <c r="AC21" s="17">
        <f t="shared" si="13"/>
        <v>210</v>
      </c>
      <c r="AD21" s="17">
        <f t="shared" si="13"/>
        <v>0</v>
      </c>
      <c r="AE21" s="31">
        <f t="shared" si="13"/>
        <v>266</v>
      </c>
      <c r="AF21" s="31">
        <f t="shared" si="13"/>
        <v>476</v>
      </c>
    </row>
    <row r="22" spans="2:32" ht="23.1" customHeight="1" x14ac:dyDescent="0.25">
      <c r="B22" s="23" t="s">
        <v>49</v>
      </c>
      <c r="C22" s="50">
        <v>38</v>
      </c>
      <c r="D22" s="50">
        <v>5</v>
      </c>
      <c r="E22" s="50">
        <v>5</v>
      </c>
      <c r="F22" s="50">
        <v>5</v>
      </c>
      <c r="G22" s="50">
        <v>1</v>
      </c>
      <c r="H22" s="50">
        <v>0</v>
      </c>
      <c r="I22" s="50">
        <v>5</v>
      </c>
      <c r="J22" s="50">
        <v>3</v>
      </c>
      <c r="K22" s="50">
        <v>3</v>
      </c>
      <c r="L22" s="50">
        <v>5</v>
      </c>
      <c r="M22" s="50">
        <v>150</v>
      </c>
      <c r="N22" s="50">
        <v>0</v>
      </c>
      <c r="O22" s="15">
        <f t="shared" si="0"/>
        <v>70</v>
      </c>
      <c r="P22" s="15">
        <f t="shared" si="1"/>
        <v>220</v>
      </c>
      <c r="R22" s="38" t="s">
        <v>90</v>
      </c>
      <c r="S22" s="39">
        <f>MAX(S10:S12)</f>
        <v>173</v>
      </c>
      <c r="T22" s="39">
        <f t="shared" ref="T22:AF22" si="14">MAX(T10:T12)</f>
        <v>33</v>
      </c>
      <c r="U22" s="39">
        <f t="shared" si="14"/>
        <v>33</v>
      </c>
      <c r="V22" s="39">
        <f t="shared" si="14"/>
        <v>31</v>
      </c>
      <c r="W22" s="39">
        <f t="shared" si="14"/>
        <v>7</v>
      </c>
      <c r="X22" s="39">
        <f t="shared" si="14"/>
        <v>0</v>
      </c>
      <c r="Y22" s="39">
        <f t="shared" si="14"/>
        <v>15</v>
      </c>
      <c r="Z22" s="39">
        <f t="shared" si="14"/>
        <v>15</v>
      </c>
      <c r="AA22" s="39">
        <f t="shared" si="14"/>
        <v>6</v>
      </c>
      <c r="AB22" s="39">
        <f t="shared" si="14"/>
        <v>14</v>
      </c>
      <c r="AC22" s="39">
        <f t="shared" si="14"/>
        <v>490</v>
      </c>
      <c r="AD22" s="39">
        <f t="shared" si="14"/>
        <v>0</v>
      </c>
      <c r="AE22" s="40">
        <f t="shared" si="14"/>
        <v>295</v>
      </c>
      <c r="AF22" s="40">
        <f t="shared" si="14"/>
        <v>757</v>
      </c>
    </row>
    <row r="23" spans="2:32" ht="23.1" customHeight="1" x14ac:dyDescent="0.25">
      <c r="B23" s="23" t="s">
        <v>50</v>
      </c>
      <c r="C23" s="50">
        <v>35</v>
      </c>
      <c r="D23" s="50">
        <v>7</v>
      </c>
      <c r="E23" s="50">
        <v>3</v>
      </c>
      <c r="F23" s="50">
        <v>0</v>
      </c>
      <c r="G23" s="50">
        <v>1</v>
      </c>
      <c r="H23" s="50">
        <v>0</v>
      </c>
      <c r="I23" s="50">
        <v>3</v>
      </c>
      <c r="J23" s="50">
        <v>1</v>
      </c>
      <c r="K23" s="50">
        <v>0</v>
      </c>
      <c r="L23" s="50">
        <v>6</v>
      </c>
      <c r="M23" s="50">
        <v>82</v>
      </c>
      <c r="N23" s="50">
        <v>0</v>
      </c>
      <c r="O23" s="15">
        <f t="shared" si="0"/>
        <v>56</v>
      </c>
      <c r="P23" s="15">
        <f t="shared" si="1"/>
        <v>138</v>
      </c>
      <c r="R23" s="38" t="s">
        <v>91</v>
      </c>
      <c r="S23" s="39">
        <f>MAX(S13:S18)</f>
        <v>170</v>
      </c>
      <c r="T23" s="39">
        <f t="shared" ref="T23:AF23" si="15">MAX(T13:T18)</f>
        <v>36</v>
      </c>
      <c r="U23" s="39">
        <f t="shared" si="15"/>
        <v>33</v>
      </c>
      <c r="V23" s="39">
        <f t="shared" si="15"/>
        <v>32</v>
      </c>
      <c r="W23" s="39">
        <f t="shared" si="15"/>
        <v>5</v>
      </c>
      <c r="X23" s="39">
        <f t="shared" si="15"/>
        <v>0</v>
      </c>
      <c r="Y23" s="39">
        <f t="shared" si="15"/>
        <v>15</v>
      </c>
      <c r="Z23" s="39">
        <f t="shared" si="15"/>
        <v>11</v>
      </c>
      <c r="AA23" s="39">
        <f t="shared" si="15"/>
        <v>16</v>
      </c>
      <c r="AB23" s="39">
        <f t="shared" si="15"/>
        <v>20</v>
      </c>
      <c r="AC23" s="39">
        <f t="shared" si="15"/>
        <v>475</v>
      </c>
      <c r="AD23" s="39">
        <f t="shared" si="15"/>
        <v>1</v>
      </c>
      <c r="AE23" s="40">
        <f t="shared" si="15"/>
        <v>326</v>
      </c>
      <c r="AF23" s="40">
        <f t="shared" si="15"/>
        <v>801</v>
      </c>
    </row>
    <row r="24" spans="2:32" ht="23.1" customHeight="1" x14ac:dyDescent="0.25">
      <c r="B24" s="23" t="s">
        <v>51</v>
      </c>
      <c r="C24" s="50">
        <v>33</v>
      </c>
      <c r="D24" s="50">
        <v>10</v>
      </c>
      <c r="E24" s="50">
        <v>7</v>
      </c>
      <c r="F24" s="50">
        <v>8</v>
      </c>
      <c r="G24" s="50">
        <v>0</v>
      </c>
      <c r="H24" s="50">
        <v>0</v>
      </c>
      <c r="I24" s="50">
        <v>3</v>
      </c>
      <c r="J24" s="50">
        <v>4</v>
      </c>
      <c r="K24" s="50">
        <v>2</v>
      </c>
      <c r="L24" s="50">
        <v>2</v>
      </c>
      <c r="M24" s="50">
        <v>107</v>
      </c>
      <c r="N24" s="50">
        <v>0</v>
      </c>
      <c r="O24" s="15">
        <f t="shared" si="0"/>
        <v>69</v>
      </c>
      <c r="P24" s="15">
        <f t="shared" si="1"/>
        <v>176</v>
      </c>
      <c r="R24" s="38" t="s">
        <v>92</v>
      </c>
      <c r="S24" s="39">
        <f>MAX(S19:S21)</f>
        <v>152</v>
      </c>
      <c r="T24" s="39">
        <f t="shared" ref="T24:AF24" si="16">MAX(T19:T21)</f>
        <v>34</v>
      </c>
      <c r="U24" s="39">
        <f t="shared" si="16"/>
        <v>32</v>
      </c>
      <c r="V24" s="39">
        <f t="shared" si="16"/>
        <v>27</v>
      </c>
      <c r="W24" s="39">
        <f t="shared" si="16"/>
        <v>9</v>
      </c>
      <c r="X24" s="39">
        <f t="shared" si="16"/>
        <v>0</v>
      </c>
      <c r="Y24" s="39">
        <f t="shared" si="16"/>
        <v>10</v>
      </c>
      <c r="Z24" s="39">
        <f t="shared" si="16"/>
        <v>9</v>
      </c>
      <c r="AA24" s="39">
        <f t="shared" si="16"/>
        <v>5</v>
      </c>
      <c r="AB24" s="39">
        <f t="shared" si="16"/>
        <v>13</v>
      </c>
      <c r="AC24" s="39">
        <f t="shared" si="16"/>
        <v>505</v>
      </c>
      <c r="AD24" s="39">
        <f t="shared" si="16"/>
        <v>0</v>
      </c>
      <c r="AE24" s="40">
        <f t="shared" si="16"/>
        <v>276</v>
      </c>
      <c r="AF24" s="40">
        <f t="shared" si="16"/>
        <v>777</v>
      </c>
    </row>
    <row r="25" spans="2:32" ht="23.1" customHeight="1" x14ac:dyDescent="0.25">
      <c r="B25" s="23" t="s">
        <v>52</v>
      </c>
      <c r="C25" s="50">
        <v>30</v>
      </c>
      <c r="D25" s="50">
        <v>7</v>
      </c>
      <c r="E25" s="50">
        <v>4</v>
      </c>
      <c r="F25" s="50">
        <v>6</v>
      </c>
      <c r="G25" s="50">
        <v>3</v>
      </c>
      <c r="H25" s="50">
        <v>0</v>
      </c>
      <c r="I25" s="50">
        <v>4</v>
      </c>
      <c r="J25" s="50">
        <v>1</v>
      </c>
      <c r="K25" s="50">
        <v>4</v>
      </c>
      <c r="L25" s="50">
        <v>5</v>
      </c>
      <c r="M25" s="50">
        <v>125</v>
      </c>
      <c r="N25" s="50">
        <v>1</v>
      </c>
      <c r="O25" s="15">
        <f t="shared" si="0"/>
        <v>65</v>
      </c>
      <c r="P25" s="15">
        <f t="shared" si="1"/>
        <v>190</v>
      </c>
      <c r="R25" s="37" t="s">
        <v>85</v>
      </c>
      <c r="S25" s="35">
        <f t="shared" ref="S25:AF25" si="17">SUM(S10:S12)</f>
        <v>469</v>
      </c>
      <c r="T25" s="16">
        <f t="shared" si="17"/>
        <v>88</v>
      </c>
      <c r="U25" s="16">
        <f t="shared" si="17"/>
        <v>75</v>
      </c>
      <c r="V25" s="16">
        <f t="shared" si="17"/>
        <v>75</v>
      </c>
      <c r="W25" s="16">
        <f t="shared" si="17"/>
        <v>12</v>
      </c>
      <c r="X25" s="16">
        <f t="shared" si="17"/>
        <v>0</v>
      </c>
      <c r="Y25" s="16">
        <f t="shared" si="17"/>
        <v>26</v>
      </c>
      <c r="Z25" s="16">
        <f t="shared" si="17"/>
        <v>23</v>
      </c>
      <c r="AA25" s="16">
        <f t="shared" si="17"/>
        <v>8</v>
      </c>
      <c r="AB25" s="16">
        <f t="shared" si="17"/>
        <v>27</v>
      </c>
      <c r="AC25" s="16">
        <f t="shared" si="17"/>
        <v>1291</v>
      </c>
      <c r="AD25" s="16">
        <f t="shared" si="17"/>
        <v>0</v>
      </c>
      <c r="AE25" s="32">
        <f t="shared" si="17"/>
        <v>803</v>
      </c>
      <c r="AF25" s="32">
        <f t="shared" si="17"/>
        <v>2094</v>
      </c>
    </row>
    <row r="26" spans="2:32" ht="23.1" customHeight="1" x14ac:dyDescent="0.25">
      <c r="B26" s="23" t="s">
        <v>53</v>
      </c>
      <c r="C26" s="50">
        <v>41</v>
      </c>
      <c r="D26" s="50">
        <v>7</v>
      </c>
      <c r="E26" s="50">
        <v>7</v>
      </c>
      <c r="F26" s="50">
        <v>8</v>
      </c>
      <c r="G26" s="50">
        <v>1</v>
      </c>
      <c r="H26" s="50">
        <v>0</v>
      </c>
      <c r="I26" s="50">
        <v>4</v>
      </c>
      <c r="J26" s="50">
        <v>1</v>
      </c>
      <c r="K26" s="50">
        <v>5</v>
      </c>
      <c r="L26" s="50">
        <v>5</v>
      </c>
      <c r="M26" s="50">
        <v>158</v>
      </c>
      <c r="N26" s="50">
        <v>0</v>
      </c>
      <c r="O26" s="15">
        <f t="shared" si="0"/>
        <v>79</v>
      </c>
      <c r="P26" s="15">
        <f t="shared" si="1"/>
        <v>237</v>
      </c>
      <c r="R26" s="28" t="s">
        <v>86</v>
      </c>
      <c r="S26" s="16">
        <f t="shared" ref="S26:AF26" si="18">SUM(S13:S18)</f>
        <v>896</v>
      </c>
      <c r="T26" s="16">
        <f t="shared" si="18"/>
        <v>174</v>
      </c>
      <c r="U26" s="16">
        <f t="shared" si="18"/>
        <v>140</v>
      </c>
      <c r="V26" s="16">
        <f t="shared" si="18"/>
        <v>117</v>
      </c>
      <c r="W26" s="16">
        <f t="shared" si="18"/>
        <v>27</v>
      </c>
      <c r="X26" s="16">
        <f t="shared" si="18"/>
        <v>0</v>
      </c>
      <c r="Y26" s="16">
        <f t="shared" si="18"/>
        <v>66</v>
      </c>
      <c r="Z26" s="16">
        <f t="shared" si="18"/>
        <v>53</v>
      </c>
      <c r="AA26" s="16">
        <f t="shared" si="18"/>
        <v>59</v>
      </c>
      <c r="AB26" s="16">
        <f t="shared" si="18"/>
        <v>92</v>
      </c>
      <c r="AC26" s="16">
        <f t="shared" si="18"/>
        <v>1932</v>
      </c>
      <c r="AD26" s="16">
        <f t="shared" si="18"/>
        <v>1</v>
      </c>
      <c r="AE26" s="32">
        <f t="shared" si="18"/>
        <v>1625</v>
      </c>
      <c r="AF26" s="32">
        <f t="shared" si="18"/>
        <v>3557</v>
      </c>
    </row>
    <row r="27" spans="2:32" ht="23.1" customHeight="1" x14ac:dyDescent="0.25">
      <c r="B27" s="23" t="s">
        <v>54</v>
      </c>
      <c r="C27" s="50">
        <v>36</v>
      </c>
      <c r="D27" s="50">
        <v>5</v>
      </c>
      <c r="E27" s="50">
        <v>8</v>
      </c>
      <c r="F27" s="50">
        <v>8</v>
      </c>
      <c r="G27" s="50">
        <v>1</v>
      </c>
      <c r="H27" s="50">
        <v>0</v>
      </c>
      <c r="I27" s="50">
        <v>3</v>
      </c>
      <c r="J27" s="50">
        <v>5</v>
      </c>
      <c r="K27" s="50">
        <v>2</v>
      </c>
      <c r="L27" s="50">
        <v>1</v>
      </c>
      <c r="M27" s="50">
        <v>128</v>
      </c>
      <c r="N27" s="50">
        <v>0</v>
      </c>
      <c r="O27" s="15">
        <f t="shared" si="0"/>
        <v>69</v>
      </c>
      <c r="P27" s="15">
        <f t="shared" si="1"/>
        <v>197</v>
      </c>
      <c r="R27" s="29" t="s">
        <v>87</v>
      </c>
      <c r="S27" s="16">
        <f t="shared" ref="S27:AF27" si="19">SUM(S19:S21)</f>
        <v>452</v>
      </c>
      <c r="T27" s="16">
        <f t="shared" si="19"/>
        <v>91</v>
      </c>
      <c r="U27" s="16">
        <f t="shared" si="19"/>
        <v>89</v>
      </c>
      <c r="V27" s="16">
        <f t="shared" si="19"/>
        <v>75</v>
      </c>
      <c r="W27" s="16">
        <f t="shared" si="19"/>
        <v>19</v>
      </c>
      <c r="X27" s="16">
        <f t="shared" si="19"/>
        <v>0</v>
      </c>
      <c r="Y27" s="16">
        <f t="shared" si="19"/>
        <v>20</v>
      </c>
      <c r="Z27" s="16">
        <f t="shared" si="19"/>
        <v>24</v>
      </c>
      <c r="AA27" s="16">
        <f t="shared" si="19"/>
        <v>13</v>
      </c>
      <c r="AB27" s="16">
        <f t="shared" si="19"/>
        <v>31</v>
      </c>
      <c r="AC27" s="16">
        <f t="shared" si="19"/>
        <v>916</v>
      </c>
      <c r="AD27" s="16">
        <f t="shared" si="19"/>
        <v>0</v>
      </c>
      <c r="AE27" s="32">
        <f t="shared" si="19"/>
        <v>814</v>
      </c>
      <c r="AF27" s="32">
        <f t="shared" si="19"/>
        <v>1730</v>
      </c>
    </row>
    <row r="28" spans="2:32" ht="23.1" customHeight="1" x14ac:dyDescent="0.25">
      <c r="B28" s="23" t="s">
        <v>55</v>
      </c>
      <c r="C28" s="50">
        <v>31</v>
      </c>
      <c r="D28" s="50">
        <v>4</v>
      </c>
      <c r="E28" s="50">
        <v>7</v>
      </c>
      <c r="F28" s="50">
        <v>6</v>
      </c>
      <c r="G28" s="50">
        <v>0</v>
      </c>
      <c r="H28" s="50">
        <v>0</v>
      </c>
      <c r="I28" s="50">
        <v>3</v>
      </c>
      <c r="J28" s="50">
        <v>1</v>
      </c>
      <c r="K28" s="50">
        <v>3</v>
      </c>
      <c r="L28" s="50">
        <v>5</v>
      </c>
      <c r="M28" s="50">
        <v>113</v>
      </c>
      <c r="N28" s="50">
        <v>0</v>
      </c>
      <c r="O28" s="15">
        <f t="shared" si="0"/>
        <v>60</v>
      </c>
      <c r="P28" s="15">
        <f t="shared" si="1"/>
        <v>173</v>
      </c>
      <c r="R28" s="5" t="s">
        <v>17</v>
      </c>
      <c r="S28" s="16">
        <f t="shared" ref="S28:AF28" si="20">SUM(S10:S21)</f>
        <v>1817</v>
      </c>
      <c r="T28" s="16">
        <f t="shared" si="20"/>
        <v>353</v>
      </c>
      <c r="U28" s="16">
        <f t="shared" si="20"/>
        <v>304</v>
      </c>
      <c r="V28" s="16">
        <f t="shared" si="20"/>
        <v>267</v>
      </c>
      <c r="W28" s="16">
        <f t="shared" si="20"/>
        <v>58</v>
      </c>
      <c r="X28" s="16">
        <f t="shared" si="20"/>
        <v>0</v>
      </c>
      <c r="Y28" s="16">
        <f t="shared" si="20"/>
        <v>112</v>
      </c>
      <c r="Z28" s="16">
        <f t="shared" si="20"/>
        <v>100</v>
      </c>
      <c r="AA28" s="16">
        <f t="shared" si="20"/>
        <v>80</v>
      </c>
      <c r="AB28" s="16">
        <f t="shared" si="20"/>
        <v>150</v>
      </c>
      <c r="AC28" s="16">
        <f t="shared" si="20"/>
        <v>4139</v>
      </c>
      <c r="AD28" s="16">
        <f t="shared" si="20"/>
        <v>1</v>
      </c>
      <c r="AE28" s="32">
        <f t="shared" si="20"/>
        <v>3242</v>
      </c>
      <c r="AF28" s="32">
        <f t="shared" si="20"/>
        <v>7381</v>
      </c>
    </row>
    <row r="29" spans="2:32" ht="23.1" customHeight="1" x14ac:dyDescent="0.25">
      <c r="B29" s="23" t="s">
        <v>56</v>
      </c>
      <c r="C29" s="50">
        <v>59</v>
      </c>
      <c r="D29" s="50">
        <v>15</v>
      </c>
      <c r="E29" s="50">
        <v>11</v>
      </c>
      <c r="F29" s="50">
        <v>10</v>
      </c>
      <c r="G29" s="50">
        <v>3</v>
      </c>
      <c r="H29" s="50">
        <v>0</v>
      </c>
      <c r="I29" s="50">
        <v>1</v>
      </c>
      <c r="J29" s="50">
        <v>4</v>
      </c>
      <c r="K29" s="50">
        <v>6</v>
      </c>
      <c r="L29" s="50">
        <v>9</v>
      </c>
      <c r="M29" s="50">
        <v>76</v>
      </c>
      <c r="N29" s="50">
        <v>0</v>
      </c>
      <c r="O29" s="15">
        <f t="shared" si="0"/>
        <v>118</v>
      </c>
      <c r="P29" s="15">
        <f t="shared" si="1"/>
        <v>194</v>
      </c>
      <c r="R29"/>
      <c r="S29" s="20"/>
      <c r="T29" s="19"/>
    </row>
    <row r="30" spans="2:32" ht="23.1" customHeight="1" x14ac:dyDescent="0.25">
      <c r="B30" s="23" t="s">
        <v>57</v>
      </c>
      <c r="C30" s="50">
        <v>33</v>
      </c>
      <c r="D30" s="50">
        <v>7</v>
      </c>
      <c r="E30" s="50">
        <v>14</v>
      </c>
      <c r="F30" s="50">
        <v>11</v>
      </c>
      <c r="G30" s="50">
        <v>0</v>
      </c>
      <c r="H30" s="50">
        <v>0</v>
      </c>
      <c r="I30" s="50">
        <v>3</v>
      </c>
      <c r="J30" s="50">
        <v>2</v>
      </c>
      <c r="K30" s="50">
        <v>3</v>
      </c>
      <c r="L30" s="50">
        <v>2</v>
      </c>
      <c r="M30" s="50">
        <v>80</v>
      </c>
      <c r="N30" s="50">
        <v>0</v>
      </c>
      <c r="O30" s="15">
        <f t="shared" si="0"/>
        <v>75</v>
      </c>
      <c r="P30" s="15">
        <f t="shared" si="1"/>
        <v>155</v>
      </c>
    </row>
    <row r="31" spans="2:32" ht="23.1" customHeight="1" x14ac:dyDescent="0.25">
      <c r="B31" s="24" t="s">
        <v>58</v>
      </c>
      <c r="C31" s="50">
        <v>35</v>
      </c>
      <c r="D31" s="50">
        <v>7</v>
      </c>
      <c r="E31" s="50">
        <v>8</v>
      </c>
      <c r="F31" s="50">
        <v>4</v>
      </c>
      <c r="G31" s="50">
        <v>3</v>
      </c>
      <c r="H31" s="50">
        <v>0</v>
      </c>
      <c r="I31" s="50">
        <v>1</v>
      </c>
      <c r="J31" s="50">
        <v>1</v>
      </c>
      <c r="K31" s="50">
        <v>3</v>
      </c>
      <c r="L31" s="50">
        <v>2</v>
      </c>
      <c r="M31" s="50">
        <v>100</v>
      </c>
      <c r="N31" s="50">
        <v>0</v>
      </c>
      <c r="O31" s="15">
        <f t="shared" si="0"/>
        <v>64</v>
      </c>
      <c r="P31" s="15">
        <f t="shared" si="1"/>
        <v>164</v>
      </c>
    </row>
    <row r="32" spans="2:32" ht="23.1" customHeight="1" x14ac:dyDescent="0.25">
      <c r="B32" s="24" t="s">
        <v>59</v>
      </c>
      <c r="C32" s="50">
        <v>32</v>
      </c>
      <c r="D32" s="50">
        <v>4</v>
      </c>
      <c r="E32" s="50">
        <v>3</v>
      </c>
      <c r="F32" s="50">
        <v>7</v>
      </c>
      <c r="G32" s="50">
        <v>1</v>
      </c>
      <c r="H32" s="50">
        <v>0</v>
      </c>
      <c r="I32" s="50">
        <v>3</v>
      </c>
      <c r="J32" s="50">
        <v>5</v>
      </c>
      <c r="K32" s="50">
        <v>2</v>
      </c>
      <c r="L32" s="50">
        <v>3</v>
      </c>
      <c r="M32" s="50">
        <v>27</v>
      </c>
      <c r="N32" s="50">
        <v>0</v>
      </c>
      <c r="O32" s="15">
        <f t="shared" si="0"/>
        <v>60</v>
      </c>
      <c r="P32" s="15">
        <f t="shared" si="1"/>
        <v>87</v>
      </c>
    </row>
    <row r="33" spans="2:20" ht="23.1" customHeight="1" x14ac:dyDescent="0.25">
      <c r="B33" s="23" t="s">
        <v>60</v>
      </c>
      <c r="C33" s="50">
        <v>33</v>
      </c>
      <c r="D33" s="50">
        <v>7</v>
      </c>
      <c r="E33" s="50">
        <v>5</v>
      </c>
      <c r="F33" s="50">
        <v>1</v>
      </c>
      <c r="G33" s="50">
        <v>0</v>
      </c>
      <c r="H33" s="50">
        <v>0</v>
      </c>
      <c r="I33" s="50">
        <v>1</v>
      </c>
      <c r="J33" s="50">
        <v>2</v>
      </c>
      <c r="K33" s="50">
        <v>6</v>
      </c>
      <c r="L33" s="50">
        <v>7</v>
      </c>
      <c r="M33" s="50">
        <v>36</v>
      </c>
      <c r="N33" s="50">
        <v>0</v>
      </c>
      <c r="O33" s="15">
        <f t="shared" si="0"/>
        <v>62</v>
      </c>
      <c r="P33" s="15">
        <f t="shared" si="1"/>
        <v>98</v>
      </c>
    </row>
    <row r="34" spans="2:20" ht="23.1" customHeight="1" x14ac:dyDescent="0.25">
      <c r="B34" s="24" t="s">
        <v>61</v>
      </c>
      <c r="C34" s="50">
        <v>20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3</v>
      </c>
      <c r="J34" s="50">
        <v>0</v>
      </c>
      <c r="K34" s="50">
        <v>1</v>
      </c>
      <c r="L34" s="50">
        <v>2</v>
      </c>
      <c r="M34" s="50">
        <v>21</v>
      </c>
      <c r="N34" s="50">
        <v>0</v>
      </c>
      <c r="O34" s="15">
        <f t="shared" si="0"/>
        <v>26</v>
      </c>
      <c r="P34" s="15">
        <f t="shared" si="1"/>
        <v>47</v>
      </c>
    </row>
    <row r="35" spans="2:20" ht="23.1" customHeight="1" x14ac:dyDescent="0.25">
      <c r="B35" s="24" t="s">
        <v>62</v>
      </c>
      <c r="C35" s="50">
        <v>35</v>
      </c>
      <c r="D35" s="50">
        <v>2</v>
      </c>
      <c r="E35" s="50">
        <v>4</v>
      </c>
      <c r="F35" s="50">
        <v>3</v>
      </c>
      <c r="G35" s="50">
        <v>0</v>
      </c>
      <c r="H35" s="50">
        <v>0</v>
      </c>
      <c r="I35" s="50">
        <v>3</v>
      </c>
      <c r="J35" s="50">
        <v>3</v>
      </c>
      <c r="K35" s="50">
        <v>2</v>
      </c>
      <c r="L35" s="50">
        <v>3</v>
      </c>
      <c r="M35" s="50">
        <v>46</v>
      </c>
      <c r="N35" s="50">
        <v>0</v>
      </c>
      <c r="O35" s="15">
        <f t="shared" si="0"/>
        <v>55</v>
      </c>
      <c r="P35" s="15">
        <f t="shared" si="1"/>
        <v>101</v>
      </c>
    </row>
    <row r="36" spans="2:20" ht="23.1" customHeight="1" x14ac:dyDescent="0.25">
      <c r="B36" s="24" t="s">
        <v>63</v>
      </c>
      <c r="C36" s="50">
        <v>47</v>
      </c>
      <c r="D36" s="50">
        <v>9</v>
      </c>
      <c r="E36" s="50">
        <v>4</v>
      </c>
      <c r="F36" s="50">
        <v>0</v>
      </c>
      <c r="G36" s="50">
        <v>2</v>
      </c>
      <c r="H36" s="50">
        <v>0</v>
      </c>
      <c r="I36" s="50">
        <v>1</v>
      </c>
      <c r="J36" s="50">
        <v>2</v>
      </c>
      <c r="K36" s="50">
        <v>0</v>
      </c>
      <c r="L36" s="50">
        <v>5</v>
      </c>
      <c r="M36" s="50">
        <v>48</v>
      </c>
      <c r="N36" s="50">
        <v>0</v>
      </c>
      <c r="O36" s="15">
        <f t="shared" si="0"/>
        <v>70</v>
      </c>
      <c r="P36" s="15">
        <f t="shared" si="1"/>
        <v>118</v>
      </c>
    </row>
    <row r="37" spans="2:20" ht="23.1" customHeight="1" x14ac:dyDescent="0.25">
      <c r="B37" s="23" t="s">
        <v>64</v>
      </c>
      <c r="C37" s="50">
        <v>30</v>
      </c>
      <c r="D37" s="50">
        <v>25</v>
      </c>
      <c r="E37" s="50">
        <v>7</v>
      </c>
      <c r="F37" s="50">
        <v>6</v>
      </c>
      <c r="G37" s="50">
        <v>3</v>
      </c>
      <c r="H37" s="50">
        <v>0</v>
      </c>
      <c r="I37" s="50">
        <v>1</v>
      </c>
      <c r="J37" s="50">
        <v>2</v>
      </c>
      <c r="K37" s="50">
        <v>0</v>
      </c>
      <c r="L37" s="50">
        <v>2</v>
      </c>
      <c r="M37" s="50">
        <v>30</v>
      </c>
      <c r="N37" s="50">
        <v>0</v>
      </c>
      <c r="O37" s="15">
        <f t="shared" si="0"/>
        <v>76</v>
      </c>
      <c r="P37" s="15">
        <f t="shared" si="1"/>
        <v>106</v>
      </c>
    </row>
    <row r="38" spans="2:20" ht="23.1" customHeight="1" x14ac:dyDescent="0.25">
      <c r="B38" s="24" t="s">
        <v>65</v>
      </c>
      <c r="C38" s="50">
        <v>30</v>
      </c>
      <c r="D38" s="50">
        <v>9</v>
      </c>
      <c r="E38" s="50">
        <v>7</v>
      </c>
      <c r="F38" s="50">
        <v>3</v>
      </c>
      <c r="G38" s="50">
        <v>0</v>
      </c>
      <c r="H38" s="50">
        <v>0</v>
      </c>
      <c r="I38" s="50">
        <v>4</v>
      </c>
      <c r="J38" s="50">
        <v>3</v>
      </c>
      <c r="K38" s="50">
        <v>2</v>
      </c>
      <c r="L38" s="50">
        <v>2</v>
      </c>
      <c r="M38" s="50">
        <v>50</v>
      </c>
      <c r="N38" s="50">
        <v>0</v>
      </c>
      <c r="O38" s="15">
        <f t="shared" si="0"/>
        <v>60</v>
      </c>
      <c r="P38" s="15">
        <f t="shared" si="1"/>
        <v>110</v>
      </c>
    </row>
    <row r="39" spans="2:20" ht="23.1" customHeight="1" x14ac:dyDescent="0.25">
      <c r="B39" s="24" t="s">
        <v>66</v>
      </c>
      <c r="C39" s="50">
        <v>34</v>
      </c>
      <c r="D39" s="50">
        <v>4</v>
      </c>
      <c r="E39" s="50">
        <v>6</v>
      </c>
      <c r="F39" s="50">
        <v>7</v>
      </c>
      <c r="G39" s="50">
        <v>3</v>
      </c>
      <c r="H39" s="50">
        <v>0</v>
      </c>
      <c r="I39" s="50">
        <v>2</v>
      </c>
      <c r="J39" s="50">
        <v>1</v>
      </c>
      <c r="K39" s="50">
        <v>0</v>
      </c>
      <c r="L39" s="50">
        <v>3</v>
      </c>
      <c r="M39" s="50">
        <v>119</v>
      </c>
      <c r="N39" s="50">
        <v>0</v>
      </c>
      <c r="O39" s="15">
        <f t="shared" si="0"/>
        <v>60</v>
      </c>
      <c r="P39" s="15">
        <f t="shared" si="1"/>
        <v>179</v>
      </c>
    </row>
    <row r="40" spans="2:20" ht="23.1" customHeight="1" x14ac:dyDescent="0.25">
      <c r="B40" s="24" t="s">
        <v>67</v>
      </c>
      <c r="C40" s="50">
        <v>32</v>
      </c>
      <c r="D40" s="50">
        <v>12</v>
      </c>
      <c r="E40" s="50">
        <v>5</v>
      </c>
      <c r="F40" s="50">
        <v>1</v>
      </c>
      <c r="G40" s="50">
        <v>0</v>
      </c>
      <c r="H40" s="50">
        <v>0</v>
      </c>
      <c r="I40" s="50">
        <v>3</v>
      </c>
      <c r="J40" s="50">
        <v>1</v>
      </c>
      <c r="K40" s="50">
        <v>3</v>
      </c>
      <c r="L40" s="50">
        <v>1</v>
      </c>
      <c r="M40" s="50">
        <v>104</v>
      </c>
      <c r="N40" s="50">
        <v>0</v>
      </c>
      <c r="O40" s="15">
        <f t="shared" si="0"/>
        <v>58</v>
      </c>
      <c r="P40" s="15">
        <f t="shared" si="1"/>
        <v>162</v>
      </c>
    </row>
    <row r="41" spans="2:20" ht="23.1" customHeight="1" x14ac:dyDescent="0.25">
      <c r="B41" s="23" t="s">
        <v>68</v>
      </c>
      <c r="C41" s="50">
        <v>62</v>
      </c>
      <c r="D41" s="50">
        <v>9</v>
      </c>
      <c r="E41" s="50">
        <v>6</v>
      </c>
      <c r="F41" s="50">
        <v>7</v>
      </c>
      <c r="G41" s="50">
        <v>0</v>
      </c>
      <c r="H41" s="50">
        <v>0</v>
      </c>
      <c r="I41" s="50">
        <v>2</v>
      </c>
      <c r="J41" s="50">
        <v>2</v>
      </c>
      <c r="K41" s="50">
        <v>3</v>
      </c>
      <c r="L41" s="50">
        <v>3</v>
      </c>
      <c r="M41" s="50">
        <v>99</v>
      </c>
      <c r="N41" s="50">
        <v>0</v>
      </c>
      <c r="O41" s="15">
        <f t="shared" si="0"/>
        <v>94</v>
      </c>
      <c r="P41" s="15">
        <f t="shared" si="1"/>
        <v>193</v>
      </c>
    </row>
    <row r="42" spans="2:20" ht="23.1" customHeight="1" x14ac:dyDescent="0.25">
      <c r="B42" s="24" t="s">
        <v>69</v>
      </c>
      <c r="C42" s="50">
        <v>41</v>
      </c>
      <c r="D42" s="50">
        <v>6</v>
      </c>
      <c r="E42" s="50">
        <v>4</v>
      </c>
      <c r="F42" s="50">
        <v>5</v>
      </c>
      <c r="G42" s="50">
        <v>1</v>
      </c>
      <c r="H42" s="50">
        <v>0</v>
      </c>
      <c r="I42" s="50">
        <v>4</v>
      </c>
      <c r="J42" s="50">
        <v>4</v>
      </c>
      <c r="K42" s="50">
        <v>2</v>
      </c>
      <c r="L42" s="50">
        <v>8</v>
      </c>
      <c r="M42" s="50">
        <v>78</v>
      </c>
      <c r="N42" s="50">
        <v>0</v>
      </c>
      <c r="O42" s="15">
        <f t="shared" si="0"/>
        <v>75</v>
      </c>
      <c r="P42" s="15">
        <f t="shared" si="1"/>
        <v>153</v>
      </c>
    </row>
    <row r="43" spans="2:20" ht="23.1" customHeight="1" x14ac:dyDescent="0.25">
      <c r="B43" s="23" t="s">
        <v>70</v>
      </c>
      <c r="C43" s="50">
        <v>33</v>
      </c>
      <c r="D43" s="50">
        <v>6</v>
      </c>
      <c r="E43" s="50">
        <v>6</v>
      </c>
      <c r="F43" s="50">
        <v>5</v>
      </c>
      <c r="G43" s="50">
        <v>0</v>
      </c>
      <c r="H43" s="50">
        <v>0</v>
      </c>
      <c r="I43" s="50">
        <v>3</v>
      </c>
      <c r="J43" s="50">
        <v>0</v>
      </c>
      <c r="K43" s="50">
        <v>1</v>
      </c>
      <c r="L43" s="50">
        <v>3</v>
      </c>
      <c r="M43" s="50">
        <v>59</v>
      </c>
      <c r="N43" s="50">
        <v>0</v>
      </c>
      <c r="O43" s="15">
        <f t="shared" si="0"/>
        <v>57</v>
      </c>
      <c r="P43" s="15">
        <f t="shared" si="1"/>
        <v>116</v>
      </c>
    </row>
    <row r="44" spans="2:20" ht="23.1" customHeight="1" x14ac:dyDescent="0.25">
      <c r="B44" s="25" t="s">
        <v>71</v>
      </c>
      <c r="C44" s="50">
        <v>33</v>
      </c>
      <c r="D44" s="50">
        <v>2</v>
      </c>
      <c r="E44" s="50">
        <v>6</v>
      </c>
      <c r="F44" s="50">
        <v>2</v>
      </c>
      <c r="G44" s="50">
        <v>3</v>
      </c>
      <c r="H44" s="50">
        <v>0</v>
      </c>
      <c r="I44" s="50">
        <v>3</v>
      </c>
      <c r="J44" s="50">
        <v>2</v>
      </c>
      <c r="K44" s="50">
        <v>4</v>
      </c>
      <c r="L44" s="50">
        <v>6</v>
      </c>
      <c r="M44" s="50">
        <v>51</v>
      </c>
      <c r="N44" s="50">
        <v>0</v>
      </c>
      <c r="O44" s="15">
        <f t="shared" si="0"/>
        <v>61</v>
      </c>
      <c r="P44" s="15">
        <f t="shared" si="1"/>
        <v>112</v>
      </c>
    </row>
    <row r="45" spans="2:20" ht="23.1" customHeight="1" x14ac:dyDescent="0.25">
      <c r="B45" s="23" t="s">
        <v>72</v>
      </c>
      <c r="C45" s="50">
        <v>63</v>
      </c>
      <c r="D45" s="50">
        <v>5</v>
      </c>
      <c r="E45" s="50">
        <v>3</v>
      </c>
      <c r="F45" s="50">
        <v>4</v>
      </c>
      <c r="G45" s="50">
        <v>1</v>
      </c>
      <c r="H45" s="50">
        <v>0</v>
      </c>
      <c r="I45" s="50">
        <v>3</v>
      </c>
      <c r="J45" s="50">
        <v>3</v>
      </c>
      <c r="K45" s="50">
        <v>2</v>
      </c>
      <c r="L45" s="50">
        <v>2</v>
      </c>
      <c r="M45" s="50">
        <v>45</v>
      </c>
      <c r="N45" s="50">
        <v>0</v>
      </c>
      <c r="O45" s="15">
        <f t="shared" si="0"/>
        <v>86</v>
      </c>
      <c r="P45" s="15">
        <f t="shared" si="1"/>
        <v>131</v>
      </c>
    </row>
    <row r="46" spans="2:20" ht="23.1" customHeight="1" x14ac:dyDescent="0.25">
      <c r="B46" s="24" t="s">
        <v>73</v>
      </c>
      <c r="C46" s="50">
        <v>33</v>
      </c>
      <c r="D46" s="50">
        <v>5</v>
      </c>
      <c r="E46" s="50">
        <v>7</v>
      </c>
      <c r="F46" s="50">
        <v>6</v>
      </c>
      <c r="G46" s="50">
        <v>0</v>
      </c>
      <c r="H46" s="50">
        <v>0</v>
      </c>
      <c r="I46" s="50">
        <v>3</v>
      </c>
      <c r="J46" s="50">
        <v>1</v>
      </c>
      <c r="K46" s="50">
        <v>2</v>
      </c>
      <c r="L46" s="50">
        <v>3</v>
      </c>
      <c r="M46" s="50">
        <v>46</v>
      </c>
      <c r="N46" s="50">
        <v>0</v>
      </c>
      <c r="O46" s="15">
        <f t="shared" si="0"/>
        <v>60</v>
      </c>
      <c r="P46" s="15">
        <f t="shared" si="1"/>
        <v>106</v>
      </c>
      <c r="R46" s="8"/>
      <c r="T46"/>
    </row>
    <row r="47" spans="2:20" ht="23.1" customHeight="1" x14ac:dyDescent="0.25">
      <c r="B47" s="24" t="s">
        <v>74</v>
      </c>
      <c r="C47" s="50">
        <v>43</v>
      </c>
      <c r="D47" s="50">
        <v>7</v>
      </c>
      <c r="E47" s="50">
        <v>3</v>
      </c>
      <c r="F47" s="50">
        <v>9</v>
      </c>
      <c r="G47" s="50">
        <v>3</v>
      </c>
      <c r="H47" s="50">
        <v>0</v>
      </c>
      <c r="I47" s="50">
        <v>5</v>
      </c>
      <c r="J47" s="50">
        <v>1</v>
      </c>
      <c r="K47" s="50">
        <v>3</v>
      </c>
      <c r="L47" s="50">
        <v>3</v>
      </c>
      <c r="M47" s="50">
        <v>47</v>
      </c>
      <c r="N47" s="50">
        <v>0</v>
      </c>
      <c r="O47" s="15">
        <f t="shared" si="0"/>
        <v>77</v>
      </c>
      <c r="P47" s="15">
        <f t="shared" si="1"/>
        <v>124</v>
      </c>
      <c r="R47" s="8"/>
      <c r="T47"/>
    </row>
    <row r="48" spans="2:20" ht="23.1" customHeight="1" x14ac:dyDescent="0.25">
      <c r="B48" s="24" t="s">
        <v>75</v>
      </c>
      <c r="C48" s="50">
        <v>32</v>
      </c>
      <c r="D48" s="50">
        <v>9</v>
      </c>
      <c r="E48" s="50">
        <v>12</v>
      </c>
      <c r="F48" s="50">
        <v>7</v>
      </c>
      <c r="G48" s="50">
        <v>0</v>
      </c>
      <c r="H48" s="50">
        <v>0</v>
      </c>
      <c r="I48" s="50">
        <v>1</v>
      </c>
      <c r="J48" s="50">
        <v>3</v>
      </c>
      <c r="K48" s="50">
        <v>0</v>
      </c>
      <c r="L48" s="50">
        <v>2</v>
      </c>
      <c r="M48" s="50">
        <v>74</v>
      </c>
      <c r="N48" s="50">
        <v>0</v>
      </c>
      <c r="O48" s="15">
        <f t="shared" si="0"/>
        <v>66</v>
      </c>
      <c r="P48" s="15">
        <f t="shared" si="1"/>
        <v>140</v>
      </c>
      <c r="R48" s="8"/>
      <c r="T48"/>
    </row>
    <row r="49" spans="2:20" ht="23.1" customHeight="1" x14ac:dyDescent="0.25">
      <c r="B49" s="23" t="s">
        <v>76</v>
      </c>
      <c r="C49" s="50">
        <v>41</v>
      </c>
      <c r="D49" s="50">
        <v>10</v>
      </c>
      <c r="E49" s="50">
        <v>9</v>
      </c>
      <c r="F49" s="50">
        <v>5</v>
      </c>
      <c r="G49" s="50">
        <v>2</v>
      </c>
      <c r="H49" s="50">
        <v>0</v>
      </c>
      <c r="I49" s="50">
        <v>1</v>
      </c>
      <c r="J49" s="50">
        <v>3</v>
      </c>
      <c r="K49" s="50">
        <v>0</v>
      </c>
      <c r="L49" s="50">
        <v>2</v>
      </c>
      <c r="M49" s="50">
        <v>34</v>
      </c>
      <c r="N49" s="50">
        <v>0</v>
      </c>
      <c r="O49" s="15">
        <f t="shared" si="0"/>
        <v>73</v>
      </c>
      <c r="P49" s="15">
        <f t="shared" si="1"/>
        <v>107</v>
      </c>
      <c r="R49" s="8"/>
      <c r="T49"/>
    </row>
    <row r="50" spans="2:20" ht="23.1" customHeight="1" x14ac:dyDescent="0.25">
      <c r="B50" s="24" t="s">
        <v>77</v>
      </c>
      <c r="C50" s="50">
        <v>51</v>
      </c>
      <c r="D50" s="50">
        <v>6</v>
      </c>
      <c r="E50" s="50">
        <v>11</v>
      </c>
      <c r="F50" s="50">
        <v>9</v>
      </c>
      <c r="G50" s="50">
        <v>5</v>
      </c>
      <c r="H50" s="50">
        <v>0</v>
      </c>
      <c r="I50" s="50">
        <v>2</v>
      </c>
      <c r="J50" s="50">
        <v>2</v>
      </c>
      <c r="K50" s="50">
        <v>2</v>
      </c>
      <c r="L50" s="50">
        <v>2</v>
      </c>
      <c r="M50" s="50">
        <v>66</v>
      </c>
      <c r="N50" s="50">
        <v>0</v>
      </c>
      <c r="O50" s="15">
        <f t="shared" si="0"/>
        <v>90</v>
      </c>
      <c r="P50" s="15">
        <f t="shared" si="1"/>
        <v>156</v>
      </c>
      <c r="R50" s="8"/>
      <c r="T50"/>
    </row>
    <row r="51" spans="2:20" ht="23.1" customHeight="1" x14ac:dyDescent="0.25">
      <c r="B51" s="24" t="s">
        <v>78</v>
      </c>
      <c r="C51" s="50">
        <v>22</v>
      </c>
      <c r="D51" s="50">
        <v>15</v>
      </c>
      <c r="E51" s="50">
        <v>7</v>
      </c>
      <c r="F51" s="50">
        <v>3</v>
      </c>
      <c r="G51" s="50">
        <v>0</v>
      </c>
      <c r="H51" s="50">
        <v>0</v>
      </c>
      <c r="I51" s="50">
        <v>2</v>
      </c>
      <c r="J51" s="50">
        <v>0</v>
      </c>
      <c r="K51" s="50">
        <v>1</v>
      </c>
      <c r="L51" s="50">
        <v>2</v>
      </c>
      <c r="M51" s="50">
        <v>91</v>
      </c>
      <c r="N51" s="50">
        <v>0</v>
      </c>
      <c r="O51" s="15">
        <f t="shared" si="0"/>
        <v>52</v>
      </c>
      <c r="P51" s="15">
        <f t="shared" si="1"/>
        <v>143</v>
      </c>
      <c r="R51" s="8"/>
      <c r="T51"/>
    </row>
    <row r="52" spans="2:20" ht="23.1" customHeight="1" x14ac:dyDescent="0.25">
      <c r="B52" s="24" t="s">
        <v>79</v>
      </c>
      <c r="C52" s="50">
        <v>45</v>
      </c>
      <c r="D52" s="50">
        <v>7</v>
      </c>
      <c r="E52" s="50">
        <v>6</v>
      </c>
      <c r="F52" s="50">
        <v>6</v>
      </c>
      <c r="G52" s="50">
        <v>1</v>
      </c>
      <c r="H52" s="50">
        <v>0</v>
      </c>
      <c r="I52" s="50">
        <v>1</v>
      </c>
      <c r="J52" s="50">
        <v>3</v>
      </c>
      <c r="K52" s="50">
        <v>0</v>
      </c>
      <c r="L52" s="50">
        <v>2</v>
      </c>
      <c r="M52" s="50">
        <v>219</v>
      </c>
      <c r="N52" s="50">
        <v>0</v>
      </c>
      <c r="O52" s="15">
        <f t="shared" si="0"/>
        <v>71</v>
      </c>
      <c r="P52" s="15">
        <f t="shared" si="1"/>
        <v>290</v>
      </c>
      <c r="R52" s="8"/>
      <c r="T52"/>
    </row>
    <row r="53" spans="2:20" ht="23.1" customHeight="1" x14ac:dyDescent="0.25">
      <c r="B53" s="23" t="s">
        <v>80</v>
      </c>
      <c r="C53" s="50">
        <v>33</v>
      </c>
      <c r="D53" s="50">
        <v>6</v>
      </c>
      <c r="E53" s="50">
        <v>8</v>
      </c>
      <c r="F53" s="50">
        <v>3</v>
      </c>
      <c r="G53" s="50">
        <v>3</v>
      </c>
      <c r="H53" s="50">
        <v>0</v>
      </c>
      <c r="I53" s="50">
        <v>2</v>
      </c>
      <c r="J53" s="50">
        <v>2</v>
      </c>
      <c r="K53" s="50">
        <v>0</v>
      </c>
      <c r="L53" s="50">
        <v>2</v>
      </c>
      <c r="M53" s="50">
        <v>129</v>
      </c>
      <c r="N53" s="50">
        <v>0</v>
      </c>
      <c r="O53" s="15">
        <f t="shared" si="0"/>
        <v>59</v>
      </c>
      <c r="P53" s="15">
        <f t="shared" si="1"/>
        <v>188</v>
      </c>
      <c r="R53" s="8"/>
      <c r="T53"/>
    </row>
    <row r="54" spans="2:20" ht="23.1" customHeight="1" x14ac:dyDescent="0.25">
      <c r="B54" s="23" t="s">
        <v>81</v>
      </c>
      <c r="C54" s="50">
        <v>42</v>
      </c>
      <c r="D54" s="50">
        <v>6</v>
      </c>
      <c r="E54" s="50">
        <v>3</v>
      </c>
      <c r="F54" s="50">
        <v>3</v>
      </c>
      <c r="G54" s="50">
        <v>0</v>
      </c>
      <c r="H54" s="50">
        <v>0</v>
      </c>
      <c r="I54" s="50">
        <v>3</v>
      </c>
      <c r="J54" s="50">
        <v>5</v>
      </c>
      <c r="K54" s="50">
        <v>2</v>
      </c>
      <c r="L54" s="50">
        <v>5</v>
      </c>
      <c r="M54" s="50">
        <v>46</v>
      </c>
      <c r="N54" s="50">
        <v>0</v>
      </c>
      <c r="O54" s="15">
        <f t="shared" si="0"/>
        <v>69</v>
      </c>
      <c r="P54" s="15">
        <f t="shared" si="1"/>
        <v>115</v>
      </c>
      <c r="R54" s="8"/>
      <c r="T54"/>
    </row>
    <row r="55" spans="2:20" ht="23.1" customHeight="1" x14ac:dyDescent="0.25">
      <c r="B55" s="23" t="s">
        <v>82</v>
      </c>
      <c r="C55" s="50">
        <v>36</v>
      </c>
      <c r="D55" s="50">
        <v>5</v>
      </c>
      <c r="E55" s="50">
        <v>7</v>
      </c>
      <c r="F55" s="50">
        <v>7</v>
      </c>
      <c r="G55" s="50">
        <v>3</v>
      </c>
      <c r="H55" s="50">
        <v>0</v>
      </c>
      <c r="I55" s="50">
        <v>0</v>
      </c>
      <c r="J55" s="50">
        <v>1</v>
      </c>
      <c r="K55" s="50">
        <v>2</v>
      </c>
      <c r="L55" s="50">
        <v>5</v>
      </c>
      <c r="M55" s="50">
        <v>52</v>
      </c>
      <c r="N55" s="50">
        <v>0</v>
      </c>
      <c r="O55" s="15">
        <f t="shared" si="0"/>
        <v>66</v>
      </c>
      <c r="P55" s="15">
        <f t="shared" si="1"/>
        <v>118</v>
      </c>
      <c r="R55" s="8"/>
      <c r="T55"/>
    </row>
    <row r="56" spans="2:20" ht="23.1" customHeight="1" x14ac:dyDescent="0.25">
      <c r="B56" s="23" t="s">
        <v>83</v>
      </c>
      <c r="C56" s="50">
        <v>33</v>
      </c>
      <c r="D56" s="50">
        <v>6</v>
      </c>
      <c r="E56" s="50">
        <v>7</v>
      </c>
      <c r="F56" s="50">
        <v>5</v>
      </c>
      <c r="G56" s="50">
        <v>2</v>
      </c>
      <c r="H56" s="50">
        <v>0</v>
      </c>
      <c r="I56" s="50">
        <v>0</v>
      </c>
      <c r="J56" s="50">
        <v>1</v>
      </c>
      <c r="K56" s="50">
        <v>1</v>
      </c>
      <c r="L56" s="50">
        <v>1</v>
      </c>
      <c r="M56" s="50">
        <v>70</v>
      </c>
      <c r="N56" s="50">
        <v>0</v>
      </c>
      <c r="O56" s="15">
        <f t="shared" si="0"/>
        <v>56</v>
      </c>
      <c r="P56" s="15">
        <f t="shared" si="1"/>
        <v>126</v>
      </c>
      <c r="R56" s="8"/>
      <c r="T56"/>
    </row>
    <row r="57" spans="2:20" ht="23.1" customHeight="1" x14ac:dyDescent="0.25">
      <c r="B57" s="23" t="s">
        <v>84</v>
      </c>
      <c r="C57" s="50">
        <v>41</v>
      </c>
      <c r="D57" s="50">
        <v>9</v>
      </c>
      <c r="E57" s="50">
        <v>9</v>
      </c>
      <c r="F57" s="50">
        <v>12</v>
      </c>
      <c r="G57" s="50">
        <v>0</v>
      </c>
      <c r="H57" s="50">
        <v>0</v>
      </c>
      <c r="I57" s="50">
        <v>0</v>
      </c>
      <c r="J57" s="50">
        <v>2</v>
      </c>
      <c r="K57" s="50">
        <v>0</v>
      </c>
      <c r="L57" s="50">
        <v>2</v>
      </c>
      <c r="M57" s="50">
        <v>42</v>
      </c>
      <c r="N57" s="50">
        <v>0</v>
      </c>
      <c r="O57" s="15">
        <f t="shared" si="0"/>
        <v>75</v>
      </c>
      <c r="P57" s="15">
        <f t="shared" si="1"/>
        <v>117</v>
      </c>
      <c r="R57" s="8"/>
      <c r="T57"/>
    </row>
    <row r="58" spans="2:20" ht="23.1" customHeight="1" x14ac:dyDescent="0.25">
      <c r="B58" s="26" t="s">
        <v>18</v>
      </c>
      <c r="C58" s="16">
        <f>SUM(C10:C57)</f>
        <v>1817</v>
      </c>
      <c r="D58" s="16">
        <f t="shared" ref="D58:P58" si="21">SUM(D10:D57)</f>
        <v>353</v>
      </c>
      <c r="E58" s="16">
        <f t="shared" si="21"/>
        <v>304</v>
      </c>
      <c r="F58" s="16">
        <f t="shared" si="21"/>
        <v>267</v>
      </c>
      <c r="G58" s="16">
        <f t="shared" si="21"/>
        <v>58</v>
      </c>
      <c r="H58" s="16">
        <f t="shared" si="21"/>
        <v>0</v>
      </c>
      <c r="I58" s="16">
        <f t="shared" si="21"/>
        <v>112</v>
      </c>
      <c r="J58" s="16">
        <f t="shared" si="21"/>
        <v>100</v>
      </c>
      <c r="K58" s="16">
        <f t="shared" si="21"/>
        <v>80</v>
      </c>
      <c r="L58" s="16">
        <f t="shared" si="21"/>
        <v>150</v>
      </c>
      <c r="M58" s="16">
        <f t="shared" si="21"/>
        <v>4139</v>
      </c>
      <c r="N58" s="16">
        <f t="shared" si="21"/>
        <v>1</v>
      </c>
      <c r="O58" s="16">
        <f t="shared" si="21"/>
        <v>3242</v>
      </c>
      <c r="P58" s="16">
        <f t="shared" si="21"/>
        <v>7381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0.24617260533803006</v>
      </c>
      <c r="D59" s="43">
        <f t="shared" si="22"/>
        <v>4.7825497900013551E-2</v>
      </c>
      <c r="E59" s="43">
        <f t="shared" si="22"/>
        <v>4.1186831052702884E-2</v>
      </c>
      <c r="F59" s="43">
        <f t="shared" si="22"/>
        <v>3.6173960167998918E-2</v>
      </c>
      <c r="G59" s="43">
        <f t="shared" si="22"/>
        <v>7.8580138192656818E-3</v>
      </c>
      <c r="H59" s="43">
        <f t="shared" si="22"/>
        <v>0</v>
      </c>
      <c r="I59" s="43">
        <f t="shared" si="22"/>
        <v>1.5174095650995799E-2</v>
      </c>
      <c r="J59" s="43">
        <f t="shared" si="22"/>
        <v>1.3548299688389108E-2</v>
      </c>
      <c r="K59" s="43">
        <f t="shared" si="22"/>
        <v>1.0838639750711285E-2</v>
      </c>
      <c r="L59" s="43">
        <f t="shared" si="22"/>
        <v>2.0322449532583661E-2</v>
      </c>
      <c r="M59" s="43">
        <f t="shared" si="22"/>
        <v>0.56076412410242515</v>
      </c>
      <c r="N59" s="43">
        <f t="shared" si="22"/>
        <v>1.3548299688389108E-4</v>
      </c>
      <c r="R59" s="8"/>
      <c r="T59"/>
    </row>
    <row r="60" spans="2:20" ht="23.1" customHeight="1" x14ac:dyDescent="0.25">
      <c r="B60" s="42" t="s">
        <v>94</v>
      </c>
      <c r="C60" s="44">
        <f>C58/$O$58</f>
        <v>0.56045650832819249</v>
      </c>
      <c r="D60" s="44">
        <f t="shared" ref="D60:N60" si="23">D58/$O$58</f>
        <v>0.10888340530536705</v>
      </c>
      <c r="E60" s="44">
        <f t="shared" si="23"/>
        <v>9.3769278223318944E-2</v>
      </c>
      <c r="F60" s="44">
        <f t="shared" si="23"/>
        <v>8.2356570018507089E-2</v>
      </c>
      <c r="G60" s="44">
        <f t="shared" si="23"/>
        <v>1.7890191239975324E-2</v>
      </c>
      <c r="H60" s="44">
        <f t="shared" si="23"/>
        <v>0</v>
      </c>
      <c r="I60" s="44">
        <f t="shared" si="23"/>
        <v>3.4546576187538557E-2</v>
      </c>
      <c r="J60" s="44">
        <f t="shared" si="23"/>
        <v>3.0845157310302282E-2</v>
      </c>
      <c r="K60" s="44">
        <f t="shared" si="23"/>
        <v>2.4676125848241828E-2</v>
      </c>
      <c r="L60" s="44">
        <f t="shared" si="23"/>
        <v>4.6267735965453423E-2</v>
      </c>
      <c r="M60" s="44"/>
      <c r="N60" s="44">
        <f t="shared" si="23"/>
        <v>3.0845157310302283E-4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34" zoomScale="60" workbookViewId="0">
      <selection activeCell="C55" sqref="C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URA-Spear Motors'!C3:G3</f>
        <v>MCC - C1 - STN44- NAKAWA-JINJA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'02.08 Spear Motors-URA'!D5</f>
        <v>02.08.19</v>
      </c>
      <c r="E5" s="3"/>
      <c r="F5" s="41" t="s">
        <v>1</v>
      </c>
      <c r="G5" s="63" t="str">
        <f>'02.08 Spear Motors-URA'!G5:H5</f>
        <v>Spear Motors Limited</v>
      </c>
      <c r="H5" s="64"/>
      <c r="I5" s="14"/>
      <c r="J5" s="2" t="s">
        <v>5</v>
      </c>
      <c r="K5" s="63" t="s">
        <v>164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177</v>
      </c>
      <c r="E6" s="64"/>
      <c r="F6" s="2" t="s">
        <v>2</v>
      </c>
      <c r="G6" s="63" t="s">
        <v>180</v>
      </c>
      <c r="H6" s="64"/>
      <c r="J6" s="2" t="s">
        <v>21</v>
      </c>
      <c r="K6" s="63" t="str">
        <f>'02.08 Spear Motors-URA'!K6:L6</f>
        <v>Nusurah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30</v>
      </c>
      <c r="D10" s="50">
        <v>7</v>
      </c>
      <c r="E10" s="50">
        <v>3</v>
      </c>
      <c r="F10" s="50">
        <v>5</v>
      </c>
      <c r="G10" s="50">
        <v>1</v>
      </c>
      <c r="H10" s="50">
        <v>0</v>
      </c>
      <c r="I10" s="50">
        <v>7</v>
      </c>
      <c r="J10" s="50">
        <v>0</v>
      </c>
      <c r="K10" s="50">
        <v>0</v>
      </c>
      <c r="L10" s="50">
        <v>1</v>
      </c>
      <c r="M10" s="50">
        <v>51</v>
      </c>
      <c r="N10" s="50">
        <v>0</v>
      </c>
      <c r="O10" s="15">
        <f t="shared" ref="O10:O57" si="0">SUM(C10:L10,N10)</f>
        <v>54</v>
      </c>
      <c r="P10" s="15">
        <f t="shared" ref="P10:P57" si="1">SUM(C10:N10)</f>
        <v>105</v>
      </c>
      <c r="R10" s="1" t="s">
        <v>6</v>
      </c>
      <c r="S10" s="17">
        <f t="shared" ref="S10:AF10" si="2">SUM(C10:C13)</f>
        <v>130</v>
      </c>
      <c r="T10" s="17">
        <f t="shared" si="2"/>
        <v>23</v>
      </c>
      <c r="U10" s="17">
        <f t="shared" si="2"/>
        <v>24</v>
      </c>
      <c r="V10" s="17">
        <f t="shared" si="2"/>
        <v>21</v>
      </c>
      <c r="W10" s="17">
        <f t="shared" si="2"/>
        <v>5</v>
      </c>
      <c r="X10" s="17">
        <f t="shared" si="2"/>
        <v>0</v>
      </c>
      <c r="Y10" s="17">
        <f t="shared" si="2"/>
        <v>24</v>
      </c>
      <c r="Z10" s="17">
        <f t="shared" si="2"/>
        <v>1</v>
      </c>
      <c r="AA10" s="17">
        <f t="shared" si="2"/>
        <v>0</v>
      </c>
      <c r="AB10" s="17">
        <f t="shared" si="2"/>
        <v>1</v>
      </c>
      <c r="AC10" s="17">
        <f t="shared" si="2"/>
        <v>515</v>
      </c>
      <c r="AD10" s="17">
        <f t="shared" si="2"/>
        <v>0</v>
      </c>
      <c r="AE10" s="31">
        <f t="shared" si="2"/>
        <v>229</v>
      </c>
      <c r="AF10" s="31">
        <f t="shared" si="2"/>
        <v>744</v>
      </c>
    </row>
    <row r="11" spans="2:32" s="6" customFormat="1" ht="23.1" customHeight="1" x14ac:dyDescent="0.25">
      <c r="B11" s="23" t="s">
        <v>38</v>
      </c>
      <c r="C11" s="50">
        <v>29</v>
      </c>
      <c r="D11" s="50">
        <v>4</v>
      </c>
      <c r="E11" s="50">
        <v>7</v>
      </c>
      <c r="F11" s="50">
        <v>5</v>
      </c>
      <c r="G11" s="50">
        <v>0</v>
      </c>
      <c r="H11" s="50">
        <v>0</v>
      </c>
      <c r="I11" s="50">
        <v>11</v>
      </c>
      <c r="J11" s="50">
        <v>0</v>
      </c>
      <c r="K11" s="50">
        <v>0</v>
      </c>
      <c r="L11" s="50">
        <v>0</v>
      </c>
      <c r="M11" s="50">
        <v>130</v>
      </c>
      <c r="N11" s="50">
        <v>0</v>
      </c>
      <c r="O11" s="15">
        <f t="shared" si="0"/>
        <v>56</v>
      </c>
      <c r="P11" s="15">
        <f t="shared" si="1"/>
        <v>186</v>
      </c>
      <c r="R11" s="1" t="s">
        <v>7</v>
      </c>
      <c r="S11" s="17">
        <f t="shared" ref="S11:AF11" si="3">SUM(C14:C17)</f>
        <v>135</v>
      </c>
      <c r="T11" s="17">
        <f t="shared" si="3"/>
        <v>29</v>
      </c>
      <c r="U11" s="17">
        <f t="shared" si="3"/>
        <v>24</v>
      </c>
      <c r="V11" s="17">
        <f t="shared" si="3"/>
        <v>14</v>
      </c>
      <c r="W11" s="17">
        <f t="shared" si="3"/>
        <v>2</v>
      </c>
      <c r="X11" s="17">
        <f t="shared" si="3"/>
        <v>0</v>
      </c>
      <c r="Y11" s="17">
        <f t="shared" si="3"/>
        <v>23</v>
      </c>
      <c r="Z11" s="17">
        <f t="shared" si="3"/>
        <v>4</v>
      </c>
      <c r="AA11" s="17">
        <f t="shared" si="3"/>
        <v>1</v>
      </c>
      <c r="AB11" s="17">
        <f t="shared" si="3"/>
        <v>1</v>
      </c>
      <c r="AC11" s="17">
        <f t="shared" si="3"/>
        <v>401</v>
      </c>
      <c r="AD11" s="17">
        <f t="shared" si="3"/>
        <v>0</v>
      </c>
      <c r="AE11" s="31">
        <f t="shared" si="3"/>
        <v>233</v>
      </c>
      <c r="AF11" s="31">
        <f t="shared" si="3"/>
        <v>634</v>
      </c>
    </row>
    <row r="12" spans="2:32" ht="23.1" customHeight="1" x14ac:dyDescent="0.25">
      <c r="B12" s="23" t="s">
        <v>39</v>
      </c>
      <c r="C12" s="50">
        <v>30</v>
      </c>
      <c r="D12" s="50">
        <v>8</v>
      </c>
      <c r="E12" s="50">
        <v>8</v>
      </c>
      <c r="F12" s="50">
        <v>5</v>
      </c>
      <c r="G12" s="50">
        <v>1</v>
      </c>
      <c r="H12" s="50">
        <v>0</v>
      </c>
      <c r="I12" s="50">
        <v>4</v>
      </c>
      <c r="J12" s="50">
        <v>0</v>
      </c>
      <c r="K12" s="50">
        <v>0</v>
      </c>
      <c r="L12" s="50">
        <v>0</v>
      </c>
      <c r="M12" s="50">
        <v>134</v>
      </c>
      <c r="N12" s="50">
        <v>0</v>
      </c>
      <c r="O12" s="15">
        <f t="shared" si="0"/>
        <v>56</v>
      </c>
      <c r="P12" s="15">
        <f t="shared" si="1"/>
        <v>190</v>
      </c>
      <c r="R12" s="1" t="s">
        <v>8</v>
      </c>
      <c r="S12" s="17">
        <f t="shared" ref="S12:AF12" si="4">SUM(C18:C21)</f>
        <v>143</v>
      </c>
      <c r="T12" s="17">
        <f t="shared" si="4"/>
        <v>31</v>
      </c>
      <c r="U12" s="17">
        <f t="shared" si="4"/>
        <v>37</v>
      </c>
      <c r="V12" s="17">
        <f t="shared" si="4"/>
        <v>32</v>
      </c>
      <c r="W12" s="17">
        <f t="shared" si="4"/>
        <v>3</v>
      </c>
      <c r="X12" s="17">
        <f t="shared" si="4"/>
        <v>12</v>
      </c>
      <c r="Y12" s="17">
        <f t="shared" si="4"/>
        <v>25</v>
      </c>
      <c r="Z12" s="17">
        <f t="shared" si="4"/>
        <v>17</v>
      </c>
      <c r="AA12" s="17">
        <f t="shared" si="4"/>
        <v>6</v>
      </c>
      <c r="AB12" s="17">
        <f t="shared" si="4"/>
        <v>11</v>
      </c>
      <c r="AC12" s="17">
        <f t="shared" si="4"/>
        <v>443</v>
      </c>
      <c r="AD12" s="17">
        <f t="shared" si="4"/>
        <v>0</v>
      </c>
      <c r="AE12" s="31">
        <f t="shared" si="4"/>
        <v>317</v>
      </c>
      <c r="AF12" s="31">
        <f t="shared" si="4"/>
        <v>760</v>
      </c>
    </row>
    <row r="13" spans="2:32" ht="23.1" customHeight="1" x14ac:dyDescent="0.25">
      <c r="B13" s="23" t="s">
        <v>40</v>
      </c>
      <c r="C13" s="50">
        <v>41</v>
      </c>
      <c r="D13" s="50">
        <v>4</v>
      </c>
      <c r="E13" s="50">
        <v>6</v>
      </c>
      <c r="F13" s="50">
        <v>6</v>
      </c>
      <c r="G13" s="50">
        <v>3</v>
      </c>
      <c r="H13" s="50">
        <v>0</v>
      </c>
      <c r="I13" s="50">
        <v>2</v>
      </c>
      <c r="J13" s="50">
        <v>1</v>
      </c>
      <c r="K13" s="50">
        <v>0</v>
      </c>
      <c r="L13" s="50">
        <v>0</v>
      </c>
      <c r="M13" s="50">
        <v>200</v>
      </c>
      <c r="N13" s="50">
        <v>0</v>
      </c>
      <c r="O13" s="15">
        <f t="shared" si="0"/>
        <v>63</v>
      </c>
      <c r="P13" s="15">
        <f t="shared" si="1"/>
        <v>263</v>
      </c>
      <c r="R13" s="1" t="s">
        <v>9</v>
      </c>
      <c r="S13" s="17">
        <f t="shared" ref="S13:AF13" si="5">SUM(C22:C25)</f>
        <v>162</v>
      </c>
      <c r="T13" s="17">
        <f t="shared" si="5"/>
        <v>28</v>
      </c>
      <c r="U13" s="17">
        <f t="shared" si="5"/>
        <v>30</v>
      </c>
      <c r="V13" s="17">
        <f t="shared" si="5"/>
        <v>24</v>
      </c>
      <c r="W13" s="17">
        <f t="shared" si="5"/>
        <v>5</v>
      </c>
      <c r="X13" s="17">
        <f t="shared" si="5"/>
        <v>1</v>
      </c>
      <c r="Y13" s="17">
        <f t="shared" si="5"/>
        <v>23</v>
      </c>
      <c r="Z13" s="17">
        <f t="shared" si="5"/>
        <v>7</v>
      </c>
      <c r="AA13" s="17">
        <f t="shared" si="5"/>
        <v>1</v>
      </c>
      <c r="AB13" s="17">
        <f t="shared" si="5"/>
        <v>7</v>
      </c>
      <c r="AC13" s="17">
        <f t="shared" si="5"/>
        <v>360</v>
      </c>
      <c r="AD13" s="17">
        <f t="shared" si="5"/>
        <v>0</v>
      </c>
      <c r="AE13" s="31">
        <f t="shared" si="5"/>
        <v>288</v>
      </c>
      <c r="AF13" s="31">
        <f t="shared" si="5"/>
        <v>648</v>
      </c>
    </row>
    <row r="14" spans="2:32" ht="23.1" customHeight="1" x14ac:dyDescent="0.25">
      <c r="B14" s="23" t="s">
        <v>41</v>
      </c>
      <c r="C14" s="50">
        <v>38</v>
      </c>
      <c r="D14" s="50">
        <v>9</v>
      </c>
      <c r="E14" s="50">
        <v>5</v>
      </c>
      <c r="F14" s="50">
        <v>3</v>
      </c>
      <c r="G14" s="50">
        <v>0</v>
      </c>
      <c r="H14" s="50">
        <v>0</v>
      </c>
      <c r="I14" s="50">
        <v>9</v>
      </c>
      <c r="J14" s="50">
        <v>3</v>
      </c>
      <c r="K14" s="50">
        <v>0</v>
      </c>
      <c r="L14" s="50">
        <v>1</v>
      </c>
      <c r="M14" s="50">
        <v>170</v>
      </c>
      <c r="N14" s="50">
        <v>0</v>
      </c>
      <c r="O14" s="15">
        <f t="shared" si="0"/>
        <v>68</v>
      </c>
      <c r="P14" s="15">
        <f t="shared" si="1"/>
        <v>238</v>
      </c>
      <c r="R14" s="1" t="s">
        <v>10</v>
      </c>
      <c r="S14" s="17">
        <f t="shared" ref="S14:AF14" si="6">SUM(C26:C29)</f>
        <v>139</v>
      </c>
      <c r="T14" s="17">
        <f t="shared" si="6"/>
        <v>40</v>
      </c>
      <c r="U14" s="17">
        <f t="shared" si="6"/>
        <v>20</v>
      </c>
      <c r="V14" s="17">
        <f t="shared" si="6"/>
        <v>54</v>
      </c>
      <c r="W14" s="17">
        <f t="shared" si="6"/>
        <v>4</v>
      </c>
      <c r="X14" s="17">
        <f t="shared" si="6"/>
        <v>1</v>
      </c>
      <c r="Y14" s="17">
        <f t="shared" si="6"/>
        <v>13</v>
      </c>
      <c r="Z14" s="17">
        <f t="shared" si="6"/>
        <v>2</v>
      </c>
      <c r="AA14" s="17">
        <f t="shared" si="6"/>
        <v>1</v>
      </c>
      <c r="AB14" s="17">
        <f t="shared" si="6"/>
        <v>2</v>
      </c>
      <c r="AC14" s="17">
        <f t="shared" si="6"/>
        <v>395</v>
      </c>
      <c r="AD14" s="17">
        <f t="shared" si="6"/>
        <v>0</v>
      </c>
      <c r="AE14" s="31">
        <f t="shared" si="6"/>
        <v>276</v>
      </c>
      <c r="AF14" s="31">
        <f t="shared" si="6"/>
        <v>671</v>
      </c>
    </row>
    <row r="15" spans="2:32" ht="23.1" customHeight="1" x14ac:dyDescent="0.25">
      <c r="B15" s="23" t="s">
        <v>42</v>
      </c>
      <c r="C15" s="50">
        <v>39</v>
      </c>
      <c r="D15" s="50">
        <v>6</v>
      </c>
      <c r="E15" s="50">
        <v>8</v>
      </c>
      <c r="F15" s="50">
        <v>4</v>
      </c>
      <c r="G15" s="50">
        <v>1</v>
      </c>
      <c r="H15" s="50">
        <v>0</v>
      </c>
      <c r="I15" s="50">
        <v>6</v>
      </c>
      <c r="J15" s="50">
        <v>1</v>
      </c>
      <c r="K15" s="50">
        <v>1</v>
      </c>
      <c r="L15" s="50">
        <v>0</v>
      </c>
      <c r="M15" s="50">
        <v>139</v>
      </c>
      <c r="N15" s="50">
        <v>0</v>
      </c>
      <c r="O15" s="15">
        <f t="shared" si="0"/>
        <v>66</v>
      </c>
      <c r="P15" s="15">
        <f t="shared" si="1"/>
        <v>205</v>
      </c>
      <c r="R15" s="1" t="s">
        <v>11</v>
      </c>
      <c r="S15" s="17">
        <f t="shared" ref="S15:AF15" si="7">SUM(C30:C33)</f>
        <v>152</v>
      </c>
      <c r="T15" s="17">
        <f t="shared" si="7"/>
        <v>31</v>
      </c>
      <c r="U15" s="17">
        <f t="shared" si="7"/>
        <v>25</v>
      </c>
      <c r="V15" s="17">
        <f t="shared" si="7"/>
        <v>23</v>
      </c>
      <c r="W15" s="17">
        <f t="shared" si="7"/>
        <v>0</v>
      </c>
      <c r="X15" s="17">
        <f t="shared" si="7"/>
        <v>0</v>
      </c>
      <c r="Y15" s="17">
        <f t="shared" si="7"/>
        <v>16</v>
      </c>
      <c r="Z15" s="17">
        <f t="shared" si="7"/>
        <v>3</v>
      </c>
      <c r="AA15" s="17">
        <f t="shared" si="7"/>
        <v>4</v>
      </c>
      <c r="AB15" s="17">
        <f t="shared" si="7"/>
        <v>12</v>
      </c>
      <c r="AC15" s="17">
        <f t="shared" si="7"/>
        <v>345</v>
      </c>
      <c r="AD15" s="17">
        <f t="shared" si="7"/>
        <v>0</v>
      </c>
      <c r="AE15" s="31">
        <f t="shared" si="7"/>
        <v>266</v>
      </c>
      <c r="AF15" s="31">
        <f t="shared" si="7"/>
        <v>611</v>
      </c>
    </row>
    <row r="16" spans="2:32" ht="23.1" customHeight="1" x14ac:dyDescent="0.25">
      <c r="B16" s="23" t="s">
        <v>43</v>
      </c>
      <c r="C16" s="50">
        <v>38</v>
      </c>
      <c r="D16" s="50">
        <v>9</v>
      </c>
      <c r="E16" s="50">
        <v>7</v>
      </c>
      <c r="F16" s="50">
        <v>6</v>
      </c>
      <c r="G16" s="50">
        <v>1</v>
      </c>
      <c r="H16" s="50">
        <v>0</v>
      </c>
      <c r="I16" s="50">
        <v>8</v>
      </c>
      <c r="J16" s="50">
        <v>0</v>
      </c>
      <c r="K16" s="50">
        <v>0</v>
      </c>
      <c r="L16" s="50">
        <v>0</v>
      </c>
      <c r="M16" s="50">
        <v>92</v>
      </c>
      <c r="N16" s="50">
        <v>0</v>
      </c>
      <c r="O16" s="15">
        <f t="shared" si="0"/>
        <v>69</v>
      </c>
      <c r="P16" s="15">
        <f t="shared" si="1"/>
        <v>161</v>
      </c>
      <c r="R16" s="1" t="s">
        <v>12</v>
      </c>
      <c r="S16" s="17">
        <f t="shared" ref="S16:AF16" si="8">SUM(C34:C37)</f>
        <v>161</v>
      </c>
      <c r="T16" s="17">
        <f t="shared" si="8"/>
        <v>32</v>
      </c>
      <c r="U16" s="17">
        <f t="shared" si="8"/>
        <v>25</v>
      </c>
      <c r="V16" s="17">
        <f t="shared" si="8"/>
        <v>28</v>
      </c>
      <c r="W16" s="17">
        <f t="shared" si="8"/>
        <v>1</v>
      </c>
      <c r="X16" s="17">
        <f t="shared" si="8"/>
        <v>0</v>
      </c>
      <c r="Y16" s="17">
        <f t="shared" si="8"/>
        <v>31</v>
      </c>
      <c r="Z16" s="17">
        <f t="shared" si="8"/>
        <v>4</v>
      </c>
      <c r="AA16" s="17">
        <f t="shared" si="8"/>
        <v>1</v>
      </c>
      <c r="AB16" s="17">
        <f t="shared" si="8"/>
        <v>2</v>
      </c>
      <c r="AC16" s="17">
        <f t="shared" si="8"/>
        <v>417</v>
      </c>
      <c r="AD16" s="17">
        <f t="shared" si="8"/>
        <v>0</v>
      </c>
      <c r="AE16" s="31">
        <f t="shared" si="8"/>
        <v>285</v>
      </c>
      <c r="AF16" s="31">
        <f t="shared" si="8"/>
        <v>702</v>
      </c>
    </row>
    <row r="17" spans="2:32" ht="23.1" customHeight="1" x14ac:dyDescent="0.25">
      <c r="B17" s="23" t="s">
        <v>44</v>
      </c>
      <c r="C17" s="50">
        <v>20</v>
      </c>
      <c r="D17" s="50">
        <v>5</v>
      </c>
      <c r="E17" s="50">
        <v>4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30</v>
      </c>
      <c r="P17" s="15">
        <f t="shared" si="1"/>
        <v>30</v>
      </c>
      <c r="R17" s="1" t="s">
        <v>13</v>
      </c>
      <c r="S17" s="17">
        <f t="shared" ref="S17:AF17" si="9">SUM(C38:C41)</f>
        <v>167</v>
      </c>
      <c r="T17" s="17">
        <f t="shared" si="9"/>
        <v>26</v>
      </c>
      <c r="U17" s="17">
        <f t="shared" si="9"/>
        <v>24</v>
      </c>
      <c r="V17" s="17">
        <f t="shared" si="9"/>
        <v>22</v>
      </c>
      <c r="W17" s="17">
        <f t="shared" si="9"/>
        <v>2</v>
      </c>
      <c r="X17" s="17">
        <f t="shared" si="9"/>
        <v>0</v>
      </c>
      <c r="Y17" s="17">
        <f t="shared" si="9"/>
        <v>18</v>
      </c>
      <c r="Z17" s="17">
        <f t="shared" si="9"/>
        <v>8</v>
      </c>
      <c r="AA17" s="17">
        <f t="shared" si="9"/>
        <v>1</v>
      </c>
      <c r="AB17" s="17">
        <f t="shared" si="9"/>
        <v>3</v>
      </c>
      <c r="AC17" s="17">
        <f t="shared" si="9"/>
        <v>231</v>
      </c>
      <c r="AD17" s="17">
        <f t="shared" si="9"/>
        <v>0</v>
      </c>
      <c r="AE17" s="31">
        <f t="shared" si="9"/>
        <v>271</v>
      </c>
      <c r="AF17" s="31">
        <f t="shared" si="9"/>
        <v>502</v>
      </c>
    </row>
    <row r="18" spans="2:32" ht="23.1" customHeight="1" x14ac:dyDescent="0.25">
      <c r="B18" s="23" t="s">
        <v>45</v>
      </c>
      <c r="C18" s="50">
        <v>50</v>
      </c>
      <c r="D18" s="50">
        <v>11</v>
      </c>
      <c r="E18" s="50">
        <v>9</v>
      </c>
      <c r="F18" s="50">
        <v>6</v>
      </c>
      <c r="G18" s="50">
        <v>1</v>
      </c>
      <c r="H18" s="50">
        <v>0</v>
      </c>
      <c r="I18" s="50">
        <v>10</v>
      </c>
      <c r="J18" s="50">
        <v>10</v>
      </c>
      <c r="K18" s="50">
        <v>4</v>
      </c>
      <c r="L18" s="50">
        <v>2</v>
      </c>
      <c r="M18" s="50">
        <v>88</v>
      </c>
      <c r="N18" s="50">
        <v>0</v>
      </c>
      <c r="O18" s="15">
        <f t="shared" si="0"/>
        <v>103</v>
      </c>
      <c r="P18" s="15">
        <f t="shared" si="1"/>
        <v>191</v>
      </c>
      <c r="R18" s="1" t="s">
        <v>14</v>
      </c>
      <c r="S18" s="17">
        <f t="shared" ref="S18:AF18" si="10">SUM(C42:C45)</f>
        <v>159</v>
      </c>
      <c r="T18" s="17">
        <f t="shared" si="10"/>
        <v>28</v>
      </c>
      <c r="U18" s="17">
        <f t="shared" si="10"/>
        <v>31</v>
      </c>
      <c r="V18" s="17">
        <f t="shared" si="10"/>
        <v>18</v>
      </c>
      <c r="W18" s="17">
        <f t="shared" si="10"/>
        <v>0</v>
      </c>
      <c r="X18" s="17">
        <f t="shared" si="10"/>
        <v>0</v>
      </c>
      <c r="Y18" s="17">
        <f t="shared" si="10"/>
        <v>30</v>
      </c>
      <c r="Z18" s="17">
        <f t="shared" si="10"/>
        <v>10</v>
      </c>
      <c r="AA18" s="17">
        <f t="shared" si="10"/>
        <v>1</v>
      </c>
      <c r="AB18" s="17">
        <f t="shared" si="10"/>
        <v>4</v>
      </c>
      <c r="AC18" s="17">
        <f t="shared" si="10"/>
        <v>382</v>
      </c>
      <c r="AD18" s="17">
        <f t="shared" si="10"/>
        <v>0</v>
      </c>
      <c r="AE18" s="31">
        <f t="shared" si="10"/>
        <v>281</v>
      </c>
      <c r="AF18" s="31">
        <f t="shared" si="10"/>
        <v>663</v>
      </c>
    </row>
    <row r="19" spans="2:32" ht="23.1" customHeight="1" x14ac:dyDescent="0.25">
      <c r="B19" s="23" t="s">
        <v>46</v>
      </c>
      <c r="C19" s="50">
        <v>28</v>
      </c>
      <c r="D19" s="50">
        <v>6</v>
      </c>
      <c r="E19" s="50">
        <v>6</v>
      </c>
      <c r="F19" s="50">
        <v>8</v>
      </c>
      <c r="G19" s="50">
        <v>1</v>
      </c>
      <c r="H19" s="50">
        <v>0</v>
      </c>
      <c r="I19" s="50">
        <v>4</v>
      </c>
      <c r="J19" s="50">
        <v>3</v>
      </c>
      <c r="K19" s="50">
        <v>0</v>
      </c>
      <c r="L19" s="50">
        <v>1</v>
      </c>
      <c r="M19" s="50">
        <v>81</v>
      </c>
      <c r="N19" s="50">
        <v>0</v>
      </c>
      <c r="O19" s="15">
        <f t="shared" si="0"/>
        <v>57</v>
      </c>
      <c r="P19" s="15">
        <f t="shared" si="1"/>
        <v>138</v>
      </c>
      <c r="R19" s="1" t="s">
        <v>15</v>
      </c>
      <c r="S19" s="17">
        <f t="shared" ref="S19:AF19" si="11">SUM(C46:C49)</f>
        <v>224</v>
      </c>
      <c r="T19" s="17">
        <f t="shared" si="11"/>
        <v>19</v>
      </c>
      <c r="U19" s="17">
        <f t="shared" si="11"/>
        <v>23</v>
      </c>
      <c r="V19" s="17">
        <f t="shared" si="11"/>
        <v>20</v>
      </c>
      <c r="W19" s="17">
        <f t="shared" si="11"/>
        <v>0</v>
      </c>
      <c r="X19" s="17">
        <f t="shared" si="11"/>
        <v>0</v>
      </c>
      <c r="Y19" s="17">
        <f t="shared" si="11"/>
        <v>14</v>
      </c>
      <c r="Z19" s="17">
        <f t="shared" si="11"/>
        <v>3</v>
      </c>
      <c r="AA19" s="17">
        <f t="shared" si="11"/>
        <v>0</v>
      </c>
      <c r="AB19" s="17">
        <f t="shared" si="11"/>
        <v>3</v>
      </c>
      <c r="AC19" s="17">
        <f t="shared" si="11"/>
        <v>337</v>
      </c>
      <c r="AD19" s="17">
        <f t="shared" si="11"/>
        <v>1</v>
      </c>
      <c r="AE19" s="31">
        <f t="shared" si="11"/>
        <v>307</v>
      </c>
      <c r="AF19" s="31">
        <f t="shared" si="11"/>
        <v>644</v>
      </c>
    </row>
    <row r="20" spans="2:32" ht="23.1" customHeight="1" x14ac:dyDescent="0.25">
      <c r="B20" s="23" t="s">
        <v>47</v>
      </c>
      <c r="C20" s="50">
        <v>36</v>
      </c>
      <c r="D20" s="50">
        <v>9</v>
      </c>
      <c r="E20" s="50">
        <v>8</v>
      </c>
      <c r="F20" s="50">
        <v>5</v>
      </c>
      <c r="G20" s="50">
        <v>0</v>
      </c>
      <c r="H20" s="50">
        <v>11</v>
      </c>
      <c r="I20" s="50">
        <v>9</v>
      </c>
      <c r="J20" s="50">
        <v>4</v>
      </c>
      <c r="K20" s="50">
        <v>2</v>
      </c>
      <c r="L20" s="50">
        <v>5</v>
      </c>
      <c r="M20" s="50">
        <v>59</v>
      </c>
      <c r="N20" s="50">
        <v>0</v>
      </c>
      <c r="O20" s="15">
        <f t="shared" si="0"/>
        <v>89</v>
      </c>
      <c r="P20" s="15">
        <f t="shared" si="1"/>
        <v>148</v>
      </c>
      <c r="R20" s="1" t="s">
        <v>16</v>
      </c>
      <c r="S20" s="17">
        <f t="shared" ref="S20:AF20" si="12">SUM(C50:C53)</f>
        <v>271</v>
      </c>
      <c r="T20" s="17">
        <f t="shared" si="12"/>
        <v>52</v>
      </c>
      <c r="U20" s="17">
        <f t="shared" si="12"/>
        <v>44</v>
      </c>
      <c r="V20" s="17">
        <f t="shared" si="12"/>
        <v>20</v>
      </c>
      <c r="W20" s="17">
        <f t="shared" si="12"/>
        <v>0</v>
      </c>
      <c r="X20" s="17">
        <f t="shared" si="12"/>
        <v>0</v>
      </c>
      <c r="Y20" s="17">
        <f t="shared" si="12"/>
        <v>19</v>
      </c>
      <c r="Z20" s="17">
        <f t="shared" si="12"/>
        <v>17</v>
      </c>
      <c r="AA20" s="17">
        <f t="shared" si="12"/>
        <v>4</v>
      </c>
      <c r="AB20" s="17">
        <f t="shared" si="12"/>
        <v>5</v>
      </c>
      <c r="AC20" s="17">
        <f t="shared" si="12"/>
        <v>287</v>
      </c>
      <c r="AD20" s="17">
        <f t="shared" si="12"/>
        <v>0</v>
      </c>
      <c r="AE20" s="31">
        <f t="shared" si="12"/>
        <v>432</v>
      </c>
      <c r="AF20" s="31">
        <f t="shared" si="12"/>
        <v>719</v>
      </c>
    </row>
    <row r="21" spans="2:32" ht="23.1" customHeight="1" x14ac:dyDescent="0.25">
      <c r="B21" s="23" t="s">
        <v>48</v>
      </c>
      <c r="C21" s="50">
        <v>29</v>
      </c>
      <c r="D21" s="50">
        <v>5</v>
      </c>
      <c r="E21" s="50">
        <v>14</v>
      </c>
      <c r="F21" s="50">
        <v>13</v>
      </c>
      <c r="G21" s="50">
        <v>1</v>
      </c>
      <c r="H21" s="50">
        <v>1</v>
      </c>
      <c r="I21" s="50">
        <v>2</v>
      </c>
      <c r="J21" s="50">
        <v>0</v>
      </c>
      <c r="K21" s="50">
        <v>0</v>
      </c>
      <c r="L21" s="50">
        <v>3</v>
      </c>
      <c r="M21" s="50">
        <v>215</v>
      </c>
      <c r="N21" s="50">
        <v>0</v>
      </c>
      <c r="O21" s="15">
        <f t="shared" si="0"/>
        <v>68</v>
      </c>
      <c r="P21" s="15">
        <f t="shared" si="1"/>
        <v>283</v>
      </c>
      <c r="R21" s="36" t="s">
        <v>20</v>
      </c>
      <c r="S21" s="34">
        <f t="shared" ref="S21:AF21" si="13">SUM(C54:C57)</f>
        <v>121</v>
      </c>
      <c r="T21" s="17">
        <f t="shared" si="13"/>
        <v>20</v>
      </c>
      <c r="U21" s="17">
        <f t="shared" si="13"/>
        <v>13</v>
      </c>
      <c r="V21" s="17">
        <f t="shared" si="13"/>
        <v>8</v>
      </c>
      <c r="W21" s="17">
        <f t="shared" si="13"/>
        <v>2</v>
      </c>
      <c r="X21" s="17">
        <f t="shared" si="13"/>
        <v>0</v>
      </c>
      <c r="Y21" s="17">
        <f t="shared" si="13"/>
        <v>22</v>
      </c>
      <c r="Z21" s="17">
        <f t="shared" si="13"/>
        <v>8</v>
      </c>
      <c r="AA21" s="17">
        <f t="shared" si="13"/>
        <v>3</v>
      </c>
      <c r="AB21" s="17">
        <f t="shared" si="13"/>
        <v>7</v>
      </c>
      <c r="AC21" s="17">
        <f t="shared" si="13"/>
        <v>255</v>
      </c>
      <c r="AD21" s="17">
        <f t="shared" si="13"/>
        <v>1</v>
      </c>
      <c r="AE21" s="31">
        <f t="shared" si="13"/>
        <v>205</v>
      </c>
      <c r="AF21" s="31">
        <f t="shared" si="13"/>
        <v>460</v>
      </c>
    </row>
    <row r="22" spans="2:32" ht="23.1" customHeight="1" x14ac:dyDescent="0.25">
      <c r="B22" s="23" t="s">
        <v>49</v>
      </c>
      <c r="C22" s="50">
        <v>39</v>
      </c>
      <c r="D22" s="50">
        <v>10</v>
      </c>
      <c r="E22" s="50">
        <v>7</v>
      </c>
      <c r="F22" s="50">
        <v>7</v>
      </c>
      <c r="G22" s="50">
        <v>2</v>
      </c>
      <c r="H22" s="50">
        <v>1</v>
      </c>
      <c r="I22" s="50">
        <v>7</v>
      </c>
      <c r="J22" s="50">
        <v>4</v>
      </c>
      <c r="K22" s="50">
        <v>0</v>
      </c>
      <c r="L22" s="50">
        <v>2</v>
      </c>
      <c r="M22" s="50">
        <v>78</v>
      </c>
      <c r="N22" s="50">
        <v>0</v>
      </c>
      <c r="O22" s="15">
        <f t="shared" si="0"/>
        <v>79</v>
      </c>
      <c r="P22" s="15">
        <f t="shared" si="1"/>
        <v>157</v>
      </c>
      <c r="R22" s="38" t="s">
        <v>90</v>
      </c>
      <c r="S22" s="39">
        <f>MAX(S10:S12)</f>
        <v>143</v>
      </c>
      <c r="T22" s="39">
        <f t="shared" ref="T22:AF22" si="14">MAX(T10:T12)</f>
        <v>31</v>
      </c>
      <c r="U22" s="39">
        <f t="shared" si="14"/>
        <v>37</v>
      </c>
      <c r="V22" s="39">
        <f t="shared" si="14"/>
        <v>32</v>
      </c>
      <c r="W22" s="39">
        <f t="shared" si="14"/>
        <v>5</v>
      </c>
      <c r="X22" s="39">
        <f t="shared" si="14"/>
        <v>12</v>
      </c>
      <c r="Y22" s="39">
        <f t="shared" si="14"/>
        <v>25</v>
      </c>
      <c r="Z22" s="39">
        <f t="shared" si="14"/>
        <v>17</v>
      </c>
      <c r="AA22" s="39">
        <f t="shared" si="14"/>
        <v>6</v>
      </c>
      <c r="AB22" s="39">
        <f t="shared" si="14"/>
        <v>11</v>
      </c>
      <c r="AC22" s="39">
        <f t="shared" si="14"/>
        <v>515</v>
      </c>
      <c r="AD22" s="39">
        <f t="shared" si="14"/>
        <v>0</v>
      </c>
      <c r="AE22" s="40">
        <f t="shared" si="14"/>
        <v>317</v>
      </c>
      <c r="AF22" s="40">
        <f t="shared" si="14"/>
        <v>760</v>
      </c>
    </row>
    <row r="23" spans="2:32" ht="23.1" customHeight="1" x14ac:dyDescent="0.25">
      <c r="B23" s="23" t="s">
        <v>50</v>
      </c>
      <c r="C23" s="50">
        <v>39</v>
      </c>
      <c r="D23" s="50">
        <v>7</v>
      </c>
      <c r="E23" s="50">
        <v>9</v>
      </c>
      <c r="F23" s="50">
        <v>7</v>
      </c>
      <c r="G23" s="50">
        <v>1</v>
      </c>
      <c r="H23" s="50">
        <v>0</v>
      </c>
      <c r="I23" s="50">
        <v>3</v>
      </c>
      <c r="J23" s="50">
        <v>0</v>
      </c>
      <c r="K23" s="50">
        <v>1</v>
      </c>
      <c r="L23" s="50">
        <v>1</v>
      </c>
      <c r="M23" s="50">
        <v>80</v>
      </c>
      <c r="N23" s="50">
        <v>0</v>
      </c>
      <c r="O23" s="15">
        <f t="shared" si="0"/>
        <v>68</v>
      </c>
      <c r="P23" s="15">
        <f t="shared" si="1"/>
        <v>148</v>
      </c>
      <c r="R23" s="38" t="s">
        <v>91</v>
      </c>
      <c r="S23" s="39">
        <f>MAX(S13:S18)</f>
        <v>167</v>
      </c>
      <c r="T23" s="39">
        <f t="shared" ref="T23:AF23" si="15">MAX(T13:T18)</f>
        <v>40</v>
      </c>
      <c r="U23" s="39">
        <f t="shared" si="15"/>
        <v>31</v>
      </c>
      <c r="V23" s="39">
        <f t="shared" si="15"/>
        <v>54</v>
      </c>
      <c r="W23" s="39">
        <f t="shared" si="15"/>
        <v>5</v>
      </c>
      <c r="X23" s="39">
        <f t="shared" si="15"/>
        <v>1</v>
      </c>
      <c r="Y23" s="39">
        <f t="shared" si="15"/>
        <v>31</v>
      </c>
      <c r="Z23" s="39">
        <f t="shared" si="15"/>
        <v>10</v>
      </c>
      <c r="AA23" s="39">
        <f t="shared" si="15"/>
        <v>4</v>
      </c>
      <c r="AB23" s="39">
        <f t="shared" si="15"/>
        <v>12</v>
      </c>
      <c r="AC23" s="39">
        <f t="shared" si="15"/>
        <v>417</v>
      </c>
      <c r="AD23" s="39">
        <f t="shared" si="15"/>
        <v>0</v>
      </c>
      <c r="AE23" s="40">
        <f t="shared" si="15"/>
        <v>288</v>
      </c>
      <c r="AF23" s="40">
        <f t="shared" si="15"/>
        <v>702</v>
      </c>
    </row>
    <row r="24" spans="2:32" ht="23.1" customHeight="1" x14ac:dyDescent="0.25">
      <c r="B24" s="23" t="s">
        <v>51</v>
      </c>
      <c r="C24" s="50">
        <v>37</v>
      </c>
      <c r="D24" s="50">
        <v>4</v>
      </c>
      <c r="E24" s="50">
        <v>8</v>
      </c>
      <c r="F24" s="50">
        <v>6</v>
      </c>
      <c r="G24" s="50">
        <v>1</v>
      </c>
      <c r="H24" s="50">
        <v>0</v>
      </c>
      <c r="I24" s="50">
        <v>3</v>
      </c>
      <c r="J24" s="50">
        <v>0</v>
      </c>
      <c r="K24" s="50">
        <v>0</v>
      </c>
      <c r="L24" s="50">
        <v>2</v>
      </c>
      <c r="M24" s="50">
        <v>108</v>
      </c>
      <c r="N24" s="50">
        <v>0</v>
      </c>
      <c r="O24" s="15">
        <f t="shared" si="0"/>
        <v>61</v>
      </c>
      <c r="P24" s="15">
        <f t="shared" si="1"/>
        <v>169</v>
      </c>
      <c r="R24" s="38" t="s">
        <v>92</v>
      </c>
      <c r="S24" s="39">
        <f>MAX(S19:S21)</f>
        <v>271</v>
      </c>
      <c r="T24" s="39">
        <f t="shared" ref="T24:AF24" si="16">MAX(T19:T21)</f>
        <v>52</v>
      </c>
      <c r="U24" s="39">
        <f t="shared" si="16"/>
        <v>44</v>
      </c>
      <c r="V24" s="39">
        <f t="shared" si="16"/>
        <v>20</v>
      </c>
      <c r="W24" s="39">
        <f t="shared" si="16"/>
        <v>2</v>
      </c>
      <c r="X24" s="39">
        <f t="shared" si="16"/>
        <v>0</v>
      </c>
      <c r="Y24" s="39">
        <f t="shared" si="16"/>
        <v>22</v>
      </c>
      <c r="Z24" s="39">
        <f t="shared" si="16"/>
        <v>17</v>
      </c>
      <c r="AA24" s="39">
        <f t="shared" si="16"/>
        <v>4</v>
      </c>
      <c r="AB24" s="39">
        <f t="shared" si="16"/>
        <v>7</v>
      </c>
      <c r="AC24" s="39">
        <f t="shared" si="16"/>
        <v>337</v>
      </c>
      <c r="AD24" s="39">
        <f t="shared" si="16"/>
        <v>1</v>
      </c>
      <c r="AE24" s="40">
        <f t="shared" si="16"/>
        <v>432</v>
      </c>
      <c r="AF24" s="40">
        <f t="shared" si="16"/>
        <v>719</v>
      </c>
    </row>
    <row r="25" spans="2:32" ht="23.1" customHeight="1" x14ac:dyDescent="0.25">
      <c r="B25" s="23" t="s">
        <v>52</v>
      </c>
      <c r="C25" s="50">
        <v>47</v>
      </c>
      <c r="D25" s="50">
        <v>7</v>
      </c>
      <c r="E25" s="50">
        <v>6</v>
      </c>
      <c r="F25" s="50">
        <v>4</v>
      </c>
      <c r="G25" s="50">
        <v>1</v>
      </c>
      <c r="H25" s="50">
        <v>0</v>
      </c>
      <c r="I25" s="50">
        <v>10</v>
      </c>
      <c r="J25" s="50">
        <v>3</v>
      </c>
      <c r="K25" s="50">
        <v>0</v>
      </c>
      <c r="L25" s="50">
        <v>2</v>
      </c>
      <c r="M25" s="50">
        <v>94</v>
      </c>
      <c r="N25" s="50">
        <v>0</v>
      </c>
      <c r="O25" s="15">
        <f t="shared" si="0"/>
        <v>80</v>
      </c>
      <c r="P25" s="15">
        <f t="shared" si="1"/>
        <v>174</v>
      </c>
      <c r="R25" s="37" t="s">
        <v>85</v>
      </c>
      <c r="S25" s="35">
        <f t="shared" ref="S25:AF25" si="17">SUM(S10:S12)</f>
        <v>408</v>
      </c>
      <c r="T25" s="16">
        <f t="shared" si="17"/>
        <v>83</v>
      </c>
      <c r="U25" s="16">
        <f t="shared" si="17"/>
        <v>85</v>
      </c>
      <c r="V25" s="16">
        <f t="shared" si="17"/>
        <v>67</v>
      </c>
      <c r="W25" s="16">
        <f t="shared" si="17"/>
        <v>10</v>
      </c>
      <c r="X25" s="16">
        <f t="shared" si="17"/>
        <v>12</v>
      </c>
      <c r="Y25" s="16">
        <f t="shared" si="17"/>
        <v>72</v>
      </c>
      <c r="Z25" s="16">
        <f t="shared" si="17"/>
        <v>22</v>
      </c>
      <c r="AA25" s="16">
        <f t="shared" si="17"/>
        <v>7</v>
      </c>
      <c r="AB25" s="16">
        <f t="shared" si="17"/>
        <v>13</v>
      </c>
      <c r="AC25" s="16">
        <f t="shared" si="17"/>
        <v>1359</v>
      </c>
      <c r="AD25" s="16">
        <f t="shared" si="17"/>
        <v>0</v>
      </c>
      <c r="AE25" s="32">
        <f t="shared" si="17"/>
        <v>779</v>
      </c>
      <c r="AF25" s="32">
        <f t="shared" si="17"/>
        <v>2138</v>
      </c>
    </row>
    <row r="26" spans="2:32" ht="23.1" customHeight="1" x14ac:dyDescent="0.25">
      <c r="B26" s="23" t="s">
        <v>53</v>
      </c>
      <c r="C26" s="50">
        <v>48</v>
      </c>
      <c r="D26" s="50">
        <v>17</v>
      </c>
      <c r="E26" s="50">
        <v>8</v>
      </c>
      <c r="F26" s="50">
        <v>15</v>
      </c>
      <c r="G26" s="50">
        <v>3</v>
      </c>
      <c r="H26" s="50">
        <v>0</v>
      </c>
      <c r="I26" s="50">
        <v>6</v>
      </c>
      <c r="J26" s="50">
        <v>2</v>
      </c>
      <c r="K26" s="50">
        <v>1</v>
      </c>
      <c r="L26" s="50">
        <v>2</v>
      </c>
      <c r="M26" s="50">
        <v>42</v>
      </c>
      <c r="N26" s="50">
        <v>0</v>
      </c>
      <c r="O26" s="15">
        <f t="shared" si="0"/>
        <v>102</v>
      </c>
      <c r="P26" s="15">
        <f t="shared" si="1"/>
        <v>144</v>
      </c>
      <c r="R26" s="28" t="s">
        <v>86</v>
      </c>
      <c r="S26" s="16">
        <f t="shared" ref="S26:AF26" si="18">SUM(S13:S18)</f>
        <v>940</v>
      </c>
      <c r="T26" s="16">
        <f t="shared" si="18"/>
        <v>185</v>
      </c>
      <c r="U26" s="16">
        <f t="shared" si="18"/>
        <v>155</v>
      </c>
      <c r="V26" s="16">
        <f t="shared" si="18"/>
        <v>169</v>
      </c>
      <c r="W26" s="16">
        <f t="shared" si="18"/>
        <v>12</v>
      </c>
      <c r="X26" s="16">
        <f t="shared" si="18"/>
        <v>2</v>
      </c>
      <c r="Y26" s="16">
        <f t="shared" si="18"/>
        <v>131</v>
      </c>
      <c r="Z26" s="16">
        <f t="shared" si="18"/>
        <v>34</v>
      </c>
      <c r="AA26" s="16">
        <f t="shared" si="18"/>
        <v>9</v>
      </c>
      <c r="AB26" s="16">
        <f t="shared" si="18"/>
        <v>30</v>
      </c>
      <c r="AC26" s="16">
        <f t="shared" si="18"/>
        <v>2130</v>
      </c>
      <c r="AD26" s="16">
        <f t="shared" si="18"/>
        <v>0</v>
      </c>
      <c r="AE26" s="32">
        <f t="shared" si="18"/>
        <v>1667</v>
      </c>
      <c r="AF26" s="32">
        <f t="shared" si="18"/>
        <v>3797</v>
      </c>
    </row>
    <row r="27" spans="2:32" ht="23.1" customHeight="1" x14ac:dyDescent="0.25">
      <c r="B27" s="23" t="s">
        <v>54</v>
      </c>
      <c r="C27" s="50">
        <v>34</v>
      </c>
      <c r="D27" s="50">
        <v>11</v>
      </c>
      <c r="E27" s="50">
        <v>7</v>
      </c>
      <c r="F27" s="50">
        <v>21</v>
      </c>
      <c r="G27" s="50">
        <v>0</v>
      </c>
      <c r="H27" s="50">
        <v>1</v>
      </c>
      <c r="I27" s="50">
        <v>4</v>
      </c>
      <c r="J27" s="50">
        <v>0</v>
      </c>
      <c r="K27" s="50">
        <v>0</v>
      </c>
      <c r="L27" s="50">
        <v>0</v>
      </c>
      <c r="M27" s="50">
        <v>120</v>
      </c>
      <c r="N27" s="50">
        <v>0</v>
      </c>
      <c r="O27" s="15">
        <f t="shared" si="0"/>
        <v>78</v>
      </c>
      <c r="P27" s="15">
        <f t="shared" si="1"/>
        <v>198</v>
      </c>
      <c r="R27" s="29" t="s">
        <v>87</v>
      </c>
      <c r="S27" s="16">
        <f t="shared" ref="S27:AF27" si="19">SUM(S19:S21)</f>
        <v>616</v>
      </c>
      <c r="T27" s="16">
        <f t="shared" si="19"/>
        <v>91</v>
      </c>
      <c r="U27" s="16">
        <f t="shared" si="19"/>
        <v>80</v>
      </c>
      <c r="V27" s="16">
        <f t="shared" si="19"/>
        <v>48</v>
      </c>
      <c r="W27" s="16">
        <f t="shared" si="19"/>
        <v>2</v>
      </c>
      <c r="X27" s="16">
        <f t="shared" si="19"/>
        <v>0</v>
      </c>
      <c r="Y27" s="16">
        <f t="shared" si="19"/>
        <v>55</v>
      </c>
      <c r="Z27" s="16">
        <f t="shared" si="19"/>
        <v>28</v>
      </c>
      <c r="AA27" s="16">
        <f t="shared" si="19"/>
        <v>7</v>
      </c>
      <c r="AB27" s="16">
        <f t="shared" si="19"/>
        <v>15</v>
      </c>
      <c r="AC27" s="16">
        <f t="shared" si="19"/>
        <v>879</v>
      </c>
      <c r="AD27" s="16">
        <f t="shared" si="19"/>
        <v>2</v>
      </c>
      <c r="AE27" s="32">
        <f t="shared" si="19"/>
        <v>944</v>
      </c>
      <c r="AF27" s="32">
        <f t="shared" si="19"/>
        <v>1823</v>
      </c>
    </row>
    <row r="28" spans="2:32" ht="23.1" customHeight="1" x14ac:dyDescent="0.25">
      <c r="B28" s="23" t="s">
        <v>55</v>
      </c>
      <c r="C28" s="50">
        <v>31</v>
      </c>
      <c r="D28" s="50">
        <v>8</v>
      </c>
      <c r="E28" s="50">
        <v>2</v>
      </c>
      <c r="F28" s="50">
        <v>13</v>
      </c>
      <c r="G28" s="50">
        <v>1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110</v>
      </c>
      <c r="N28" s="50">
        <v>0</v>
      </c>
      <c r="O28" s="15">
        <f t="shared" si="0"/>
        <v>55</v>
      </c>
      <c r="P28" s="15">
        <f t="shared" si="1"/>
        <v>165</v>
      </c>
      <c r="R28" s="5" t="s">
        <v>17</v>
      </c>
      <c r="S28" s="16">
        <f t="shared" ref="S28:AF28" si="20">SUM(S10:S21)</f>
        <v>1964</v>
      </c>
      <c r="T28" s="16">
        <f t="shared" si="20"/>
        <v>359</v>
      </c>
      <c r="U28" s="16">
        <f t="shared" si="20"/>
        <v>320</v>
      </c>
      <c r="V28" s="16">
        <f t="shared" si="20"/>
        <v>284</v>
      </c>
      <c r="W28" s="16">
        <f t="shared" si="20"/>
        <v>24</v>
      </c>
      <c r="X28" s="16">
        <f t="shared" si="20"/>
        <v>14</v>
      </c>
      <c r="Y28" s="16">
        <f t="shared" si="20"/>
        <v>258</v>
      </c>
      <c r="Z28" s="16">
        <f t="shared" si="20"/>
        <v>84</v>
      </c>
      <c r="AA28" s="16">
        <f t="shared" si="20"/>
        <v>23</v>
      </c>
      <c r="AB28" s="16">
        <f t="shared" si="20"/>
        <v>58</v>
      </c>
      <c r="AC28" s="16">
        <f t="shared" si="20"/>
        <v>4368</v>
      </c>
      <c r="AD28" s="16">
        <f t="shared" si="20"/>
        <v>2</v>
      </c>
      <c r="AE28" s="32">
        <f t="shared" si="20"/>
        <v>3390</v>
      </c>
      <c r="AF28" s="32">
        <f t="shared" si="20"/>
        <v>7758</v>
      </c>
    </row>
    <row r="29" spans="2:32" ht="23.1" customHeight="1" x14ac:dyDescent="0.25">
      <c r="B29" s="23" t="s">
        <v>56</v>
      </c>
      <c r="C29" s="50">
        <v>26</v>
      </c>
      <c r="D29" s="50">
        <v>4</v>
      </c>
      <c r="E29" s="50">
        <v>3</v>
      </c>
      <c r="F29" s="50">
        <v>5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123</v>
      </c>
      <c r="N29" s="50">
        <v>0</v>
      </c>
      <c r="O29" s="15">
        <f t="shared" si="0"/>
        <v>41</v>
      </c>
      <c r="P29" s="15">
        <f t="shared" si="1"/>
        <v>164</v>
      </c>
      <c r="R29"/>
      <c r="S29" s="20"/>
      <c r="T29" s="19"/>
    </row>
    <row r="30" spans="2:32" ht="23.1" customHeight="1" x14ac:dyDescent="0.25">
      <c r="B30" s="23" t="s">
        <v>57</v>
      </c>
      <c r="C30" s="50">
        <v>43</v>
      </c>
      <c r="D30" s="50">
        <v>9</v>
      </c>
      <c r="E30" s="50">
        <v>8</v>
      </c>
      <c r="F30" s="50">
        <v>8</v>
      </c>
      <c r="G30" s="50">
        <v>0</v>
      </c>
      <c r="H30" s="50">
        <v>0</v>
      </c>
      <c r="I30" s="50">
        <v>3</v>
      </c>
      <c r="J30" s="50">
        <v>0</v>
      </c>
      <c r="K30" s="50">
        <v>1</v>
      </c>
      <c r="L30" s="50">
        <v>0</v>
      </c>
      <c r="M30" s="50">
        <v>53</v>
      </c>
      <c r="N30" s="50">
        <v>0</v>
      </c>
      <c r="O30" s="15">
        <f t="shared" si="0"/>
        <v>72</v>
      </c>
      <c r="P30" s="15">
        <f t="shared" si="1"/>
        <v>125</v>
      </c>
    </row>
    <row r="31" spans="2:32" ht="23.1" customHeight="1" x14ac:dyDescent="0.25">
      <c r="B31" s="24" t="s">
        <v>58</v>
      </c>
      <c r="C31" s="50">
        <v>34</v>
      </c>
      <c r="D31" s="50">
        <v>12</v>
      </c>
      <c r="E31" s="50">
        <v>10</v>
      </c>
      <c r="F31" s="50">
        <v>6</v>
      </c>
      <c r="G31" s="50">
        <v>0</v>
      </c>
      <c r="H31" s="50">
        <v>0</v>
      </c>
      <c r="I31" s="50">
        <v>5</v>
      </c>
      <c r="J31" s="50">
        <v>3</v>
      </c>
      <c r="K31" s="50">
        <v>0</v>
      </c>
      <c r="L31" s="50">
        <v>11</v>
      </c>
      <c r="M31" s="50">
        <v>104</v>
      </c>
      <c r="N31" s="50">
        <v>0</v>
      </c>
      <c r="O31" s="15">
        <f t="shared" si="0"/>
        <v>81</v>
      </c>
      <c r="P31" s="15">
        <f t="shared" si="1"/>
        <v>185</v>
      </c>
    </row>
    <row r="32" spans="2:32" ht="23.1" customHeight="1" x14ac:dyDescent="0.25">
      <c r="B32" s="24" t="s">
        <v>59</v>
      </c>
      <c r="C32" s="50">
        <v>35</v>
      </c>
      <c r="D32" s="50">
        <v>3</v>
      </c>
      <c r="E32" s="50">
        <v>2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110</v>
      </c>
      <c r="N32" s="50">
        <v>0</v>
      </c>
      <c r="O32" s="15">
        <f t="shared" si="0"/>
        <v>41</v>
      </c>
      <c r="P32" s="15">
        <f t="shared" si="1"/>
        <v>151</v>
      </c>
    </row>
    <row r="33" spans="2:20" ht="23.1" customHeight="1" x14ac:dyDescent="0.25">
      <c r="B33" s="23" t="s">
        <v>60</v>
      </c>
      <c r="C33" s="50">
        <v>40</v>
      </c>
      <c r="D33" s="50">
        <v>7</v>
      </c>
      <c r="E33" s="50">
        <v>5</v>
      </c>
      <c r="F33" s="50">
        <v>8</v>
      </c>
      <c r="G33" s="50">
        <v>0</v>
      </c>
      <c r="H33" s="50">
        <v>0</v>
      </c>
      <c r="I33" s="50">
        <v>8</v>
      </c>
      <c r="J33" s="50">
        <v>0</v>
      </c>
      <c r="K33" s="50">
        <v>3</v>
      </c>
      <c r="L33" s="50">
        <v>1</v>
      </c>
      <c r="M33" s="50">
        <v>78</v>
      </c>
      <c r="N33" s="50">
        <v>0</v>
      </c>
      <c r="O33" s="15">
        <f t="shared" si="0"/>
        <v>72</v>
      </c>
      <c r="P33" s="15">
        <f t="shared" si="1"/>
        <v>150</v>
      </c>
    </row>
    <row r="34" spans="2:20" ht="23.1" customHeight="1" x14ac:dyDescent="0.25">
      <c r="B34" s="24" t="s">
        <v>61</v>
      </c>
      <c r="C34" s="50">
        <v>39</v>
      </c>
      <c r="D34" s="50">
        <v>6</v>
      </c>
      <c r="E34" s="50">
        <v>9</v>
      </c>
      <c r="F34" s="50">
        <v>11</v>
      </c>
      <c r="G34" s="50">
        <v>1</v>
      </c>
      <c r="H34" s="50">
        <v>0</v>
      </c>
      <c r="I34" s="50">
        <v>13</v>
      </c>
      <c r="J34" s="50">
        <v>1</v>
      </c>
      <c r="K34" s="50">
        <v>0</v>
      </c>
      <c r="L34" s="50">
        <v>0</v>
      </c>
      <c r="M34" s="50">
        <v>125</v>
      </c>
      <c r="N34" s="50">
        <v>0</v>
      </c>
      <c r="O34" s="15">
        <f t="shared" si="0"/>
        <v>80</v>
      </c>
      <c r="P34" s="15">
        <f t="shared" si="1"/>
        <v>205</v>
      </c>
    </row>
    <row r="35" spans="2:20" ht="23.1" customHeight="1" x14ac:dyDescent="0.25">
      <c r="B35" s="24" t="s">
        <v>62</v>
      </c>
      <c r="C35" s="50">
        <v>45</v>
      </c>
      <c r="D35" s="50">
        <v>15</v>
      </c>
      <c r="E35" s="50">
        <v>3</v>
      </c>
      <c r="F35" s="50">
        <v>6</v>
      </c>
      <c r="G35" s="50">
        <v>0</v>
      </c>
      <c r="H35" s="50">
        <v>0</v>
      </c>
      <c r="I35" s="50">
        <v>11</v>
      </c>
      <c r="J35" s="50">
        <v>1</v>
      </c>
      <c r="K35" s="50">
        <v>1</v>
      </c>
      <c r="L35" s="50">
        <v>2</v>
      </c>
      <c r="M35" s="50">
        <v>150</v>
      </c>
      <c r="N35" s="50">
        <v>0</v>
      </c>
      <c r="O35" s="15">
        <f t="shared" si="0"/>
        <v>84</v>
      </c>
      <c r="P35" s="15">
        <f t="shared" si="1"/>
        <v>234</v>
      </c>
    </row>
    <row r="36" spans="2:20" ht="23.1" customHeight="1" x14ac:dyDescent="0.25">
      <c r="B36" s="24" t="s">
        <v>63</v>
      </c>
      <c r="C36" s="50">
        <v>42</v>
      </c>
      <c r="D36" s="50">
        <v>4</v>
      </c>
      <c r="E36" s="50">
        <v>4</v>
      </c>
      <c r="F36" s="50">
        <v>6</v>
      </c>
      <c r="G36" s="50">
        <v>0</v>
      </c>
      <c r="H36" s="50">
        <v>0</v>
      </c>
      <c r="I36" s="50">
        <v>5</v>
      </c>
      <c r="J36" s="50">
        <v>2</v>
      </c>
      <c r="K36" s="50">
        <v>0</v>
      </c>
      <c r="L36" s="50">
        <v>0</v>
      </c>
      <c r="M36" s="50">
        <v>63</v>
      </c>
      <c r="N36" s="50">
        <v>0</v>
      </c>
      <c r="O36" s="15">
        <f t="shared" si="0"/>
        <v>63</v>
      </c>
      <c r="P36" s="15">
        <f t="shared" si="1"/>
        <v>126</v>
      </c>
    </row>
    <row r="37" spans="2:20" ht="23.1" customHeight="1" x14ac:dyDescent="0.25">
      <c r="B37" s="23" t="s">
        <v>64</v>
      </c>
      <c r="C37" s="50">
        <v>35</v>
      </c>
      <c r="D37" s="50">
        <v>7</v>
      </c>
      <c r="E37" s="50">
        <v>9</v>
      </c>
      <c r="F37" s="50">
        <v>5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79</v>
      </c>
      <c r="N37" s="50">
        <v>0</v>
      </c>
      <c r="O37" s="15">
        <f t="shared" si="0"/>
        <v>58</v>
      </c>
      <c r="P37" s="15">
        <f t="shared" si="1"/>
        <v>137</v>
      </c>
    </row>
    <row r="38" spans="2:20" ht="23.1" customHeight="1" x14ac:dyDescent="0.25">
      <c r="B38" s="24" t="s">
        <v>65</v>
      </c>
      <c r="C38" s="50">
        <v>30</v>
      </c>
      <c r="D38" s="50">
        <v>2</v>
      </c>
      <c r="E38" s="50">
        <v>4</v>
      </c>
      <c r="F38" s="50">
        <v>4</v>
      </c>
      <c r="G38" s="50">
        <v>1</v>
      </c>
      <c r="H38" s="50">
        <v>0</v>
      </c>
      <c r="I38" s="50">
        <v>5</v>
      </c>
      <c r="J38" s="50">
        <v>1</v>
      </c>
      <c r="K38" s="50">
        <v>0</v>
      </c>
      <c r="L38" s="50">
        <v>0</v>
      </c>
      <c r="M38" s="50">
        <v>40</v>
      </c>
      <c r="N38" s="50">
        <v>0</v>
      </c>
      <c r="O38" s="15">
        <f t="shared" si="0"/>
        <v>47</v>
      </c>
      <c r="P38" s="15">
        <f t="shared" si="1"/>
        <v>87</v>
      </c>
    </row>
    <row r="39" spans="2:20" ht="23.1" customHeight="1" x14ac:dyDescent="0.25">
      <c r="B39" s="24" t="s">
        <v>66</v>
      </c>
      <c r="C39" s="50">
        <v>52</v>
      </c>
      <c r="D39" s="50">
        <v>12</v>
      </c>
      <c r="E39" s="50">
        <v>6</v>
      </c>
      <c r="F39" s="50">
        <v>9</v>
      </c>
      <c r="G39" s="50">
        <v>0</v>
      </c>
      <c r="H39" s="50">
        <v>0</v>
      </c>
      <c r="I39" s="50">
        <v>3</v>
      </c>
      <c r="J39" s="50">
        <v>2</v>
      </c>
      <c r="K39" s="50">
        <v>0</v>
      </c>
      <c r="L39" s="50">
        <v>0</v>
      </c>
      <c r="M39" s="50">
        <v>31</v>
      </c>
      <c r="N39" s="50">
        <v>0</v>
      </c>
      <c r="O39" s="15">
        <f t="shared" si="0"/>
        <v>84</v>
      </c>
      <c r="P39" s="15">
        <f t="shared" si="1"/>
        <v>115</v>
      </c>
    </row>
    <row r="40" spans="2:20" ht="23.1" customHeight="1" x14ac:dyDescent="0.25">
      <c r="B40" s="24" t="s">
        <v>67</v>
      </c>
      <c r="C40" s="50">
        <v>45</v>
      </c>
      <c r="D40" s="50">
        <v>8</v>
      </c>
      <c r="E40" s="50">
        <v>5</v>
      </c>
      <c r="F40" s="50">
        <v>4</v>
      </c>
      <c r="G40" s="50">
        <v>1</v>
      </c>
      <c r="H40" s="50">
        <v>0</v>
      </c>
      <c r="I40" s="50">
        <v>5</v>
      </c>
      <c r="J40" s="50">
        <v>3</v>
      </c>
      <c r="K40" s="50">
        <v>0</v>
      </c>
      <c r="L40" s="50">
        <v>0</v>
      </c>
      <c r="M40" s="50">
        <v>52</v>
      </c>
      <c r="N40" s="50">
        <v>0</v>
      </c>
      <c r="O40" s="15">
        <f t="shared" si="0"/>
        <v>71</v>
      </c>
      <c r="P40" s="15">
        <f t="shared" si="1"/>
        <v>123</v>
      </c>
    </row>
    <row r="41" spans="2:20" ht="23.1" customHeight="1" x14ac:dyDescent="0.25">
      <c r="B41" s="23" t="s">
        <v>68</v>
      </c>
      <c r="C41" s="50">
        <v>40</v>
      </c>
      <c r="D41" s="50">
        <v>4</v>
      </c>
      <c r="E41" s="50">
        <v>9</v>
      </c>
      <c r="F41" s="50">
        <v>5</v>
      </c>
      <c r="G41" s="50">
        <v>0</v>
      </c>
      <c r="H41" s="50">
        <v>0</v>
      </c>
      <c r="I41" s="50">
        <v>5</v>
      </c>
      <c r="J41" s="50">
        <v>2</v>
      </c>
      <c r="K41" s="50">
        <v>1</v>
      </c>
      <c r="L41" s="50">
        <v>3</v>
      </c>
      <c r="M41" s="50">
        <v>108</v>
      </c>
      <c r="N41" s="50">
        <v>0</v>
      </c>
      <c r="O41" s="15">
        <f t="shared" si="0"/>
        <v>69</v>
      </c>
      <c r="P41" s="15">
        <f t="shared" si="1"/>
        <v>177</v>
      </c>
    </row>
    <row r="42" spans="2:20" ht="23.1" customHeight="1" x14ac:dyDescent="0.25">
      <c r="B42" s="24" t="s">
        <v>69</v>
      </c>
      <c r="C42" s="50">
        <v>32</v>
      </c>
      <c r="D42" s="50">
        <v>5</v>
      </c>
      <c r="E42" s="50">
        <v>6</v>
      </c>
      <c r="F42" s="50">
        <v>5</v>
      </c>
      <c r="G42" s="50">
        <v>0</v>
      </c>
      <c r="H42" s="50">
        <v>0</v>
      </c>
      <c r="I42" s="50">
        <v>8</v>
      </c>
      <c r="J42" s="50">
        <v>3</v>
      </c>
      <c r="K42" s="50">
        <v>0</v>
      </c>
      <c r="L42" s="50">
        <v>1</v>
      </c>
      <c r="M42" s="50">
        <v>63</v>
      </c>
      <c r="N42" s="50">
        <v>0</v>
      </c>
      <c r="O42" s="15">
        <f t="shared" si="0"/>
        <v>60</v>
      </c>
      <c r="P42" s="15">
        <f t="shared" si="1"/>
        <v>123</v>
      </c>
    </row>
    <row r="43" spans="2:20" ht="23.1" customHeight="1" x14ac:dyDescent="0.25">
      <c r="B43" s="23" t="s">
        <v>70</v>
      </c>
      <c r="C43" s="50">
        <v>46</v>
      </c>
      <c r="D43" s="50">
        <v>10</v>
      </c>
      <c r="E43" s="50">
        <v>13</v>
      </c>
      <c r="F43" s="50">
        <v>3</v>
      </c>
      <c r="G43" s="50">
        <v>0</v>
      </c>
      <c r="H43" s="50">
        <v>0</v>
      </c>
      <c r="I43" s="50">
        <v>4</v>
      </c>
      <c r="J43" s="50">
        <v>0</v>
      </c>
      <c r="K43" s="50">
        <v>0</v>
      </c>
      <c r="L43" s="50">
        <v>0</v>
      </c>
      <c r="M43" s="50">
        <v>82</v>
      </c>
      <c r="N43" s="50">
        <v>0</v>
      </c>
      <c r="O43" s="15">
        <f t="shared" si="0"/>
        <v>76</v>
      </c>
      <c r="P43" s="15">
        <f t="shared" si="1"/>
        <v>158</v>
      </c>
    </row>
    <row r="44" spans="2:20" ht="23.1" customHeight="1" x14ac:dyDescent="0.25">
      <c r="B44" s="25" t="s">
        <v>71</v>
      </c>
      <c r="C44" s="50">
        <v>51</v>
      </c>
      <c r="D44" s="50">
        <v>11</v>
      </c>
      <c r="E44" s="50">
        <v>6</v>
      </c>
      <c r="F44" s="50">
        <v>4</v>
      </c>
      <c r="G44" s="50">
        <v>0</v>
      </c>
      <c r="H44" s="50">
        <v>0</v>
      </c>
      <c r="I44" s="50">
        <v>12</v>
      </c>
      <c r="J44" s="50">
        <v>5</v>
      </c>
      <c r="K44" s="50">
        <v>1</v>
      </c>
      <c r="L44" s="50">
        <v>2</v>
      </c>
      <c r="M44" s="50">
        <v>102</v>
      </c>
      <c r="N44" s="50">
        <v>0</v>
      </c>
      <c r="O44" s="15">
        <f t="shared" si="0"/>
        <v>92</v>
      </c>
      <c r="P44" s="15">
        <f t="shared" si="1"/>
        <v>194</v>
      </c>
    </row>
    <row r="45" spans="2:20" ht="23.1" customHeight="1" x14ac:dyDescent="0.25">
      <c r="B45" s="23" t="s">
        <v>72</v>
      </c>
      <c r="C45" s="50">
        <v>30</v>
      </c>
      <c r="D45" s="50">
        <v>2</v>
      </c>
      <c r="E45" s="50">
        <v>6</v>
      </c>
      <c r="F45" s="50">
        <v>6</v>
      </c>
      <c r="G45" s="50">
        <v>0</v>
      </c>
      <c r="H45" s="50">
        <v>0</v>
      </c>
      <c r="I45" s="50">
        <v>6</v>
      </c>
      <c r="J45" s="50">
        <v>2</v>
      </c>
      <c r="K45" s="50">
        <v>0</v>
      </c>
      <c r="L45" s="50">
        <v>1</v>
      </c>
      <c r="M45" s="50">
        <v>135</v>
      </c>
      <c r="N45" s="50">
        <v>0</v>
      </c>
      <c r="O45" s="15">
        <f t="shared" si="0"/>
        <v>53</v>
      </c>
      <c r="P45" s="15">
        <f t="shared" si="1"/>
        <v>188</v>
      </c>
    </row>
    <row r="46" spans="2:20" ht="23.1" customHeight="1" x14ac:dyDescent="0.25">
      <c r="B46" s="24" t="s">
        <v>73</v>
      </c>
      <c r="C46" s="50">
        <v>83</v>
      </c>
      <c r="D46" s="50">
        <v>8</v>
      </c>
      <c r="E46" s="50">
        <v>9</v>
      </c>
      <c r="F46" s="50">
        <v>9</v>
      </c>
      <c r="G46" s="50">
        <v>0</v>
      </c>
      <c r="H46" s="50">
        <v>0</v>
      </c>
      <c r="I46" s="50">
        <v>7</v>
      </c>
      <c r="J46" s="50">
        <v>3</v>
      </c>
      <c r="K46" s="50">
        <v>0</v>
      </c>
      <c r="L46" s="50">
        <v>2</v>
      </c>
      <c r="M46" s="50">
        <v>46</v>
      </c>
      <c r="N46" s="50">
        <v>0</v>
      </c>
      <c r="O46" s="15">
        <f t="shared" si="0"/>
        <v>121</v>
      </c>
      <c r="P46" s="15">
        <f t="shared" si="1"/>
        <v>167</v>
      </c>
      <c r="R46" s="8"/>
      <c r="T46"/>
    </row>
    <row r="47" spans="2:20" ht="23.1" customHeight="1" x14ac:dyDescent="0.25">
      <c r="B47" s="24" t="s">
        <v>74</v>
      </c>
      <c r="C47" s="50">
        <v>48</v>
      </c>
      <c r="D47" s="50">
        <v>4</v>
      </c>
      <c r="E47" s="50">
        <v>4</v>
      </c>
      <c r="F47" s="50">
        <v>8</v>
      </c>
      <c r="G47" s="50">
        <v>0</v>
      </c>
      <c r="H47" s="50">
        <v>0</v>
      </c>
      <c r="I47" s="50">
        <v>4</v>
      </c>
      <c r="J47" s="50">
        <v>0</v>
      </c>
      <c r="K47" s="50">
        <v>0</v>
      </c>
      <c r="L47" s="50">
        <v>1</v>
      </c>
      <c r="M47" s="50">
        <v>107</v>
      </c>
      <c r="N47" s="50">
        <v>1</v>
      </c>
      <c r="O47" s="15">
        <f t="shared" si="0"/>
        <v>70</v>
      </c>
      <c r="P47" s="15">
        <f t="shared" si="1"/>
        <v>177</v>
      </c>
      <c r="R47" s="8"/>
      <c r="T47"/>
    </row>
    <row r="48" spans="2:20" ht="23.1" customHeight="1" x14ac:dyDescent="0.25">
      <c r="B48" s="24" t="s">
        <v>75</v>
      </c>
      <c r="C48" s="50">
        <v>53</v>
      </c>
      <c r="D48" s="50">
        <v>2</v>
      </c>
      <c r="E48" s="50">
        <v>4</v>
      </c>
      <c r="F48" s="50">
        <v>2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83</v>
      </c>
      <c r="N48" s="50">
        <v>0</v>
      </c>
      <c r="O48" s="15">
        <f t="shared" si="0"/>
        <v>64</v>
      </c>
      <c r="P48" s="15">
        <f t="shared" si="1"/>
        <v>147</v>
      </c>
      <c r="R48" s="8"/>
      <c r="T48"/>
    </row>
    <row r="49" spans="2:20" ht="23.1" customHeight="1" x14ac:dyDescent="0.25">
      <c r="B49" s="23" t="s">
        <v>76</v>
      </c>
      <c r="C49" s="50">
        <v>40</v>
      </c>
      <c r="D49" s="50">
        <v>5</v>
      </c>
      <c r="E49" s="50">
        <v>6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101</v>
      </c>
      <c r="N49" s="50">
        <v>0</v>
      </c>
      <c r="O49" s="15">
        <f t="shared" si="0"/>
        <v>52</v>
      </c>
      <c r="P49" s="15">
        <f t="shared" si="1"/>
        <v>153</v>
      </c>
      <c r="R49" s="8"/>
      <c r="T49"/>
    </row>
    <row r="50" spans="2:20" ht="23.1" customHeight="1" x14ac:dyDescent="0.25">
      <c r="B50" s="24" t="s">
        <v>77</v>
      </c>
      <c r="C50" s="50">
        <v>61</v>
      </c>
      <c r="D50" s="50">
        <v>13</v>
      </c>
      <c r="E50" s="50">
        <v>13</v>
      </c>
      <c r="F50" s="50">
        <v>3</v>
      </c>
      <c r="G50" s="50">
        <v>0</v>
      </c>
      <c r="H50" s="50">
        <v>0</v>
      </c>
      <c r="I50" s="50">
        <v>8</v>
      </c>
      <c r="J50" s="50">
        <v>3</v>
      </c>
      <c r="K50" s="50">
        <v>0</v>
      </c>
      <c r="L50" s="50">
        <v>0</v>
      </c>
      <c r="M50" s="50">
        <v>58</v>
      </c>
      <c r="N50" s="50">
        <v>0</v>
      </c>
      <c r="O50" s="15">
        <f t="shared" si="0"/>
        <v>101</v>
      </c>
      <c r="P50" s="15">
        <f t="shared" si="1"/>
        <v>159</v>
      </c>
      <c r="R50" s="8"/>
      <c r="T50"/>
    </row>
    <row r="51" spans="2:20" ht="23.1" customHeight="1" x14ac:dyDescent="0.25">
      <c r="B51" s="24" t="s">
        <v>78</v>
      </c>
      <c r="C51" s="50">
        <v>65</v>
      </c>
      <c r="D51" s="50">
        <v>13</v>
      </c>
      <c r="E51" s="50">
        <v>15</v>
      </c>
      <c r="F51" s="50">
        <v>9</v>
      </c>
      <c r="G51" s="50">
        <v>0</v>
      </c>
      <c r="H51" s="50">
        <v>0</v>
      </c>
      <c r="I51" s="50">
        <v>5</v>
      </c>
      <c r="J51" s="50">
        <v>1</v>
      </c>
      <c r="K51" s="50">
        <v>0</v>
      </c>
      <c r="L51" s="50">
        <v>3</v>
      </c>
      <c r="M51" s="50">
        <v>102</v>
      </c>
      <c r="N51" s="50">
        <v>0</v>
      </c>
      <c r="O51" s="15">
        <f t="shared" si="0"/>
        <v>111</v>
      </c>
      <c r="P51" s="15">
        <f t="shared" si="1"/>
        <v>213</v>
      </c>
      <c r="R51" s="8"/>
      <c r="T51"/>
    </row>
    <row r="52" spans="2:20" ht="23.1" customHeight="1" x14ac:dyDescent="0.25">
      <c r="B52" s="24" t="s">
        <v>79</v>
      </c>
      <c r="C52" s="50">
        <v>82</v>
      </c>
      <c r="D52" s="50">
        <v>11</v>
      </c>
      <c r="E52" s="50">
        <v>7</v>
      </c>
      <c r="F52" s="50">
        <v>2</v>
      </c>
      <c r="G52" s="50">
        <v>0</v>
      </c>
      <c r="H52" s="50">
        <v>0</v>
      </c>
      <c r="I52" s="50">
        <v>2</v>
      </c>
      <c r="J52" s="50">
        <v>5</v>
      </c>
      <c r="K52" s="50">
        <v>1</v>
      </c>
      <c r="L52" s="50">
        <v>2</v>
      </c>
      <c r="M52" s="50">
        <v>63</v>
      </c>
      <c r="N52" s="50">
        <v>0</v>
      </c>
      <c r="O52" s="15">
        <f t="shared" si="0"/>
        <v>112</v>
      </c>
      <c r="P52" s="15">
        <f t="shared" si="1"/>
        <v>175</v>
      </c>
      <c r="R52" s="8"/>
      <c r="T52"/>
    </row>
    <row r="53" spans="2:20" ht="23.1" customHeight="1" x14ac:dyDescent="0.25">
      <c r="B53" s="23" t="s">
        <v>80</v>
      </c>
      <c r="C53" s="50">
        <v>63</v>
      </c>
      <c r="D53" s="50">
        <v>15</v>
      </c>
      <c r="E53" s="50">
        <v>9</v>
      </c>
      <c r="F53" s="50">
        <v>6</v>
      </c>
      <c r="G53" s="50">
        <v>0</v>
      </c>
      <c r="H53" s="50">
        <v>0</v>
      </c>
      <c r="I53" s="50">
        <v>4</v>
      </c>
      <c r="J53" s="50">
        <v>8</v>
      </c>
      <c r="K53" s="50">
        <v>3</v>
      </c>
      <c r="L53" s="50">
        <v>0</v>
      </c>
      <c r="M53" s="50">
        <v>64</v>
      </c>
      <c r="N53" s="50">
        <v>0</v>
      </c>
      <c r="O53" s="15">
        <f t="shared" si="0"/>
        <v>108</v>
      </c>
      <c r="P53" s="15">
        <f t="shared" si="1"/>
        <v>172</v>
      </c>
      <c r="R53" s="8"/>
      <c r="T53"/>
    </row>
    <row r="54" spans="2:20" ht="23.1" customHeight="1" x14ac:dyDescent="0.25">
      <c r="B54" s="23" t="s">
        <v>81</v>
      </c>
      <c r="C54" s="50">
        <v>33</v>
      </c>
      <c r="D54" s="50">
        <v>6</v>
      </c>
      <c r="E54" s="50">
        <v>4</v>
      </c>
      <c r="F54" s="50">
        <v>0</v>
      </c>
      <c r="G54" s="50">
        <v>0</v>
      </c>
      <c r="H54" s="50">
        <v>0</v>
      </c>
      <c r="I54" s="50">
        <v>4</v>
      </c>
      <c r="J54" s="50">
        <v>7</v>
      </c>
      <c r="K54" s="50">
        <v>2</v>
      </c>
      <c r="L54" s="50">
        <v>0</v>
      </c>
      <c r="M54" s="50">
        <v>49</v>
      </c>
      <c r="N54" s="50">
        <v>1</v>
      </c>
      <c r="O54" s="15">
        <f t="shared" si="0"/>
        <v>57</v>
      </c>
      <c r="P54" s="15">
        <f t="shared" si="1"/>
        <v>106</v>
      </c>
      <c r="R54" s="8"/>
      <c r="T54"/>
    </row>
    <row r="55" spans="2:20" ht="23.1" customHeight="1" x14ac:dyDescent="0.25">
      <c r="B55" s="23" t="s">
        <v>82</v>
      </c>
      <c r="C55" s="50">
        <v>35</v>
      </c>
      <c r="D55" s="50">
        <v>7</v>
      </c>
      <c r="E55" s="50">
        <v>3</v>
      </c>
      <c r="F55" s="50">
        <v>2</v>
      </c>
      <c r="G55" s="50">
        <v>0</v>
      </c>
      <c r="H55" s="50">
        <v>0</v>
      </c>
      <c r="I55" s="50">
        <v>3</v>
      </c>
      <c r="J55" s="50">
        <v>0</v>
      </c>
      <c r="K55" s="50">
        <v>1</v>
      </c>
      <c r="L55" s="50">
        <v>0</v>
      </c>
      <c r="M55" s="50">
        <v>43</v>
      </c>
      <c r="N55" s="50">
        <v>0</v>
      </c>
      <c r="O55" s="15">
        <f t="shared" si="0"/>
        <v>51</v>
      </c>
      <c r="P55" s="15">
        <f t="shared" si="1"/>
        <v>94</v>
      </c>
      <c r="R55" s="8"/>
      <c r="T55"/>
    </row>
    <row r="56" spans="2:20" ht="23.1" customHeight="1" x14ac:dyDescent="0.25">
      <c r="B56" s="23" t="s">
        <v>83</v>
      </c>
      <c r="C56" s="50">
        <v>15</v>
      </c>
      <c r="D56" s="50">
        <v>4</v>
      </c>
      <c r="E56" s="50">
        <v>1</v>
      </c>
      <c r="F56" s="50">
        <v>1</v>
      </c>
      <c r="G56" s="50">
        <v>0</v>
      </c>
      <c r="H56" s="50">
        <v>0</v>
      </c>
      <c r="I56" s="50">
        <v>6</v>
      </c>
      <c r="J56" s="50">
        <v>1</v>
      </c>
      <c r="K56" s="50">
        <v>0</v>
      </c>
      <c r="L56" s="50">
        <v>5</v>
      </c>
      <c r="M56" s="50">
        <v>94</v>
      </c>
      <c r="N56" s="50">
        <v>0</v>
      </c>
      <c r="O56" s="15">
        <f t="shared" si="0"/>
        <v>33</v>
      </c>
      <c r="P56" s="15">
        <f t="shared" si="1"/>
        <v>127</v>
      </c>
      <c r="R56" s="8"/>
      <c r="T56"/>
    </row>
    <row r="57" spans="2:20" ht="23.1" customHeight="1" x14ac:dyDescent="0.25">
      <c r="B57" s="23" t="s">
        <v>84</v>
      </c>
      <c r="C57" s="50">
        <v>38</v>
      </c>
      <c r="D57" s="50">
        <v>3</v>
      </c>
      <c r="E57" s="50">
        <v>5</v>
      </c>
      <c r="F57" s="50">
        <v>5</v>
      </c>
      <c r="G57" s="50">
        <v>2</v>
      </c>
      <c r="H57" s="50">
        <v>0</v>
      </c>
      <c r="I57" s="50">
        <v>9</v>
      </c>
      <c r="J57" s="50">
        <v>0</v>
      </c>
      <c r="K57" s="50">
        <v>0</v>
      </c>
      <c r="L57" s="50">
        <v>2</v>
      </c>
      <c r="M57" s="50">
        <v>69</v>
      </c>
      <c r="N57" s="50">
        <v>0</v>
      </c>
      <c r="O57" s="15">
        <f t="shared" si="0"/>
        <v>64</v>
      </c>
      <c r="P57" s="15">
        <f t="shared" si="1"/>
        <v>133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1964</v>
      </c>
      <c r="D58" s="16">
        <f t="shared" si="21"/>
        <v>359</v>
      </c>
      <c r="E58" s="16">
        <f t="shared" si="21"/>
        <v>320</v>
      </c>
      <c r="F58" s="16">
        <f t="shared" si="21"/>
        <v>284</v>
      </c>
      <c r="G58" s="16">
        <f t="shared" si="21"/>
        <v>24</v>
      </c>
      <c r="H58" s="16">
        <f t="shared" si="21"/>
        <v>14</v>
      </c>
      <c r="I58" s="16">
        <f t="shared" si="21"/>
        <v>258</v>
      </c>
      <c r="J58" s="16">
        <f t="shared" si="21"/>
        <v>84</v>
      </c>
      <c r="K58" s="16">
        <f t="shared" si="21"/>
        <v>23</v>
      </c>
      <c r="L58" s="16">
        <f t="shared" si="21"/>
        <v>58</v>
      </c>
      <c r="M58" s="16">
        <f t="shared" si="21"/>
        <v>4368</v>
      </c>
      <c r="N58" s="16">
        <f t="shared" si="21"/>
        <v>2</v>
      </c>
      <c r="O58" s="16">
        <f t="shared" si="21"/>
        <v>3390</v>
      </c>
      <c r="P58" s="16">
        <f t="shared" si="21"/>
        <v>7758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0.2531580304202114</v>
      </c>
      <c r="D59" s="43">
        <f t="shared" si="22"/>
        <v>4.6274813096158801E-2</v>
      </c>
      <c r="E59" s="43">
        <f t="shared" si="22"/>
        <v>4.1247744263985565E-2</v>
      </c>
      <c r="F59" s="43">
        <f t="shared" si="22"/>
        <v>3.660737303428719E-2</v>
      </c>
      <c r="G59" s="43">
        <f t="shared" si="22"/>
        <v>3.0935808197989174E-3</v>
      </c>
      <c r="H59" s="43">
        <f t="shared" si="22"/>
        <v>1.8045888115493685E-3</v>
      </c>
      <c r="I59" s="43">
        <f t="shared" si="22"/>
        <v>3.3255993812838364E-2</v>
      </c>
      <c r="J59" s="43">
        <f t="shared" si="22"/>
        <v>1.082753286929621E-2</v>
      </c>
      <c r="K59" s="43">
        <f t="shared" si="22"/>
        <v>2.9646816189739622E-3</v>
      </c>
      <c r="L59" s="43">
        <f t="shared" si="22"/>
        <v>7.4761536478473835E-3</v>
      </c>
      <c r="M59" s="43">
        <f t="shared" si="22"/>
        <v>0.56303170920340295</v>
      </c>
      <c r="N59" s="43">
        <f t="shared" si="22"/>
        <v>2.5779840164990978E-4</v>
      </c>
      <c r="R59" s="8"/>
      <c r="T59"/>
    </row>
    <row r="60" spans="2:20" ht="23.1" customHeight="1" x14ac:dyDescent="0.25">
      <c r="B60" s="42" t="s">
        <v>94</v>
      </c>
      <c r="C60" s="44">
        <f>C58/$O$58</f>
        <v>0.5793510324483776</v>
      </c>
      <c r="D60" s="44">
        <f t="shared" ref="D60:N60" si="23">D58/$O$58</f>
        <v>0.10589970501474927</v>
      </c>
      <c r="E60" s="44">
        <f t="shared" si="23"/>
        <v>9.4395280235988199E-2</v>
      </c>
      <c r="F60" s="44">
        <f t="shared" si="23"/>
        <v>8.3775811209439527E-2</v>
      </c>
      <c r="G60" s="44">
        <f t="shared" si="23"/>
        <v>7.0796460176991149E-3</v>
      </c>
      <c r="H60" s="44">
        <f t="shared" si="23"/>
        <v>4.1297935103244837E-3</v>
      </c>
      <c r="I60" s="44">
        <f t="shared" si="23"/>
        <v>7.6106194690265486E-2</v>
      </c>
      <c r="J60" s="44">
        <f t="shared" si="23"/>
        <v>2.4778761061946902E-2</v>
      </c>
      <c r="K60" s="44">
        <f t="shared" si="23"/>
        <v>6.7846607669616518E-3</v>
      </c>
      <c r="L60" s="44">
        <f t="shared" si="23"/>
        <v>1.7109144542772861E-2</v>
      </c>
      <c r="M60" s="44"/>
      <c r="N60" s="44">
        <f t="shared" si="23"/>
        <v>5.8997050147492625E-4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37" zoomScale="60" workbookViewId="0">
      <selection activeCell="C103" sqref="C10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Spear Motors -URA'!C3:G3</f>
        <v>MCC - C1 - STN44- NAKAWA-JINJA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63" t="str">
        <f>'01.08 URA-Spear Motors-24h'!G5:H5</f>
        <v>Spear Motors Limited</v>
      </c>
      <c r="H5" s="64"/>
      <c r="I5" s="14"/>
      <c r="J5" s="2" t="s">
        <v>5</v>
      </c>
      <c r="K5" s="63" t="s">
        <v>190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Spear Motors -URA'!D6:E6</f>
        <v>Spear Motors</v>
      </c>
      <c r="E6" s="64"/>
      <c r="F6" s="2" t="s">
        <v>2</v>
      </c>
      <c r="G6" s="63" t="str">
        <f>'29.07 Spear Motors -URA'!G6:H6</f>
        <v>URA</v>
      </c>
      <c r="H6" s="64"/>
      <c r="J6" s="2" t="s">
        <v>21</v>
      </c>
      <c r="K6" s="63" t="s">
        <v>189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27</v>
      </c>
      <c r="D10" s="50">
        <v>3</v>
      </c>
      <c r="E10" s="50">
        <v>6</v>
      </c>
      <c r="F10" s="50">
        <v>8</v>
      </c>
      <c r="G10" s="50">
        <v>0</v>
      </c>
      <c r="H10" s="50">
        <v>0</v>
      </c>
      <c r="I10" s="50">
        <v>1</v>
      </c>
      <c r="J10" s="50">
        <v>1</v>
      </c>
      <c r="K10" s="50">
        <v>2</v>
      </c>
      <c r="L10" s="50">
        <v>5</v>
      </c>
      <c r="M10" s="50">
        <v>55</v>
      </c>
      <c r="N10" s="50">
        <v>0</v>
      </c>
      <c r="O10" s="15">
        <f t="shared" ref="O10:O73" si="0">SUM(C10:L10,N10)</f>
        <v>53</v>
      </c>
      <c r="P10" s="15">
        <f t="shared" ref="P10:P73" si="1">SUM(C10:N10)</f>
        <v>108</v>
      </c>
      <c r="R10" s="1" t="s">
        <v>6</v>
      </c>
      <c r="S10" s="17">
        <f t="shared" ref="S10:AF10" si="2">SUM(C10:C13)</f>
        <v>84</v>
      </c>
      <c r="T10" s="17">
        <f t="shared" si="2"/>
        <v>16</v>
      </c>
      <c r="U10" s="17">
        <f t="shared" si="2"/>
        <v>15</v>
      </c>
      <c r="V10" s="17">
        <f t="shared" si="2"/>
        <v>33</v>
      </c>
      <c r="W10" s="17">
        <f t="shared" si="2"/>
        <v>4</v>
      </c>
      <c r="X10" s="17">
        <f t="shared" si="2"/>
        <v>0</v>
      </c>
      <c r="Y10" s="17">
        <f t="shared" si="2"/>
        <v>9</v>
      </c>
      <c r="Z10" s="17">
        <f t="shared" si="2"/>
        <v>4</v>
      </c>
      <c r="AA10" s="17">
        <f t="shared" si="2"/>
        <v>9</v>
      </c>
      <c r="AB10" s="17">
        <f t="shared" si="2"/>
        <v>18</v>
      </c>
      <c r="AC10" s="17">
        <f t="shared" si="2"/>
        <v>582</v>
      </c>
      <c r="AD10" s="17">
        <f t="shared" si="2"/>
        <v>0</v>
      </c>
      <c r="AE10" s="31">
        <f t="shared" si="2"/>
        <v>192</v>
      </c>
      <c r="AF10" s="31">
        <f t="shared" si="2"/>
        <v>774</v>
      </c>
    </row>
    <row r="11" spans="2:32" s="6" customFormat="1" ht="23.1" customHeight="1" x14ac:dyDescent="0.25">
      <c r="B11" s="45" t="s">
        <v>38</v>
      </c>
      <c r="C11" s="50">
        <v>16</v>
      </c>
      <c r="D11" s="50">
        <v>7</v>
      </c>
      <c r="E11" s="50">
        <v>3</v>
      </c>
      <c r="F11" s="50">
        <v>8</v>
      </c>
      <c r="G11" s="50">
        <v>1</v>
      </c>
      <c r="H11" s="50">
        <v>0</v>
      </c>
      <c r="I11" s="50">
        <v>0</v>
      </c>
      <c r="J11" s="50">
        <v>2</v>
      </c>
      <c r="K11" s="50">
        <v>4</v>
      </c>
      <c r="L11" s="50">
        <v>3</v>
      </c>
      <c r="M11" s="50">
        <v>80</v>
      </c>
      <c r="N11" s="50">
        <v>0</v>
      </c>
      <c r="O11" s="15">
        <f t="shared" si="0"/>
        <v>44</v>
      </c>
      <c r="P11" s="15">
        <f t="shared" si="1"/>
        <v>124</v>
      </c>
      <c r="R11" s="1" t="s">
        <v>7</v>
      </c>
      <c r="S11" s="17">
        <f t="shared" ref="S11:AF11" si="3">SUM(C14:C17)</f>
        <v>114</v>
      </c>
      <c r="T11" s="17">
        <f t="shared" si="3"/>
        <v>21</v>
      </c>
      <c r="U11" s="17">
        <f t="shared" si="3"/>
        <v>21</v>
      </c>
      <c r="V11" s="17">
        <f t="shared" si="3"/>
        <v>42</v>
      </c>
      <c r="W11" s="17">
        <f t="shared" si="3"/>
        <v>4</v>
      </c>
      <c r="X11" s="17">
        <f t="shared" si="3"/>
        <v>0</v>
      </c>
      <c r="Y11" s="17">
        <f t="shared" si="3"/>
        <v>11</v>
      </c>
      <c r="Z11" s="17">
        <f t="shared" si="3"/>
        <v>6</v>
      </c>
      <c r="AA11" s="17">
        <f t="shared" si="3"/>
        <v>5</v>
      </c>
      <c r="AB11" s="17">
        <f t="shared" si="3"/>
        <v>13</v>
      </c>
      <c r="AC11" s="17">
        <f t="shared" si="3"/>
        <v>281</v>
      </c>
      <c r="AD11" s="17">
        <f t="shared" si="3"/>
        <v>0</v>
      </c>
      <c r="AE11" s="31">
        <f t="shared" si="3"/>
        <v>237</v>
      </c>
      <c r="AF11" s="31">
        <f t="shared" si="3"/>
        <v>518</v>
      </c>
    </row>
    <row r="12" spans="2:32" ht="23.1" customHeight="1" x14ac:dyDescent="0.25">
      <c r="B12" s="45" t="s">
        <v>39</v>
      </c>
      <c r="C12" s="50">
        <v>22</v>
      </c>
      <c r="D12" s="50">
        <v>4</v>
      </c>
      <c r="E12" s="50">
        <v>2</v>
      </c>
      <c r="F12" s="50">
        <v>9</v>
      </c>
      <c r="G12" s="50">
        <v>3</v>
      </c>
      <c r="H12" s="50">
        <v>0</v>
      </c>
      <c r="I12" s="50">
        <v>3</v>
      </c>
      <c r="J12" s="50">
        <v>0</v>
      </c>
      <c r="K12" s="50">
        <v>2</v>
      </c>
      <c r="L12" s="50">
        <v>8</v>
      </c>
      <c r="M12" s="50">
        <v>137</v>
      </c>
      <c r="N12" s="50">
        <v>0</v>
      </c>
      <c r="O12" s="15">
        <f t="shared" si="0"/>
        <v>53</v>
      </c>
      <c r="P12" s="15">
        <f t="shared" si="1"/>
        <v>190</v>
      </c>
      <c r="R12" s="1" t="s">
        <v>8</v>
      </c>
      <c r="S12" s="17">
        <f t="shared" ref="S12:AF12" si="4">SUM(C18:C21)</f>
        <v>105</v>
      </c>
      <c r="T12" s="17">
        <f t="shared" si="4"/>
        <v>20</v>
      </c>
      <c r="U12" s="17">
        <f t="shared" si="4"/>
        <v>15</v>
      </c>
      <c r="V12" s="17">
        <f t="shared" si="4"/>
        <v>42</v>
      </c>
      <c r="W12" s="17">
        <f t="shared" si="4"/>
        <v>3</v>
      </c>
      <c r="X12" s="17">
        <f t="shared" si="4"/>
        <v>0</v>
      </c>
      <c r="Y12" s="17">
        <f t="shared" si="4"/>
        <v>12</v>
      </c>
      <c r="Z12" s="17">
        <f t="shared" si="4"/>
        <v>10</v>
      </c>
      <c r="AA12" s="17">
        <f t="shared" si="4"/>
        <v>7</v>
      </c>
      <c r="AB12" s="17">
        <f t="shared" si="4"/>
        <v>11</v>
      </c>
      <c r="AC12" s="17">
        <f t="shared" si="4"/>
        <v>557</v>
      </c>
      <c r="AD12" s="17">
        <f t="shared" si="4"/>
        <v>0</v>
      </c>
      <c r="AE12" s="31">
        <f t="shared" si="4"/>
        <v>225</v>
      </c>
      <c r="AF12" s="31">
        <f t="shared" si="4"/>
        <v>782</v>
      </c>
    </row>
    <row r="13" spans="2:32" ht="23.1" customHeight="1" x14ac:dyDescent="0.25">
      <c r="B13" s="45" t="s">
        <v>40</v>
      </c>
      <c r="C13" s="50">
        <v>19</v>
      </c>
      <c r="D13" s="50">
        <v>2</v>
      </c>
      <c r="E13" s="50">
        <v>4</v>
      </c>
      <c r="F13" s="50">
        <v>8</v>
      </c>
      <c r="G13" s="50">
        <v>0</v>
      </c>
      <c r="H13" s="50">
        <v>0</v>
      </c>
      <c r="I13" s="50">
        <v>5</v>
      </c>
      <c r="J13" s="50">
        <v>1</v>
      </c>
      <c r="K13" s="50">
        <v>1</v>
      </c>
      <c r="L13" s="50">
        <v>2</v>
      </c>
      <c r="M13" s="50">
        <v>310</v>
      </c>
      <c r="N13" s="50">
        <v>0</v>
      </c>
      <c r="O13" s="15">
        <f t="shared" si="0"/>
        <v>42</v>
      </c>
      <c r="P13" s="15">
        <f t="shared" si="1"/>
        <v>352</v>
      </c>
      <c r="R13" s="1" t="s">
        <v>9</v>
      </c>
      <c r="S13" s="17">
        <f t="shared" ref="S13:AF13" si="5">SUM(C22:C25)</f>
        <v>130</v>
      </c>
      <c r="T13" s="17">
        <f t="shared" si="5"/>
        <v>26</v>
      </c>
      <c r="U13" s="17">
        <f t="shared" si="5"/>
        <v>31</v>
      </c>
      <c r="V13" s="17">
        <f t="shared" si="5"/>
        <v>21</v>
      </c>
      <c r="W13" s="17">
        <f t="shared" si="5"/>
        <v>8</v>
      </c>
      <c r="X13" s="17">
        <f t="shared" si="5"/>
        <v>0</v>
      </c>
      <c r="Y13" s="17">
        <f t="shared" si="5"/>
        <v>14</v>
      </c>
      <c r="Z13" s="17">
        <f t="shared" si="5"/>
        <v>6</v>
      </c>
      <c r="AA13" s="17">
        <f t="shared" si="5"/>
        <v>8</v>
      </c>
      <c r="AB13" s="17">
        <f t="shared" si="5"/>
        <v>11</v>
      </c>
      <c r="AC13" s="17">
        <f t="shared" si="5"/>
        <v>360</v>
      </c>
      <c r="AD13" s="17">
        <f t="shared" si="5"/>
        <v>0</v>
      </c>
      <c r="AE13" s="31">
        <f t="shared" si="5"/>
        <v>255</v>
      </c>
      <c r="AF13" s="31">
        <f t="shared" si="5"/>
        <v>615</v>
      </c>
    </row>
    <row r="14" spans="2:32" ht="23.1" customHeight="1" x14ac:dyDescent="0.25">
      <c r="B14" s="45" t="s">
        <v>41</v>
      </c>
      <c r="C14" s="50">
        <v>26</v>
      </c>
      <c r="D14" s="50">
        <v>7</v>
      </c>
      <c r="E14" s="50">
        <v>4</v>
      </c>
      <c r="F14" s="50">
        <v>14</v>
      </c>
      <c r="G14" s="50">
        <v>2</v>
      </c>
      <c r="H14" s="50">
        <v>0</v>
      </c>
      <c r="I14" s="50">
        <v>2</v>
      </c>
      <c r="J14" s="50">
        <v>2</v>
      </c>
      <c r="K14" s="50">
        <v>0</v>
      </c>
      <c r="L14" s="50">
        <v>3</v>
      </c>
      <c r="M14" s="50">
        <v>65</v>
      </c>
      <c r="N14" s="50">
        <v>0</v>
      </c>
      <c r="O14" s="15">
        <f t="shared" si="0"/>
        <v>60</v>
      </c>
      <c r="P14" s="15">
        <f t="shared" si="1"/>
        <v>125</v>
      </c>
      <c r="R14" s="1" t="s">
        <v>10</v>
      </c>
      <c r="S14" s="17">
        <f t="shared" ref="S14:AF14" si="6">SUM(C26:C29)</f>
        <v>138</v>
      </c>
      <c r="T14" s="17">
        <f t="shared" si="6"/>
        <v>25</v>
      </c>
      <c r="U14" s="17">
        <f t="shared" si="6"/>
        <v>19</v>
      </c>
      <c r="V14" s="17">
        <f t="shared" si="6"/>
        <v>23</v>
      </c>
      <c r="W14" s="17">
        <f t="shared" si="6"/>
        <v>6</v>
      </c>
      <c r="X14" s="17">
        <f t="shared" si="6"/>
        <v>0</v>
      </c>
      <c r="Y14" s="17">
        <f t="shared" si="6"/>
        <v>14</v>
      </c>
      <c r="Z14" s="17">
        <f t="shared" si="6"/>
        <v>10</v>
      </c>
      <c r="AA14" s="17">
        <f t="shared" si="6"/>
        <v>11</v>
      </c>
      <c r="AB14" s="17">
        <f t="shared" si="6"/>
        <v>20</v>
      </c>
      <c r="AC14" s="17">
        <f t="shared" si="6"/>
        <v>314</v>
      </c>
      <c r="AD14" s="17">
        <f t="shared" si="6"/>
        <v>0</v>
      </c>
      <c r="AE14" s="31">
        <f t="shared" si="6"/>
        <v>266</v>
      </c>
      <c r="AF14" s="31">
        <f t="shared" si="6"/>
        <v>580</v>
      </c>
    </row>
    <row r="15" spans="2:32" ht="23.1" customHeight="1" x14ac:dyDescent="0.25">
      <c r="B15" s="45" t="s">
        <v>42</v>
      </c>
      <c r="C15" s="50">
        <v>29</v>
      </c>
      <c r="D15" s="50">
        <v>4</v>
      </c>
      <c r="E15" s="50">
        <v>4</v>
      </c>
      <c r="F15" s="50">
        <v>7</v>
      </c>
      <c r="G15" s="50">
        <v>1</v>
      </c>
      <c r="H15" s="50">
        <v>0</v>
      </c>
      <c r="I15" s="50">
        <v>4</v>
      </c>
      <c r="J15" s="50">
        <v>1</v>
      </c>
      <c r="K15" s="50">
        <v>0</v>
      </c>
      <c r="L15" s="50">
        <v>4</v>
      </c>
      <c r="M15" s="50">
        <v>70</v>
      </c>
      <c r="N15" s="50">
        <v>0</v>
      </c>
      <c r="O15" s="15">
        <f t="shared" si="0"/>
        <v>54</v>
      </c>
      <c r="P15" s="15">
        <f t="shared" si="1"/>
        <v>124</v>
      </c>
      <c r="R15" s="1" t="s">
        <v>11</v>
      </c>
      <c r="S15" s="17">
        <f t="shared" ref="S15:AF15" si="7">SUM(C30:C33)</f>
        <v>142</v>
      </c>
      <c r="T15" s="17">
        <f t="shared" si="7"/>
        <v>50</v>
      </c>
      <c r="U15" s="17">
        <f t="shared" si="7"/>
        <v>23</v>
      </c>
      <c r="V15" s="17">
        <f t="shared" si="7"/>
        <v>14</v>
      </c>
      <c r="W15" s="17">
        <f t="shared" si="7"/>
        <v>3</v>
      </c>
      <c r="X15" s="17">
        <f t="shared" si="7"/>
        <v>0</v>
      </c>
      <c r="Y15" s="17">
        <f t="shared" si="7"/>
        <v>5</v>
      </c>
      <c r="Z15" s="17">
        <f t="shared" si="7"/>
        <v>7</v>
      </c>
      <c r="AA15" s="17">
        <f t="shared" si="7"/>
        <v>6</v>
      </c>
      <c r="AB15" s="17">
        <f t="shared" si="7"/>
        <v>14</v>
      </c>
      <c r="AC15" s="17">
        <f t="shared" si="7"/>
        <v>169</v>
      </c>
      <c r="AD15" s="17">
        <f t="shared" si="7"/>
        <v>0</v>
      </c>
      <c r="AE15" s="31">
        <f t="shared" si="7"/>
        <v>264</v>
      </c>
      <c r="AF15" s="31">
        <f t="shared" si="7"/>
        <v>433</v>
      </c>
    </row>
    <row r="16" spans="2:32" ht="23.1" customHeight="1" x14ac:dyDescent="0.25">
      <c r="B16" s="45" t="s">
        <v>43</v>
      </c>
      <c r="C16" s="50">
        <v>36</v>
      </c>
      <c r="D16" s="50">
        <v>6</v>
      </c>
      <c r="E16" s="50">
        <v>9</v>
      </c>
      <c r="F16" s="50">
        <v>14</v>
      </c>
      <c r="G16" s="50">
        <v>0</v>
      </c>
      <c r="H16" s="50">
        <v>0</v>
      </c>
      <c r="I16" s="50">
        <v>2</v>
      </c>
      <c r="J16" s="50">
        <v>0</v>
      </c>
      <c r="K16" s="50">
        <v>2</v>
      </c>
      <c r="L16" s="50">
        <v>4</v>
      </c>
      <c r="M16" s="50">
        <v>86</v>
      </c>
      <c r="N16" s="50">
        <v>0</v>
      </c>
      <c r="O16" s="15">
        <f t="shared" si="0"/>
        <v>73</v>
      </c>
      <c r="P16" s="15">
        <f t="shared" si="1"/>
        <v>159</v>
      </c>
      <c r="R16" s="1" t="s">
        <v>12</v>
      </c>
      <c r="S16" s="17">
        <f t="shared" ref="S16:AF16" si="8">SUM(C34:C37)</f>
        <v>152</v>
      </c>
      <c r="T16" s="17">
        <f t="shared" si="8"/>
        <v>44</v>
      </c>
      <c r="U16" s="17">
        <f t="shared" si="8"/>
        <v>29</v>
      </c>
      <c r="V16" s="17">
        <f t="shared" si="8"/>
        <v>24</v>
      </c>
      <c r="W16" s="17">
        <f t="shared" si="8"/>
        <v>5</v>
      </c>
      <c r="X16" s="17">
        <f t="shared" si="8"/>
        <v>0</v>
      </c>
      <c r="Y16" s="17">
        <f t="shared" si="8"/>
        <v>4</v>
      </c>
      <c r="Z16" s="17">
        <f t="shared" si="8"/>
        <v>5</v>
      </c>
      <c r="AA16" s="17">
        <f t="shared" si="8"/>
        <v>5</v>
      </c>
      <c r="AB16" s="17">
        <f t="shared" si="8"/>
        <v>18</v>
      </c>
      <c r="AC16" s="17">
        <f t="shared" si="8"/>
        <v>224</v>
      </c>
      <c r="AD16" s="17">
        <f t="shared" si="8"/>
        <v>0</v>
      </c>
      <c r="AE16" s="31">
        <f t="shared" si="8"/>
        <v>286</v>
      </c>
      <c r="AF16" s="31">
        <f t="shared" si="8"/>
        <v>510</v>
      </c>
    </row>
    <row r="17" spans="2:32" ht="23.1" customHeight="1" x14ac:dyDescent="0.25">
      <c r="B17" s="45" t="s">
        <v>44</v>
      </c>
      <c r="C17" s="50">
        <v>23</v>
      </c>
      <c r="D17" s="50">
        <v>4</v>
      </c>
      <c r="E17" s="50">
        <v>4</v>
      </c>
      <c r="F17" s="50">
        <v>7</v>
      </c>
      <c r="G17" s="50">
        <v>1</v>
      </c>
      <c r="H17" s="50">
        <v>0</v>
      </c>
      <c r="I17" s="50">
        <v>3</v>
      </c>
      <c r="J17" s="50">
        <v>3</v>
      </c>
      <c r="K17" s="50">
        <v>3</v>
      </c>
      <c r="L17" s="50">
        <v>2</v>
      </c>
      <c r="M17" s="50">
        <v>60</v>
      </c>
      <c r="N17" s="50">
        <v>0</v>
      </c>
      <c r="O17" s="15">
        <f t="shared" si="0"/>
        <v>50</v>
      </c>
      <c r="P17" s="15">
        <f t="shared" si="1"/>
        <v>110</v>
      </c>
      <c r="R17" s="1" t="s">
        <v>13</v>
      </c>
      <c r="S17" s="17">
        <f t="shared" ref="S17:AF17" si="9">SUM(C38:C41)</f>
        <v>113</v>
      </c>
      <c r="T17" s="17">
        <f t="shared" si="9"/>
        <v>15</v>
      </c>
      <c r="U17" s="17">
        <f t="shared" si="9"/>
        <v>18</v>
      </c>
      <c r="V17" s="17">
        <f t="shared" si="9"/>
        <v>7</v>
      </c>
      <c r="W17" s="17">
        <f t="shared" si="9"/>
        <v>7</v>
      </c>
      <c r="X17" s="17">
        <f t="shared" si="9"/>
        <v>0</v>
      </c>
      <c r="Y17" s="17">
        <f t="shared" si="9"/>
        <v>13</v>
      </c>
      <c r="Z17" s="17">
        <f t="shared" si="9"/>
        <v>13</v>
      </c>
      <c r="AA17" s="17">
        <f t="shared" si="9"/>
        <v>10</v>
      </c>
      <c r="AB17" s="17">
        <f t="shared" si="9"/>
        <v>10</v>
      </c>
      <c r="AC17" s="17">
        <f t="shared" si="9"/>
        <v>172</v>
      </c>
      <c r="AD17" s="17">
        <f t="shared" si="9"/>
        <v>0</v>
      </c>
      <c r="AE17" s="31">
        <f t="shared" si="9"/>
        <v>206</v>
      </c>
      <c r="AF17" s="31">
        <f t="shared" si="9"/>
        <v>378</v>
      </c>
    </row>
    <row r="18" spans="2:32" ht="23.1" customHeight="1" x14ac:dyDescent="0.25">
      <c r="B18" s="45" t="s">
        <v>45</v>
      </c>
      <c r="C18" s="50">
        <v>26</v>
      </c>
      <c r="D18" s="50">
        <v>4</v>
      </c>
      <c r="E18" s="50">
        <v>7</v>
      </c>
      <c r="F18" s="50">
        <v>16</v>
      </c>
      <c r="G18" s="50">
        <v>1</v>
      </c>
      <c r="H18" s="50">
        <v>0</v>
      </c>
      <c r="I18" s="50">
        <v>4</v>
      </c>
      <c r="J18" s="50">
        <v>2</v>
      </c>
      <c r="K18" s="50">
        <v>2</v>
      </c>
      <c r="L18" s="50">
        <v>4</v>
      </c>
      <c r="M18" s="50">
        <v>137</v>
      </c>
      <c r="N18" s="50">
        <v>0</v>
      </c>
      <c r="O18" s="15">
        <f t="shared" si="0"/>
        <v>66</v>
      </c>
      <c r="P18" s="15">
        <f t="shared" si="1"/>
        <v>203</v>
      </c>
      <c r="R18" s="1" t="s">
        <v>14</v>
      </c>
      <c r="S18" s="17">
        <f t="shared" ref="S18:AF18" si="10">SUM(C42:C45)</f>
        <v>126</v>
      </c>
      <c r="T18" s="17">
        <f t="shared" si="10"/>
        <v>35</v>
      </c>
      <c r="U18" s="17">
        <f t="shared" si="10"/>
        <v>19</v>
      </c>
      <c r="V18" s="17">
        <f t="shared" si="10"/>
        <v>21</v>
      </c>
      <c r="W18" s="17">
        <f t="shared" si="10"/>
        <v>5</v>
      </c>
      <c r="X18" s="17">
        <f t="shared" si="10"/>
        <v>0</v>
      </c>
      <c r="Y18" s="17">
        <f t="shared" si="10"/>
        <v>9</v>
      </c>
      <c r="Z18" s="17">
        <f t="shared" si="10"/>
        <v>8</v>
      </c>
      <c r="AA18" s="17">
        <f t="shared" si="10"/>
        <v>13</v>
      </c>
      <c r="AB18" s="17">
        <f t="shared" si="10"/>
        <v>27</v>
      </c>
      <c r="AC18" s="17">
        <f t="shared" si="10"/>
        <v>193</v>
      </c>
      <c r="AD18" s="17">
        <f t="shared" si="10"/>
        <v>0</v>
      </c>
      <c r="AE18" s="31">
        <f t="shared" si="10"/>
        <v>263</v>
      </c>
      <c r="AF18" s="31">
        <f t="shared" si="10"/>
        <v>456</v>
      </c>
    </row>
    <row r="19" spans="2:32" ht="23.1" customHeight="1" x14ac:dyDescent="0.25">
      <c r="B19" s="45" t="s">
        <v>46</v>
      </c>
      <c r="C19" s="50">
        <v>35</v>
      </c>
      <c r="D19" s="50">
        <v>7</v>
      </c>
      <c r="E19" s="50">
        <v>6</v>
      </c>
      <c r="F19" s="50">
        <v>11</v>
      </c>
      <c r="G19" s="50">
        <v>0</v>
      </c>
      <c r="H19" s="50">
        <v>0</v>
      </c>
      <c r="I19" s="50">
        <v>3</v>
      </c>
      <c r="J19" s="50">
        <v>2</v>
      </c>
      <c r="K19" s="50">
        <v>1</v>
      </c>
      <c r="L19" s="50">
        <v>2</v>
      </c>
      <c r="M19" s="50">
        <v>151</v>
      </c>
      <c r="N19" s="50">
        <v>0</v>
      </c>
      <c r="O19" s="15">
        <f t="shared" si="0"/>
        <v>67</v>
      </c>
      <c r="P19" s="15">
        <f t="shared" si="1"/>
        <v>218</v>
      </c>
      <c r="R19" s="1" t="s">
        <v>15</v>
      </c>
      <c r="S19" s="17">
        <f t="shared" ref="S19:AF19" si="11">SUM(C46:C49)</f>
        <v>132</v>
      </c>
      <c r="T19" s="17">
        <f t="shared" si="11"/>
        <v>32</v>
      </c>
      <c r="U19" s="17">
        <f t="shared" si="11"/>
        <v>37</v>
      </c>
      <c r="V19" s="17">
        <f t="shared" si="11"/>
        <v>13</v>
      </c>
      <c r="W19" s="17">
        <f t="shared" si="11"/>
        <v>0</v>
      </c>
      <c r="X19" s="17">
        <f t="shared" si="11"/>
        <v>0</v>
      </c>
      <c r="Y19" s="17">
        <f t="shared" si="11"/>
        <v>14</v>
      </c>
      <c r="Z19" s="17">
        <f t="shared" si="11"/>
        <v>6</v>
      </c>
      <c r="AA19" s="17">
        <f t="shared" si="11"/>
        <v>13</v>
      </c>
      <c r="AB19" s="17">
        <f t="shared" si="11"/>
        <v>16</v>
      </c>
      <c r="AC19" s="17">
        <f t="shared" si="11"/>
        <v>154</v>
      </c>
      <c r="AD19" s="17">
        <f t="shared" si="11"/>
        <v>0</v>
      </c>
      <c r="AE19" s="31">
        <f t="shared" si="11"/>
        <v>263</v>
      </c>
      <c r="AF19" s="31">
        <f t="shared" si="11"/>
        <v>417</v>
      </c>
    </row>
    <row r="20" spans="2:32" ht="23.1" customHeight="1" x14ac:dyDescent="0.25">
      <c r="B20" s="45" t="s">
        <v>47</v>
      </c>
      <c r="C20" s="50">
        <v>30</v>
      </c>
      <c r="D20" s="50">
        <v>9</v>
      </c>
      <c r="E20" s="50">
        <v>2</v>
      </c>
      <c r="F20" s="50">
        <v>14</v>
      </c>
      <c r="G20" s="50">
        <v>2</v>
      </c>
      <c r="H20" s="50">
        <v>0</v>
      </c>
      <c r="I20" s="50">
        <v>3</v>
      </c>
      <c r="J20" s="50">
        <v>4</v>
      </c>
      <c r="K20" s="50">
        <v>1</v>
      </c>
      <c r="L20" s="50">
        <v>2</v>
      </c>
      <c r="M20" s="50">
        <v>170</v>
      </c>
      <c r="N20" s="50">
        <v>0</v>
      </c>
      <c r="O20" s="15">
        <f t="shared" si="0"/>
        <v>67</v>
      </c>
      <c r="P20" s="15">
        <f t="shared" si="1"/>
        <v>237</v>
      </c>
      <c r="R20" s="1" t="s">
        <v>16</v>
      </c>
      <c r="S20" s="17">
        <f t="shared" ref="S20:AF20" si="12">SUM(C50:C53)</f>
        <v>174</v>
      </c>
      <c r="T20" s="17">
        <f t="shared" si="12"/>
        <v>29</v>
      </c>
      <c r="U20" s="17">
        <f t="shared" si="12"/>
        <v>23</v>
      </c>
      <c r="V20" s="17">
        <f t="shared" si="12"/>
        <v>13</v>
      </c>
      <c r="W20" s="17">
        <f t="shared" si="12"/>
        <v>0</v>
      </c>
      <c r="X20" s="17">
        <f t="shared" si="12"/>
        <v>0</v>
      </c>
      <c r="Y20" s="17">
        <f t="shared" si="12"/>
        <v>19</v>
      </c>
      <c r="Z20" s="17">
        <f t="shared" si="12"/>
        <v>12</v>
      </c>
      <c r="AA20" s="17">
        <f t="shared" si="12"/>
        <v>10</v>
      </c>
      <c r="AB20" s="17">
        <f t="shared" si="12"/>
        <v>19</v>
      </c>
      <c r="AC20" s="17">
        <f t="shared" si="12"/>
        <v>191</v>
      </c>
      <c r="AD20" s="17">
        <f t="shared" si="12"/>
        <v>0</v>
      </c>
      <c r="AE20" s="31">
        <f t="shared" si="12"/>
        <v>299</v>
      </c>
      <c r="AF20" s="31">
        <f t="shared" si="12"/>
        <v>490</v>
      </c>
    </row>
    <row r="21" spans="2:32" ht="23.1" customHeight="1" x14ac:dyDescent="0.25">
      <c r="B21" s="45" t="s">
        <v>48</v>
      </c>
      <c r="C21" s="50">
        <v>14</v>
      </c>
      <c r="D21" s="50">
        <v>0</v>
      </c>
      <c r="E21" s="50">
        <v>0</v>
      </c>
      <c r="F21" s="50">
        <v>1</v>
      </c>
      <c r="G21" s="50">
        <v>0</v>
      </c>
      <c r="H21" s="50">
        <v>0</v>
      </c>
      <c r="I21" s="50">
        <v>2</v>
      </c>
      <c r="J21" s="50">
        <v>2</v>
      </c>
      <c r="K21" s="50">
        <v>3</v>
      </c>
      <c r="L21" s="50">
        <v>3</v>
      </c>
      <c r="M21" s="50">
        <v>99</v>
      </c>
      <c r="N21" s="50">
        <v>0</v>
      </c>
      <c r="O21" s="15">
        <f t="shared" si="0"/>
        <v>25</v>
      </c>
      <c r="P21" s="15">
        <f t="shared" si="1"/>
        <v>124</v>
      </c>
      <c r="R21" s="36" t="s">
        <v>20</v>
      </c>
      <c r="S21" s="34">
        <f t="shared" ref="S21:AF21" si="13">SUM(C54:C57)</f>
        <v>140</v>
      </c>
      <c r="T21" s="17">
        <f t="shared" si="13"/>
        <v>41</v>
      </c>
      <c r="U21" s="17">
        <f t="shared" si="13"/>
        <v>19</v>
      </c>
      <c r="V21" s="17">
        <f t="shared" si="13"/>
        <v>19</v>
      </c>
      <c r="W21" s="17">
        <f t="shared" si="13"/>
        <v>3</v>
      </c>
      <c r="X21" s="17">
        <f t="shared" si="13"/>
        <v>0</v>
      </c>
      <c r="Y21" s="17">
        <f t="shared" si="13"/>
        <v>6</v>
      </c>
      <c r="Z21" s="17">
        <f t="shared" si="13"/>
        <v>7</v>
      </c>
      <c r="AA21" s="17">
        <f t="shared" si="13"/>
        <v>8</v>
      </c>
      <c r="AB21" s="17">
        <f t="shared" si="13"/>
        <v>11</v>
      </c>
      <c r="AC21" s="17">
        <f t="shared" si="13"/>
        <v>158</v>
      </c>
      <c r="AD21" s="17">
        <f t="shared" si="13"/>
        <v>0</v>
      </c>
      <c r="AE21" s="31">
        <f t="shared" si="13"/>
        <v>254</v>
      </c>
      <c r="AF21" s="31">
        <f t="shared" si="13"/>
        <v>412</v>
      </c>
    </row>
    <row r="22" spans="2:32" ht="23.1" customHeight="1" x14ac:dyDescent="0.25">
      <c r="B22" s="45" t="s">
        <v>49</v>
      </c>
      <c r="C22" s="50">
        <v>17</v>
      </c>
      <c r="D22" s="50">
        <v>8</v>
      </c>
      <c r="E22" s="50">
        <v>4</v>
      </c>
      <c r="F22" s="50">
        <v>4</v>
      </c>
      <c r="G22" s="50">
        <v>3</v>
      </c>
      <c r="H22" s="50">
        <v>0</v>
      </c>
      <c r="I22" s="50">
        <v>6</v>
      </c>
      <c r="J22" s="50">
        <v>3</v>
      </c>
      <c r="K22" s="50">
        <v>2</v>
      </c>
      <c r="L22" s="50">
        <v>4</v>
      </c>
      <c r="M22" s="50">
        <v>83</v>
      </c>
      <c r="N22" s="50">
        <v>0</v>
      </c>
      <c r="O22" s="15">
        <f t="shared" si="0"/>
        <v>51</v>
      </c>
      <c r="P22" s="15">
        <f t="shared" si="1"/>
        <v>134</v>
      </c>
      <c r="R22" s="36" t="s">
        <v>146</v>
      </c>
      <c r="S22" s="34">
        <f>SUM(C58:C61)</f>
        <v>144</v>
      </c>
      <c r="T22" s="34">
        <f t="shared" ref="T22:AF22" si="14">SUM(D58:D61)</f>
        <v>26</v>
      </c>
      <c r="U22" s="34">
        <f t="shared" si="14"/>
        <v>16</v>
      </c>
      <c r="V22" s="34">
        <f t="shared" si="14"/>
        <v>26</v>
      </c>
      <c r="W22" s="34">
        <f t="shared" si="14"/>
        <v>7</v>
      </c>
      <c r="X22" s="34">
        <f t="shared" si="14"/>
        <v>1</v>
      </c>
      <c r="Y22" s="34">
        <f t="shared" si="14"/>
        <v>14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395</v>
      </c>
      <c r="AD22" s="34">
        <f t="shared" si="14"/>
        <v>0</v>
      </c>
      <c r="AE22" s="31">
        <f t="shared" si="14"/>
        <v>235</v>
      </c>
      <c r="AF22" s="31">
        <f t="shared" si="14"/>
        <v>630</v>
      </c>
    </row>
    <row r="23" spans="2:32" ht="23.1" customHeight="1" x14ac:dyDescent="0.25">
      <c r="B23" s="45" t="s">
        <v>50</v>
      </c>
      <c r="C23" s="50">
        <v>34</v>
      </c>
      <c r="D23" s="50">
        <v>7</v>
      </c>
      <c r="E23" s="50">
        <v>5</v>
      </c>
      <c r="F23" s="50">
        <v>7</v>
      </c>
      <c r="G23" s="50">
        <v>4</v>
      </c>
      <c r="H23" s="50">
        <v>0</v>
      </c>
      <c r="I23" s="50">
        <v>2</v>
      </c>
      <c r="J23" s="50">
        <v>0</v>
      </c>
      <c r="K23" s="50">
        <v>0</v>
      </c>
      <c r="L23" s="50">
        <v>1</v>
      </c>
      <c r="M23" s="50">
        <v>48</v>
      </c>
      <c r="N23" s="50">
        <v>0</v>
      </c>
      <c r="O23" s="15">
        <f t="shared" si="0"/>
        <v>60</v>
      </c>
      <c r="P23" s="15">
        <f t="shared" si="1"/>
        <v>108</v>
      </c>
      <c r="R23" s="36" t="s">
        <v>147</v>
      </c>
      <c r="S23" s="34">
        <f>SUM(C62:C65)</f>
        <v>185</v>
      </c>
      <c r="T23" s="34">
        <f t="shared" ref="T23:AF23" si="15">SUM(D62:D65)</f>
        <v>37</v>
      </c>
      <c r="U23" s="34">
        <f t="shared" si="15"/>
        <v>26</v>
      </c>
      <c r="V23" s="34">
        <f t="shared" si="15"/>
        <v>24</v>
      </c>
      <c r="W23" s="34">
        <f t="shared" si="15"/>
        <v>5</v>
      </c>
      <c r="X23" s="34">
        <f t="shared" si="15"/>
        <v>1</v>
      </c>
      <c r="Y23" s="34">
        <f t="shared" si="15"/>
        <v>11</v>
      </c>
      <c r="Z23" s="34">
        <f t="shared" si="15"/>
        <v>1</v>
      </c>
      <c r="AA23" s="34">
        <f t="shared" si="15"/>
        <v>4</v>
      </c>
      <c r="AB23" s="34">
        <f t="shared" si="15"/>
        <v>0</v>
      </c>
      <c r="AC23" s="34">
        <f t="shared" si="15"/>
        <v>650</v>
      </c>
      <c r="AD23" s="34">
        <f t="shared" si="15"/>
        <v>0</v>
      </c>
      <c r="AE23" s="31">
        <f t="shared" si="15"/>
        <v>294</v>
      </c>
      <c r="AF23" s="31">
        <f t="shared" si="15"/>
        <v>944</v>
      </c>
    </row>
    <row r="24" spans="2:32" ht="23.1" customHeight="1" x14ac:dyDescent="0.25">
      <c r="B24" s="45" t="s">
        <v>51</v>
      </c>
      <c r="C24" s="50">
        <v>32</v>
      </c>
      <c r="D24" s="50">
        <v>3</v>
      </c>
      <c r="E24" s="50">
        <v>5</v>
      </c>
      <c r="F24" s="50">
        <v>6</v>
      </c>
      <c r="G24" s="50">
        <v>0</v>
      </c>
      <c r="H24" s="50">
        <v>0</v>
      </c>
      <c r="I24" s="50">
        <v>4</v>
      </c>
      <c r="J24" s="50">
        <v>1</v>
      </c>
      <c r="K24" s="50">
        <v>3</v>
      </c>
      <c r="L24" s="50">
        <v>3</v>
      </c>
      <c r="M24" s="50">
        <v>105</v>
      </c>
      <c r="N24" s="50">
        <v>0</v>
      </c>
      <c r="O24" s="15">
        <f t="shared" si="0"/>
        <v>57</v>
      </c>
      <c r="P24" s="15">
        <f t="shared" si="1"/>
        <v>162</v>
      </c>
      <c r="R24" s="36" t="s">
        <v>148</v>
      </c>
      <c r="S24" s="34">
        <f>SUM(C66:C69)</f>
        <v>190</v>
      </c>
      <c r="T24" s="34">
        <f t="shared" ref="T24:AF24" si="16">SUM(D66:D69)</f>
        <v>45</v>
      </c>
      <c r="U24" s="34">
        <f t="shared" si="16"/>
        <v>28</v>
      </c>
      <c r="V24" s="34">
        <f t="shared" si="16"/>
        <v>32</v>
      </c>
      <c r="W24" s="34">
        <f t="shared" si="16"/>
        <v>5</v>
      </c>
      <c r="X24" s="34">
        <f t="shared" si="16"/>
        <v>0</v>
      </c>
      <c r="Y24" s="34">
        <f t="shared" si="16"/>
        <v>10</v>
      </c>
      <c r="Z24" s="34">
        <f t="shared" si="16"/>
        <v>5</v>
      </c>
      <c r="AA24" s="34">
        <f t="shared" si="16"/>
        <v>1</v>
      </c>
      <c r="AB24" s="34">
        <f t="shared" si="16"/>
        <v>4</v>
      </c>
      <c r="AC24" s="34">
        <f t="shared" si="16"/>
        <v>545</v>
      </c>
      <c r="AD24" s="34">
        <f t="shared" si="16"/>
        <v>0</v>
      </c>
      <c r="AE24" s="31">
        <f t="shared" si="16"/>
        <v>320</v>
      </c>
      <c r="AF24" s="31">
        <f t="shared" si="16"/>
        <v>865</v>
      </c>
    </row>
    <row r="25" spans="2:32" ht="23.1" customHeight="1" x14ac:dyDescent="0.25">
      <c r="B25" s="45" t="s">
        <v>52</v>
      </c>
      <c r="C25" s="50">
        <v>47</v>
      </c>
      <c r="D25" s="50">
        <v>8</v>
      </c>
      <c r="E25" s="50">
        <v>17</v>
      </c>
      <c r="F25" s="50">
        <v>4</v>
      </c>
      <c r="G25" s="50">
        <v>1</v>
      </c>
      <c r="H25" s="50">
        <v>0</v>
      </c>
      <c r="I25" s="50">
        <v>2</v>
      </c>
      <c r="J25" s="50">
        <v>2</v>
      </c>
      <c r="K25" s="50">
        <v>3</v>
      </c>
      <c r="L25" s="50">
        <v>3</v>
      </c>
      <c r="M25" s="50">
        <v>124</v>
      </c>
      <c r="N25" s="50">
        <v>0</v>
      </c>
      <c r="O25" s="15">
        <f t="shared" si="0"/>
        <v>87</v>
      </c>
      <c r="P25" s="15">
        <f t="shared" si="1"/>
        <v>211</v>
      </c>
      <c r="R25" s="36" t="s">
        <v>149</v>
      </c>
      <c r="S25" s="34">
        <f>SUM(C70:C73)</f>
        <v>138</v>
      </c>
      <c r="T25" s="34">
        <f t="shared" ref="T25:AF25" si="17">SUM(D70:D73)</f>
        <v>26</v>
      </c>
      <c r="U25" s="34">
        <f t="shared" si="17"/>
        <v>15</v>
      </c>
      <c r="V25" s="34">
        <f t="shared" si="17"/>
        <v>23</v>
      </c>
      <c r="W25" s="34">
        <f t="shared" si="17"/>
        <v>3</v>
      </c>
      <c r="X25" s="34">
        <f t="shared" si="17"/>
        <v>0</v>
      </c>
      <c r="Y25" s="34">
        <f t="shared" si="17"/>
        <v>3</v>
      </c>
      <c r="Z25" s="34">
        <f t="shared" si="17"/>
        <v>1</v>
      </c>
      <c r="AA25" s="34">
        <f t="shared" si="17"/>
        <v>1</v>
      </c>
      <c r="AB25" s="34">
        <f t="shared" si="17"/>
        <v>1</v>
      </c>
      <c r="AC25" s="34">
        <f t="shared" si="17"/>
        <v>390</v>
      </c>
      <c r="AD25" s="34">
        <f t="shared" si="17"/>
        <v>0</v>
      </c>
      <c r="AE25" s="31">
        <f t="shared" si="17"/>
        <v>211</v>
      </c>
      <c r="AF25" s="31">
        <f t="shared" si="17"/>
        <v>601</v>
      </c>
    </row>
    <row r="26" spans="2:32" ht="23.1" customHeight="1" x14ac:dyDescent="0.25">
      <c r="B26" s="45" t="s">
        <v>53</v>
      </c>
      <c r="C26" s="50">
        <v>34</v>
      </c>
      <c r="D26" s="50">
        <v>7</v>
      </c>
      <c r="E26" s="50">
        <v>2</v>
      </c>
      <c r="F26" s="50">
        <v>6</v>
      </c>
      <c r="G26" s="50">
        <v>0</v>
      </c>
      <c r="H26" s="50">
        <v>0</v>
      </c>
      <c r="I26" s="50">
        <v>4</v>
      </c>
      <c r="J26" s="50">
        <v>3</v>
      </c>
      <c r="K26" s="50">
        <v>3</v>
      </c>
      <c r="L26" s="50">
        <v>6</v>
      </c>
      <c r="M26" s="50">
        <v>132</v>
      </c>
      <c r="N26" s="50">
        <v>0</v>
      </c>
      <c r="O26" s="15">
        <f t="shared" si="0"/>
        <v>65</v>
      </c>
      <c r="P26" s="15">
        <f t="shared" si="1"/>
        <v>197</v>
      </c>
      <c r="R26" s="36" t="s">
        <v>150</v>
      </c>
      <c r="S26" s="34">
        <f>SUM(C74:C77)</f>
        <v>93</v>
      </c>
      <c r="T26" s="34">
        <f t="shared" ref="T26:AF26" si="18">SUM(D74:D77)</f>
        <v>21</v>
      </c>
      <c r="U26" s="34">
        <f t="shared" si="18"/>
        <v>8</v>
      </c>
      <c r="V26" s="34">
        <f t="shared" si="18"/>
        <v>11</v>
      </c>
      <c r="W26" s="34">
        <f t="shared" si="18"/>
        <v>1</v>
      </c>
      <c r="X26" s="34">
        <f t="shared" si="18"/>
        <v>0</v>
      </c>
      <c r="Y26" s="34">
        <f t="shared" si="18"/>
        <v>4</v>
      </c>
      <c r="Z26" s="34">
        <f t="shared" si="18"/>
        <v>1</v>
      </c>
      <c r="AA26" s="34">
        <f t="shared" si="18"/>
        <v>1</v>
      </c>
      <c r="AB26" s="34">
        <f t="shared" si="18"/>
        <v>1</v>
      </c>
      <c r="AC26" s="34">
        <f t="shared" si="18"/>
        <v>168</v>
      </c>
      <c r="AD26" s="34">
        <f t="shared" si="18"/>
        <v>0</v>
      </c>
      <c r="AE26" s="31">
        <f t="shared" si="18"/>
        <v>141</v>
      </c>
      <c r="AF26" s="31">
        <f t="shared" si="18"/>
        <v>309</v>
      </c>
    </row>
    <row r="27" spans="2:32" ht="23.1" customHeight="1" x14ac:dyDescent="0.25">
      <c r="B27" s="45" t="s">
        <v>54</v>
      </c>
      <c r="C27" s="50">
        <v>34</v>
      </c>
      <c r="D27" s="50">
        <v>5</v>
      </c>
      <c r="E27" s="50">
        <v>5</v>
      </c>
      <c r="F27" s="50">
        <v>6</v>
      </c>
      <c r="G27" s="50">
        <v>5</v>
      </c>
      <c r="H27" s="50">
        <v>0</v>
      </c>
      <c r="I27" s="50">
        <v>4</v>
      </c>
      <c r="J27" s="50">
        <v>3</v>
      </c>
      <c r="K27" s="50">
        <v>3</v>
      </c>
      <c r="L27" s="50">
        <v>6</v>
      </c>
      <c r="M27" s="50">
        <v>96</v>
      </c>
      <c r="N27" s="50">
        <v>0</v>
      </c>
      <c r="O27" s="15">
        <f t="shared" si="0"/>
        <v>71</v>
      </c>
      <c r="P27" s="15">
        <f t="shared" si="1"/>
        <v>167</v>
      </c>
      <c r="R27" s="36" t="s">
        <v>151</v>
      </c>
      <c r="S27" s="34">
        <f>SUM(C78:C81)</f>
        <v>45</v>
      </c>
      <c r="T27" s="34">
        <f t="shared" ref="T27:AF27" si="19">SUM(D78:D81)</f>
        <v>14</v>
      </c>
      <c r="U27" s="34">
        <f t="shared" si="19"/>
        <v>9</v>
      </c>
      <c r="V27" s="34">
        <f t="shared" si="19"/>
        <v>5</v>
      </c>
      <c r="W27" s="34">
        <f t="shared" si="19"/>
        <v>0</v>
      </c>
      <c r="X27" s="34">
        <f t="shared" si="19"/>
        <v>0</v>
      </c>
      <c r="Y27" s="34">
        <f t="shared" si="19"/>
        <v>4</v>
      </c>
      <c r="Z27" s="34">
        <f t="shared" si="19"/>
        <v>0</v>
      </c>
      <c r="AA27" s="34">
        <f t="shared" si="19"/>
        <v>0</v>
      </c>
      <c r="AB27" s="34">
        <f t="shared" si="19"/>
        <v>1</v>
      </c>
      <c r="AC27" s="34">
        <f t="shared" si="19"/>
        <v>150</v>
      </c>
      <c r="AD27" s="34">
        <f t="shared" si="19"/>
        <v>0</v>
      </c>
      <c r="AE27" s="31">
        <f t="shared" si="19"/>
        <v>78</v>
      </c>
      <c r="AF27" s="31">
        <f t="shared" si="19"/>
        <v>228</v>
      </c>
    </row>
    <row r="28" spans="2:32" ht="23.1" customHeight="1" x14ac:dyDescent="0.25">
      <c r="B28" s="45" t="s">
        <v>55</v>
      </c>
      <c r="C28" s="50">
        <v>32</v>
      </c>
      <c r="D28" s="50">
        <v>6</v>
      </c>
      <c r="E28" s="50">
        <v>8</v>
      </c>
      <c r="F28" s="50">
        <v>2</v>
      </c>
      <c r="G28" s="50">
        <v>0</v>
      </c>
      <c r="H28" s="50">
        <v>0</v>
      </c>
      <c r="I28" s="50">
        <v>4</v>
      </c>
      <c r="J28" s="50">
        <v>3</v>
      </c>
      <c r="K28" s="50">
        <v>3</v>
      </c>
      <c r="L28" s="50">
        <v>6</v>
      </c>
      <c r="M28" s="50">
        <v>36</v>
      </c>
      <c r="N28" s="50">
        <v>0</v>
      </c>
      <c r="O28" s="15">
        <f t="shared" si="0"/>
        <v>64</v>
      </c>
      <c r="P28" s="15">
        <f t="shared" si="1"/>
        <v>100</v>
      </c>
      <c r="R28" s="36" t="s">
        <v>152</v>
      </c>
      <c r="S28" s="34">
        <f>SUM(C82:C85)</f>
        <v>42</v>
      </c>
      <c r="T28" s="34">
        <f t="shared" ref="T28:AF28" si="20">SUM(D82:D85)</f>
        <v>5</v>
      </c>
      <c r="U28" s="34">
        <f t="shared" si="20"/>
        <v>1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2</v>
      </c>
      <c r="AA28" s="34">
        <f t="shared" si="20"/>
        <v>3</v>
      </c>
      <c r="AB28" s="34">
        <f t="shared" si="20"/>
        <v>0</v>
      </c>
      <c r="AC28" s="34">
        <f t="shared" si="20"/>
        <v>74</v>
      </c>
      <c r="AD28" s="34">
        <f t="shared" si="20"/>
        <v>0</v>
      </c>
      <c r="AE28" s="31">
        <f t="shared" si="20"/>
        <v>58</v>
      </c>
      <c r="AF28" s="31">
        <f t="shared" si="20"/>
        <v>132</v>
      </c>
    </row>
    <row r="29" spans="2:32" ht="23.1" customHeight="1" x14ac:dyDescent="0.25">
      <c r="B29" s="45" t="s">
        <v>56</v>
      </c>
      <c r="C29" s="50">
        <v>38</v>
      </c>
      <c r="D29" s="50">
        <v>7</v>
      </c>
      <c r="E29" s="50">
        <v>4</v>
      </c>
      <c r="F29" s="50">
        <v>9</v>
      </c>
      <c r="G29" s="50">
        <v>1</v>
      </c>
      <c r="H29" s="50">
        <v>0</v>
      </c>
      <c r="I29" s="50">
        <v>2</v>
      </c>
      <c r="J29" s="50">
        <v>1</v>
      </c>
      <c r="K29" s="50">
        <v>2</v>
      </c>
      <c r="L29" s="50">
        <v>2</v>
      </c>
      <c r="M29" s="50">
        <v>50</v>
      </c>
      <c r="N29" s="50">
        <v>0</v>
      </c>
      <c r="O29" s="15">
        <f t="shared" si="0"/>
        <v>66</v>
      </c>
      <c r="P29" s="15">
        <f t="shared" si="1"/>
        <v>116</v>
      </c>
      <c r="R29" s="36" t="s">
        <v>153</v>
      </c>
      <c r="S29" s="34">
        <f>SUM(C86:C89)</f>
        <v>38</v>
      </c>
      <c r="T29" s="34">
        <f t="shared" ref="T29:AF29" si="21">SUM(D86:D89)</f>
        <v>5</v>
      </c>
      <c r="U29" s="34">
        <f t="shared" si="21"/>
        <v>3</v>
      </c>
      <c r="V29" s="34">
        <f t="shared" si="21"/>
        <v>4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1</v>
      </c>
      <c r="AA29" s="34">
        <f t="shared" si="21"/>
        <v>1</v>
      </c>
      <c r="AB29" s="34">
        <f t="shared" si="21"/>
        <v>1</v>
      </c>
      <c r="AC29" s="34">
        <f t="shared" si="21"/>
        <v>31</v>
      </c>
      <c r="AD29" s="34">
        <f t="shared" si="21"/>
        <v>0</v>
      </c>
      <c r="AE29" s="31">
        <f t="shared" si="21"/>
        <v>54</v>
      </c>
      <c r="AF29" s="31">
        <f t="shared" si="21"/>
        <v>85</v>
      </c>
    </row>
    <row r="30" spans="2:32" ht="23.1" customHeight="1" x14ac:dyDescent="0.25">
      <c r="B30" s="45" t="s">
        <v>57</v>
      </c>
      <c r="C30" s="50">
        <v>32</v>
      </c>
      <c r="D30" s="50">
        <v>13</v>
      </c>
      <c r="E30" s="50">
        <v>6</v>
      </c>
      <c r="F30" s="50">
        <v>4</v>
      </c>
      <c r="G30" s="50">
        <v>0</v>
      </c>
      <c r="H30" s="50">
        <v>0</v>
      </c>
      <c r="I30" s="50">
        <v>3</v>
      </c>
      <c r="J30" s="50">
        <v>3</v>
      </c>
      <c r="K30" s="50">
        <v>5</v>
      </c>
      <c r="L30" s="50">
        <v>5</v>
      </c>
      <c r="M30" s="50">
        <v>60</v>
      </c>
      <c r="N30" s="50">
        <v>0</v>
      </c>
      <c r="O30" s="15">
        <f t="shared" si="0"/>
        <v>71</v>
      </c>
      <c r="P30" s="15">
        <f t="shared" si="1"/>
        <v>131</v>
      </c>
      <c r="R30" s="36" t="s">
        <v>154</v>
      </c>
      <c r="S30" s="34">
        <f>SUM(C90:C93)</f>
        <v>22</v>
      </c>
      <c r="T30" s="34">
        <f t="shared" ref="T30:AF30" si="22">SUM(D90:D93)</f>
        <v>4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3</v>
      </c>
      <c r="AA30" s="34">
        <f t="shared" si="22"/>
        <v>1</v>
      </c>
      <c r="AB30" s="34">
        <f t="shared" si="22"/>
        <v>0</v>
      </c>
      <c r="AC30" s="34">
        <f t="shared" si="22"/>
        <v>34</v>
      </c>
      <c r="AD30" s="34">
        <f t="shared" si="22"/>
        <v>0</v>
      </c>
      <c r="AE30" s="31">
        <f t="shared" si="22"/>
        <v>33</v>
      </c>
      <c r="AF30" s="31">
        <f t="shared" si="22"/>
        <v>67</v>
      </c>
    </row>
    <row r="31" spans="2:32" ht="23.1" customHeight="1" x14ac:dyDescent="0.25">
      <c r="B31" s="46" t="s">
        <v>58</v>
      </c>
      <c r="C31" s="50">
        <v>25</v>
      </c>
      <c r="D31" s="50">
        <v>3</v>
      </c>
      <c r="E31" s="50">
        <v>5</v>
      </c>
      <c r="F31" s="50">
        <v>0</v>
      </c>
      <c r="G31" s="50">
        <v>0</v>
      </c>
      <c r="H31" s="50">
        <v>0</v>
      </c>
      <c r="I31" s="50">
        <v>2</v>
      </c>
      <c r="J31" s="50">
        <v>1</v>
      </c>
      <c r="K31" s="50">
        <v>1</v>
      </c>
      <c r="L31" s="50">
        <v>5</v>
      </c>
      <c r="M31" s="50">
        <v>61</v>
      </c>
      <c r="N31" s="50">
        <v>0</v>
      </c>
      <c r="O31" s="15">
        <f t="shared" si="0"/>
        <v>42</v>
      </c>
      <c r="P31" s="15">
        <f t="shared" si="1"/>
        <v>103</v>
      </c>
      <c r="R31" s="36" t="s">
        <v>155</v>
      </c>
      <c r="S31" s="34">
        <f>SUM(C94:C97)</f>
        <v>23</v>
      </c>
      <c r="T31" s="34">
        <f t="shared" ref="T31:AF31" si="23">SUM(D94:D97)</f>
        <v>3</v>
      </c>
      <c r="U31" s="34">
        <f t="shared" si="23"/>
        <v>1</v>
      </c>
      <c r="V31" s="34">
        <f t="shared" si="23"/>
        <v>3</v>
      </c>
      <c r="W31" s="34">
        <f t="shared" si="23"/>
        <v>1</v>
      </c>
      <c r="X31" s="34">
        <f t="shared" si="23"/>
        <v>0</v>
      </c>
      <c r="Y31" s="34">
        <f t="shared" si="23"/>
        <v>2</v>
      </c>
      <c r="Z31" s="34">
        <f t="shared" si="23"/>
        <v>0</v>
      </c>
      <c r="AA31" s="34">
        <f t="shared" si="23"/>
        <v>0</v>
      </c>
      <c r="AB31" s="34">
        <f t="shared" si="23"/>
        <v>1</v>
      </c>
      <c r="AC31" s="34">
        <f t="shared" si="23"/>
        <v>54</v>
      </c>
      <c r="AD31" s="34">
        <f t="shared" si="23"/>
        <v>0</v>
      </c>
      <c r="AE31" s="31">
        <f t="shared" si="23"/>
        <v>34</v>
      </c>
      <c r="AF31" s="31">
        <f t="shared" si="23"/>
        <v>88</v>
      </c>
    </row>
    <row r="32" spans="2:32" ht="23.1" customHeight="1" x14ac:dyDescent="0.25">
      <c r="B32" s="46" t="s">
        <v>59</v>
      </c>
      <c r="C32" s="50">
        <v>50</v>
      </c>
      <c r="D32" s="50">
        <v>11</v>
      </c>
      <c r="E32" s="50">
        <v>1</v>
      </c>
      <c r="F32" s="50">
        <v>6</v>
      </c>
      <c r="G32" s="50">
        <v>2</v>
      </c>
      <c r="H32" s="50">
        <v>0</v>
      </c>
      <c r="I32" s="50">
        <v>0</v>
      </c>
      <c r="J32" s="50">
        <v>1</v>
      </c>
      <c r="K32" s="50">
        <v>0</v>
      </c>
      <c r="L32" s="50">
        <v>2</v>
      </c>
      <c r="M32" s="50">
        <v>42</v>
      </c>
      <c r="N32" s="50">
        <v>0</v>
      </c>
      <c r="O32" s="15">
        <f t="shared" si="0"/>
        <v>73</v>
      </c>
      <c r="P32" s="15">
        <f t="shared" si="1"/>
        <v>115</v>
      </c>
      <c r="R32" s="33" t="s">
        <v>156</v>
      </c>
      <c r="S32" s="34">
        <f>SUM(C98:C101)</f>
        <v>18</v>
      </c>
      <c r="T32" s="34">
        <f t="shared" ref="T32:AF32" si="24">SUM(D98:D101)</f>
        <v>1</v>
      </c>
      <c r="U32" s="34">
        <f t="shared" si="24"/>
        <v>2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1</v>
      </c>
      <c r="AB32" s="34">
        <f t="shared" si="24"/>
        <v>0</v>
      </c>
      <c r="AC32" s="34">
        <f t="shared" si="24"/>
        <v>71</v>
      </c>
      <c r="AD32" s="34">
        <f t="shared" si="24"/>
        <v>0</v>
      </c>
      <c r="AE32" s="31">
        <f t="shared" si="24"/>
        <v>23</v>
      </c>
      <c r="AF32" s="31">
        <f t="shared" si="24"/>
        <v>94</v>
      </c>
    </row>
    <row r="33" spans="2:32" ht="23.1" customHeight="1" x14ac:dyDescent="0.25">
      <c r="B33" s="45" t="s">
        <v>60</v>
      </c>
      <c r="C33" s="50">
        <v>35</v>
      </c>
      <c r="D33" s="50">
        <v>23</v>
      </c>
      <c r="E33" s="50">
        <v>11</v>
      </c>
      <c r="F33" s="50">
        <v>4</v>
      </c>
      <c r="G33" s="50">
        <v>1</v>
      </c>
      <c r="H33" s="50">
        <v>0</v>
      </c>
      <c r="I33" s="50">
        <v>0</v>
      </c>
      <c r="J33" s="50">
        <v>2</v>
      </c>
      <c r="K33" s="50">
        <v>0</v>
      </c>
      <c r="L33" s="50">
        <v>2</v>
      </c>
      <c r="M33" s="50">
        <v>6</v>
      </c>
      <c r="N33" s="50">
        <v>0</v>
      </c>
      <c r="O33" s="15">
        <f t="shared" si="0"/>
        <v>78</v>
      </c>
      <c r="P33" s="15">
        <f t="shared" si="1"/>
        <v>84</v>
      </c>
      <c r="R33" s="33" t="s">
        <v>157</v>
      </c>
      <c r="S33" s="34">
        <f>SUM(C102:C105)</f>
        <v>14</v>
      </c>
      <c r="T33" s="34">
        <f t="shared" ref="T33:AF33" si="25">SUM(D102:D105)</f>
        <v>3</v>
      </c>
      <c r="U33" s="34">
        <f t="shared" si="25"/>
        <v>6</v>
      </c>
      <c r="V33" s="34">
        <f t="shared" si="25"/>
        <v>20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3</v>
      </c>
      <c r="AA33" s="34">
        <f t="shared" si="25"/>
        <v>2</v>
      </c>
      <c r="AB33" s="34">
        <f t="shared" si="25"/>
        <v>3</v>
      </c>
      <c r="AC33" s="34">
        <f t="shared" si="25"/>
        <v>212</v>
      </c>
      <c r="AD33" s="34">
        <f t="shared" si="25"/>
        <v>0</v>
      </c>
      <c r="AE33" s="31">
        <f t="shared" si="25"/>
        <v>52</v>
      </c>
      <c r="AF33" s="31">
        <f t="shared" si="25"/>
        <v>264</v>
      </c>
    </row>
    <row r="34" spans="2:32" ht="23.1" customHeight="1" x14ac:dyDescent="0.25">
      <c r="B34" s="46" t="s">
        <v>61</v>
      </c>
      <c r="C34" s="50">
        <v>48</v>
      </c>
      <c r="D34" s="50">
        <v>13</v>
      </c>
      <c r="E34" s="50">
        <v>9</v>
      </c>
      <c r="F34" s="50">
        <v>2</v>
      </c>
      <c r="G34" s="50">
        <v>0</v>
      </c>
      <c r="H34" s="50">
        <v>0</v>
      </c>
      <c r="I34" s="50">
        <v>1</v>
      </c>
      <c r="J34" s="50">
        <v>2</v>
      </c>
      <c r="K34" s="50">
        <v>2</v>
      </c>
      <c r="L34" s="50">
        <v>3</v>
      </c>
      <c r="M34" s="50">
        <v>63</v>
      </c>
      <c r="N34" s="50">
        <v>0</v>
      </c>
      <c r="O34" s="15">
        <f t="shared" si="0"/>
        <v>80</v>
      </c>
      <c r="P34" s="15">
        <f t="shared" si="1"/>
        <v>143</v>
      </c>
      <c r="R34" s="38" t="s">
        <v>90</v>
      </c>
      <c r="S34" s="39">
        <f t="shared" ref="S34:AF34" si="26">MAX(S10:S12)</f>
        <v>114</v>
      </c>
      <c r="T34" s="39">
        <f t="shared" si="26"/>
        <v>21</v>
      </c>
      <c r="U34" s="39">
        <f t="shared" si="26"/>
        <v>21</v>
      </c>
      <c r="V34" s="39">
        <f t="shared" si="26"/>
        <v>42</v>
      </c>
      <c r="W34" s="39">
        <f t="shared" si="26"/>
        <v>4</v>
      </c>
      <c r="X34" s="39">
        <f t="shared" si="26"/>
        <v>0</v>
      </c>
      <c r="Y34" s="39">
        <f t="shared" si="26"/>
        <v>12</v>
      </c>
      <c r="Z34" s="39">
        <f t="shared" si="26"/>
        <v>10</v>
      </c>
      <c r="AA34" s="39">
        <f t="shared" si="26"/>
        <v>9</v>
      </c>
      <c r="AB34" s="39">
        <f t="shared" si="26"/>
        <v>18</v>
      </c>
      <c r="AC34" s="39">
        <f t="shared" si="26"/>
        <v>582</v>
      </c>
      <c r="AD34" s="39">
        <f t="shared" si="26"/>
        <v>0</v>
      </c>
      <c r="AE34" s="40">
        <f t="shared" si="26"/>
        <v>237</v>
      </c>
      <c r="AF34" s="40">
        <f t="shared" si="26"/>
        <v>782</v>
      </c>
    </row>
    <row r="35" spans="2:32" ht="23.1" customHeight="1" x14ac:dyDescent="0.25">
      <c r="B35" s="46" t="s">
        <v>62</v>
      </c>
      <c r="C35" s="50">
        <v>36</v>
      </c>
      <c r="D35" s="50">
        <v>10</v>
      </c>
      <c r="E35" s="50">
        <v>3</v>
      </c>
      <c r="F35" s="50">
        <v>5</v>
      </c>
      <c r="G35" s="50">
        <v>2</v>
      </c>
      <c r="H35" s="50">
        <v>0</v>
      </c>
      <c r="I35" s="50">
        <v>1</v>
      </c>
      <c r="J35" s="50">
        <v>0</v>
      </c>
      <c r="K35" s="50">
        <v>0</v>
      </c>
      <c r="L35" s="50">
        <v>2</v>
      </c>
      <c r="M35" s="50">
        <v>54</v>
      </c>
      <c r="N35" s="50">
        <v>0</v>
      </c>
      <c r="O35" s="15">
        <f t="shared" si="0"/>
        <v>59</v>
      </c>
      <c r="P35" s="15">
        <f t="shared" si="1"/>
        <v>113</v>
      </c>
      <c r="R35" s="38" t="s">
        <v>91</v>
      </c>
      <c r="S35" s="39">
        <f t="shared" ref="S35:AF35" si="27">MAX(S13:S18)</f>
        <v>152</v>
      </c>
      <c r="T35" s="39">
        <f t="shared" si="27"/>
        <v>50</v>
      </c>
      <c r="U35" s="39">
        <f t="shared" si="27"/>
        <v>31</v>
      </c>
      <c r="V35" s="39">
        <f t="shared" si="27"/>
        <v>24</v>
      </c>
      <c r="W35" s="39">
        <f t="shared" si="27"/>
        <v>8</v>
      </c>
      <c r="X35" s="39">
        <f t="shared" si="27"/>
        <v>0</v>
      </c>
      <c r="Y35" s="39">
        <f t="shared" si="27"/>
        <v>14</v>
      </c>
      <c r="Z35" s="39">
        <f t="shared" si="27"/>
        <v>13</v>
      </c>
      <c r="AA35" s="39">
        <f t="shared" si="27"/>
        <v>13</v>
      </c>
      <c r="AB35" s="39">
        <f t="shared" si="27"/>
        <v>27</v>
      </c>
      <c r="AC35" s="39">
        <f t="shared" si="27"/>
        <v>360</v>
      </c>
      <c r="AD35" s="39">
        <f t="shared" si="27"/>
        <v>0</v>
      </c>
      <c r="AE35" s="40">
        <f t="shared" si="27"/>
        <v>286</v>
      </c>
      <c r="AF35" s="40">
        <f t="shared" si="27"/>
        <v>615</v>
      </c>
    </row>
    <row r="36" spans="2:32" ht="23.1" customHeight="1" x14ac:dyDescent="0.25">
      <c r="B36" s="46" t="s">
        <v>63</v>
      </c>
      <c r="C36" s="50">
        <v>36</v>
      </c>
      <c r="D36" s="50">
        <v>8</v>
      </c>
      <c r="E36" s="50">
        <v>7</v>
      </c>
      <c r="F36" s="50">
        <v>7</v>
      </c>
      <c r="G36" s="50">
        <v>0</v>
      </c>
      <c r="H36" s="50">
        <v>0</v>
      </c>
      <c r="I36" s="50">
        <v>2</v>
      </c>
      <c r="J36" s="50">
        <v>2</v>
      </c>
      <c r="K36" s="50">
        <v>1</v>
      </c>
      <c r="L36" s="50">
        <v>3</v>
      </c>
      <c r="M36" s="50">
        <v>58</v>
      </c>
      <c r="N36" s="50">
        <v>0</v>
      </c>
      <c r="O36" s="15">
        <f t="shared" si="0"/>
        <v>66</v>
      </c>
      <c r="P36" s="15">
        <f t="shared" si="1"/>
        <v>124</v>
      </c>
      <c r="R36" s="38" t="s">
        <v>92</v>
      </c>
      <c r="S36" s="39">
        <f t="shared" ref="S36:AF36" si="28">MAX(S19:S21)</f>
        <v>174</v>
      </c>
      <c r="T36" s="39">
        <f t="shared" si="28"/>
        <v>41</v>
      </c>
      <c r="U36" s="39">
        <f t="shared" si="28"/>
        <v>37</v>
      </c>
      <c r="V36" s="39">
        <f t="shared" si="28"/>
        <v>19</v>
      </c>
      <c r="W36" s="39">
        <f t="shared" si="28"/>
        <v>3</v>
      </c>
      <c r="X36" s="39">
        <f t="shared" si="28"/>
        <v>0</v>
      </c>
      <c r="Y36" s="39">
        <f t="shared" si="28"/>
        <v>19</v>
      </c>
      <c r="Z36" s="39">
        <f t="shared" si="28"/>
        <v>12</v>
      </c>
      <c r="AA36" s="39">
        <f t="shared" si="28"/>
        <v>13</v>
      </c>
      <c r="AB36" s="39">
        <f t="shared" si="28"/>
        <v>19</v>
      </c>
      <c r="AC36" s="39">
        <f t="shared" si="28"/>
        <v>191</v>
      </c>
      <c r="AD36" s="39">
        <f t="shared" si="28"/>
        <v>0</v>
      </c>
      <c r="AE36" s="40">
        <f t="shared" si="28"/>
        <v>299</v>
      </c>
      <c r="AF36" s="40">
        <f t="shared" si="28"/>
        <v>490</v>
      </c>
    </row>
    <row r="37" spans="2:32" ht="23.1" customHeight="1" x14ac:dyDescent="0.25">
      <c r="B37" s="45" t="s">
        <v>64</v>
      </c>
      <c r="C37" s="50">
        <v>32</v>
      </c>
      <c r="D37" s="50">
        <v>13</v>
      </c>
      <c r="E37" s="50">
        <v>10</v>
      </c>
      <c r="F37" s="50">
        <v>10</v>
      </c>
      <c r="G37" s="50">
        <v>3</v>
      </c>
      <c r="H37" s="50">
        <v>0</v>
      </c>
      <c r="I37" s="50">
        <v>0</v>
      </c>
      <c r="J37" s="50">
        <v>1</v>
      </c>
      <c r="K37" s="50">
        <v>2</v>
      </c>
      <c r="L37" s="50">
        <v>10</v>
      </c>
      <c r="M37" s="50">
        <v>49</v>
      </c>
      <c r="N37" s="50">
        <v>0</v>
      </c>
      <c r="O37" s="15">
        <f t="shared" si="0"/>
        <v>81</v>
      </c>
      <c r="P37" s="15">
        <f t="shared" si="1"/>
        <v>130</v>
      </c>
      <c r="R37" s="37" t="s">
        <v>85</v>
      </c>
      <c r="S37" s="35">
        <f t="shared" ref="S37:AF37" si="29">SUM(S10:S12)</f>
        <v>303</v>
      </c>
      <c r="T37" s="16">
        <f t="shared" si="29"/>
        <v>57</v>
      </c>
      <c r="U37" s="16">
        <f t="shared" si="29"/>
        <v>51</v>
      </c>
      <c r="V37" s="16">
        <f t="shared" si="29"/>
        <v>117</v>
      </c>
      <c r="W37" s="16">
        <f t="shared" si="29"/>
        <v>11</v>
      </c>
      <c r="X37" s="16">
        <f t="shared" si="29"/>
        <v>0</v>
      </c>
      <c r="Y37" s="16">
        <f t="shared" si="29"/>
        <v>32</v>
      </c>
      <c r="Z37" s="16">
        <f t="shared" si="29"/>
        <v>20</v>
      </c>
      <c r="AA37" s="16">
        <f t="shared" si="29"/>
        <v>21</v>
      </c>
      <c r="AB37" s="16">
        <f t="shared" si="29"/>
        <v>42</v>
      </c>
      <c r="AC37" s="16">
        <f t="shared" si="29"/>
        <v>1420</v>
      </c>
      <c r="AD37" s="16">
        <f t="shared" si="29"/>
        <v>0</v>
      </c>
      <c r="AE37" s="32">
        <f t="shared" si="29"/>
        <v>654</v>
      </c>
      <c r="AF37" s="32">
        <f t="shared" si="29"/>
        <v>2074</v>
      </c>
    </row>
    <row r="38" spans="2:32" ht="23.1" customHeight="1" x14ac:dyDescent="0.25">
      <c r="B38" s="46" t="s">
        <v>65</v>
      </c>
      <c r="C38" s="50">
        <v>9</v>
      </c>
      <c r="D38" s="50">
        <v>1</v>
      </c>
      <c r="E38" s="50">
        <v>0</v>
      </c>
      <c r="F38" s="50">
        <v>2</v>
      </c>
      <c r="G38" s="50">
        <v>3</v>
      </c>
      <c r="H38" s="50">
        <v>0</v>
      </c>
      <c r="I38" s="50">
        <v>4</v>
      </c>
      <c r="J38" s="50">
        <v>4</v>
      </c>
      <c r="K38" s="50">
        <v>4</v>
      </c>
      <c r="L38" s="50">
        <v>4</v>
      </c>
      <c r="M38" s="50">
        <v>39</v>
      </c>
      <c r="N38" s="50">
        <v>0</v>
      </c>
      <c r="O38" s="15">
        <f t="shared" si="0"/>
        <v>31</v>
      </c>
      <c r="P38" s="15">
        <f t="shared" si="1"/>
        <v>70</v>
      </c>
      <c r="R38" s="28" t="s">
        <v>86</v>
      </c>
      <c r="S38" s="16">
        <f t="shared" ref="S38:AF38" si="30">SUM(S13:S18)</f>
        <v>801</v>
      </c>
      <c r="T38" s="16">
        <f t="shared" si="30"/>
        <v>195</v>
      </c>
      <c r="U38" s="16">
        <f t="shared" si="30"/>
        <v>139</v>
      </c>
      <c r="V38" s="16">
        <f t="shared" si="30"/>
        <v>110</v>
      </c>
      <c r="W38" s="16">
        <f t="shared" si="30"/>
        <v>34</v>
      </c>
      <c r="X38" s="16">
        <f t="shared" si="30"/>
        <v>0</v>
      </c>
      <c r="Y38" s="16">
        <f t="shared" si="30"/>
        <v>59</v>
      </c>
      <c r="Z38" s="16">
        <f t="shared" si="30"/>
        <v>49</v>
      </c>
      <c r="AA38" s="16">
        <f t="shared" si="30"/>
        <v>53</v>
      </c>
      <c r="AB38" s="16">
        <f t="shared" si="30"/>
        <v>100</v>
      </c>
      <c r="AC38" s="16">
        <f t="shared" si="30"/>
        <v>1432</v>
      </c>
      <c r="AD38" s="16">
        <f t="shared" si="30"/>
        <v>0</v>
      </c>
      <c r="AE38" s="32">
        <f t="shared" si="30"/>
        <v>1540</v>
      </c>
      <c r="AF38" s="32">
        <f t="shared" si="30"/>
        <v>2972</v>
      </c>
    </row>
    <row r="39" spans="2:32" ht="23.1" customHeight="1" x14ac:dyDescent="0.25">
      <c r="B39" s="46" t="s">
        <v>66</v>
      </c>
      <c r="C39" s="50">
        <v>35</v>
      </c>
      <c r="D39" s="50">
        <v>5</v>
      </c>
      <c r="E39" s="50">
        <v>8</v>
      </c>
      <c r="F39" s="50">
        <v>3</v>
      </c>
      <c r="G39" s="50">
        <v>0</v>
      </c>
      <c r="H39" s="50">
        <v>0</v>
      </c>
      <c r="I39" s="50">
        <v>6</v>
      </c>
      <c r="J39" s="50">
        <v>6</v>
      </c>
      <c r="K39" s="50">
        <v>2</v>
      </c>
      <c r="L39" s="50">
        <v>2</v>
      </c>
      <c r="M39" s="50">
        <v>42</v>
      </c>
      <c r="N39" s="50">
        <v>0</v>
      </c>
      <c r="O39" s="15">
        <f t="shared" si="0"/>
        <v>67</v>
      </c>
      <c r="P39" s="15">
        <f t="shared" si="1"/>
        <v>109</v>
      </c>
      <c r="R39" s="29" t="s">
        <v>87</v>
      </c>
      <c r="S39" s="16">
        <f t="shared" ref="S39:AF39" si="31">SUM(S19:S21)</f>
        <v>446</v>
      </c>
      <c r="T39" s="16">
        <f t="shared" si="31"/>
        <v>102</v>
      </c>
      <c r="U39" s="16">
        <f t="shared" si="31"/>
        <v>79</v>
      </c>
      <c r="V39" s="16">
        <f t="shared" si="31"/>
        <v>45</v>
      </c>
      <c r="W39" s="16">
        <f t="shared" si="31"/>
        <v>3</v>
      </c>
      <c r="X39" s="16">
        <f t="shared" si="31"/>
        <v>0</v>
      </c>
      <c r="Y39" s="16">
        <f t="shared" si="31"/>
        <v>39</v>
      </c>
      <c r="Z39" s="16">
        <f t="shared" si="31"/>
        <v>25</v>
      </c>
      <c r="AA39" s="16">
        <f t="shared" si="31"/>
        <v>31</v>
      </c>
      <c r="AB39" s="16">
        <f t="shared" si="31"/>
        <v>46</v>
      </c>
      <c r="AC39" s="16">
        <f t="shared" si="31"/>
        <v>503</v>
      </c>
      <c r="AD39" s="16">
        <f t="shared" si="31"/>
        <v>0</v>
      </c>
      <c r="AE39" s="32">
        <f t="shared" si="31"/>
        <v>816</v>
      </c>
      <c r="AF39" s="32">
        <f t="shared" si="31"/>
        <v>1319</v>
      </c>
    </row>
    <row r="40" spans="2:32" ht="23.1" customHeight="1" x14ac:dyDescent="0.25">
      <c r="B40" s="46" t="s">
        <v>67</v>
      </c>
      <c r="C40" s="50">
        <v>36</v>
      </c>
      <c r="D40" s="50">
        <v>6</v>
      </c>
      <c r="E40" s="50">
        <v>7</v>
      </c>
      <c r="F40" s="50">
        <v>2</v>
      </c>
      <c r="G40" s="50">
        <v>4</v>
      </c>
      <c r="H40" s="50">
        <v>0</v>
      </c>
      <c r="I40" s="50">
        <v>2</v>
      </c>
      <c r="J40" s="50">
        <v>3</v>
      </c>
      <c r="K40" s="50">
        <v>2</v>
      </c>
      <c r="L40" s="50">
        <v>2</v>
      </c>
      <c r="M40" s="50">
        <v>40</v>
      </c>
      <c r="N40" s="50">
        <v>0</v>
      </c>
      <c r="O40" s="15">
        <f t="shared" si="0"/>
        <v>64</v>
      </c>
      <c r="P40" s="15">
        <f t="shared" si="1"/>
        <v>104</v>
      </c>
      <c r="R40" s="5" t="s">
        <v>17</v>
      </c>
      <c r="S40" s="16">
        <f t="shared" ref="S40:AF40" si="32">SUM(S10:S21)</f>
        <v>1550</v>
      </c>
      <c r="T40" s="16">
        <f t="shared" si="32"/>
        <v>354</v>
      </c>
      <c r="U40" s="16">
        <f t="shared" si="32"/>
        <v>269</v>
      </c>
      <c r="V40" s="16">
        <f t="shared" si="32"/>
        <v>272</v>
      </c>
      <c r="W40" s="16">
        <f t="shared" si="32"/>
        <v>48</v>
      </c>
      <c r="X40" s="16">
        <f t="shared" si="32"/>
        <v>0</v>
      </c>
      <c r="Y40" s="16">
        <f t="shared" si="32"/>
        <v>130</v>
      </c>
      <c r="Z40" s="16">
        <f t="shared" si="32"/>
        <v>94</v>
      </c>
      <c r="AA40" s="16">
        <f t="shared" si="32"/>
        <v>105</v>
      </c>
      <c r="AB40" s="16">
        <f t="shared" si="32"/>
        <v>188</v>
      </c>
      <c r="AC40" s="16">
        <f t="shared" si="32"/>
        <v>3355</v>
      </c>
      <c r="AD40" s="16">
        <f t="shared" si="32"/>
        <v>0</v>
      </c>
      <c r="AE40" s="32">
        <f t="shared" si="32"/>
        <v>3010</v>
      </c>
      <c r="AF40" s="32">
        <f t="shared" si="32"/>
        <v>6365</v>
      </c>
    </row>
    <row r="41" spans="2:32" ht="23.1" customHeight="1" x14ac:dyDescent="0.25">
      <c r="B41" s="45" t="s">
        <v>68</v>
      </c>
      <c r="C41" s="50">
        <v>33</v>
      </c>
      <c r="D41" s="50">
        <v>3</v>
      </c>
      <c r="E41" s="50">
        <v>3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2</v>
      </c>
      <c r="L41" s="50">
        <v>2</v>
      </c>
      <c r="M41" s="50">
        <v>51</v>
      </c>
      <c r="N41" s="50">
        <v>0</v>
      </c>
      <c r="O41" s="15">
        <f t="shared" si="0"/>
        <v>44</v>
      </c>
      <c r="P41" s="15">
        <f t="shared" si="1"/>
        <v>95</v>
      </c>
      <c r="R41" s="5" t="s">
        <v>159</v>
      </c>
      <c r="S41" s="16">
        <f>SUM(S10:S33)</f>
        <v>2502</v>
      </c>
      <c r="T41" s="16">
        <f t="shared" ref="T41:AF41" si="33">SUM(T10:T33)</f>
        <v>544</v>
      </c>
      <c r="U41" s="16">
        <f t="shared" si="33"/>
        <v>384</v>
      </c>
      <c r="V41" s="16">
        <f t="shared" si="33"/>
        <v>424</v>
      </c>
      <c r="W41" s="16">
        <f t="shared" si="33"/>
        <v>70</v>
      </c>
      <c r="X41" s="16">
        <f t="shared" si="33"/>
        <v>2</v>
      </c>
      <c r="Y41" s="16">
        <f t="shared" si="33"/>
        <v>185</v>
      </c>
      <c r="Z41" s="16">
        <f t="shared" si="33"/>
        <v>112</v>
      </c>
      <c r="AA41" s="16">
        <f t="shared" si="33"/>
        <v>120</v>
      </c>
      <c r="AB41" s="16">
        <f t="shared" si="33"/>
        <v>200</v>
      </c>
      <c r="AC41" s="16">
        <f t="shared" si="33"/>
        <v>6129</v>
      </c>
      <c r="AD41" s="16">
        <f t="shared" si="33"/>
        <v>0</v>
      </c>
      <c r="AE41" s="32">
        <f t="shared" si="33"/>
        <v>4543</v>
      </c>
      <c r="AF41" s="32">
        <f t="shared" si="33"/>
        <v>10672</v>
      </c>
    </row>
    <row r="42" spans="2:32" ht="23.1" customHeight="1" x14ac:dyDescent="0.25">
      <c r="B42" s="46" t="s">
        <v>69</v>
      </c>
      <c r="C42" s="50">
        <v>41</v>
      </c>
      <c r="D42" s="50">
        <v>6</v>
      </c>
      <c r="E42" s="50">
        <v>4</v>
      </c>
      <c r="F42" s="50">
        <v>3</v>
      </c>
      <c r="G42" s="50">
        <v>2</v>
      </c>
      <c r="H42" s="50">
        <v>0</v>
      </c>
      <c r="I42" s="50">
        <v>2</v>
      </c>
      <c r="J42" s="50">
        <v>3</v>
      </c>
      <c r="K42" s="50">
        <v>4</v>
      </c>
      <c r="L42" s="50">
        <v>6</v>
      </c>
      <c r="M42" s="50">
        <v>57</v>
      </c>
      <c r="N42" s="50">
        <v>0</v>
      </c>
      <c r="O42" s="15">
        <f t="shared" si="0"/>
        <v>71</v>
      </c>
      <c r="P42" s="15">
        <f t="shared" si="1"/>
        <v>128</v>
      </c>
      <c r="R42" s="5" t="s">
        <v>160</v>
      </c>
      <c r="S42" s="48">
        <f>S41/S40</f>
        <v>1.6141935483870968</v>
      </c>
      <c r="T42" s="48">
        <f t="shared" ref="T42:AF42" si="34">T41/T40</f>
        <v>1.536723163841808</v>
      </c>
      <c r="U42" s="48">
        <f t="shared" si="34"/>
        <v>1.4275092936802973</v>
      </c>
      <c r="V42" s="48">
        <f t="shared" si="34"/>
        <v>1.5588235294117647</v>
      </c>
      <c r="W42" s="48">
        <f t="shared" si="34"/>
        <v>1.4583333333333333</v>
      </c>
      <c r="X42" s="48" t="e">
        <f t="shared" si="34"/>
        <v>#DIV/0!</v>
      </c>
      <c r="Y42" s="48">
        <f t="shared" si="34"/>
        <v>1.4230769230769231</v>
      </c>
      <c r="Z42" s="48">
        <f t="shared" si="34"/>
        <v>1.1914893617021276</v>
      </c>
      <c r="AA42" s="48">
        <f t="shared" si="34"/>
        <v>1.1428571428571428</v>
      </c>
      <c r="AB42" s="48">
        <f t="shared" si="34"/>
        <v>1.0638297872340425</v>
      </c>
      <c r="AC42" s="48">
        <f t="shared" si="34"/>
        <v>1.8268256333830104</v>
      </c>
      <c r="AD42" s="48" t="e">
        <f t="shared" si="34"/>
        <v>#DIV/0!</v>
      </c>
      <c r="AE42" s="48">
        <f t="shared" si="34"/>
        <v>1.5093023255813953</v>
      </c>
      <c r="AF42" s="48">
        <f t="shared" si="34"/>
        <v>1.6766692851531815</v>
      </c>
    </row>
    <row r="43" spans="2:32" ht="23.1" customHeight="1" x14ac:dyDescent="0.25">
      <c r="B43" s="45" t="s">
        <v>70</v>
      </c>
      <c r="C43" s="50">
        <v>22</v>
      </c>
      <c r="D43" s="50">
        <v>6</v>
      </c>
      <c r="E43" s="50">
        <v>7</v>
      </c>
      <c r="F43" s="50">
        <v>5</v>
      </c>
      <c r="G43" s="50">
        <v>0</v>
      </c>
      <c r="H43" s="50">
        <v>0</v>
      </c>
      <c r="I43" s="50">
        <v>2</v>
      </c>
      <c r="J43" s="50">
        <v>1</v>
      </c>
      <c r="K43" s="50">
        <v>3</v>
      </c>
      <c r="L43" s="50">
        <v>8</v>
      </c>
      <c r="M43" s="50">
        <v>41</v>
      </c>
      <c r="N43" s="50">
        <v>0</v>
      </c>
      <c r="O43" s="15">
        <f t="shared" si="0"/>
        <v>54</v>
      </c>
      <c r="P43" s="15">
        <f t="shared" si="1"/>
        <v>95</v>
      </c>
    </row>
    <row r="44" spans="2:32" ht="23.1" customHeight="1" x14ac:dyDescent="0.25">
      <c r="B44" s="47" t="s">
        <v>71</v>
      </c>
      <c r="C44" s="50">
        <v>32</v>
      </c>
      <c r="D44" s="50">
        <v>8</v>
      </c>
      <c r="E44" s="50">
        <v>2</v>
      </c>
      <c r="F44" s="50">
        <v>7</v>
      </c>
      <c r="G44" s="50">
        <v>3</v>
      </c>
      <c r="H44" s="50">
        <v>0</v>
      </c>
      <c r="I44" s="50">
        <v>2</v>
      </c>
      <c r="J44" s="50">
        <v>1</v>
      </c>
      <c r="K44" s="50">
        <v>2</v>
      </c>
      <c r="L44" s="50">
        <v>6</v>
      </c>
      <c r="M44" s="50">
        <v>33</v>
      </c>
      <c r="N44" s="50">
        <v>0</v>
      </c>
      <c r="O44" s="15">
        <f t="shared" si="0"/>
        <v>63</v>
      </c>
      <c r="P44" s="15">
        <f t="shared" si="1"/>
        <v>96</v>
      </c>
    </row>
    <row r="45" spans="2:32" ht="23.1" customHeight="1" x14ac:dyDescent="0.25">
      <c r="B45" s="45" t="s">
        <v>72</v>
      </c>
      <c r="C45" s="50">
        <v>31</v>
      </c>
      <c r="D45" s="50">
        <v>15</v>
      </c>
      <c r="E45" s="50">
        <v>6</v>
      </c>
      <c r="F45" s="50">
        <v>6</v>
      </c>
      <c r="G45" s="50">
        <v>0</v>
      </c>
      <c r="H45" s="50">
        <v>0</v>
      </c>
      <c r="I45" s="50">
        <v>3</v>
      </c>
      <c r="J45" s="50">
        <v>3</v>
      </c>
      <c r="K45" s="50">
        <v>4</v>
      </c>
      <c r="L45" s="50">
        <v>7</v>
      </c>
      <c r="M45" s="50">
        <v>62</v>
      </c>
      <c r="N45" s="50">
        <v>0</v>
      </c>
      <c r="O45" s="15">
        <f t="shared" si="0"/>
        <v>75</v>
      </c>
      <c r="P45" s="15">
        <f t="shared" si="1"/>
        <v>137</v>
      </c>
    </row>
    <row r="46" spans="2:32" ht="23.1" customHeight="1" x14ac:dyDescent="0.25">
      <c r="B46" s="46" t="s">
        <v>73</v>
      </c>
      <c r="C46" s="50">
        <v>32</v>
      </c>
      <c r="D46" s="50">
        <v>5</v>
      </c>
      <c r="E46" s="50">
        <v>3</v>
      </c>
      <c r="F46" s="50">
        <v>6</v>
      </c>
      <c r="G46" s="50">
        <v>0</v>
      </c>
      <c r="H46" s="50">
        <v>0</v>
      </c>
      <c r="I46" s="50">
        <v>3</v>
      </c>
      <c r="J46" s="50">
        <v>2</v>
      </c>
      <c r="K46" s="50">
        <v>8</v>
      </c>
      <c r="L46" s="50">
        <v>4</v>
      </c>
      <c r="M46" s="50">
        <v>64</v>
      </c>
      <c r="N46" s="50">
        <v>0</v>
      </c>
      <c r="O46" s="15">
        <f t="shared" si="0"/>
        <v>63</v>
      </c>
      <c r="P46" s="15">
        <f t="shared" si="1"/>
        <v>127</v>
      </c>
      <c r="R46" s="8"/>
      <c r="T46"/>
    </row>
    <row r="47" spans="2:32" ht="23.1" customHeight="1" x14ac:dyDescent="0.25">
      <c r="B47" s="46" t="s">
        <v>74</v>
      </c>
      <c r="C47" s="50">
        <v>38</v>
      </c>
      <c r="D47" s="50">
        <v>7</v>
      </c>
      <c r="E47" s="50">
        <v>16</v>
      </c>
      <c r="F47" s="50">
        <v>4</v>
      </c>
      <c r="G47" s="50">
        <v>0</v>
      </c>
      <c r="H47" s="50">
        <v>0</v>
      </c>
      <c r="I47" s="50">
        <v>6</v>
      </c>
      <c r="J47" s="50">
        <v>2</v>
      </c>
      <c r="K47" s="50">
        <v>1</v>
      </c>
      <c r="L47" s="50">
        <v>7</v>
      </c>
      <c r="M47" s="50">
        <v>27</v>
      </c>
      <c r="N47" s="50">
        <v>0</v>
      </c>
      <c r="O47" s="15">
        <f t="shared" si="0"/>
        <v>81</v>
      </c>
      <c r="P47" s="15">
        <f t="shared" si="1"/>
        <v>108</v>
      </c>
      <c r="R47" s="8"/>
      <c r="T47"/>
    </row>
    <row r="48" spans="2:32" ht="23.1" customHeight="1" x14ac:dyDescent="0.25">
      <c r="B48" s="46" t="s">
        <v>75</v>
      </c>
      <c r="C48" s="50">
        <v>32</v>
      </c>
      <c r="D48" s="50">
        <v>10</v>
      </c>
      <c r="E48" s="50">
        <v>15</v>
      </c>
      <c r="F48" s="50">
        <v>3</v>
      </c>
      <c r="G48" s="50">
        <v>0</v>
      </c>
      <c r="H48" s="50">
        <v>0</v>
      </c>
      <c r="I48" s="50">
        <v>2</v>
      </c>
      <c r="J48" s="50">
        <v>1</v>
      </c>
      <c r="K48" s="50">
        <v>3</v>
      </c>
      <c r="L48" s="50">
        <v>3</v>
      </c>
      <c r="M48" s="50">
        <v>30</v>
      </c>
      <c r="N48" s="50">
        <v>0</v>
      </c>
      <c r="O48" s="15">
        <f t="shared" si="0"/>
        <v>69</v>
      </c>
      <c r="P48" s="15">
        <f t="shared" si="1"/>
        <v>99</v>
      </c>
      <c r="R48" s="8"/>
      <c r="T48"/>
    </row>
    <row r="49" spans="2:20" ht="23.1" customHeight="1" x14ac:dyDescent="0.25">
      <c r="B49" s="45" t="s">
        <v>76</v>
      </c>
      <c r="C49" s="50">
        <v>30</v>
      </c>
      <c r="D49" s="50">
        <v>10</v>
      </c>
      <c r="E49" s="50">
        <v>3</v>
      </c>
      <c r="F49" s="50">
        <v>0</v>
      </c>
      <c r="G49" s="50">
        <v>0</v>
      </c>
      <c r="H49" s="50">
        <v>0</v>
      </c>
      <c r="I49" s="50">
        <v>3</v>
      </c>
      <c r="J49" s="50">
        <v>1</v>
      </c>
      <c r="K49" s="50">
        <v>1</v>
      </c>
      <c r="L49" s="50">
        <v>2</v>
      </c>
      <c r="M49" s="50">
        <v>33</v>
      </c>
      <c r="N49" s="50">
        <v>0</v>
      </c>
      <c r="O49" s="15">
        <f t="shared" si="0"/>
        <v>50</v>
      </c>
      <c r="P49" s="15">
        <f t="shared" si="1"/>
        <v>83</v>
      </c>
      <c r="R49" s="8"/>
      <c r="T49"/>
    </row>
    <row r="50" spans="2:20" ht="23.1" customHeight="1" x14ac:dyDescent="0.25">
      <c r="B50" s="46" t="s">
        <v>77</v>
      </c>
      <c r="C50" s="50">
        <v>46</v>
      </c>
      <c r="D50" s="50">
        <v>10</v>
      </c>
      <c r="E50" s="50">
        <v>5</v>
      </c>
      <c r="F50" s="50">
        <v>3</v>
      </c>
      <c r="G50" s="50">
        <v>0</v>
      </c>
      <c r="H50" s="50">
        <v>0</v>
      </c>
      <c r="I50" s="50">
        <v>1</v>
      </c>
      <c r="J50" s="50">
        <v>2</v>
      </c>
      <c r="K50" s="50">
        <v>2</v>
      </c>
      <c r="L50" s="50">
        <v>3</v>
      </c>
      <c r="M50" s="50">
        <v>52</v>
      </c>
      <c r="N50" s="50">
        <v>0</v>
      </c>
      <c r="O50" s="15">
        <f t="shared" si="0"/>
        <v>72</v>
      </c>
      <c r="P50" s="15">
        <f t="shared" si="1"/>
        <v>124</v>
      </c>
      <c r="R50" s="8"/>
      <c r="T50"/>
    </row>
    <row r="51" spans="2:20" ht="23.1" customHeight="1" x14ac:dyDescent="0.25">
      <c r="B51" s="46" t="s">
        <v>78</v>
      </c>
      <c r="C51" s="50">
        <v>34</v>
      </c>
      <c r="D51" s="50">
        <v>3</v>
      </c>
      <c r="E51" s="50">
        <v>8</v>
      </c>
      <c r="F51" s="50">
        <v>0</v>
      </c>
      <c r="G51" s="50">
        <v>0</v>
      </c>
      <c r="H51" s="50">
        <v>0</v>
      </c>
      <c r="I51" s="50">
        <v>6</v>
      </c>
      <c r="J51" s="50">
        <v>3</v>
      </c>
      <c r="K51" s="50">
        <v>3</v>
      </c>
      <c r="L51" s="50">
        <v>5</v>
      </c>
      <c r="M51" s="50">
        <v>43</v>
      </c>
      <c r="N51" s="50">
        <v>0</v>
      </c>
      <c r="O51" s="15">
        <f t="shared" si="0"/>
        <v>62</v>
      </c>
      <c r="P51" s="15">
        <f t="shared" si="1"/>
        <v>105</v>
      </c>
      <c r="R51" s="8"/>
      <c r="T51"/>
    </row>
    <row r="52" spans="2:20" ht="23.1" customHeight="1" x14ac:dyDescent="0.25">
      <c r="B52" s="46" t="s">
        <v>79</v>
      </c>
      <c r="C52" s="50">
        <v>43</v>
      </c>
      <c r="D52" s="50">
        <v>7</v>
      </c>
      <c r="E52" s="50">
        <v>3</v>
      </c>
      <c r="F52" s="50">
        <v>2</v>
      </c>
      <c r="G52" s="50">
        <v>0</v>
      </c>
      <c r="H52" s="50">
        <v>0</v>
      </c>
      <c r="I52" s="50">
        <v>8</v>
      </c>
      <c r="J52" s="50">
        <v>5</v>
      </c>
      <c r="K52" s="50">
        <v>3</v>
      </c>
      <c r="L52" s="50">
        <v>6</v>
      </c>
      <c r="M52" s="50">
        <v>38</v>
      </c>
      <c r="N52" s="50">
        <v>0</v>
      </c>
      <c r="O52" s="15">
        <f t="shared" si="0"/>
        <v>77</v>
      </c>
      <c r="P52" s="15">
        <f t="shared" si="1"/>
        <v>115</v>
      </c>
      <c r="R52" s="8"/>
      <c r="T52"/>
    </row>
    <row r="53" spans="2:20" ht="23.1" customHeight="1" x14ac:dyDescent="0.25">
      <c r="B53" s="45" t="s">
        <v>80</v>
      </c>
      <c r="C53" s="50">
        <v>51</v>
      </c>
      <c r="D53" s="50">
        <v>9</v>
      </c>
      <c r="E53" s="50">
        <v>7</v>
      </c>
      <c r="F53" s="50">
        <v>8</v>
      </c>
      <c r="G53" s="50">
        <v>0</v>
      </c>
      <c r="H53" s="50">
        <v>0</v>
      </c>
      <c r="I53" s="50">
        <v>4</v>
      </c>
      <c r="J53" s="50">
        <v>2</v>
      </c>
      <c r="K53" s="50">
        <v>2</v>
      </c>
      <c r="L53" s="50">
        <v>5</v>
      </c>
      <c r="M53" s="50">
        <v>58</v>
      </c>
      <c r="N53" s="50">
        <v>0</v>
      </c>
      <c r="O53" s="15">
        <f t="shared" si="0"/>
        <v>88</v>
      </c>
      <c r="P53" s="15">
        <f t="shared" si="1"/>
        <v>146</v>
      </c>
      <c r="R53" s="8"/>
      <c r="T53"/>
    </row>
    <row r="54" spans="2:20" ht="23.1" customHeight="1" x14ac:dyDescent="0.25">
      <c r="B54" s="45" t="s">
        <v>81</v>
      </c>
      <c r="C54" s="50">
        <v>33</v>
      </c>
      <c r="D54" s="50">
        <v>7</v>
      </c>
      <c r="E54" s="50">
        <v>6</v>
      </c>
      <c r="F54" s="50">
        <v>8</v>
      </c>
      <c r="G54" s="50">
        <v>0</v>
      </c>
      <c r="H54" s="50">
        <v>0</v>
      </c>
      <c r="I54" s="50">
        <v>2</v>
      </c>
      <c r="J54" s="50">
        <v>0</v>
      </c>
      <c r="K54" s="50">
        <v>2</v>
      </c>
      <c r="L54" s="50">
        <v>5</v>
      </c>
      <c r="M54" s="50">
        <v>30</v>
      </c>
      <c r="N54" s="50">
        <v>0</v>
      </c>
      <c r="O54" s="15">
        <f t="shared" si="0"/>
        <v>63</v>
      </c>
      <c r="P54" s="15">
        <f t="shared" si="1"/>
        <v>93</v>
      </c>
      <c r="R54" s="8"/>
      <c r="T54"/>
    </row>
    <row r="55" spans="2:20" ht="23.1" customHeight="1" x14ac:dyDescent="0.25">
      <c r="B55" s="45" t="s">
        <v>82</v>
      </c>
      <c r="C55" s="50">
        <v>36</v>
      </c>
      <c r="D55" s="50">
        <v>7</v>
      </c>
      <c r="E55" s="50">
        <v>4</v>
      </c>
      <c r="F55" s="50">
        <v>0</v>
      </c>
      <c r="G55" s="50">
        <v>1</v>
      </c>
      <c r="H55" s="50">
        <v>0</v>
      </c>
      <c r="I55" s="50">
        <v>2</v>
      </c>
      <c r="J55" s="50">
        <v>3</v>
      </c>
      <c r="K55" s="50">
        <v>0</v>
      </c>
      <c r="L55" s="50">
        <v>2</v>
      </c>
      <c r="M55" s="50">
        <v>28</v>
      </c>
      <c r="N55" s="50">
        <v>0</v>
      </c>
      <c r="O55" s="15">
        <f t="shared" si="0"/>
        <v>55</v>
      </c>
      <c r="P55" s="15">
        <f t="shared" si="1"/>
        <v>83</v>
      </c>
      <c r="R55" s="8"/>
      <c r="T55"/>
    </row>
    <row r="56" spans="2:20" ht="23.1" customHeight="1" x14ac:dyDescent="0.25">
      <c r="B56" s="45" t="s">
        <v>83</v>
      </c>
      <c r="C56" s="50">
        <v>37</v>
      </c>
      <c r="D56" s="50">
        <v>20</v>
      </c>
      <c r="E56" s="50">
        <v>3</v>
      </c>
      <c r="F56" s="50">
        <v>4</v>
      </c>
      <c r="G56" s="50">
        <v>2</v>
      </c>
      <c r="H56" s="50">
        <v>0</v>
      </c>
      <c r="I56" s="50">
        <v>1</v>
      </c>
      <c r="J56" s="50">
        <v>1</v>
      </c>
      <c r="K56" s="50">
        <v>5</v>
      </c>
      <c r="L56" s="50">
        <v>1</v>
      </c>
      <c r="M56" s="50">
        <v>46</v>
      </c>
      <c r="N56" s="50">
        <v>0</v>
      </c>
      <c r="O56" s="15">
        <f t="shared" si="0"/>
        <v>74</v>
      </c>
      <c r="P56" s="15">
        <f t="shared" si="1"/>
        <v>120</v>
      </c>
      <c r="R56" s="8"/>
      <c r="T56"/>
    </row>
    <row r="57" spans="2:20" ht="23.1" customHeight="1" x14ac:dyDescent="0.25">
      <c r="B57" s="45" t="s">
        <v>84</v>
      </c>
      <c r="C57" s="50">
        <v>34</v>
      </c>
      <c r="D57" s="50">
        <v>7</v>
      </c>
      <c r="E57" s="50">
        <v>6</v>
      </c>
      <c r="F57" s="50">
        <v>7</v>
      </c>
      <c r="G57" s="50">
        <v>0</v>
      </c>
      <c r="H57" s="50">
        <v>0</v>
      </c>
      <c r="I57" s="50">
        <v>1</v>
      </c>
      <c r="J57" s="50">
        <v>3</v>
      </c>
      <c r="K57" s="50">
        <v>1</v>
      </c>
      <c r="L57" s="50">
        <v>3</v>
      </c>
      <c r="M57" s="50">
        <v>54</v>
      </c>
      <c r="N57" s="50">
        <v>0</v>
      </c>
      <c r="O57" s="15">
        <f t="shared" si="0"/>
        <v>62</v>
      </c>
      <c r="P57" s="15">
        <f t="shared" si="1"/>
        <v>116</v>
      </c>
      <c r="R57" s="8"/>
      <c r="T57"/>
    </row>
    <row r="58" spans="2:20" ht="23.1" customHeight="1" x14ac:dyDescent="0.25">
      <c r="B58" s="45" t="s">
        <v>99</v>
      </c>
      <c r="C58" s="50">
        <v>12</v>
      </c>
      <c r="D58" s="50">
        <v>4</v>
      </c>
      <c r="E58" s="50">
        <v>1</v>
      </c>
      <c r="F58" s="50">
        <v>7</v>
      </c>
      <c r="G58" s="50">
        <v>0</v>
      </c>
      <c r="H58" s="50">
        <v>0</v>
      </c>
      <c r="I58" s="50">
        <v>1</v>
      </c>
      <c r="J58" s="50">
        <v>1</v>
      </c>
      <c r="K58" s="50">
        <v>0</v>
      </c>
      <c r="L58" s="50">
        <v>0</v>
      </c>
      <c r="M58" s="50">
        <v>30</v>
      </c>
      <c r="N58" s="50">
        <v>0</v>
      </c>
      <c r="O58" s="15">
        <f t="shared" si="0"/>
        <v>26</v>
      </c>
      <c r="P58" s="15">
        <f t="shared" si="1"/>
        <v>56</v>
      </c>
      <c r="R58" s="8"/>
      <c r="T58"/>
    </row>
    <row r="59" spans="2:20" ht="23.1" customHeight="1" x14ac:dyDescent="0.25">
      <c r="B59" s="45" t="s">
        <v>100</v>
      </c>
      <c r="C59" s="50">
        <v>45</v>
      </c>
      <c r="D59" s="50">
        <v>8</v>
      </c>
      <c r="E59" s="50">
        <v>1</v>
      </c>
      <c r="F59" s="50">
        <v>8</v>
      </c>
      <c r="G59" s="50">
        <v>1</v>
      </c>
      <c r="H59" s="50">
        <v>1</v>
      </c>
      <c r="I59" s="50">
        <v>3</v>
      </c>
      <c r="J59" s="50">
        <v>0</v>
      </c>
      <c r="K59" s="50">
        <v>0</v>
      </c>
      <c r="L59" s="50">
        <v>0</v>
      </c>
      <c r="M59" s="50">
        <v>125</v>
      </c>
      <c r="N59" s="50">
        <v>0</v>
      </c>
      <c r="O59" s="15">
        <f t="shared" si="0"/>
        <v>67</v>
      </c>
      <c r="P59" s="15">
        <f t="shared" si="1"/>
        <v>192</v>
      </c>
      <c r="R59" s="8"/>
      <c r="T59"/>
    </row>
    <row r="60" spans="2:20" ht="23.1" customHeight="1" x14ac:dyDescent="0.25">
      <c r="B60" s="45" t="s">
        <v>101</v>
      </c>
      <c r="C60" s="50">
        <v>43</v>
      </c>
      <c r="D60" s="50">
        <v>5</v>
      </c>
      <c r="E60" s="50">
        <v>7</v>
      </c>
      <c r="F60" s="50">
        <v>7</v>
      </c>
      <c r="G60" s="50">
        <v>2</v>
      </c>
      <c r="H60" s="50">
        <v>0</v>
      </c>
      <c r="I60" s="50">
        <v>3</v>
      </c>
      <c r="J60" s="50">
        <v>0</v>
      </c>
      <c r="K60" s="50">
        <v>0</v>
      </c>
      <c r="L60" s="50">
        <v>0</v>
      </c>
      <c r="M60" s="50">
        <v>100</v>
      </c>
      <c r="N60" s="50">
        <v>0</v>
      </c>
      <c r="O60" s="15">
        <f t="shared" si="0"/>
        <v>67</v>
      </c>
      <c r="P60" s="15">
        <f t="shared" si="1"/>
        <v>167</v>
      </c>
      <c r="R60" s="8"/>
      <c r="T60"/>
    </row>
    <row r="61" spans="2:20" ht="23.1" customHeight="1" x14ac:dyDescent="0.25">
      <c r="B61" s="45" t="s">
        <v>102</v>
      </c>
      <c r="C61" s="50">
        <v>44</v>
      </c>
      <c r="D61" s="50">
        <v>9</v>
      </c>
      <c r="E61" s="50">
        <v>7</v>
      </c>
      <c r="F61" s="50">
        <v>4</v>
      </c>
      <c r="G61" s="50">
        <v>4</v>
      </c>
      <c r="H61" s="50">
        <v>0</v>
      </c>
      <c r="I61" s="50">
        <v>7</v>
      </c>
      <c r="J61" s="50">
        <v>0</v>
      </c>
      <c r="K61" s="50">
        <v>0</v>
      </c>
      <c r="L61" s="50">
        <v>0</v>
      </c>
      <c r="M61" s="50">
        <v>140</v>
      </c>
      <c r="N61" s="50">
        <v>0</v>
      </c>
      <c r="O61" s="15">
        <f t="shared" si="0"/>
        <v>75</v>
      </c>
      <c r="P61" s="15">
        <f t="shared" si="1"/>
        <v>215</v>
      </c>
      <c r="R61" s="8"/>
      <c r="T61"/>
    </row>
    <row r="62" spans="2:20" ht="23.1" customHeight="1" x14ac:dyDescent="0.25">
      <c r="B62" s="45" t="s">
        <v>107</v>
      </c>
      <c r="C62" s="50">
        <v>38</v>
      </c>
      <c r="D62" s="50">
        <v>9</v>
      </c>
      <c r="E62" s="50">
        <v>6</v>
      </c>
      <c r="F62" s="50">
        <v>3</v>
      </c>
      <c r="G62" s="50">
        <v>1</v>
      </c>
      <c r="H62" s="50">
        <v>0</v>
      </c>
      <c r="I62" s="50">
        <v>4</v>
      </c>
      <c r="J62" s="50">
        <v>0</v>
      </c>
      <c r="K62" s="50">
        <v>3</v>
      </c>
      <c r="L62" s="50">
        <v>0</v>
      </c>
      <c r="M62" s="50">
        <v>80</v>
      </c>
      <c r="N62" s="50">
        <v>0</v>
      </c>
      <c r="O62" s="15">
        <f t="shared" si="0"/>
        <v>64</v>
      </c>
      <c r="P62" s="15">
        <f t="shared" si="1"/>
        <v>144</v>
      </c>
      <c r="R62" s="8"/>
      <c r="T62"/>
    </row>
    <row r="63" spans="2:20" ht="23.1" customHeight="1" x14ac:dyDescent="0.25">
      <c r="B63" s="45" t="s">
        <v>108</v>
      </c>
      <c r="C63" s="50">
        <v>54</v>
      </c>
      <c r="D63" s="50">
        <v>9</v>
      </c>
      <c r="E63" s="50">
        <v>7</v>
      </c>
      <c r="F63" s="50">
        <v>6</v>
      </c>
      <c r="G63" s="50">
        <v>1</v>
      </c>
      <c r="H63" s="50">
        <v>0</v>
      </c>
      <c r="I63" s="50">
        <v>3</v>
      </c>
      <c r="J63" s="50">
        <v>0</v>
      </c>
      <c r="K63" s="50">
        <v>0</v>
      </c>
      <c r="L63" s="50">
        <v>0</v>
      </c>
      <c r="M63" s="50">
        <v>185</v>
      </c>
      <c r="N63" s="50">
        <v>0</v>
      </c>
      <c r="O63" s="15">
        <f t="shared" si="0"/>
        <v>80</v>
      </c>
      <c r="P63" s="15">
        <f t="shared" si="1"/>
        <v>265</v>
      </c>
      <c r="R63" s="8"/>
      <c r="T63"/>
    </row>
    <row r="64" spans="2:20" ht="23.1" customHeight="1" x14ac:dyDescent="0.25">
      <c r="B64" s="45" t="s">
        <v>109</v>
      </c>
      <c r="C64" s="50">
        <v>44</v>
      </c>
      <c r="D64" s="50">
        <v>6</v>
      </c>
      <c r="E64" s="50">
        <v>1</v>
      </c>
      <c r="F64" s="50">
        <v>9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190</v>
      </c>
      <c r="N64" s="50">
        <v>0</v>
      </c>
      <c r="O64" s="15">
        <f t="shared" si="0"/>
        <v>60</v>
      </c>
      <c r="P64" s="15">
        <f t="shared" si="1"/>
        <v>250</v>
      </c>
      <c r="R64" s="8"/>
      <c r="T64"/>
    </row>
    <row r="65" spans="2:20" ht="23.1" customHeight="1" x14ac:dyDescent="0.25">
      <c r="B65" s="45" t="s">
        <v>158</v>
      </c>
      <c r="C65" s="50">
        <v>49</v>
      </c>
      <c r="D65" s="50">
        <v>13</v>
      </c>
      <c r="E65" s="50">
        <v>12</v>
      </c>
      <c r="F65" s="50">
        <v>6</v>
      </c>
      <c r="G65" s="50">
        <v>3</v>
      </c>
      <c r="H65" s="50">
        <v>1</v>
      </c>
      <c r="I65" s="50">
        <v>4</v>
      </c>
      <c r="J65" s="50">
        <v>1</v>
      </c>
      <c r="K65" s="50">
        <v>1</v>
      </c>
      <c r="L65" s="50">
        <v>0</v>
      </c>
      <c r="M65" s="50">
        <v>195</v>
      </c>
      <c r="N65" s="50">
        <v>0</v>
      </c>
      <c r="O65" s="15">
        <f t="shared" si="0"/>
        <v>90</v>
      </c>
      <c r="P65" s="15">
        <f t="shared" si="1"/>
        <v>285</v>
      </c>
      <c r="R65" s="8"/>
      <c r="T65"/>
    </row>
    <row r="66" spans="2:20" ht="23.1" customHeight="1" x14ac:dyDescent="0.25">
      <c r="B66" s="45" t="s">
        <v>103</v>
      </c>
      <c r="C66" s="50">
        <v>40</v>
      </c>
      <c r="D66" s="50">
        <v>16</v>
      </c>
      <c r="E66" s="50">
        <v>11</v>
      </c>
      <c r="F66" s="50">
        <v>9</v>
      </c>
      <c r="G66" s="50">
        <v>1</v>
      </c>
      <c r="H66" s="50">
        <v>0</v>
      </c>
      <c r="I66" s="50">
        <v>2</v>
      </c>
      <c r="J66" s="50">
        <v>2</v>
      </c>
      <c r="K66" s="50">
        <v>1</v>
      </c>
      <c r="L66" s="50">
        <v>0</v>
      </c>
      <c r="M66" s="50">
        <v>120</v>
      </c>
      <c r="N66" s="50">
        <v>0</v>
      </c>
      <c r="O66" s="15">
        <f t="shared" si="0"/>
        <v>82</v>
      </c>
      <c r="P66" s="15">
        <f t="shared" si="1"/>
        <v>202</v>
      </c>
      <c r="R66" s="8"/>
      <c r="T66"/>
    </row>
    <row r="67" spans="2:20" ht="23.1" customHeight="1" x14ac:dyDescent="0.25">
      <c r="B67" s="45" t="s">
        <v>104</v>
      </c>
      <c r="C67" s="50">
        <v>48</v>
      </c>
      <c r="D67" s="50">
        <v>10</v>
      </c>
      <c r="E67" s="50">
        <v>5</v>
      </c>
      <c r="F67" s="50">
        <v>11</v>
      </c>
      <c r="G67" s="50">
        <v>4</v>
      </c>
      <c r="H67" s="50">
        <v>0</v>
      </c>
      <c r="I67" s="50">
        <v>6</v>
      </c>
      <c r="J67" s="50">
        <v>0</v>
      </c>
      <c r="K67" s="50">
        <v>0</v>
      </c>
      <c r="L67" s="50">
        <v>2</v>
      </c>
      <c r="M67" s="50">
        <v>135</v>
      </c>
      <c r="N67" s="50">
        <v>0</v>
      </c>
      <c r="O67" s="15">
        <f t="shared" si="0"/>
        <v>86</v>
      </c>
      <c r="P67" s="15">
        <f t="shared" si="1"/>
        <v>221</v>
      </c>
      <c r="R67" s="8"/>
      <c r="T67"/>
    </row>
    <row r="68" spans="2:20" ht="23.1" customHeight="1" x14ac:dyDescent="0.25">
      <c r="B68" s="45" t="s">
        <v>105</v>
      </c>
      <c r="C68" s="50">
        <v>55</v>
      </c>
      <c r="D68" s="50">
        <v>6</v>
      </c>
      <c r="E68" s="50">
        <v>10</v>
      </c>
      <c r="F68" s="50">
        <v>9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1</v>
      </c>
      <c r="M68" s="50">
        <v>130</v>
      </c>
      <c r="N68" s="50">
        <v>0</v>
      </c>
      <c r="O68" s="15">
        <f t="shared" si="0"/>
        <v>81</v>
      </c>
      <c r="P68" s="15">
        <f t="shared" si="1"/>
        <v>211</v>
      </c>
      <c r="R68" s="8"/>
      <c r="T68"/>
    </row>
    <row r="69" spans="2:20" ht="23.1" customHeight="1" x14ac:dyDescent="0.25">
      <c r="B69" s="45" t="s">
        <v>106</v>
      </c>
      <c r="C69" s="50">
        <v>47</v>
      </c>
      <c r="D69" s="50">
        <v>13</v>
      </c>
      <c r="E69" s="50">
        <v>2</v>
      </c>
      <c r="F69" s="50">
        <v>3</v>
      </c>
      <c r="G69" s="50">
        <v>0</v>
      </c>
      <c r="H69" s="50">
        <v>0</v>
      </c>
      <c r="I69" s="50">
        <v>2</v>
      </c>
      <c r="J69" s="50">
        <v>3</v>
      </c>
      <c r="K69" s="50">
        <v>0</v>
      </c>
      <c r="L69" s="50">
        <v>1</v>
      </c>
      <c r="M69" s="50">
        <v>160</v>
      </c>
      <c r="N69" s="50">
        <v>0</v>
      </c>
      <c r="O69" s="15">
        <f t="shared" si="0"/>
        <v>71</v>
      </c>
      <c r="P69" s="15">
        <f t="shared" si="1"/>
        <v>231</v>
      </c>
      <c r="R69" s="8"/>
      <c r="T69"/>
    </row>
    <row r="70" spans="2:20" ht="23.1" customHeight="1" x14ac:dyDescent="0.25">
      <c r="B70" s="45" t="s">
        <v>110</v>
      </c>
      <c r="C70" s="50">
        <v>37</v>
      </c>
      <c r="D70" s="50">
        <v>3</v>
      </c>
      <c r="E70" s="50">
        <v>5</v>
      </c>
      <c r="F70" s="50">
        <v>10</v>
      </c>
      <c r="G70" s="50">
        <v>1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110</v>
      </c>
      <c r="N70" s="50">
        <v>0</v>
      </c>
      <c r="O70" s="15">
        <f t="shared" si="0"/>
        <v>56</v>
      </c>
      <c r="P70" s="15">
        <f t="shared" si="1"/>
        <v>166</v>
      </c>
      <c r="R70" s="8"/>
      <c r="T70"/>
    </row>
    <row r="71" spans="2:20" ht="23.1" customHeight="1" x14ac:dyDescent="0.25">
      <c r="B71" s="45" t="s">
        <v>111</v>
      </c>
      <c r="C71" s="50">
        <v>36</v>
      </c>
      <c r="D71" s="50">
        <v>5</v>
      </c>
      <c r="E71" s="50">
        <v>3</v>
      </c>
      <c r="F71" s="50">
        <v>8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1</v>
      </c>
      <c r="M71" s="50">
        <v>200</v>
      </c>
      <c r="N71" s="50">
        <v>0</v>
      </c>
      <c r="O71" s="15">
        <f t="shared" si="0"/>
        <v>54</v>
      </c>
      <c r="P71" s="15">
        <f t="shared" si="1"/>
        <v>254</v>
      </c>
      <c r="R71" s="8"/>
      <c r="T71"/>
    </row>
    <row r="72" spans="2:20" ht="23.1" customHeight="1" x14ac:dyDescent="0.25">
      <c r="B72" s="45" t="s">
        <v>112</v>
      </c>
      <c r="C72" s="50">
        <v>36</v>
      </c>
      <c r="D72" s="50">
        <v>10</v>
      </c>
      <c r="E72" s="50">
        <v>5</v>
      </c>
      <c r="F72" s="50">
        <v>2</v>
      </c>
      <c r="G72" s="50">
        <v>2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35</v>
      </c>
      <c r="N72" s="50">
        <v>0</v>
      </c>
      <c r="O72" s="15">
        <f t="shared" si="0"/>
        <v>55</v>
      </c>
      <c r="P72" s="15">
        <f t="shared" si="1"/>
        <v>90</v>
      </c>
      <c r="R72" s="8"/>
      <c r="T72"/>
    </row>
    <row r="73" spans="2:20" ht="23.1" customHeight="1" x14ac:dyDescent="0.25">
      <c r="B73" s="45" t="s">
        <v>113</v>
      </c>
      <c r="C73" s="50">
        <v>29</v>
      </c>
      <c r="D73" s="50">
        <v>8</v>
      </c>
      <c r="E73" s="50">
        <v>2</v>
      </c>
      <c r="F73" s="50">
        <v>3</v>
      </c>
      <c r="G73" s="50">
        <v>0</v>
      </c>
      <c r="H73" s="50">
        <v>0</v>
      </c>
      <c r="I73" s="50">
        <v>2</v>
      </c>
      <c r="J73" s="50">
        <v>1</v>
      </c>
      <c r="K73" s="50">
        <v>1</v>
      </c>
      <c r="L73" s="50">
        <v>0</v>
      </c>
      <c r="M73" s="50">
        <v>45</v>
      </c>
      <c r="N73" s="50">
        <v>0</v>
      </c>
      <c r="O73" s="15">
        <f t="shared" si="0"/>
        <v>46</v>
      </c>
      <c r="P73" s="15">
        <f t="shared" si="1"/>
        <v>91</v>
      </c>
      <c r="R73" s="8"/>
      <c r="T73"/>
    </row>
    <row r="74" spans="2:20" ht="23.1" customHeight="1" x14ac:dyDescent="0.25">
      <c r="B74" s="45" t="s">
        <v>114</v>
      </c>
      <c r="C74" s="50">
        <v>28</v>
      </c>
      <c r="D74" s="50">
        <v>6</v>
      </c>
      <c r="E74" s="50">
        <v>1</v>
      </c>
      <c r="F74" s="50">
        <v>5</v>
      </c>
      <c r="G74" s="50">
        <v>1</v>
      </c>
      <c r="H74" s="50">
        <v>0</v>
      </c>
      <c r="I74" s="50">
        <v>0</v>
      </c>
      <c r="J74" s="50">
        <v>1</v>
      </c>
      <c r="K74" s="50">
        <v>0</v>
      </c>
      <c r="L74" s="50">
        <v>1</v>
      </c>
      <c r="M74" s="50">
        <v>45</v>
      </c>
      <c r="N74" s="50">
        <v>0</v>
      </c>
      <c r="O74" s="15">
        <f t="shared" ref="O74:O105" si="35">SUM(C74:L74,N74)</f>
        <v>43</v>
      </c>
      <c r="P74" s="15">
        <f t="shared" ref="P74:P105" si="36">SUM(C74:N74)</f>
        <v>88</v>
      </c>
      <c r="R74" s="8"/>
      <c r="T74"/>
    </row>
    <row r="75" spans="2:20" ht="23.1" customHeight="1" x14ac:dyDescent="0.25">
      <c r="B75" s="45" t="s">
        <v>115</v>
      </c>
      <c r="C75" s="50">
        <v>30</v>
      </c>
      <c r="D75" s="50">
        <v>7</v>
      </c>
      <c r="E75" s="50">
        <v>4</v>
      </c>
      <c r="F75" s="50">
        <v>1</v>
      </c>
      <c r="G75" s="50">
        <v>0</v>
      </c>
      <c r="H75" s="50">
        <v>0</v>
      </c>
      <c r="I75" s="50">
        <v>3</v>
      </c>
      <c r="J75" s="50">
        <v>0</v>
      </c>
      <c r="K75" s="50">
        <v>0</v>
      </c>
      <c r="L75" s="50">
        <v>0</v>
      </c>
      <c r="M75" s="50">
        <v>70</v>
      </c>
      <c r="N75" s="50">
        <v>0</v>
      </c>
      <c r="O75" s="15">
        <f t="shared" si="35"/>
        <v>45</v>
      </c>
      <c r="P75" s="15">
        <f t="shared" si="36"/>
        <v>115</v>
      </c>
      <c r="R75" s="8"/>
      <c r="T75"/>
    </row>
    <row r="76" spans="2:20" ht="23.1" customHeight="1" x14ac:dyDescent="0.25">
      <c r="B76" s="45" t="s">
        <v>116</v>
      </c>
      <c r="C76" s="50">
        <v>23</v>
      </c>
      <c r="D76" s="50">
        <v>2</v>
      </c>
      <c r="E76" s="50">
        <v>3</v>
      </c>
      <c r="F76" s="50">
        <v>5</v>
      </c>
      <c r="G76" s="50">
        <v>0</v>
      </c>
      <c r="H76" s="50">
        <v>0</v>
      </c>
      <c r="I76" s="50">
        <v>0</v>
      </c>
      <c r="J76" s="50">
        <v>0</v>
      </c>
      <c r="K76" s="50">
        <v>1</v>
      </c>
      <c r="L76" s="50">
        <v>0</v>
      </c>
      <c r="M76" s="50">
        <v>17</v>
      </c>
      <c r="N76" s="50">
        <v>0</v>
      </c>
      <c r="O76" s="15">
        <f t="shared" si="35"/>
        <v>34</v>
      </c>
      <c r="P76" s="15">
        <f t="shared" si="36"/>
        <v>51</v>
      </c>
      <c r="R76" s="8"/>
      <c r="T76"/>
    </row>
    <row r="77" spans="2:20" ht="23.1" customHeight="1" x14ac:dyDescent="0.25">
      <c r="B77" s="45" t="s">
        <v>117</v>
      </c>
      <c r="C77" s="50">
        <v>12</v>
      </c>
      <c r="D77" s="50">
        <v>6</v>
      </c>
      <c r="E77" s="50">
        <v>0</v>
      </c>
      <c r="F77" s="50">
        <v>0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36</v>
      </c>
      <c r="N77" s="50">
        <v>0</v>
      </c>
      <c r="O77" s="15">
        <f t="shared" si="35"/>
        <v>19</v>
      </c>
      <c r="P77" s="15">
        <f t="shared" si="36"/>
        <v>55</v>
      </c>
      <c r="R77" s="8"/>
      <c r="T77"/>
    </row>
    <row r="78" spans="2:20" ht="23.1" customHeight="1" x14ac:dyDescent="0.25">
      <c r="B78" s="46" t="s">
        <v>118</v>
      </c>
      <c r="C78" s="50">
        <v>11</v>
      </c>
      <c r="D78" s="50">
        <v>4</v>
      </c>
      <c r="E78" s="50">
        <v>1</v>
      </c>
      <c r="F78" s="50">
        <v>3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40</v>
      </c>
      <c r="N78" s="50">
        <v>0</v>
      </c>
      <c r="O78" s="15">
        <f t="shared" si="35"/>
        <v>19</v>
      </c>
      <c r="P78" s="15">
        <f t="shared" si="36"/>
        <v>59</v>
      </c>
      <c r="R78" s="8"/>
      <c r="T78"/>
    </row>
    <row r="79" spans="2:20" ht="23.1" customHeight="1" x14ac:dyDescent="0.25">
      <c r="B79" s="45" t="s">
        <v>119</v>
      </c>
      <c r="C79" s="50">
        <v>10</v>
      </c>
      <c r="D79" s="50">
        <v>6</v>
      </c>
      <c r="E79" s="50">
        <v>4</v>
      </c>
      <c r="F79" s="50">
        <v>0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1</v>
      </c>
      <c r="M79" s="50">
        <v>45</v>
      </c>
      <c r="N79" s="50">
        <v>0</v>
      </c>
      <c r="O79" s="15">
        <f t="shared" si="35"/>
        <v>22</v>
      </c>
      <c r="P79" s="15">
        <f t="shared" si="36"/>
        <v>67</v>
      </c>
      <c r="R79" s="8"/>
      <c r="T79"/>
    </row>
    <row r="80" spans="2:20" ht="23.1" customHeight="1" x14ac:dyDescent="0.25">
      <c r="B80" s="47" t="s">
        <v>120</v>
      </c>
      <c r="C80" s="50">
        <v>14</v>
      </c>
      <c r="D80" s="50">
        <v>3</v>
      </c>
      <c r="E80" s="50">
        <v>1</v>
      </c>
      <c r="F80" s="50">
        <v>2</v>
      </c>
      <c r="G80" s="50">
        <v>0</v>
      </c>
      <c r="H80" s="50">
        <v>0</v>
      </c>
      <c r="I80" s="50">
        <v>2</v>
      </c>
      <c r="J80" s="50">
        <v>0</v>
      </c>
      <c r="K80" s="50">
        <v>0</v>
      </c>
      <c r="L80" s="50">
        <v>0</v>
      </c>
      <c r="M80" s="50">
        <v>30</v>
      </c>
      <c r="N80" s="50">
        <v>0</v>
      </c>
      <c r="O80" s="15">
        <f t="shared" si="35"/>
        <v>22</v>
      </c>
      <c r="P80" s="15">
        <f t="shared" si="36"/>
        <v>52</v>
      </c>
      <c r="R80" s="8"/>
      <c r="T80"/>
    </row>
    <row r="81" spans="2:20" ht="23.1" customHeight="1" x14ac:dyDescent="0.25">
      <c r="B81" s="45" t="s">
        <v>121</v>
      </c>
      <c r="C81" s="50">
        <v>10</v>
      </c>
      <c r="D81" s="50">
        <v>1</v>
      </c>
      <c r="E81" s="50">
        <v>3</v>
      </c>
      <c r="F81" s="50">
        <v>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35</v>
      </c>
      <c r="N81" s="50">
        <v>0</v>
      </c>
      <c r="O81" s="15">
        <f t="shared" si="35"/>
        <v>15</v>
      </c>
      <c r="P81" s="15">
        <f t="shared" si="36"/>
        <v>50</v>
      </c>
      <c r="R81" s="8"/>
      <c r="T81"/>
    </row>
    <row r="82" spans="2:20" ht="23.1" customHeight="1" x14ac:dyDescent="0.25">
      <c r="B82" s="46" t="s">
        <v>122</v>
      </c>
      <c r="C82" s="50">
        <v>8</v>
      </c>
      <c r="D82" s="50">
        <v>4</v>
      </c>
      <c r="E82" s="50">
        <v>1</v>
      </c>
      <c r="F82" s="50">
        <v>0</v>
      </c>
      <c r="G82" s="50">
        <v>0</v>
      </c>
      <c r="H82" s="50">
        <v>0</v>
      </c>
      <c r="I82" s="50">
        <v>1</v>
      </c>
      <c r="J82" s="50">
        <v>1</v>
      </c>
      <c r="K82" s="50">
        <v>1</v>
      </c>
      <c r="L82" s="50">
        <v>0</v>
      </c>
      <c r="M82" s="50">
        <v>25</v>
      </c>
      <c r="N82" s="50">
        <v>0</v>
      </c>
      <c r="O82" s="15">
        <f t="shared" si="35"/>
        <v>16</v>
      </c>
      <c r="P82" s="15">
        <f t="shared" si="36"/>
        <v>41</v>
      </c>
      <c r="R82" s="8"/>
      <c r="T82"/>
    </row>
    <row r="83" spans="2:20" ht="23.1" customHeight="1" x14ac:dyDescent="0.25">
      <c r="B83" s="45" t="s">
        <v>123</v>
      </c>
      <c r="C83" s="50">
        <v>12</v>
      </c>
      <c r="D83" s="50">
        <v>0</v>
      </c>
      <c r="E83" s="50">
        <v>0</v>
      </c>
      <c r="F83" s="50">
        <v>1</v>
      </c>
      <c r="G83" s="50">
        <v>0</v>
      </c>
      <c r="H83" s="50">
        <v>0</v>
      </c>
      <c r="I83" s="50">
        <v>1</v>
      </c>
      <c r="J83" s="50">
        <v>1</v>
      </c>
      <c r="K83" s="50">
        <v>1</v>
      </c>
      <c r="L83" s="50">
        <v>0</v>
      </c>
      <c r="M83" s="50">
        <v>35</v>
      </c>
      <c r="N83" s="50">
        <v>0</v>
      </c>
      <c r="O83" s="15">
        <f t="shared" si="35"/>
        <v>16</v>
      </c>
      <c r="P83" s="15">
        <f t="shared" si="36"/>
        <v>51</v>
      </c>
      <c r="R83" s="8"/>
      <c r="T83"/>
    </row>
    <row r="84" spans="2:20" ht="23.1" customHeight="1" x14ac:dyDescent="0.25">
      <c r="B84" s="47" t="s">
        <v>124</v>
      </c>
      <c r="C84" s="50">
        <v>12</v>
      </c>
      <c r="D84" s="50">
        <v>1</v>
      </c>
      <c r="E84" s="50">
        <v>0</v>
      </c>
      <c r="F84" s="50">
        <v>1</v>
      </c>
      <c r="G84" s="50">
        <v>0</v>
      </c>
      <c r="H84" s="50">
        <v>0</v>
      </c>
      <c r="I84" s="50">
        <v>1</v>
      </c>
      <c r="J84" s="50">
        <v>0</v>
      </c>
      <c r="K84" s="50">
        <v>1</v>
      </c>
      <c r="L84" s="50">
        <v>0</v>
      </c>
      <c r="M84" s="50">
        <v>8</v>
      </c>
      <c r="N84" s="50">
        <v>0</v>
      </c>
      <c r="O84" s="15">
        <f t="shared" si="35"/>
        <v>16</v>
      </c>
      <c r="P84" s="15">
        <f t="shared" si="36"/>
        <v>24</v>
      </c>
      <c r="R84" s="8"/>
      <c r="T84"/>
    </row>
    <row r="85" spans="2:20" ht="23.1" customHeight="1" x14ac:dyDescent="0.25">
      <c r="B85" s="45" t="s">
        <v>125</v>
      </c>
      <c r="C85" s="50">
        <v>10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6</v>
      </c>
      <c r="N85" s="50">
        <v>0</v>
      </c>
      <c r="O85" s="15">
        <f t="shared" si="35"/>
        <v>10</v>
      </c>
      <c r="P85" s="15">
        <f t="shared" si="36"/>
        <v>16</v>
      </c>
      <c r="R85" s="8"/>
      <c r="T85"/>
    </row>
    <row r="86" spans="2:20" ht="23.1" customHeight="1" x14ac:dyDescent="0.25">
      <c r="B86" s="46" t="s">
        <v>126</v>
      </c>
      <c r="C86" s="50">
        <v>14</v>
      </c>
      <c r="D86" s="50">
        <v>2</v>
      </c>
      <c r="E86" s="50">
        <v>2</v>
      </c>
      <c r="F86" s="50">
        <v>0</v>
      </c>
      <c r="G86" s="50">
        <v>0</v>
      </c>
      <c r="H86" s="50">
        <v>0</v>
      </c>
      <c r="I86" s="50">
        <v>1</v>
      </c>
      <c r="J86" s="50">
        <v>0</v>
      </c>
      <c r="K86" s="50">
        <v>0</v>
      </c>
      <c r="L86" s="50">
        <v>0</v>
      </c>
      <c r="M86" s="50">
        <v>10</v>
      </c>
      <c r="N86" s="50">
        <v>0</v>
      </c>
      <c r="O86" s="15">
        <f t="shared" si="35"/>
        <v>19</v>
      </c>
      <c r="P86" s="15">
        <f t="shared" si="36"/>
        <v>29</v>
      </c>
      <c r="R86" s="8"/>
      <c r="T86"/>
    </row>
    <row r="87" spans="2:20" ht="23.1" customHeight="1" x14ac:dyDescent="0.25">
      <c r="B87" s="45" t="s">
        <v>127</v>
      </c>
      <c r="C87" s="50">
        <v>8</v>
      </c>
      <c r="D87" s="50">
        <v>1</v>
      </c>
      <c r="E87" s="50">
        <v>0</v>
      </c>
      <c r="F87" s="50">
        <v>2</v>
      </c>
      <c r="G87" s="50">
        <v>0</v>
      </c>
      <c r="H87" s="50">
        <v>0</v>
      </c>
      <c r="I87" s="50">
        <v>0</v>
      </c>
      <c r="J87" s="50">
        <v>1</v>
      </c>
      <c r="K87" s="50">
        <v>0</v>
      </c>
      <c r="L87" s="50">
        <v>0</v>
      </c>
      <c r="M87" s="50">
        <v>5</v>
      </c>
      <c r="N87" s="50">
        <v>0</v>
      </c>
      <c r="O87" s="15">
        <f t="shared" si="35"/>
        <v>12</v>
      </c>
      <c r="P87" s="15">
        <f t="shared" si="36"/>
        <v>17</v>
      </c>
      <c r="R87" s="8"/>
      <c r="T87"/>
    </row>
    <row r="88" spans="2:20" ht="23.1" customHeight="1" x14ac:dyDescent="0.25">
      <c r="B88" s="47" t="s">
        <v>128</v>
      </c>
      <c r="C88" s="50">
        <v>11</v>
      </c>
      <c r="D88" s="50">
        <v>1</v>
      </c>
      <c r="E88" s="50">
        <v>1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1</v>
      </c>
      <c r="M88" s="50">
        <v>6</v>
      </c>
      <c r="N88" s="50">
        <v>0</v>
      </c>
      <c r="O88" s="15">
        <f t="shared" si="35"/>
        <v>15</v>
      </c>
      <c r="P88" s="15">
        <f t="shared" si="36"/>
        <v>21</v>
      </c>
      <c r="R88" s="8"/>
      <c r="T88"/>
    </row>
    <row r="89" spans="2:20" ht="23.1" customHeight="1" x14ac:dyDescent="0.25">
      <c r="B89" s="45" t="s">
        <v>129</v>
      </c>
      <c r="C89" s="50">
        <v>5</v>
      </c>
      <c r="D89" s="50">
        <v>1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1</v>
      </c>
      <c r="L89" s="50">
        <v>0</v>
      </c>
      <c r="M89" s="50">
        <v>10</v>
      </c>
      <c r="N89" s="50">
        <v>0</v>
      </c>
      <c r="O89" s="15">
        <f t="shared" si="35"/>
        <v>8</v>
      </c>
      <c r="P89" s="15">
        <f t="shared" si="36"/>
        <v>18</v>
      </c>
      <c r="R89" s="8"/>
      <c r="T89"/>
    </row>
    <row r="90" spans="2:20" ht="23.1" customHeight="1" x14ac:dyDescent="0.25">
      <c r="B90" s="46" t="s">
        <v>130</v>
      </c>
      <c r="C90" s="50">
        <v>8</v>
      </c>
      <c r="D90" s="50">
        <v>1</v>
      </c>
      <c r="E90" s="50">
        <v>0</v>
      </c>
      <c r="F90" s="50">
        <v>1</v>
      </c>
      <c r="G90" s="50">
        <v>0</v>
      </c>
      <c r="H90" s="50">
        <v>0</v>
      </c>
      <c r="I90" s="50">
        <v>1</v>
      </c>
      <c r="J90" s="50">
        <v>2</v>
      </c>
      <c r="K90" s="50">
        <v>0</v>
      </c>
      <c r="L90" s="50">
        <v>0</v>
      </c>
      <c r="M90" s="50">
        <v>4</v>
      </c>
      <c r="N90" s="50">
        <v>0</v>
      </c>
      <c r="O90" s="15">
        <f t="shared" si="35"/>
        <v>13</v>
      </c>
      <c r="P90" s="15">
        <f t="shared" si="36"/>
        <v>17</v>
      </c>
      <c r="R90" s="8"/>
      <c r="T90"/>
    </row>
    <row r="91" spans="2:20" ht="23.1" customHeight="1" x14ac:dyDescent="0.25">
      <c r="B91" s="45" t="s">
        <v>131</v>
      </c>
      <c r="C91" s="50">
        <v>4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1</v>
      </c>
      <c r="L91" s="50">
        <v>0</v>
      </c>
      <c r="M91" s="50">
        <v>8</v>
      </c>
      <c r="N91" s="50">
        <v>0</v>
      </c>
      <c r="O91" s="15">
        <f t="shared" si="35"/>
        <v>5</v>
      </c>
      <c r="P91" s="15">
        <f t="shared" si="36"/>
        <v>13</v>
      </c>
      <c r="R91" s="8"/>
      <c r="T91"/>
    </row>
    <row r="92" spans="2:20" ht="23.1" customHeight="1" x14ac:dyDescent="0.25">
      <c r="B92" s="47" t="s">
        <v>132</v>
      </c>
      <c r="C92" s="50">
        <v>4</v>
      </c>
      <c r="D92" s="50">
        <v>2</v>
      </c>
      <c r="E92" s="50">
        <v>0</v>
      </c>
      <c r="F92" s="50">
        <v>0</v>
      </c>
      <c r="G92" s="50">
        <v>0</v>
      </c>
      <c r="H92" s="50">
        <v>0</v>
      </c>
      <c r="I92" s="50">
        <v>1</v>
      </c>
      <c r="J92" s="50">
        <v>1</v>
      </c>
      <c r="K92" s="50">
        <v>0</v>
      </c>
      <c r="L92" s="50">
        <v>0</v>
      </c>
      <c r="M92" s="50">
        <v>17</v>
      </c>
      <c r="N92" s="50">
        <v>0</v>
      </c>
      <c r="O92" s="15">
        <f t="shared" si="35"/>
        <v>8</v>
      </c>
      <c r="P92" s="15">
        <f t="shared" si="36"/>
        <v>25</v>
      </c>
      <c r="R92" s="8"/>
      <c r="T92"/>
    </row>
    <row r="93" spans="2:20" ht="23.1" customHeight="1" x14ac:dyDescent="0.25">
      <c r="B93" s="45" t="s">
        <v>133</v>
      </c>
      <c r="C93" s="50">
        <v>6</v>
      </c>
      <c r="D93" s="50">
        <v>1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5</v>
      </c>
      <c r="N93" s="50">
        <v>0</v>
      </c>
      <c r="O93" s="15">
        <f t="shared" si="35"/>
        <v>7</v>
      </c>
      <c r="P93" s="15">
        <f t="shared" si="36"/>
        <v>12</v>
      </c>
      <c r="R93" s="8"/>
      <c r="T93"/>
    </row>
    <row r="94" spans="2:20" ht="23.1" customHeight="1" x14ac:dyDescent="0.25">
      <c r="B94" s="46" t="s">
        <v>134</v>
      </c>
      <c r="C94" s="50">
        <v>8</v>
      </c>
      <c r="D94" s="50">
        <v>1</v>
      </c>
      <c r="E94" s="50">
        <v>0</v>
      </c>
      <c r="F94" s="50">
        <v>1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7</v>
      </c>
      <c r="N94" s="50">
        <v>0</v>
      </c>
      <c r="O94" s="15">
        <f t="shared" si="35"/>
        <v>10</v>
      </c>
      <c r="P94" s="15">
        <f t="shared" si="36"/>
        <v>17</v>
      </c>
      <c r="R94" s="8"/>
      <c r="T94"/>
    </row>
    <row r="95" spans="2:20" ht="23.1" customHeight="1" x14ac:dyDescent="0.25">
      <c r="B95" s="45" t="s">
        <v>135</v>
      </c>
      <c r="C95" s="50">
        <v>4</v>
      </c>
      <c r="D95" s="50">
        <v>1</v>
      </c>
      <c r="E95" s="50">
        <v>1</v>
      </c>
      <c r="F95" s="50">
        <v>1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15</v>
      </c>
      <c r="N95" s="50">
        <v>0</v>
      </c>
      <c r="O95" s="15">
        <f t="shared" si="35"/>
        <v>7</v>
      </c>
      <c r="P95" s="15">
        <f t="shared" si="36"/>
        <v>22</v>
      </c>
      <c r="R95" s="8"/>
      <c r="T95"/>
    </row>
    <row r="96" spans="2:20" ht="23.1" customHeight="1" x14ac:dyDescent="0.25">
      <c r="B96" s="47" t="s">
        <v>136</v>
      </c>
      <c r="C96" s="50">
        <v>7</v>
      </c>
      <c r="D96" s="50">
        <v>1</v>
      </c>
      <c r="E96" s="50">
        <v>0</v>
      </c>
      <c r="F96" s="50">
        <v>1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10</v>
      </c>
      <c r="N96" s="50">
        <v>0</v>
      </c>
      <c r="O96" s="15">
        <f t="shared" si="35"/>
        <v>10</v>
      </c>
      <c r="P96" s="15">
        <f t="shared" si="36"/>
        <v>20</v>
      </c>
      <c r="R96" s="8"/>
      <c r="T96"/>
    </row>
    <row r="97" spans="2:20" ht="23.1" customHeight="1" x14ac:dyDescent="0.25">
      <c r="B97" s="45" t="s">
        <v>137</v>
      </c>
      <c r="C97" s="50">
        <v>4</v>
      </c>
      <c r="D97" s="50">
        <v>0</v>
      </c>
      <c r="E97" s="50">
        <v>0</v>
      </c>
      <c r="F97" s="50">
        <v>0</v>
      </c>
      <c r="G97" s="50">
        <v>1</v>
      </c>
      <c r="H97" s="50">
        <v>0</v>
      </c>
      <c r="I97" s="50">
        <v>1</v>
      </c>
      <c r="J97" s="50">
        <v>0</v>
      </c>
      <c r="K97" s="50">
        <v>0</v>
      </c>
      <c r="L97" s="50">
        <v>1</v>
      </c>
      <c r="M97" s="50">
        <v>22</v>
      </c>
      <c r="N97" s="50">
        <v>0</v>
      </c>
      <c r="O97" s="15">
        <f t="shared" si="35"/>
        <v>7</v>
      </c>
      <c r="P97" s="15">
        <f t="shared" si="36"/>
        <v>29</v>
      </c>
      <c r="R97" s="8"/>
      <c r="T97"/>
    </row>
    <row r="98" spans="2:20" ht="23.1" customHeight="1" x14ac:dyDescent="0.25">
      <c r="B98" s="46" t="s">
        <v>138</v>
      </c>
      <c r="C98" s="50">
        <v>8</v>
      </c>
      <c r="D98" s="50">
        <v>0</v>
      </c>
      <c r="E98" s="50">
        <v>1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12</v>
      </c>
      <c r="N98" s="50">
        <v>0</v>
      </c>
      <c r="O98" s="15">
        <f t="shared" si="35"/>
        <v>9</v>
      </c>
      <c r="P98" s="15">
        <f t="shared" si="36"/>
        <v>21</v>
      </c>
      <c r="R98" s="8"/>
      <c r="T98"/>
    </row>
    <row r="99" spans="2:20" ht="23.1" customHeight="1" x14ac:dyDescent="0.25">
      <c r="B99" s="45" t="s">
        <v>139</v>
      </c>
      <c r="C99" s="50">
        <v>4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1</v>
      </c>
      <c r="L99" s="50">
        <v>0</v>
      </c>
      <c r="M99" s="50">
        <v>10</v>
      </c>
      <c r="N99" s="50">
        <v>0</v>
      </c>
      <c r="O99" s="15">
        <f t="shared" si="35"/>
        <v>5</v>
      </c>
      <c r="P99" s="15">
        <f t="shared" si="36"/>
        <v>15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1</v>
      </c>
      <c r="E100" s="50">
        <v>1</v>
      </c>
      <c r="F100" s="50">
        <v>1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27</v>
      </c>
      <c r="N100" s="50">
        <v>0</v>
      </c>
      <c r="O100" s="15">
        <f t="shared" si="35"/>
        <v>4</v>
      </c>
      <c r="P100" s="15">
        <f t="shared" si="36"/>
        <v>31</v>
      </c>
      <c r="R100" s="8"/>
      <c r="T100"/>
    </row>
    <row r="101" spans="2:20" ht="23.1" customHeight="1" x14ac:dyDescent="0.25">
      <c r="B101" s="45" t="s">
        <v>141</v>
      </c>
      <c r="C101" s="50">
        <v>5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22</v>
      </c>
      <c r="N101" s="50">
        <v>0</v>
      </c>
      <c r="O101" s="15">
        <f t="shared" si="35"/>
        <v>5</v>
      </c>
      <c r="P101" s="15">
        <f t="shared" si="36"/>
        <v>27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0</v>
      </c>
      <c r="E102" s="50">
        <v>2</v>
      </c>
      <c r="F102" s="50">
        <v>3</v>
      </c>
      <c r="G102" s="50">
        <v>0</v>
      </c>
      <c r="H102" s="50">
        <v>0</v>
      </c>
      <c r="I102" s="50">
        <v>0</v>
      </c>
      <c r="J102" s="50">
        <v>0</v>
      </c>
      <c r="K102" s="50">
        <v>1</v>
      </c>
      <c r="L102" s="50">
        <v>0</v>
      </c>
      <c r="M102" s="50">
        <v>32</v>
      </c>
      <c r="N102" s="50">
        <v>0</v>
      </c>
      <c r="O102" s="15">
        <f t="shared" si="35"/>
        <v>9</v>
      </c>
      <c r="P102" s="15">
        <f t="shared" si="36"/>
        <v>41</v>
      </c>
      <c r="R102" s="8"/>
      <c r="T102"/>
    </row>
    <row r="103" spans="2:20" ht="23.1" customHeight="1" x14ac:dyDescent="0.25">
      <c r="B103" s="45" t="s">
        <v>143</v>
      </c>
      <c r="C103" s="50">
        <v>4</v>
      </c>
      <c r="D103" s="50">
        <v>0</v>
      </c>
      <c r="E103" s="50">
        <v>0</v>
      </c>
      <c r="F103" s="50">
        <v>3</v>
      </c>
      <c r="G103" s="50">
        <v>0</v>
      </c>
      <c r="H103" s="50">
        <v>0</v>
      </c>
      <c r="I103" s="50">
        <v>0</v>
      </c>
      <c r="J103" s="50">
        <v>1</v>
      </c>
      <c r="K103" s="50">
        <v>0</v>
      </c>
      <c r="L103" s="50">
        <v>1</v>
      </c>
      <c r="M103" s="50">
        <v>50</v>
      </c>
      <c r="N103" s="50">
        <v>0</v>
      </c>
      <c r="O103" s="15">
        <f t="shared" si="35"/>
        <v>9</v>
      </c>
      <c r="P103" s="15">
        <f t="shared" si="36"/>
        <v>59</v>
      </c>
      <c r="R103" s="8"/>
      <c r="T103"/>
    </row>
    <row r="104" spans="2:20" ht="23.1" customHeight="1" x14ac:dyDescent="0.25">
      <c r="B104" s="47" t="s">
        <v>144</v>
      </c>
      <c r="C104" s="50">
        <v>5</v>
      </c>
      <c r="D104" s="50">
        <v>1</v>
      </c>
      <c r="E104" s="50">
        <v>4</v>
      </c>
      <c r="F104" s="50">
        <v>4</v>
      </c>
      <c r="G104" s="50">
        <v>0</v>
      </c>
      <c r="H104" s="50">
        <v>0</v>
      </c>
      <c r="I104" s="50">
        <v>0</v>
      </c>
      <c r="J104" s="50">
        <v>1</v>
      </c>
      <c r="K104" s="50">
        <v>1</v>
      </c>
      <c r="L104" s="50">
        <v>2</v>
      </c>
      <c r="M104" s="50">
        <v>65</v>
      </c>
      <c r="N104" s="50">
        <v>0</v>
      </c>
      <c r="O104" s="15">
        <f t="shared" si="35"/>
        <v>18</v>
      </c>
      <c r="P104" s="15">
        <f t="shared" si="36"/>
        <v>83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2</v>
      </c>
      <c r="E105" s="50">
        <v>0</v>
      </c>
      <c r="F105" s="50">
        <v>10</v>
      </c>
      <c r="G105" s="50">
        <v>0</v>
      </c>
      <c r="H105" s="50">
        <v>0</v>
      </c>
      <c r="I105" s="50">
        <v>1</v>
      </c>
      <c r="J105" s="50">
        <v>1</v>
      </c>
      <c r="K105" s="50">
        <v>0</v>
      </c>
      <c r="L105" s="50">
        <v>0</v>
      </c>
      <c r="M105" s="50">
        <v>65</v>
      </c>
      <c r="N105" s="50">
        <v>0</v>
      </c>
      <c r="O105" s="15">
        <f t="shared" si="35"/>
        <v>16</v>
      </c>
      <c r="P105" s="15">
        <f t="shared" si="36"/>
        <v>81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2502</v>
      </c>
      <c r="D106" s="16">
        <f t="shared" ref="D106:P106" si="37">SUM(D10:D105)</f>
        <v>544</v>
      </c>
      <c r="E106" s="16">
        <f t="shared" si="37"/>
        <v>384</v>
      </c>
      <c r="F106" s="16">
        <f t="shared" si="37"/>
        <v>424</v>
      </c>
      <c r="G106" s="16">
        <f t="shared" si="37"/>
        <v>70</v>
      </c>
      <c r="H106" s="16">
        <f t="shared" si="37"/>
        <v>2</v>
      </c>
      <c r="I106" s="16">
        <f t="shared" si="37"/>
        <v>185</v>
      </c>
      <c r="J106" s="16">
        <f t="shared" si="37"/>
        <v>112</v>
      </c>
      <c r="K106" s="16">
        <f t="shared" si="37"/>
        <v>120</v>
      </c>
      <c r="L106" s="16">
        <f t="shared" si="37"/>
        <v>200</v>
      </c>
      <c r="M106" s="16">
        <f t="shared" si="37"/>
        <v>6129</v>
      </c>
      <c r="N106" s="16">
        <f t="shared" si="37"/>
        <v>0</v>
      </c>
      <c r="O106" s="16">
        <f t="shared" si="37"/>
        <v>4543</v>
      </c>
      <c r="P106" s="16">
        <f t="shared" si="37"/>
        <v>10672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0.23444527736131934</v>
      </c>
      <c r="D107" s="43">
        <f t="shared" si="38"/>
        <v>5.0974512743628186E-2</v>
      </c>
      <c r="E107" s="43">
        <f t="shared" si="38"/>
        <v>3.5982008995502246E-2</v>
      </c>
      <c r="F107" s="43">
        <f t="shared" si="38"/>
        <v>3.9730134932533731E-2</v>
      </c>
      <c r="G107" s="43">
        <f t="shared" si="38"/>
        <v>6.5592203898050972E-3</v>
      </c>
      <c r="H107" s="43">
        <f t="shared" si="38"/>
        <v>1.8740629685157421E-4</v>
      </c>
      <c r="I107" s="43">
        <f t="shared" si="38"/>
        <v>1.7335082458770613E-2</v>
      </c>
      <c r="J107" s="43">
        <f t="shared" si="38"/>
        <v>1.0494752623688156E-2</v>
      </c>
      <c r="K107" s="43">
        <f t="shared" si="38"/>
        <v>1.1244377811094454E-2</v>
      </c>
      <c r="L107" s="43">
        <f t="shared" si="38"/>
        <v>1.8740629685157422E-2</v>
      </c>
      <c r="M107" s="43">
        <f t="shared" si="38"/>
        <v>0.57430659670164919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0.55073739819502532</v>
      </c>
      <c r="D108" s="44">
        <f t="shared" ref="D108:N108" si="39">D106/$O$106</f>
        <v>0.11974466211754348</v>
      </c>
      <c r="E108" s="44">
        <f t="shared" si="39"/>
        <v>8.4525643847677745E-2</v>
      </c>
      <c r="F108" s="44">
        <f t="shared" si="39"/>
        <v>9.3330398415144178E-2</v>
      </c>
      <c r="G108" s="44">
        <f t="shared" si="39"/>
        <v>1.5408320493066256E-2</v>
      </c>
      <c r="H108" s="44">
        <f t="shared" si="39"/>
        <v>4.4023772837332157E-4</v>
      </c>
      <c r="I108" s="44">
        <f t="shared" si="39"/>
        <v>4.0721989874532245E-2</v>
      </c>
      <c r="J108" s="44">
        <f t="shared" si="39"/>
        <v>2.465331278890601E-2</v>
      </c>
      <c r="K108" s="44">
        <f t="shared" si="39"/>
        <v>2.6414263702399295E-2</v>
      </c>
      <c r="L108" s="44">
        <f t="shared" si="39"/>
        <v>4.4023772837332158E-2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0" zoomScale="60" workbookViewId="0">
      <selection activeCell="C105" sqref="C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Spear Motors -URA'!C3:G3</f>
        <v>MCC - C1 - STN44- NAKAWA-JINJA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'03.08 Spear Motors-URA-24h'!D5</f>
        <v>03.08.19</v>
      </c>
      <c r="E5" s="3"/>
      <c r="F5" s="41" t="s">
        <v>1</v>
      </c>
      <c r="G5" s="63" t="str">
        <f>'03.08 Spear Motors-URA-24h'!G5:H5</f>
        <v>Spear Motors Limited</v>
      </c>
      <c r="H5" s="64"/>
      <c r="I5" s="14"/>
      <c r="J5" s="2" t="s">
        <v>5</v>
      </c>
      <c r="K5" s="63" t="s">
        <v>191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177</v>
      </c>
      <c r="E6" s="64"/>
      <c r="F6" s="2" t="s">
        <v>2</v>
      </c>
      <c r="G6" s="63" t="s">
        <v>180</v>
      </c>
      <c r="H6" s="64"/>
      <c r="J6" s="2" t="s">
        <v>21</v>
      </c>
      <c r="K6" s="63" t="str">
        <f>'03.08 Spear Motors-URA-24h'!K6:L6</f>
        <v>Nusurah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26</v>
      </c>
      <c r="D10" s="50">
        <v>4</v>
      </c>
      <c r="E10" s="50">
        <v>7</v>
      </c>
      <c r="F10" s="50">
        <v>15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102</v>
      </c>
      <c r="N10" s="50">
        <v>0</v>
      </c>
      <c r="O10" s="15">
        <f t="shared" ref="O10:O73" si="0">SUM(C10:L10,N10)</f>
        <v>55</v>
      </c>
      <c r="P10" s="15">
        <f t="shared" ref="P10:P73" si="1">SUM(C10:N10)</f>
        <v>157</v>
      </c>
      <c r="R10" s="1" t="s">
        <v>6</v>
      </c>
      <c r="S10" s="17">
        <f t="shared" ref="S10:AF10" si="2">SUM(C10:C13)</f>
        <v>93</v>
      </c>
      <c r="T10" s="17">
        <f t="shared" si="2"/>
        <v>24</v>
      </c>
      <c r="U10" s="17">
        <f t="shared" si="2"/>
        <v>16</v>
      </c>
      <c r="V10" s="17">
        <f t="shared" si="2"/>
        <v>83</v>
      </c>
      <c r="W10" s="17">
        <f t="shared" si="2"/>
        <v>2</v>
      </c>
      <c r="X10" s="17">
        <f t="shared" si="2"/>
        <v>1</v>
      </c>
      <c r="Y10" s="17">
        <f t="shared" si="2"/>
        <v>7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523</v>
      </c>
      <c r="AD10" s="17">
        <f t="shared" si="2"/>
        <v>0</v>
      </c>
      <c r="AE10" s="31">
        <f t="shared" si="2"/>
        <v>228</v>
      </c>
      <c r="AF10" s="31">
        <f t="shared" si="2"/>
        <v>751</v>
      </c>
    </row>
    <row r="11" spans="2:32" s="6" customFormat="1" ht="23.1" customHeight="1" x14ac:dyDescent="0.25">
      <c r="B11" s="45" t="s">
        <v>38</v>
      </c>
      <c r="C11" s="50">
        <v>17</v>
      </c>
      <c r="D11" s="50">
        <v>4</v>
      </c>
      <c r="E11" s="50">
        <v>3</v>
      </c>
      <c r="F11" s="50">
        <v>16</v>
      </c>
      <c r="G11" s="50">
        <v>0</v>
      </c>
      <c r="H11" s="50">
        <v>0</v>
      </c>
      <c r="I11" s="50">
        <v>3</v>
      </c>
      <c r="J11" s="50">
        <v>1</v>
      </c>
      <c r="K11" s="50">
        <v>0</v>
      </c>
      <c r="L11" s="50">
        <v>0</v>
      </c>
      <c r="M11" s="50">
        <v>100</v>
      </c>
      <c r="N11" s="50">
        <v>0</v>
      </c>
      <c r="O11" s="15">
        <f t="shared" si="0"/>
        <v>44</v>
      </c>
      <c r="P11" s="15">
        <f t="shared" si="1"/>
        <v>144</v>
      </c>
      <c r="R11" s="1" t="s">
        <v>7</v>
      </c>
      <c r="S11" s="17">
        <f t="shared" ref="S11:AF11" si="3">SUM(C14:C17)</f>
        <v>102</v>
      </c>
      <c r="T11" s="17">
        <f t="shared" si="3"/>
        <v>34</v>
      </c>
      <c r="U11" s="17">
        <f t="shared" si="3"/>
        <v>17</v>
      </c>
      <c r="V11" s="17">
        <f t="shared" si="3"/>
        <v>62</v>
      </c>
      <c r="W11" s="17">
        <f t="shared" si="3"/>
        <v>4</v>
      </c>
      <c r="X11" s="17">
        <f t="shared" si="3"/>
        <v>0</v>
      </c>
      <c r="Y11" s="17">
        <f t="shared" si="3"/>
        <v>18</v>
      </c>
      <c r="Z11" s="17">
        <f t="shared" si="3"/>
        <v>2</v>
      </c>
      <c r="AA11" s="17">
        <f t="shared" si="3"/>
        <v>1</v>
      </c>
      <c r="AB11" s="17">
        <f t="shared" si="3"/>
        <v>6</v>
      </c>
      <c r="AC11" s="17">
        <f t="shared" si="3"/>
        <v>404</v>
      </c>
      <c r="AD11" s="17">
        <f t="shared" si="3"/>
        <v>0</v>
      </c>
      <c r="AE11" s="31">
        <f t="shared" si="3"/>
        <v>246</v>
      </c>
      <c r="AF11" s="31">
        <f t="shared" si="3"/>
        <v>650</v>
      </c>
    </row>
    <row r="12" spans="2:32" ht="23.1" customHeight="1" x14ac:dyDescent="0.25">
      <c r="B12" s="45" t="s">
        <v>39</v>
      </c>
      <c r="C12" s="50">
        <v>18</v>
      </c>
      <c r="D12" s="50">
        <v>11</v>
      </c>
      <c r="E12" s="50">
        <v>4</v>
      </c>
      <c r="F12" s="50">
        <v>28</v>
      </c>
      <c r="G12" s="50">
        <v>2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190</v>
      </c>
      <c r="N12" s="50">
        <v>0</v>
      </c>
      <c r="O12" s="15">
        <f t="shared" si="0"/>
        <v>64</v>
      </c>
      <c r="P12" s="15">
        <f t="shared" si="1"/>
        <v>254</v>
      </c>
      <c r="R12" s="1" t="s">
        <v>8</v>
      </c>
      <c r="S12" s="17">
        <f t="shared" ref="S12:AF12" si="4">SUM(C18:C21)</f>
        <v>133</v>
      </c>
      <c r="T12" s="17">
        <f t="shared" si="4"/>
        <v>49</v>
      </c>
      <c r="U12" s="17">
        <f t="shared" si="4"/>
        <v>28</v>
      </c>
      <c r="V12" s="17">
        <f t="shared" si="4"/>
        <v>83</v>
      </c>
      <c r="W12" s="17">
        <f t="shared" si="4"/>
        <v>6</v>
      </c>
      <c r="X12" s="17">
        <f t="shared" si="4"/>
        <v>2</v>
      </c>
      <c r="Y12" s="17">
        <f t="shared" si="4"/>
        <v>12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282</v>
      </c>
      <c r="AD12" s="17">
        <f t="shared" si="4"/>
        <v>0</v>
      </c>
      <c r="AE12" s="31">
        <f t="shared" si="4"/>
        <v>316</v>
      </c>
      <c r="AF12" s="31">
        <f t="shared" si="4"/>
        <v>598</v>
      </c>
    </row>
    <row r="13" spans="2:32" ht="23.1" customHeight="1" x14ac:dyDescent="0.25">
      <c r="B13" s="45" t="s">
        <v>40</v>
      </c>
      <c r="C13" s="50">
        <v>32</v>
      </c>
      <c r="D13" s="50">
        <v>5</v>
      </c>
      <c r="E13" s="50">
        <v>2</v>
      </c>
      <c r="F13" s="50">
        <v>24</v>
      </c>
      <c r="G13" s="50">
        <v>0</v>
      </c>
      <c r="H13" s="50">
        <v>1</v>
      </c>
      <c r="I13" s="50">
        <v>1</v>
      </c>
      <c r="J13" s="50">
        <v>0</v>
      </c>
      <c r="K13" s="50">
        <v>0</v>
      </c>
      <c r="L13" s="50">
        <v>0</v>
      </c>
      <c r="M13" s="50">
        <v>131</v>
      </c>
      <c r="N13" s="50">
        <v>0</v>
      </c>
      <c r="O13" s="15">
        <f t="shared" si="0"/>
        <v>65</v>
      </c>
      <c r="P13" s="15">
        <f t="shared" si="1"/>
        <v>196</v>
      </c>
      <c r="R13" s="1" t="s">
        <v>9</v>
      </c>
      <c r="S13" s="17">
        <f t="shared" ref="S13:AF13" si="5">SUM(C22:C25)</f>
        <v>156</v>
      </c>
      <c r="T13" s="17">
        <f t="shared" si="5"/>
        <v>28</v>
      </c>
      <c r="U13" s="17">
        <f t="shared" si="5"/>
        <v>12</v>
      </c>
      <c r="V13" s="17">
        <f t="shared" si="5"/>
        <v>44</v>
      </c>
      <c r="W13" s="17">
        <f t="shared" si="5"/>
        <v>1</v>
      </c>
      <c r="X13" s="17">
        <f t="shared" si="5"/>
        <v>0</v>
      </c>
      <c r="Y13" s="17">
        <f t="shared" si="5"/>
        <v>23</v>
      </c>
      <c r="Z13" s="17">
        <f t="shared" si="5"/>
        <v>1</v>
      </c>
      <c r="AA13" s="17">
        <f t="shared" si="5"/>
        <v>0</v>
      </c>
      <c r="AB13" s="17">
        <f t="shared" si="5"/>
        <v>11</v>
      </c>
      <c r="AC13" s="17">
        <f t="shared" si="5"/>
        <v>406</v>
      </c>
      <c r="AD13" s="17">
        <f t="shared" si="5"/>
        <v>0</v>
      </c>
      <c r="AE13" s="31">
        <f t="shared" si="5"/>
        <v>276</v>
      </c>
      <c r="AF13" s="31">
        <f t="shared" si="5"/>
        <v>682</v>
      </c>
    </row>
    <row r="14" spans="2:32" ht="23.1" customHeight="1" x14ac:dyDescent="0.25">
      <c r="B14" s="45" t="s">
        <v>41</v>
      </c>
      <c r="C14" s="50">
        <v>29</v>
      </c>
      <c r="D14" s="50">
        <v>8</v>
      </c>
      <c r="E14" s="50">
        <v>3</v>
      </c>
      <c r="F14" s="50">
        <v>20</v>
      </c>
      <c r="G14" s="50">
        <v>2</v>
      </c>
      <c r="H14" s="50">
        <v>0</v>
      </c>
      <c r="I14" s="50">
        <v>5</v>
      </c>
      <c r="J14" s="50">
        <v>0</v>
      </c>
      <c r="K14" s="50">
        <v>0</v>
      </c>
      <c r="L14" s="50">
        <v>2</v>
      </c>
      <c r="M14" s="50">
        <v>159</v>
      </c>
      <c r="N14" s="50">
        <v>0</v>
      </c>
      <c r="O14" s="15">
        <f t="shared" si="0"/>
        <v>69</v>
      </c>
      <c r="P14" s="15">
        <f t="shared" si="1"/>
        <v>228</v>
      </c>
      <c r="R14" s="1" t="s">
        <v>10</v>
      </c>
      <c r="S14" s="17">
        <f t="shared" ref="S14:AF14" si="6">SUM(C26:C29)</f>
        <v>142</v>
      </c>
      <c r="T14" s="17">
        <f t="shared" si="6"/>
        <v>33</v>
      </c>
      <c r="U14" s="17">
        <f t="shared" si="6"/>
        <v>24</v>
      </c>
      <c r="V14" s="17">
        <f t="shared" si="6"/>
        <v>21</v>
      </c>
      <c r="W14" s="17">
        <f t="shared" si="6"/>
        <v>0</v>
      </c>
      <c r="X14" s="17">
        <f t="shared" si="6"/>
        <v>1</v>
      </c>
      <c r="Y14" s="17">
        <f t="shared" si="6"/>
        <v>16</v>
      </c>
      <c r="Z14" s="17">
        <f t="shared" si="6"/>
        <v>6</v>
      </c>
      <c r="AA14" s="17">
        <f t="shared" si="6"/>
        <v>1</v>
      </c>
      <c r="AB14" s="17">
        <f t="shared" si="6"/>
        <v>3</v>
      </c>
      <c r="AC14" s="17">
        <f t="shared" si="6"/>
        <v>295</v>
      </c>
      <c r="AD14" s="17">
        <f t="shared" si="6"/>
        <v>0</v>
      </c>
      <c r="AE14" s="31">
        <f t="shared" si="6"/>
        <v>247</v>
      </c>
      <c r="AF14" s="31">
        <f t="shared" si="6"/>
        <v>542</v>
      </c>
    </row>
    <row r="15" spans="2:32" ht="23.1" customHeight="1" x14ac:dyDescent="0.25">
      <c r="B15" s="45" t="s">
        <v>42</v>
      </c>
      <c r="C15" s="50">
        <v>25</v>
      </c>
      <c r="D15" s="50">
        <v>7</v>
      </c>
      <c r="E15" s="50">
        <v>7</v>
      </c>
      <c r="F15" s="50">
        <v>18</v>
      </c>
      <c r="G15" s="50">
        <v>0</v>
      </c>
      <c r="H15" s="50">
        <v>0</v>
      </c>
      <c r="I15" s="50">
        <v>8</v>
      </c>
      <c r="J15" s="50">
        <v>1</v>
      </c>
      <c r="K15" s="50">
        <v>1</v>
      </c>
      <c r="L15" s="50">
        <v>1</v>
      </c>
      <c r="M15" s="50">
        <v>121</v>
      </c>
      <c r="N15" s="50">
        <v>0</v>
      </c>
      <c r="O15" s="15">
        <f t="shared" si="0"/>
        <v>68</v>
      </c>
      <c r="P15" s="15">
        <f t="shared" si="1"/>
        <v>189</v>
      </c>
      <c r="R15" s="1" t="s">
        <v>11</v>
      </c>
      <c r="S15" s="17">
        <f t="shared" ref="S15:AF15" si="7">SUM(C30:C33)</f>
        <v>165</v>
      </c>
      <c r="T15" s="17">
        <f t="shared" si="7"/>
        <v>38</v>
      </c>
      <c r="U15" s="17">
        <f t="shared" si="7"/>
        <v>28</v>
      </c>
      <c r="V15" s="17">
        <f t="shared" si="7"/>
        <v>12</v>
      </c>
      <c r="W15" s="17">
        <f t="shared" si="7"/>
        <v>2</v>
      </c>
      <c r="X15" s="17">
        <f t="shared" si="7"/>
        <v>0</v>
      </c>
      <c r="Y15" s="17">
        <f t="shared" si="7"/>
        <v>27</v>
      </c>
      <c r="Z15" s="17">
        <f t="shared" si="7"/>
        <v>6</v>
      </c>
      <c r="AA15" s="17">
        <f t="shared" si="7"/>
        <v>0</v>
      </c>
      <c r="AB15" s="17">
        <f t="shared" si="7"/>
        <v>10</v>
      </c>
      <c r="AC15" s="17">
        <f t="shared" si="7"/>
        <v>176</v>
      </c>
      <c r="AD15" s="17">
        <f t="shared" si="7"/>
        <v>0</v>
      </c>
      <c r="AE15" s="31">
        <f t="shared" si="7"/>
        <v>288</v>
      </c>
      <c r="AF15" s="31">
        <f t="shared" si="7"/>
        <v>464</v>
      </c>
    </row>
    <row r="16" spans="2:32" ht="23.1" customHeight="1" x14ac:dyDescent="0.25">
      <c r="B16" s="45" t="s">
        <v>43</v>
      </c>
      <c r="C16" s="50">
        <v>37</v>
      </c>
      <c r="D16" s="50">
        <v>13</v>
      </c>
      <c r="E16" s="50">
        <v>6</v>
      </c>
      <c r="F16" s="50">
        <v>14</v>
      </c>
      <c r="G16" s="50">
        <v>1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64</v>
      </c>
      <c r="N16" s="50">
        <v>0</v>
      </c>
      <c r="O16" s="15">
        <f t="shared" si="0"/>
        <v>73</v>
      </c>
      <c r="P16" s="15">
        <f t="shared" si="1"/>
        <v>137</v>
      </c>
      <c r="R16" s="1" t="s">
        <v>12</v>
      </c>
      <c r="S16" s="17">
        <f t="shared" ref="S16:AF16" si="8">SUM(C34:C37)</f>
        <v>162</v>
      </c>
      <c r="T16" s="17">
        <f t="shared" si="8"/>
        <v>42</v>
      </c>
      <c r="U16" s="17">
        <f t="shared" si="8"/>
        <v>16</v>
      </c>
      <c r="V16" s="17">
        <f t="shared" si="8"/>
        <v>19</v>
      </c>
      <c r="W16" s="17">
        <f t="shared" si="8"/>
        <v>0</v>
      </c>
      <c r="X16" s="17">
        <f t="shared" si="8"/>
        <v>1</v>
      </c>
      <c r="Y16" s="17">
        <f t="shared" si="8"/>
        <v>13</v>
      </c>
      <c r="Z16" s="17">
        <f t="shared" si="8"/>
        <v>4</v>
      </c>
      <c r="AA16" s="17">
        <f t="shared" si="8"/>
        <v>5</v>
      </c>
      <c r="AB16" s="17">
        <f t="shared" si="8"/>
        <v>4</v>
      </c>
      <c r="AC16" s="17">
        <f t="shared" si="8"/>
        <v>169</v>
      </c>
      <c r="AD16" s="17">
        <f t="shared" si="8"/>
        <v>0</v>
      </c>
      <c r="AE16" s="31">
        <f t="shared" si="8"/>
        <v>266</v>
      </c>
      <c r="AF16" s="31">
        <f t="shared" si="8"/>
        <v>435</v>
      </c>
    </row>
    <row r="17" spans="2:32" ht="23.1" customHeight="1" x14ac:dyDescent="0.25">
      <c r="B17" s="45" t="s">
        <v>44</v>
      </c>
      <c r="C17" s="50">
        <v>11</v>
      </c>
      <c r="D17" s="50">
        <v>6</v>
      </c>
      <c r="E17" s="50">
        <v>1</v>
      </c>
      <c r="F17" s="50">
        <v>10</v>
      </c>
      <c r="G17" s="50">
        <v>1</v>
      </c>
      <c r="H17" s="50">
        <v>0</v>
      </c>
      <c r="I17" s="50">
        <v>4</v>
      </c>
      <c r="J17" s="50">
        <v>0</v>
      </c>
      <c r="K17" s="50">
        <v>0</v>
      </c>
      <c r="L17" s="50">
        <v>3</v>
      </c>
      <c r="M17" s="50">
        <v>60</v>
      </c>
      <c r="N17" s="50">
        <v>0</v>
      </c>
      <c r="O17" s="15">
        <f t="shared" si="0"/>
        <v>36</v>
      </c>
      <c r="P17" s="15">
        <f t="shared" si="1"/>
        <v>96</v>
      </c>
      <c r="R17" s="1" t="s">
        <v>13</v>
      </c>
      <c r="S17" s="17">
        <f t="shared" ref="S17:AF17" si="9">SUM(C38:C41)</f>
        <v>201</v>
      </c>
      <c r="T17" s="17">
        <f t="shared" si="9"/>
        <v>35</v>
      </c>
      <c r="U17" s="17">
        <f t="shared" si="9"/>
        <v>27</v>
      </c>
      <c r="V17" s="17">
        <f t="shared" si="9"/>
        <v>32</v>
      </c>
      <c r="W17" s="17">
        <f t="shared" si="9"/>
        <v>4</v>
      </c>
      <c r="X17" s="17">
        <f t="shared" si="9"/>
        <v>0</v>
      </c>
      <c r="Y17" s="17">
        <f t="shared" si="9"/>
        <v>21</v>
      </c>
      <c r="Z17" s="17">
        <f t="shared" si="9"/>
        <v>13</v>
      </c>
      <c r="AA17" s="17">
        <f t="shared" si="9"/>
        <v>3</v>
      </c>
      <c r="AB17" s="17">
        <f t="shared" si="9"/>
        <v>14</v>
      </c>
      <c r="AC17" s="17">
        <f t="shared" si="9"/>
        <v>324</v>
      </c>
      <c r="AD17" s="17">
        <f t="shared" si="9"/>
        <v>0</v>
      </c>
      <c r="AE17" s="31">
        <f t="shared" si="9"/>
        <v>350</v>
      </c>
      <c r="AF17" s="31">
        <f t="shared" si="9"/>
        <v>674</v>
      </c>
    </row>
    <row r="18" spans="2:32" ht="23.1" customHeight="1" x14ac:dyDescent="0.25">
      <c r="B18" s="45" t="s">
        <v>45</v>
      </c>
      <c r="C18" s="50">
        <v>33</v>
      </c>
      <c r="D18" s="50">
        <v>10</v>
      </c>
      <c r="E18" s="50">
        <v>4</v>
      </c>
      <c r="F18" s="50">
        <v>25</v>
      </c>
      <c r="G18" s="50">
        <v>2</v>
      </c>
      <c r="H18" s="50">
        <v>0</v>
      </c>
      <c r="I18" s="50">
        <v>4</v>
      </c>
      <c r="J18" s="50">
        <v>0</v>
      </c>
      <c r="K18" s="50">
        <v>0</v>
      </c>
      <c r="L18" s="50">
        <v>0</v>
      </c>
      <c r="M18" s="50">
        <v>109</v>
      </c>
      <c r="N18" s="50">
        <v>0</v>
      </c>
      <c r="O18" s="15">
        <f t="shared" si="0"/>
        <v>78</v>
      </c>
      <c r="P18" s="15">
        <f t="shared" si="1"/>
        <v>187</v>
      </c>
      <c r="R18" s="1" t="s">
        <v>14</v>
      </c>
      <c r="S18" s="17">
        <f t="shared" ref="S18:AF18" si="10">SUM(C42:C45)</f>
        <v>190</v>
      </c>
      <c r="T18" s="17">
        <f t="shared" si="10"/>
        <v>42</v>
      </c>
      <c r="U18" s="17">
        <f t="shared" si="10"/>
        <v>19</v>
      </c>
      <c r="V18" s="17">
        <f t="shared" si="10"/>
        <v>23</v>
      </c>
      <c r="W18" s="17">
        <f t="shared" si="10"/>
        <v>2</v>
      </c>
      <c r="X18" s="17">
        <f t="shared" si="10"/>
        <v>0</v>
      </c>
      <c r="Y18" s="17">
        <f t="shared" si="10"/>
        <v>30</v>
      </c>
      <c r="Z18" s="17">
        <f t="shared" si="10"/>
        <v>4</v>
      </c>
      <c r="AA18" s="17">
        <f t="shared" si="10"/>
        <v>0</v>
      </c>
      <c r="AB18" s="17">
        <f t="shared" si="10"/>
        <v>1</v>
      </c>
      <c r="AC18" s="17">
        <f t="shared" si="10"/>
        <v>185</v>
      </c>
      <c r="AD18" s="17">
        <f t="shared" si="10"/>
        <v>0</v>
      </c>
      <c r="AE18" s="31">
        <f t="shared" si="10"/>
        <v>311</v>
      </c>
      <c r="AF18" s="31">
        <f t="shared" si="10"/>
        <v>496</v>
      </c>
    </row>
    <row r="19" spans="2:32" ht="23.1" customHeight="1" x14ac:dyDescent="0.25">
      <c r="B19" s="45" t="s">
        <v>46</v>
      </c>
      <c r="C19" s="50">
        <v>30</v>
      </c>
      <c r="D19" s="50">
        <v>13</v>
      </c>
      <c r="E19" s="50">
        <v>8</v>
      </c>
      <c r="F19" s="50">
        <v>12</v>
      </c>
      <c r="G19" s="50">
        <v>2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44</v>
      </c>
      <c r="N19" s="50">
        <v>0</v>
      </c>
      <c r="O19" s="15">
        <f t="shared" si="0"/>
        <v>67</v>
      </c>
      <c r="P19" s="15">
        <f t="shared" si="1"/>
        <v>111</v>
      </c>
      <c r="R19" s="1" t="s">
        <v>15</v>
      </c>
      <c r="S19" s="17">
        <f t="shared" ref="S19:AF19" si="11">SUM(C46:C49)</f>
        <v>153</v>
      </c>
      <c r="T19" s="17">
        <f t="shared" si="11"/>
        <v>35</v>
      </c>
      <c r="U19" s="17">
        <f t="shared" si="11"/>
        <v>23</v>
      </c>
      <c r="V19" s="17">
        <f t="shared" si="11"/>
        <v>25</v>
      </c>
      <c r="W19" s="17">
        <f t="shared" si="11"/>
        <v>1</v>
      </c>
      <c r="X19" s="17">
        <f t="shared" si="11"/>
        <v>0</v>
      </c>
      <c r="Y19" s="17">
        <f t="shared" si="11"/>
        <v>25</v>
      </c>
      <c r="Z19" s="17">
        <f t="shared" si="11"/>
        <v>5</v>
      </c>
      <c r="AA19" s="17">
        <f t="shared" si="11"/>
        <v>4</v>
      </c>
      <c r="AB19" s="17">
        <f t="shared" si="11"/>
        <v>4</v>
      </c>
      <c r="AC19" s="17">
        <f t="shared" si="11"/>
        <v>382</v>
      </c>
      <c r="AD19" s="17">
        <f t="shared" si="11"/>
        <v>0</v>
      </c>
      <c r="AE19" s="31">
        <f t="shared" si="11"/>
        <v>275</v>
      </c>
      <c r="AF19" s="31">
        <f t="shared" si="11"/>
        <v>657</v>
      </c>
    </row>
    <row r="20" spans="2:32" ht="23.1" customHeight="1" x14ac:dyDescent="0.25">
      <c r="B20" s="45" t="s">
        <v>47</v>
      </c>
      <c r="C20" s="50">
        <v>40</v>
      </c>
      <c r="D20" s="50">
        <v>14</v>
      </c>
      <c r="E20" s="50">
        <v>6</v>
      </c>
      <c r="F20" s="50">
        <v>33</v>
      </c>
      <c r="G20" s="50">
        <v>0</v>
      </c>
      <c r="H20" s="50">
        <v>2</v>
      </c>
      <c r="I20" s="50">
        <v>2</v>
      </c>
      <c r="J20" s="50">
        <v>1</v>
      </c>
      <c r="K20" s="50">
        <v>0</v>
      </c>
      <c r="L20" s="50">
        <v>0</v>
      </c>
      <c r="M20" s="50">
        <v>69</v>
      </c>
      <c r="N20" s="50">
        <v>0</v>
      </c>
      <c r="O20" s="15">
        <f t="shared" si="0"/>
        <v>98</v>
      </c>
      <c r="P20" s="15">
        <f t="shared" si="1"/>
        <v>167</v>
      </c>
      <c r="R20" s="1" t="s">
        <v>16</v>
      </c>
      <c r="S20" s="17">
        <f t="shared" ref="S20:AF20" si="12">SUM(C50:C53)</f>
        <v>113</v>
      </c>
      <c r="T20" s="17">
        <f t="shared" si="12"/>
        <v>21</v>
      </c>
      <c r="U20" s="17">
        <f t="shared" si="12"/>
        <v>21</v>
      </c>
      <c r="V20" s="17">
        <f t="shared" si="12"/>
        <v>27</v>
      </c>
      <c r="W20" s="17">
        <f t="shared" si="12"/>
        <v>27</v>
      </c>
      <c r="X20" s="17">
        <f t="shared" si="12"/>
        <v>4</v>
      </c>
      <c r="Y20" s="17">
        <f t="shared" si="12"/>
        <v>12</v>
      </c>
      <c r="Z20" s="17">
        <f t="shared" si="12"/>
        <v>9</v>
      </c>
      <c r="AA20" s="17">
        <f t="shared" si="12"/>
        <v>0</v>
      </c>
      <c r="AB20" s="17">
        <f t="shared" si="12"/>
        <v>3</v>
      </c>
      <c r="AC20" s="17">
        <f t="shared" si="12"/>
        <v>358</v>
      </c>
      <c r="AD20" s="17">
        <f t="shared" si="12"/>
        <v>0</v>
      </c>
      <c r="AE20" s="31">
        <f t="shared" si="12"/>
        <v>237</v>
      </c>
      <c r="AF20" s="31">
        <f t="shared" si="12"/>
        <v>595</v>
      </c>
    </row>
    <row r="21" spans="2:32" ht="23.1" customHeight="1" x14ac:dyDescent="0.25">
      <c r="B21" s="45" t="s">
        <v>48</v>
      </c>
      <c r="C21" s="50">
        <v>30</v>
      </c>
      <c r="D21" s="50">
        <v>12</v>
      </c>
      <c r="E21" s="50">
        <v>10</v>
      </c>
      <c r="F21" s="50">
        <v>13</v>
      </c>
      <c r="G21" s="50">
        <v>2</v>
      </c>
      <c r="H21" s="50">
        <v>0</v>
      </c>
      <c r="I21" s="50">
        <v>4</v>
      </c>
      <c r="J21" s="50">
        <v>2</v>
      </c>
      <c r="K21" s="50">
        <v>0</v>
      </c>
      <c r="L21" s="50">
        <v>0</v>
      </c>
      <c r="M21" s="50">
        <v>60</v>
      </c>
      <c r="N21" s="50">
        <v>0</v>
      </c>
      <c r="O21" s="15">
        <f t="shared" si="0"/>
        <v>73</v>
      </c>
      <c r="P21" s="15">
        <f t="shared" si="1"/>
        <v>133</v>
      </c>
      <c r="R21" s="36" t="s">
        <v>20</v>
      </c>
      <c r="S21" s="34">
        <f t="shared" ref="S21:AF21" si="13">SUM(C54:C57)</f>
        <v>149</v>
      </c>
      <c r="T21" s="17">
        <f t="shared" si="13"/>
        <v>14</v>
      </c>
      <c r="U21" s="17">
        <f t="shared" si="13"/>
        <v>22</v>
      </c>
      <c r="V21" s="17">
        <f t="shared" si="13"/>
        <v>43</v>
      </c>
      <c r="W21" s="17">
        <f t="shared" si="13"/>
        <v>3</v>
      </c>
      <c r="X21" s="17">
        <f t="shared" si="13"/>
        <v>0</v>
      </c>
      <c r="Y21" s="17">
        <f t="shared" si="13"/>
        <v>14</v>
      </c>
      <c r="Z21" s="17">
        <f t="shared" si="13"/>
        <v>3</v>
      </c>
      <c r="AA21" s="17">
        <f t="shared" si="13"/>
        <v>0</v>
      </c>
      <c r="AB21" s="17">
        <f t="shared" si="13"/>
        <v>3</v>
      </c>
      <c r="AC21" s="17">
        <f t="shared" si="13"/>
        <v>281</v>
      </c>
      <c r="AD21" s="17">
        <f t="shared" si="13"/>
        <v>0</v>
      </c>
      <c r="AE21" s="31">
        <f t="shared" si="13"/>
        <v>251</v>
      </c>
      <c r="AF21" s="31">
        <f t="shared" si="13"/>
        <v>532</v>
      </c>
    </row>
    <row r="22" spans="2:32" ht="23.1" customHeight="1" x14ac:dyDescent="0.25">
      <c r="B22" s="45" t="s">
        <v>49</v>
      </c>
      <c r="C22" s="50">
        <v>32</v>
      </c>
      <c r="D22" s="50">
        <v>6</v>
      </c>
      <c r="E22" s="50">
        <v>4</v>
      </c>
      <c r="F22" s="50">
        <v>8</v>
      </c>
      <c r="G22" s="50">
        <v>0</v>
      </c>
      <c r="H22" s="50">
        <v>0</v>
      </c>
      <c r="I22" s="50">
        <v>4</v>
      </c>
      <c r="J22" s="50">
        <v>0</v>
      </c>
      <c r="K22" s="50">
        <v>0</v>
      </c>
      <c r="L22" s="50">
        <v>0</v>
      </c>
      <c r="M22" s="50">
        <v>50</v>
      </c>
      <c r="N22" s="50">
        <v>0</v>
      </c>
      <c r="O22" s="15">
        <f t="shared" si="0"/>
        <v>54</v>
      </c>
      <c r="P22" s="15">
        <f t="shared" si="1"/>
        <v>104</v>
      </c>
      <c r="R22" s="36" t="s">
        <v>146</v>
      </c>
      <c r="S22" s="34">
        <f>SUM(C58:C61)</f>
        <v>78</v>
      </c>
      <c r="T22" s="34">
        <f t="shared" ref="T22:AF22" si="14">SUM(D58:D61)</f>
        <v>67</v>
      </c>
      <c r="U22" s="34">
        <f t="shared" si="14"/>
        <v>13</v>
      </c>
      <c r="V22" s="34">
        <f t="shared" si="14"/>
        <v>22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3</v>
      </c>
      <c r="AA22" s="34">
        <f t="shared" si="14"/>
        <v>2</v>
      </c>
      <c r="AB22" s="34">
        <f t="shared" si="14"/>
        <v>1</v>
      </c>
      <c r="AC22" s="34">
        <f t="shared" si="14"/>
        <v>469</v>
      </c>
      <c r="AD22" s="34">
        <f t="shared" si="14"/>
        <v>0</v>
      </c>
      <c r="AE22" s="31">
        <f t="shared" si="14"/>
        <v>188</v>
      </c>
      <c r="AF22" s="31">
        <f t="shared" si="14"/>
        <v>657</v>
      </c>
    </row>
    <row r="23" spans="2:32" ht="23.1" customHeight="1" x14ac:dyDescent="0.25">
      <c r="B23" s="45" t="s">
        <v>50</v>
      </c>
      <c r="C23" s="50">
        <v>44</v>
      </c>
      <c r="D23" s="50">
        <v>7</v>
      </c>
      <c r="E23" s="50">
        <v>1</v>
      </c>
      <c r="F23" s="50">
        <v>12</v>
      </c>
      <c r="G23" s="50">
        <v>0</v>
      </c>
      <c r="H23" s="50">
        <v>0</v>
      </c>
      <c r="I23" s="50">
        <v>5</v>
      </c>
      <c r="J23" s="50">
        <v>0</v>
      </c>
      <c r="K23" s="50">
        <v>0</v>
      </c>
      <c r="L23" s="50">
        <v>3</v>
      </c>
      <c r="M23" s="50">
        <v>157</v>
      </c>
      <c r="N23" s="50">
        <v>0</v>
      </c>
      <c r="O23" s="15">
        <f t="shared" si="0"/>
        <v>72</v>
      </c>
      <c r="P23" s="15">
        <f t="shared" si="1"/>
        <v>229</v>
      </c>
      <c r="R23" s="36" t="s">
        <v>147</v>
      </c>
      <c r="S23" s="34">
        <f>SUM(C62:C65)</f>
        <v>84</v>
      </c>
      <c r="T23" s="34">
        <f t="shared" ref="T23:AF23" si="15">SUM(D62:D65)</f>
        <v>70</v>
      </c>
      <c r="U23" s="34">
        <f t="shared" si="15"/>
        <v>17</v>
      </c>
      <c r="V23" s="34">
        <f t="shared" si="15"/>
        <v>20</v>
      </c>
      <c r="W23" s="34">
        <f t="shared" si="15"/>
        <v>2</v>
      </c>
      <c r="X23" s="34">
        <f t="shared" si="15"/>
        <v>0</v>
      </c>
      <c r="Y23" s="34">
        <f t="shared" si="15"/>
        <v>6</v>
      </c>
      <c r="Z23" s="34">
        <f t="shared" si="15"/>
        <v>4</v>
      </c>
      <c r="AA23" s="34">
        <f t="shared" si="15"/>
        <v>2</v>
      </c>
      <c r="AB23" s="34">
        <f t="shared" si="15"/>
        <v>0</v>
      </c>
      <c r="AC23" s="34">
        <f t="shared" si="15"/>
        <v>592</v>
      </c>
      <c r="AD23" s="34">
        <f t="shared" si="15"/>
        <v>0</v>
      </c>
      <c r="AE23" s="31">
        <f t="shared" si="15"/>
        <v>205</v>
      </c>
      <c r="AF23" s="31">
        <f t="shared" si="15"/>
        <v>797</v>
      </c>
    </row>
    <row r="24" spans="2:32" ht="23.1" customHeight="1" x14ac:dyDescent="0.25">
      <c r="B24" s="45" t="s">
        <v>51</v>
      </c>
      <c r="C24" s="50">
        <v>40</v>
      </c>
      <c r="D24" s="50">
        <v>8</v>
      </c>
      <c r="E24" s="50">
        <v>2</v>
      </c>
      <c r="F24" s="50">
        <v>12</v>
      </c>
      <c r="G24" s="50">
        <v>0</v>
      </c>
      <c r="H24" s="50">
        <v>0</v>
      </c>
      <c r="I24" s="50">
        <v>3</v>
      </c>
      <c r="J24" s="50">
        <v>1</v>
      </c>
      <c r="K24" s="50">
        <v>0</v>
      </c>
      <c r="L24" s="50">
        <v>1</v>
      </c>
      <c r="M24" s="50">
        <v>70</v>
      </c>
      <c r="N24" s="50">
        <v>0</v>
      </c>
      <c r="O24" s="15">
        <f t="shared" si="0"/>
        <v>67</v>
      </c>
      <c r="P24" s="15">
        <f t="shared" si="1"/>
        <v>137</v>
      </c>
      <c r="R24" s="36" t="s">
        <v>148</v>
      </c>
      <c r="S24" s="34">
        <f>SUM(C66:C69)</f>
        <v>177</v>
      </c>
      <c r="T24" s="34">
        <f t="shared" ref="T24:AF24" si="16">SUM(D66:D69)</f>
        <v>83</v>
      </c>
      <c r="U24" s="34">
        <f t="shared" si="16"/>
        <v>17</v>
      </c>
      <c r="V24" s="34">
        <f t="shared" si="16"/>
        <v>67</v>
      </c>
      <c r="W24" s="34">
        <f t="shared" si="16"/>
        <v>3</v>
      </c>
      <c r="X24" s="34">
        <f t="shared" si="16"/>
        <v>0</v>
      </c>
      <c r="Y24" s="34">
        <f t="shared" si="16"/>
        <v>12</v>
      </c>
      <c r="Z24" s="34">
        <f t="shared" si="16"/>
        <v>3</v>
      </c>
      <c r="AA24" s="34">
        <f t="shared" si="16"/>
        <v>2</v>
      </c>
      <c r="AB24" s="34">
        <f t="shared" si="16"/>
        <v>1</v>
      </c>
      <c r="AC24" s="34">
        <f t="shared" si="16"/>
        <v>420</v>
      </c>
      <c r="AD24" s="34">
        <f t="shared" si="16"/>
        <v>0</v>
      </c>
      <c r="AE24" s="31">
        <f t="shared" si="16"/>
        <v>365</v>
      </c>
      <c r="AF24" s="31">
        <f t="shared" si="16"/>
        <v>785</v>
      </c>
    </row>
    <row r="25" spans="2:32" ht="23.1" customHeight="1" x14ac:dyDescent="0.25">
      <c r="B25" s="45" t="s">
        <v>52</v>
      </c>
      <c r="C25" s="50">
        <v>40</v>
      </c>
      <c r="D25" s="50">
        <v>7</v>
      </c>
      <c r="E25" s="50">
        <v>5</v>
      </c>
      <c r="F25" s="50">
        <v>12</v>
      </c>
      <c r="G25" s="50">
        <v>1</v>
      </c>
      <c r="H25" s="50">
        <v>0</v>
      </c>
      <c r="I25" s="50">
        <v>11</v>
      </c>
      <c r="J25" s="50">
        <v>0</v>
      </c>
      <c r="K25" s="50">
        <v>0</v>
      </c>
      <c r="L25" s="50">
        <v>7</v>
      </c>
      <c r="M25" s="50">
        <v>129</v>
      </c>
      <c r="N25" s="50">
        <v>0</v>
      </c>
      <c r="O25" s="15">
        <f t="shared" si="0"/>
        <v>83</v>
      </c>
      <c r="P25" s="15">
        <f t="shared" si="1"/>
        <v>212</v>
      </c>
      <c r="R25" s="36" t="s">
        <v>149</v>
      </c>
      <c r="S25" s="34">
        <f>SUM(C70:C73)</f>
        <v>79</v>
      </c>
      <c r="T25" s="34">
        <f t="shared" ref="T25:AF25" si="17">SUM(D70:D73)</f>
        <v>54</v>
      </c>
      <c r="U25" s="34">
        <f t="shared" si="17"/>
        <v>9</v>
      </c>
      <c r="V25" s="34">
        <f t="shared" si="17"/>
        <v>31</v>
      </c>
      <c r="W25" s="34">
        <f t="shared" si="17"/>
        <v>0</v>
      </c>
      <c r="X25" s="34">
        <f t="shared" si="17"/>
        <v>0</v>
      </c>
      <c r="Y25" s="34">
        <f t="shared" si="17"/>
        <v>4</v>
      </c>
      <c r="Z25" s="34">
        <f t="shared" si="17"/>
        <v>3</v>
      </c>
      <c r="AA25" s="34">
        <f t="shared" si="17"/>
        <v>1</v>
      </c>
      <c r="AB25" s="34">
        <f t="shared" si="17"/>
        <v>0</v>
      </c>
      <c r="AC25" s="34">
        <f t="shared" si="17"/>
        <v>273</v>
      </c>
      <c r="AD25" s="34">
        <f t="shared" si="17"/>
        <v>0</v>
      </c>
      <c r="AE25" s="31">
        <f t="shared" si="17"/>
        <v>181</v>
      </c>
      <c r="AF25" s="31">
        <f t="shared" si="17"/>
        <v>454</v>
      </c>
    </row>
    <row r="26" spans="2:32" ht="23.1" customHeight="1" x14ac:dyDescent="0.25">
      <c r="B26" s="45" t="s">
        <v>53</v>
      </c>
      <c r="C26" s="50">
        <v>36</v>
      </c>
      <c r="D26" s="50">
        <v>5</v>
      </c>
      <c r="E26" s="50">
        <v>5</v>
      </c>
      <c r="F26" s="50">
        <v>4</v>
      </c>
      <c r="G26" s="50">
        <v>0</v>
      </c>
      <c r="H26" s="50">
        <v>0</v>
      </c>
      <c r="I26" s="50">
        <v>3</v>
      </c>
      <c r="J26" s="50">
        <v>1</v>
      </c>
      <c r="K26" s="50">
        <v>0</v>
      </c>
      <c r="L26" s="50">
        <v>1</v>
      </c>
      <c r="M26" s="50">
        <v>64</v>
      </c>
      <c r="N26" s="50">
        <v>0</v>
      </c>
      <c r="O26" s="15">
        <f t="shared" si="0"/>
        <v>55</v>
      </c>
      <c r="P26" s="15">
        <f t="shared" si="1"/>
        <v>119</v>
      </c>
      <c r="R26" s="36" t="s">
        <v>150</v>
      </c>
      <c r="S26" s="34">
        <f>SUM(C74:C77)</f>
        <v>75</v>
      </c>
      <c r="T26" s="34">
        <f t="shared" ref="T26:AF26" si="18">SUM(D74:D77)</f>
        <v>50</v>
      </c>
      <c r="U26" s="34">
        <f t="shared" si="18"/>
        <v>12</v>
      </c>
      <c r="V26" s="34">
        <f t="shared" si="18"/>
        <v>16</v>
      </c>
      <c r="W26" s="34">
        <f t="shared" si="18"/>
        <v>1</v>
      </c>
      <c r="X26" s="34">
        <f t="shared" si="18"/>
        <v>0</v>
      </c>
      <c r="Y26" s="34">
        <f t="shared" si="18"/>
        <v>1</v>
      </c>
      <c r="Z26" s="34">
        <f t="shared" si="18"/>
        <v>1</v>
      </c>
      <c r="AA26" s="34">
        <f t="shared" si="18"/>
        <v>0</v>
      </c>
      <c r="AB26" s="34">
        <f t="shared" si="18"/>
        <v>1</v>
      </c>
      <c r="AC26" s="34">
        <f t="shared" si="18"/>
        <v>196</v>
      </c>
      <c r="AD26" s="34">
        <f t="shared" si="18"/>
        <v>0</v>
      </c>
      <c r="AE26" s="31">
        <f t="shared" si="18"/>
        <v>157</v>
      </c>
      <c r="AF26" s="31">
        <f t="shared" si="18"/>
        <v>353</v>
      </c>
    </row>
    <row r="27" spans="2:32" ht="23.1" customHeight="1" x14ac:dyDescent="0.25">
      <c r="B27" s="45" t="s">
        <v>54</v>
      </c>
      <c r="C27" s="50">
        <v>32</v>
      </c>
      <c r="D27" s="50">
        <v>4</v>
      </c>
      <c r="E27" s="50">
        <v>5</v>
      </c>
      <c r="F27" s="50">
        <v>7</v>
      </c>
      <c r="G27" s="50">
        <v>0</v>
      </c>
      <c r="H27" s="50">
        <v>1</v>
      </c>
      <c r="I27" s="50">
        <v>3</v>
      </c>
      <c r="J27" s="50">
        <v>0</v>
      </c>
      <c r="K27" s="50">
        <v>0</v>
      </c>
      <c r="L27" s="50">
        <v>0</v>
      </c>
      <c r="M27" s="50">
        <v>90</v>
      </c>
      <c r="N27" s="50">
        <v>0</v>
      </c>
      <c r="O27" s="15">
        <f t="shared" si="0"/>
        <v>52</v>
      </c>
      <c r="P27" s="15">
        <f t="shared" si="1"/>
        <v>142</v>
      </c>
      <c r="R27" s="36" t="s">
        <v>151</v>
      </c>
      <c r="S27" s="34">
        <f>SUM(C78:C81)</f>
        <v>59</v>
      </c>
      <c r="T27" s="34">
        <f t="shared" ref="T27:AF27" si="19">SUM(D78:D81)</f>
        <v>21</v>
      </c>
      <c r="U27" s="34">
        <f t="shared" si="19"/>
        <v>1</v>
      </c>
      <c r="V27" s="34">
        <f t="shared" si="19"/>
        <v>3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0</v>
      </c>
      <c r="AB27" s="34">
        <f t="shared" si="19"/>
        <v>3</v>
      </c>
      <c r="AC27" s="34">
        <f t="shared" si="19"/>
        <v>141</v>
      </c>
      <c r="AD27" s="34">
        <f t="shared" si="19"/>
        <v>0</v>
      </c>
      <c r="AE27" s="31">
        <f t="shared" si="19"/>
        <v>88</v>
      </c>
      <c r="AF27" s="31">
        <f t="shared" si="19"/>
        <v>229</v>
      </c>
    </row>
    <row r="28" spans="2:32" ht="23.1" customHeight="1" x14ac:dyDescent="0.25">
      <c r="B28" s="45" t="s">
        <v>55</v>
      </c>
      <c r="C28" s="50">
        <v>35</v>
      </c>
      <c r="D28" s="50">
        <v>13</v>
      </c>
      <c r="E28" s="50">
        <v>8</v>
      </c>
      <c r="F28" s="50">
        <v>5</v>
      </c>
      <c r="G28" s="50">
        <v>0</v>
      </c>
      <c r="H28" s="50">
        <v>0</v>
      </c>
      <c r="I28" s="50">
        <v>6</v>
      </c>
      <c r="J28" s="50">
        <v>1</v>
      </c>
      <c r="K28" s="50">
        <v>0</v>
      </c>
      <c r="L28" s="50">
        <v>1</v>
      </c>
      <c r="M28" s="50">
        <v>89</v>
      </c>
      <c r="N28" s="50">
        <v>0</v>
      </c>
      <c r="O28" s="15">
        <f t="shared" si="0"/>
        <v>69</v>
      </c>
      <c r="P28" s="15">
        <f t="shared" si="1"/>
        <v>158</v>
      </c>
      <c r="R28" s="36" t="s">
        <v>152</v>
      </c>
      <c r="S28" s="34">
        <f>SUM(C82:C85)</f>
        <v>36</v>
      </c>
      <c r="T28" s="34">
        <f t="shared" ref="T28:AF28" si="20">SUM(D82:D85)</f>
        <v>17</v>
      </c>
      <c r="U28" s="34">
        <f t="shared" si="20"/>
        <v>3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4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106</v>
      </c>
      <c r="AD28" s="34">
        <f t="shared" si="20"/>
        <v>0</v>
      </c>
      <c r="AE28" s="31">
        <f t="shared" si="20"/>
        <v>60</v>
      </c>
      <c r="AF28" s="31">
        <f t="shared" si="20"/>
        <v>166</v>
      </c>
    </row>
    <row r="29" spans="2:32" ht="23.1" customHeight="1" x14ac:dyDescent="0.25">
      <c r="B29" s="45" t="s">
        <v>56</v>
      </c>
      <c r="C29" s="50">
        <v>39</v>
      </c>
      <c r="D29" s="50">
        <v>11</v>
      </c>
      <c r="E29" s="50">
        <v>6</v>
      </c>
      <c r="F29" s="50">
        <v>5</v>
      </c>
      <c r="G29" s="50">
        <v>0</v>
      </c>
      <c r="H29" s="50">
        <v>0</v>
      </c>
      <c r="I29" s="50">
        <v>4</v>
      </c>
      <c r="J29" s="50">
        <v>4</v>
      </c>
      <c r="K29" s="50">
        <v>1</v>
      </c>
      <c r="L29" s="50">
        <v>1</v>
      </c>
      <c r="M29" s="50">
        <v>52</v>
      </c>
      <c r="N29" s="50">
        <v>0</v>
      </c>
      <c r="O29" s="15">
        <f t="shared" si="0"/>
        <v>71</v>
      </c>
      <c r="P29" s="15">
        <f t="shared" si="1"/>
        <v>123</v>
      </c>
      <c r="R29" s="36" t="s">
        <v>153</v>
      </c>
      <c r="S29" s="34">
        <f>SUM(C86:C89)</f>
        <v>26</v>
      </c>
      <c r="T29" s="34">
        <f t="shared" ref="T29:AF29" si="21">SUM(D86:D89)</f>
        <v>11</v>
      </c>
      <c r="U29" s="34">
        <f t="shared" si="21"/>
        <v>2</v>
      </c>
      <c r="V29" s="34">
        <f t="shared" si="21"/>
        <v>3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58</v>
      </c>
      <c r="AD29" s="34">
        <f t="shared" si="21"/>
        <v>0</v>
      </c>
      <c r="AE29" s="31">
        <f t="shared" si="21"/>
        <v>43</v>
      </c>
      <c r="AF29" s="31">
        <f t="shared" si="21"/>
        <v>101</v>
      </c>
    </row>
    <row r="30" spans="2:32" ht="23.1" customHeight="1" x14ac:dyDescent="0.25">
      <c r="B30" s="45" t="s">
        <v>57</v>
      </c>
      <c r="C30" s="50">
        <v>19</v>
      </c>
      <c r="D30" s="50">
        <v>4</v>
      </c>
      <c r="E30" s="50">
        <v>5</v>
      </c>
      <c r="F30" s="50">
        <v>1</v>
      </c>
      <c r="G30" s="50">
        <v>0</v>
      </c>
      <c r="H30" s="50">
        <v>0</v>
      </c>
      <c r="I30" s="50">
        <v>7</v>
      </c>
      <c r="J30" s="50">
        <v>0</v>
      </c>
      <c r="K30" s="50">
        <v>0</v>
      </c>
      <c r="L30" s="50">
        <v>1</v>
      </c>
      <c r="M30" s="50">
        <v>49</v>
      </c>
      <c r="N30" s="50">
        <v>0</v>
      </c>
      <c r="O30" s="15">
        <f t="shared" si="0"/>
        <v>37</v>
      </c>
      <c r="P30" s="15">
        <f t="shared" si="1"/>
        <v>86</v>
      </c>
      <c r="R30" s="36" t="s">
        <v>154</v>
      </c>
      <c r="S30" s="34">
        <f>SUM(C90:C93)</f>
        <v>20</v>
      </c>
      <c r="T30" s="34">
        <f t="shared" ref="T30:AF30" si="22">SUM(D90:D93)</f>
        <v>10</v>
      </c>
      <c r="U30" s="34">
        <f t="shared" si="22"/>
        <v>2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36</v>
      </c>
      <c r="AD30" s="34">
        <f t="shared" si="22"/>
        <v>0</v>
      </c>
      <c r="AE30" s="31">
        <f t="shared" si="22"/>
        <v>34</v>
      </c>
      <c r="AF30" s="31">
        <f t="shared" si="22"/>
        <v>70</v>
      </c>
    </row>
    <row r="31" spans="2:32" ht="23.1" customHeight="1" x14ac:dyDescent="0.25">
      <c r="B31" s="46" t="s">
        <v>58</v>
      </c>
      <c r="C31" s="50">
        <v>51</v>
      </c>
      <c r="D31" s="50">
        <v>19</v>
      </c>
      <c r="E31" s="50">
        <v>20</v>
      </c>
      <c r="F31" s="50">
        <v>2</v>
      </c>
      <c r="G31" s="50">
        <v>1</v>
      </c>
      <c r="H31" s="50">
        <v>0</v>
      </c>
      <c r="I31" s="50">
        <v>9</v>
      </c>
      <c r="J31" s="50">
        <v>2</v>
      </c>
      <c r="K31" s="50">
        <v>0</v>
      </c>
      <c r="L31" s="50">
        <v>4</v>
      </c>
      <c r="M31" s="50">
        <v>58</v>
      </c>
      <c r="N31" s="50">
        <v>0</v>
      </c>
      <c r="O31" s="15">
        <f t="shared" si="0"/>
        <v>108</v>
      </c>
      <c r="P31" s="15">
        <f t="shared" si="1"/>
        <v>166</v>
      </c>
      <c r="R31" s="36" t="s">
        <v>155</v>
      </c>
      <c r="S31" s="34">
        <f>SUM(C94:C97)</f>
        <v>16</v>
      </c>
      <c r="T31" s="34">
        <f t="shared" ref="T31:AF31" si="23">SUM(D94:D97)</f>
        <v>1</v>
      </c>
      <c r="U31" s="34">
        <f t="shared" si="23"/>
        <v>3</v>
      </c>
      <c r="V31" s="34">
        <f t="shared" si="23"/>
        <v>3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50</v>
      </c>
      <c r="AD31" s="34">
        <f t="shared" si="23"/>
        <v>0</v>
      </c>
      <c r="AE31" s="31">
        <f t="shared" si="23"/>
        <v>24</v>
      </c>
      <c r="AF31" s="31">
        <f t="shared" si="23"/>
        <v>74</v>
      </c>
    </row>
    <row r="32" spans="2:32" ht="23.1" customHeight="1" x14ac:dyDescent="0.25">
      <c r="B32" s="46" t="s">
        <v>59</v>
      </c>
      <c r="C32" s="50">
        <v>15</v>
      </c>
      <c r="D32" s="50">
        <v>3</v>
      </c>
      <c r="E32" s="50">
        <v>1</v>
      </c>
      <c r="F32" s="50">
        <v>2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3</v>
      </c>
      <c r="M32" s="50">
        <v>46</v>
      </c>
      <c r="N32" s="50">
        <v>0</v>
      </c>
      <c r="O32" s="15">
        <f t="shared" si="0"/>
        <v>25</v>
      </c>
      <c r="P32" s="15">
        <f t="shared" si="1"/>
        <v>71</v>
      </c>
      <c r="R32" s="33" t="s">
        <v>156</v>
      </c>
      <c r="S32" s="34">
        <f>SUM(C98:C101)</f>
        <v>14</v>
      </c>
      <c r="T32" s="34">
        <f t="shared" ref="T32:AF32" si="24">SUM(D98:D101)</f>
        <v>4</v>
      </c>
      <c r="U32" s="34">
        <f t="shared" si="24"/>
        <v>2</v>
      </c>
      <c r="V32" s="34">
        <f t="shared" si="24"/>
        <v>32</v>
      </c>
      <c r="W32" s="34">
        <f t="shared" si="24"/>
        <v>0</v>
      </c>
      <c r="X32" s="34">
        <f t="shared" si="24"/>
        <v>0</v>
      </c>
      <c r="Y32" s="34">
        <f t="shared" si="24"/>
        <v>5</v>
      </c>
      <c r="Z32" s="34">
        <f t="shared" si="24"/>
        <v>1</v>
      </c>
      <c r="AA32" s="34">
        <f t="shared" si="24"/>
        <v>0</v>
      </c>
      <c r="AB32" s="34">
        <f t="shared" si="24"/>
        <v>4</v>
      </c>
      <c r="AC32" s="34">
        <f t="shared" si="24"/>
        <v>87</v>
      </c>
      <c r="AD32" s="34">
        <f t="shared" si="24"/>
        <v>0</v>
      </c>
      <c r="AE32" s="31">
        <f t="shared" si="24"/>
        <v>62</v>
      </c>
      <c r="AF32" s="31">
        <f t="shared" si="24"/>
        <v>149</v>
      </c>
    </row>
    <row r="33" spans="2:32" ht="23.1" customHeight="1" x14ac:dyDescent="0.25">
      <c r="B33" s="45" t="s">
        <v>60</v>
      </c>
      <c r="C33" s="50">
        <v>80</v>
      </c>
      <c r="D33" s="50">
        <v>12</v>
      </c>
      <c r="E33" s="50">
        <v>2</v>
      </c>
      <c r="F33" s="50">
        <v>7</v>
      </c>
      <c r="G33" s="50">
        <v>1</v>
      </c>
      <c r="H33" s="50">
        <v>0</v>
      </c>
      <c r="I33" s="50">
        <v>10</v>
      </c>
      <c r="J33" s="50">
        <v>4</v>
      </c>
      <c r="K33" s="50">
        <v>0</v>
      </c>
      <c r="L33" s="50">
        <v>2</v>
      </c>
      <c r="M33" s="50">
        <v>23</v>
      </c>
      <c r="N33" s="50">
        <v>0</v>
      </c>
      <c r="O33" s="15">
        <f t="shared" si="0"/>
        <v>118</v>
      </c>
      <c r="P33" s="15">
        <f t="shared" si="1"/>
        <v>141</v>
      </c>
      <c r="R33" s="33" t="s">
        <v>157</v>
      </c>
      <c r="S33" s="34">
        <f>SUM(C102:C105)</f>
        <v>26</v>
      </c>
      <c r="T33" s="34">
        <f t="shared" ref="T33:AF33" si="25">SUM(D102:D105)</f>
        <v>6</v>
      </c>
      <c r="U33" s="34">
        <f t="shared" si="25"/>
        <v>4</v>
      </c>
      <c r="V33" s="34">
        <f t="shared" si="25"/>
        <v>50</v>
      </c>
      <c r="W33" s="34">
        <f t="shared" si="25"/>
        <v>0</v>
      </c>
      <c r="X33" s="34">
        <f t="shared" si="25"/>
        <v>0</v>
      </c>
      <c r="Y33" s="34">
        <f t="shared" si="25"/>
        <v>3</v>
      </c>
      <c r="Z33" s="34">
        <f t="shared" si="25"/>
        <v>0</v>
      </c>
      <c r="AA33" s="34">
        <f t="shared" si="25"/>
        <v>1</v>
      </c>
      <c r="AB33" s="34">
        <f t="shared" si="25"/>
        <v>10</v>
      </c>
      <c r="AC33" s="34">
        <f t="shared" si="25"/>
        <v>251</v>
      </c>
      <c r="AD33" s="34">
        <f t="shared" si="25"/>
        <v>0</v>
      </c>
      <c r="AE33" s="31">
        <f t="shared" si="25"/>
        <v>100</v>
      </c>
      <c r="AF33" s="31">
        <f t="shared" si="25"/>
        <v>351</v>
      </c>
    </row>
    <row r="34" spans="2:32" ht="23.1" customHeight="1" x14ac:dyDescent="0.25">
      <c r="B34" s="46" t="s">
        <v>61</v>
      </c>
      <c r="C34" s="50">
        <v>56</v>
      </c>
      <c r="D34" s="50">
        <v>13</v>
      </c>
      <c r="E34" s="50">
        <v>1</v>
      </c>
      <c r="F34" s="50">
        <v>4</v>
      </c>
      <c r="G34" s="50">
        <v>0</v>
      </c>
      <c r="H34" s="50">
        <v>0</v>
      </c>
      <c r="I34" s="50">
        <v>3</v>
      </c>
      <c r="J34" s="50">
        <v>0</v>
      </c>
      <c r="K34" s="50">
        <v>0</v>
      </c>
      <c r="L34" s="50">
        <v>1</v>
      </c>
      <c r="M34" s="50">
        <v>28</v>
      </c>
      <c r="N34" s="50">
        <v>0</v>
      </c>
      <c r="O34" s="15">
        <f t="shared" si="0"/>
        <v>78</v>
      </c>
      <c r="P34" s="15">
        <f t="shared" si="1"/>
        <v>106</v>
      </c>
      <c r="R34" s="38" t="s">
        <v>90</v>
      </c>
      <c r="S34" s="39">
        <f t="shared" ref="S34:AF34" si="26">MAX(S10:S12)</f>
        <v>133</v>
      </c>
      <c r="T34" s="39">
        <f t="shared" si="26"/>
        <v>49</v>
      </c>
      <c r="U34" s="39">
        <f t="shared" si="26"/>
        <v>28</v>
      </c>
      <c r="V34" s="39">
        <f t="shared" si="26"/>
        <v>83</v>
      </c>
      <c r="W34" s="39">
        <f t="shared" si="26"/>
        <v>6</v>
      </c>
      <c r="X34" s="39">
        <f t="shared" si="26"/>
        <v>2</v>
      </c>
      <c r="Y34" s="39">
        <f t="shared" si="26"/>
        <v>18</v>
      </c>
      <c r="Z34" s="39">
        <f t="shared" si="26"/>
        <v>3</v>
      </c>
      <c r="AA34" s="39">
        <f t="shared" si="26"/>
        <v>1</v>
      </c>
      <c r="AB34" s="39">
        <f t="shared" si="26"/>
        <v>6</v>
      </c>
      <c r="AC34" s="39">
        <f t="shared" si="26"/>
        <v>523</v>
      </c>
      <c r="AD34" s="39">
        <f t="shared" si="26"/>
        <v>0</v>
      </c>
      <c r="AE34" s="40">
        <f t="shared" si="26"/>
        <v>316</v>
      </c>
      <c r="AF34" s="40">
        <f t="shared" si="26"/>
        <v>751</v>
      </c>
    </row>
    <row r="35" spans="2:32" ht="23.1" customHeight="1" x14ac:dyDescent="0.25">
      <c r="B35" s="46" t="s">
        <v>62</v>
      </c>
      <c r="C35" s="50">
        <v>50</v>
      </c>
      <c r="D35" s="50">
        <v>11</v>
      </c>
      <c r="E35" s="50">
        <v>3</v>
      </c>
      <c r="F35" s="50">
        <v>4</v>
      </c>
      <c r="G35" s="50">
        <v>0</v>
      </c>
      <c r="H35" s="50">
        <v>0</v>
      </c>
      <c r="I35" s="50">
        <v>5</v>
      </c>
      <c r="J35" s="50">
        <v>1</v>
      </c>
      <c r="K35" s="50">
        <v>0</v>
      </c>
      <c r="L35" s="50">
        <v>2</v>
      </c>
      <c r="M35" s="50">
        <v>53</v>
      </c>
      <c r="N35" s="50">
        <v>0</v>
      </c>
      <c r="O35" s="15">
        <f t="shared" si="0"/>
        <v>76</v>
      </c>
      <c r="P35" s="15">
        <f t="shared" si="1"/>
        <v>129</v>
      </c>
      <c r="R35" s="38" t="s">
        <v>91</v>
      </c>
      <c r="S35" s="39">
        <f t="shared" ref="S35:AF35" si="27">MAX(S13:S18)</f>
        <v>201</v>
      </c>
      <c r="T35" s="39">
        <f t="shared" si="27"/>
        <v>42</v>
      </c>
      <c r="U35" s="39">
        <f t="shared" si="27"/>
        <v>28</v>
      </c>
      <c r="V35" s="39">
        <f t="shared" si="27"/>
        <v>44</v>
      </c>
      <c r="W35" s="39">
        <f t="shared" si="27"/>
        <v>4</v>
      </c>
      <c r="X35" s="39">
        <f t="shared" si="27"/>
        <v>1</v>
      </c>
      <c r="Y35" s="39">
        <f t="shared" si="27"/>
        <v>30</v>
      </c>
      <c r="Z35" s="39">
        <f t="shared" si="27"/>
        <v>13</v>
      </c>
      <c r="AA35" s="39">
        <f t="shared" si="27"/>
        <v>5</v>
      </c>
      <c r="AB35" s="39">
        <f t="shared" si="27"/>
        <v>14</v>
      </c>
      <c r="AC35" s="39">
        <f t="shared" si="27"/>
        <v>406</v>
      </c>
      <c r="AD35" s="39">
        <f t="shared" si="27"/>
        <v>0</v>
      </c>
      <c r="AE35" s="40">
        <f t="shared" si="27"/>
        <v>350</v>
      </c>
      <c r="AF35" s="40">
        <f t="shared" si="27"/>
        <v>682</v>
      </c>
    </row>
    <row r="36" spans="2:32" ht="23.1" customHeight="1" x14ac:dyDescent="0.25">
      <c r="B36" s="46" t="s">
        <v>63</v>
      </c>
      <c r="C36" s="50">
        <v>16</v>
      </c>
      <c r="D36" s="50">
        <v>4</v>
      </c>
      <c r="E36" s="50">
        <v>6</v>
      </c>
      <c r="F36" s="50">
        <v>1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1</v>
      </c>
      <c r="M36" s="50">
        <v>45</v>
      </c>
      <c r="N36" s="50">
        <v>0</v>
      </c>
      <c r="O36" s="15">
        <f t="shared" si="0"/>
        <v>31</v>
      </c>
      <c r="P36" s="15">
        <f t="shared" si="1"/>
        <v>76</v>
      </c>
      <c r="R36" s="38" t="s">
        <v>92</v>
      </c>
      <c r="S36" s="39">
        <f t="shared" ref="S36:AF36" si="28">MAX(S19:S21)</f>
        <v>153</v>
      </c>
      <c r="T36" s="39">
        <f t="shared" si="28"/>
        <v>35</v>
      </c>
      <c r="U36" s="39">
        <f t="shared" si="28"/>
        <v>23</v>
      </c>
      <c r="V36" s="39">
        <f t="shared" si="28"/>
        <v>43</v>
      </c>
      <c r="W36" s="39">
        <f t="shared" si="28"/>
        <v>27</v>
      </c>
      <c r="X36" s="39">
        <f t="shared" si="28"/>
        <v>4</v>
      </c>
      <c r="Y36" s="39">
        <f t="shared" si="28"/>
        <v>25</v>
      </c>
      <c r="Z36" s="39">
        <f t="shared" si="28"/>
        <v>9</v>
      </c>
      <c r="AA36" s="39">
        <f t="shared" si="28"/>
        <v>4</v>
      </c>
      <c r="AB36" s="39">
        <f t="shared" si="28"/>
        <v>4</v>
      </c>
      <c r="AC36" s="39">
        <f t="shared" si="28"/>
        <v>382</v>
      </c>
      <c r="AD36" s="39">
        <f t="shared" si="28"/>
        <v>0</v>
      </c>
      <c r="AE36" s="40">
        <f t="shared" si="28"/>
        <v>275</v>
      </c>
      <c r="AF36" s="40">
        <f t="shared" si="28"/>
        <v>657</v>
      </c>
    </row>
    <row r="37" spans="2:32" ht="23.1" customHeight="1" x14ac:dyDescent="0.25">
      <c r="B37" s="45" t="s">
        <v>64</v>
      </c>
      <c r="C37" s="50">
        <v>40</v>
      </c>
      <c r="D37" s="50">
        <v>14</v>
      </c>
      <c r="E37" s="50">
        <v>6</v>
      </c>
      <c r="F37" s="50">
        <v>10</v>
      </c>
      <c r="G37" s="50">
        <v>0</v>
      </c>
      <c r="H37" s="50">
        <v>1</v>
      </c>
      <c r="I37" s="50">
        <v>3</v>
      </c>
      <c r="J37" s="50">
        <v>2</v>
      </c>
      <c r="K37" s="50">
        <v>5</v>
      </c>
      <c r="L37" s="50">
        <v>0</v>
      </c>
      <c r="M37" s="50">
        <v>43</v>
      </c>
      <c r="N37" s="50">
        <v>0</v>
      </c>
      <c r="O37" s="15">
        <f t="shared" si="0"/>
        <v>81</v>
      </c>
      <c r="P37" s="15">
        <f t="shared" si="1"/>
        <v>124</v>
      </c>
      <c r="R37" s="37" t="s">
        <v>85</v>
      </c>
      <c r="S37" s="35">
        <f t="shared" ref="S37:AF37" si="29">SUM(S10:S12)</f>
        <v>328</v>
      </c>
      <c r="T37" s="16">
        <f t="shared" si="29"/>
        <v>107</v>
      </c>
      <c r="U37" s="16">
        <f t="shared" si="29"/>
        <v>61</v>
      </c>
      <c r="V37" s="16">
        <f t="shared" si="29"/>
        <v>228</v>
      </c>
      <c r="W37" s="16">
        <f t="shared" si="29"/>
        <v>12</v>
      </c>
      <c r="X37" s="16">
        <f t="shared" si="29"/>
        <v>3</v>
      </c>
      <c r="Y37" s="16">
        <f t="shared" si="29"/>
        <v>37</v>
      </c>
      <c r="Z37" s="16">
        <f t="shared" si="29"/>
        <v>7</v>
      </c>
      <c r="AA37" s="16">
        <f t="shared" si="29"/>
        <v>1</v>
      </c>
      <c r="AB37" s="16">
        <f t="shared" si="29"/>
        <v>6</v>
      </c>
      <c r="AC37" s="16">
        <f t="shared" si="29"/>
        <v>1209</v>
      </c>
      <c r="AD37" s="16">
        <f t="shared" si="29"/>
        <v>0</v>
      </c>
      <c r="AE37" s="32">
        <f t="shared" si="29"/>
        <v>790</v>
      </c>
      <c r="AF37" s="32">
        <f t="shared" si="29"/>
        <v>1999</v>
      </c>
    </row>
    <row r="38" spans="2:32" ht="23.1" customHeight="1" x14ac:dyDescent="0.25">
      <c r="B38" s="46" t="s">
        <v>65</v>
      </c>
      <c r="C38" s="50">
        <v>53</v>
      </c>
      <c r="D38" s="50">
        <v>7</v>
      </c>
      <c r="E38" s="50">
        <v>6</v>
      </c>
      <c r="F38" s="50">
        <v>8</v>
      </c>
      <c r="G38" s="50">
        <v>1</v>
      </c>
      <c r="H38" s="50">
        <v>0</v>
      </c>
      <c r="I38" s="50">
        <v>2</v>
      </c>
      <c r="J38" s="50">
        <v>2</v>
      </c>
      <c r="K38" s="50">
        <v>0</v>
      </c>
      <c r="L38" s="50">
        <v>0</v>
      </c>
      <c r="M38" s="50">
        <v>55</v>
      </c>
      <c r="N38" s="50">
        <v>0</v>
      </c>
      <c r="O38" s="15">
        <f t="shared" si="0"/>
        <v>79</v>
      </c>
      <c r="P38" s="15">
        <f t="shared" si="1"/>
        <v>134</v>
      </c>
      <c r="R38" s="28" t="s">
        <v>86</v>
      </c>
      <c r="S38" s="16">
        <f t="shared" ref="S38:AF38" si="30">SUM(S13:S18)</f>
        <v>1016</v>
      </c>
      <c r="T38" s="16">
        <f t="shared" si="30"/>
        <v>218</v>
      </c>
      <c r="U38" s="16">
        <f t="shared" si="30"/>
        <v>126</v>
      </c>
      <c r="V38" s="16">
        <f t="shared" si="30"/>
        <v>151</v>
      </c>
      <c r="W38" s="16">
        <f t="shared" si="30"/>
        <v>9</v>
      </c>
      <c r="X38" s="16">
        <f t="shared" si="30"/>
        <v>2</v>
      </c>
      <c r="Y38" s="16">
        <f t="shared" si="30"/>
        <v>130</v>
      </c>
      <c r="Z38" s="16">
        <f t="shared" si="30"/>
        <v>34</v>
      </c>
      <c r="AA38" s="16">
        <f t="shared" si="30"/>
        <v>9</v>
      </c>
      <c r="AB38" s="16">
        <f t="shared" si="30"/>
        <v>43</v>
      </c>
      <c r="AC38" s="16">
        <f t="shared" si="30"/>
        <v>1555</v>
      </c>
      <c r="AD38" s="16">
        <f t="shared" si="30"/>
        <v>0</v>
      </c>
      <c r="AE38" s="32">
        <f t="shared" si="30"/>
        <v>1738</v>
      </c>
      <c r="AF38" s="32">
        <f t="shared" si="30"/>
        <v>3293</v>
      </c>
    </row>
    <row r="39" spans="2:32" ht="23.1" customHeight="1" x14ac:dyDescent="0.25">
      <c r="B39" s="46" t="s">
        <v>66</v>
      </c>
      <c r="C39" s="50">
        <v>57</v>
      </c>
      <c r="D39" s="50">
        <v>9</v>
      </c>
      <c r="E39" s="50">
        <v>8</v>
      </c>
      <c r="F39" s="50">
        <v>9</v>
      </c>
      <c r="G39" s="50">
        <v>1</v>
      </c>
      <c r="H39" s="50">
        <v>0</v>
      </c>
      <c r="I39" s="50">
        <v>10</v>
      </c>
      <c r="J39" s="50">
        <v>5</v>
      </c>
      <c r="K39" s="50">
        <v>2</v>
      </c>
      <c r="L39" s="50">
        <v>7</v>
      </c>
      <c r="M39" s="50">
        <v>78</v>
      </c>
      <c r="N39" s="50">
        <v>0</v>
      </c>
      <c r="O39" s="15">
        <f t="shared" si="0"/>
        <v>108</v>
      </c>
      <c r="P39" s="15">
        <f t="shared" si="1"/>
        <v>186</v>
      </c>
      <c r="R39" s="29" t="s">
        <v>87</v>
      </c>
      <c r="S39" s="16">
        <f t="shared" ref="S39:AF39" si="31">SUM(S19:S21)</f>
        <v>415</v>
      </c>
      <c r="T39" s="16">
        <f t="shared" si="31"/>
        <v>70</v>
      </c>
      <c r="U39" s="16">
        <f t="shared" si="31"/>
        <v>66</v>
      </c>
      <c r="V39" s="16">
        <f t="shared" si="31"/>
        <v>95</v>
      </c>
      <c r="W39" s="16">
        <f t="shared" si="31"/>
        <v>31</v>
      </c>
      <c r="X39" s="16">
        <f t="shared" si="31"/>
        <v>4</v>
      </c>
      <c r="Y39" s="16">
        <f t="shared" si="31"/>
        <v>51</v>
      </c>
      <c r="Z39" s="16">
        <f t="shared" si="31"/>
        <v>17</v>
      </c>
      <c r="AA39" s="16">
        <f t="shared" si="31"/>
        <v>4</v>
      </c>
      <c r="AB39" s="16">
        <f t="shared" si="31"/>
        <v>10</v>
      </c>
      <c r="AC39" s="16">
        <f t="shared" si="31"/>
        <v>1021</v>
      </c>
      <c r="AD39" s="16">
        <f t="shared" si="31"/>
        <v>0</v>
      </c>
      <c r="AE39" s="32">
        <f t="shared" si="31"/>
        <v>763</v>
      </c>
      <c r="AF39" s="32">
        <f t="shared" si="31"/>
        <v>1784</v>
      </c>
    </row>
    <row r="40" spans="2:32" ht="23.1" customHeight="1" x14ac:dyDescent="0.25">
      <c r="B40" s="46" t="s">
        <v>67</v>
      </c>
      <c r="C40" s="50">
        <v>48</v>
      </c>
      <c r="D40" s="50">
        <v>6</v>
      </c>
      <c r="E40" s="50">
        <v>4</v>
      </c>
      <c r="F40" s="50">
        <v>4</v>
      </c>
      <c r="G40" s="50">
        <v>0</v>
      </c>
      <c r="H40" s="50">
        <v>0</v>
      </c>
      <c r="I40" s="50">
        <v>1</v>
      </c>
      <c r="J40" s="50">
        <v>2</v>
      </c>
      <c r="K40" s="50">
        <v>1</v>
      </c>
      <c r="L40" s="50">
        <v>1</v>
      </c>
      <c r="M40" s="50">
        <v>125</v>
      </c>
      <c r="N40" s="50">
        <v>0</v>
      </c>
      <c r="O40" s="15">
        <f t="shared" si="0"/>
        <v>67</v>
      </c>
      <c r="P40" s="15">
        <f t="shared" si="1"/>
        <v>192</v>
      </c>
      <c r="R40" s="5" t="s">
        <v>17</v>
      </c>
      <c r="S40" s="16">
        <f t="shared" ref="S40:AF40" si="32">SUM(S10:S21)</f>
        <v>1759</v>
      </c>
      <c r="T40" s="16">
        <f t="shared" si="32"/>
        <v>395</v>
      </c>
      <c r="U40" s="16">
        <f t="shared" si="32"/>
        <v>253</v>
      </c>
      <c r="V40" s="16">
        <f t="shared" si="32"/>
        <v>474</v>
      </c>
      <c r="W40" s="16">
        <f t="shared" si="32"/>
        <v>52</v>
      </c>
      <c r="X40" s="16">
        <f t="shared" si="32"/>
        <v>9</v>
      </c>
      <c r="Y40" s="16">
        <f t="shared" si="32"/>
        <v>218</v>
      </c>
      <c r="Z40" s="16">
        <f t="shared" si="32"/>
        <v>58</v>
      </c>
      <c r="AA40" s="16">
        <f t="shared" si="32"/>
        <v>14</v>
      </c>
      <c r="AB40" s="16">
        <f t="shared" si="32"/>
        <v>59</v>
      </c>
      <c r="AC40" s="16">
        <f t="shared" si="32"/>
        <v>3785</v>
      </c>
      <c r="AD40" s="16">
        <f t="shared" si="32"/>
        <v>0</v>
      </c>
      <c r="AE40" s="32">
        <f t="shared" si="32"/>
        <v>3291</v>
      </c>
      <c r="AF40" s="32">
        <f t="shared" si="32"/>
        <v>7076</v>
      </c>
    </row>
    <row r="41" spans="2:32" ht="23.1" customHeight="1" x14ac:dyDescent="0.25">
      <c r="B41" s="45" t="s">
        <v>68</v>
      </c>
      <c r="C41" s="50">
        <v>43</v>
      </c>
      <c r="D41" s="50">
        <v>13</v>
      </c>
      <c r="E41" s="50">
        <v>9</v>
      </c>
      <c r="F41" s="50">
        <v>11</v>
      </c>
      <c r="G41" s="50">
        <v>2</v>
      </c>
      <c r="H41" s="50">
        <v>0</v>
      </c>
      <c r="I41" s="50">
        <v>8</v>
      </c>
      <c r="J41" s="50">
        <v>4</v>
      </c>
      <c r="K41" s="50">
        <v>0</v>
      </c>
      <c r="L41" s="50">
        <v>6</v>
      </c>
      <c r="M41" s="50">
        <v>66</v>
      </c>
      <c r="N41" s="50">
        <v>0</v>
      </c>
      <c r="O41" s="15">
        <f t="shared" si="0"/>
        <v>96</v>
      </c>
      <c r="P41" s="15">
        <f t="shared" si="1"/>
        <v>162</v>
      </c>
      <c r="R41" s="5" t="s">
        <v>159</v>
      </c>
      <c r="S41" s="16">
        <f>SUM(S10:S33)</f>
        <v>2449</v>
      </c>
      <c r="T41" s="16">
        <f t="shared" ref="T41:AF41" si="33">SUM(T10:T33)</f>
        <v>789</v>
      </c>
      <c r="U41" s="16">
        <f t="shared" si="33"/>
        <v>338</v>
      </c>
      <c r="V41" s="16">
        <f t="shared" si="33"/>
        <v>723</v>
      </c>
      <c r="W41" s="16">
        <f t="shared" si="33"/>
        <v>58</v>
      </c>
      <c r="X41" s="16">
        <f t="shared" si="33"/>
        <v>9</v>
      </c>
      <c r="Y41" s="16">
        <f t="shared" si="33"/>
        <v>257</v>
      </c>
      <c r="Z41" s="16">
        <f t="shared" si="33"/>
        <v>74</v>
      </c>
      <c r="AA41" s="16">
        <f t="shared" si="33"/>
        <v>22</v>
      </c>
      <c r="AB41" s="16">
        <f t="shared" si="33"/>
        <v>79</v>
      </c>
      <c r="AC41" s="16">
        <f t="shared" si="33"/>
        <v>6464</v>
      </c>
      <c r="AD41" s="16">
        <f t="shared" si="33"/>
        <v>0</v>
      </c>
      <c r="AE41" s="32">
        <f t="shared" si="33"/>
        <v>4798</v>
      </c>
      <c r="AF41" s="32">
        <f t="shared" si="33"/>
        <v>11262</v>
      </c>
    </row>
    <row r="42" spans="2:32" ht="23.1" customHeight="1" x14ac:dyDescent="0.25">
      <c r="B42" s="46" t="s">
        <v>69</v>
      </c>
      <c r="C42" s="50">
        <v>52</v>
      </c>
      <c r="D42" s="50">
        <v>16</v>
      </c>
      <c r="E42" s="50">
        <v>6</v>
      </c>
      <c r="F42" s="50">
        <v>9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18</v>
      </c>
      <c r="N42" s="50">
        <v>0</v>
      </c>
      <c r="O42" s="15">
        <f t="shared" si="0"/>
        <v>86</v>
      </c>
      <c r="P42" s="15">
        <f t="shared" si="1"/>
        <v>104</v>
      </c>
      <c r="R42" s="5" t="s">
        <v>160</v>
      </c>
      <c r="S42" s="48">
        <f>S41/S40</f>
        <v>1.3922683342808413</v>
      </c>
      <c r="T42" s="48">
        <f t="shared" ref="T42:AF42" si="34">T41/T40</f>
        <v>1.9974683544303797</v>
      </c>
      <c r="U42" s="48">
        <f t="shared" si="34"/>
        <v>1.3359683794466404</v>
      </c>
      <c r="V42" s="48">
        <f t="shared" si="34"/>
        <v>1.5253164556962024</v>
      </c>
      <c r="W42" s="48">
        <f t="shared" si="34"/>
        <v>1.1153846153846154</v>
      </c>
      <c r="X42" s="48">
        <f t="shared" si="34"/>
        <v>1</v>
      </c>
      <c r="Y42" s="48">
        <f t="shared" si="34"/>
        <v>1.1788990825688073</v>
      </c>
      <c r="Z42" s="48">
        <f t="shared" si="34"/>
        <v>1.2758620689655173</v>
      </c>
      <c r="AA42" s="48">
        <f t="shared" si="34"/>
        <v>1.5714285714285714</v>
      </c>
      <c r="AB42" s="48">
        <f t="shared" si="34"/>
        <v>1.3389830508474576</v>
      </c>
      <c r="AC42" s="48">
        <f t="shared" si="34"/>
        <v>1.7077939233817701</v>
      </c>
      <c r="AD42" s="48" t="e">
        <f t="shared" si="34"/>
        <v>#DIV/0!</v>
      </c>
      <c r="AE42" s="48">
        <f t="shared" si="34"/>
        <v>1.4579155271953814</v>
      </c>
      <c r="AF42" s="48">
        <f t="shared" si="34"/>
        <v>1.5915771622385528</v>
      </c>
    </row>
    <row r="43" spans="2:32" ht="23.1" customHeight="1" x14ac:dyDescent="0.25">
      <c r="B43" s="45" t="s">
        <v>70</v>
      </c>
      <c r="C43" s="50">
        <v>33</v>
      </c>
      <c r="D43" s="50">
        <v>7</v>
      </c>
      <c r="E43" s="50">
        <v>8</v>
      </c>
      <c r="F43" s="50">
        <v>4</v>
      </c>
      <c r="G43" s="50">
        <v>0</v>
      </c>
      <c r="H43" s="50">
        <v>0</v>
      </c>
      <c r="I43" s="50">
        <v>5</v>
      </c>
      <c r="J43" s="50">
        <v>1</v>
      </c>
      <c r="K43" s="50">
        <v>0</v>
      </c>
      <c r="L43" s="50">
        <v>0</v>
      </c>
      <c r="M43" s="50">
        <v>34</v>
      </c>
      <c r="N43" s="50">
        <v>0</v>
      </c>
      <c r="O43" s="15">
        <f t="shared" si="0"/>
        <v>58</v>
      </c>
      <c r="P43" s="15">
        <f t="shared" si="1"/>
        <v>92</v>
      </c>
    </row>
    <row r="44" spans="2:32" ht="23.1" customHeight="1" x14ac:dyDescent="0.25">
      <c r="B44" s="47" t="s">
        <v>71</v>
      </c>
      <c r="C44" s="50">
        <v>48</v>
      </c>
      <c r="D44" s="50">
        <v>11</v>
      </c>
      <c r="E44" s="50">
        <v>2</v>
      </c>
      <c r="F44" s="50">
        <v>7</v>
      </c>
      <c r="G44" s="50">
        <v>2</v>
      </c>
      <c r="H44" s="50">
        <v>0</v>
      </c>
      <c r="I44" s="50">
        <v>9</v>
      </c>
      <c r="J44" s="50">
        <v>1</v>
      </c>
      <c r="K44" s="50">
        <v>0</v>
      </c>
      <c r="L44" s="50">
        <v>0</v>
      </c>
      <c r="M44" s="50">
        <v>31</v>
      </c>
      <c r="N44" s="50">
        <v>0</v>
      </c>
      <c r="O44" s="15">
        <f t="shared" si="0"/>
        <v>80</v>
      </c>
      <c r="P44" s="15">
        <f t="shared" si="1"/>
        <v>111</v>
      </c>
    </row>
    <row r="45" spans="2:32" ht="23.1" customHeight="1" x14ac:dyDescent="0.25">
      <c r="B45" s="45" t="s">
        <v>72</v>
      </c>
      <c r="C45" s="50">
        <v>57</v>
      </c>
      <c r="D45" s="50">
        <v>8</v>
      </c>
      <c r="E45" s="50">
        <v>3</v>
      </c>
      <c r="F45" s="50">
        <v>3</v>
      </c>
      <c r="G45" s="50">
        <v>0</v>
      </c>
      <c r="H45" s="50">
        <v>0</v>
      </c>
      <c r="I45" s="50">
        <v>13</v>
      </c>
      <c r="J45" s="50">
        <v>2</v>
      </c>
      <c r="K45" s="50">
        <v>0</v>
      </c>
      <c r="L45" s="50">
        <v>1</v>
      </c>
      <c r="M45" s="50">
        <v>102</v>
      </c>
      <c r="N45" s="50">
        <v>0</v>
      </c>
      <c r="O45" s="15">
        <f t="shared" si="0"/>
        <v>87</v>
      </c>
      <c r="P45" s="15">
        <f t="shared" si="1"/>
        <v>189</v>
      </c>
    </row>
    <row r="46" spans="2:32" ht="23.1" customHeight="1" x14ac:dyDescent="0.25">
      <c r="B46" s="46" t="s">
        <v>73</v>
      </c>
      <c r="C46" s="50">
        <v>21</v>
      </c>
      <c r="D46" s="50">
        <v>7</v>
      </c>
      <c r="E46" s="50">
        <v>3</v>
      </c>
      <c r="F46" s="50">
        <v>8</v>
      </c>
      <c r="G46" s="50">
        <v>0</v>
      </c>
      <c r="H46" s="50">
        <v>0</v>
      </c>
      <c r="I46" s="50">
        <v>9</v>
      </c>
      <c r="J46" s="50">
        <v>2</v>
      </c>
      <c r="K46" s="50">
        <v>0</v>
      </c>
      <c r="L46" s="50">
        <v>0</v>
      </c>
      <c r="M46" s="50">
        <v>97</v>
      </c>
      <c r="N46" s="50">
        <v>0</v>
      </c>
      <c r="O46" s="15">
        <f t="shared" si="0"/>
        <v>50</v>
      </c>
      <c r="P46" s="15">
        <f t="shared" si="1"/>
        <v>147</v>
      </c>
      <c r="R46" s="8"/>
      <c r="T46"/>
    </row>
    <row r="47" spans="2:32" ht="23.1" customHeight="1" x14ac:dyDescent="0.25">
      <c r="B47" s="46" t="s">
        <v>74</v>
      </c>
      <c r="C47" s="50">
        <v>41</v>
      </c>
      <c r="D47" s="50">
        <v>14</v>
      </c>
      <c r="E47" s="50">
        <v>9</v>
      </c>
      <c r="F47" s="50">
        <v>2</v>
      </c>
      <c r="G47" s="50">
        <v>1</v>
      </c>
      <c r="H47" s="50">
        <v>0</v>
      </c>
      <c r="I47" s="50">
        <v>7</v>
      </c>
      <c r="J47" s="50">
        <v>0</v>
      </c>
      <c r="K47" s="50">
        <v>3</v>
      </c>
      <c r="L47" s="50">
        <v>2</v>
      </c>
      <c r="M47" s="50">
        <v>109</v>
      </c>
      <c r="N47" s="50">
        <v>0</v>
      </c>
      <c r="O47" s="15">
        <f t="shared" si="0"/>
        <v>79</v>
      </c>
      <c r="P47" s="15">
        <f t="shared" si="1"/>
        <v>188</v>
      </c>
      <c r="R47" s="8"/>
      <c r="T47"/>
    </row>
    <row r="48" spans="2:32" ht="23.1" customHeight="1" x14ac:dyDescent="0.25">
      <c r="B48" s="46" t="s">
        <v>75</v>
      </c>
      <c r="C48" s="50">
        <v>47</v>
      </c>
      <c r="D48" s="50">
        <v>10</v>
      </c>
      <c r="E48" s="50">
        <v>7</v>
      </c>
      <c r="F48" s="50">
        <v>6</v>
      </c>
      <c r="G48" s="50">
        <v>0</v>
      </c>
      <c r="H48" s="50">
        <v>0</v>
      </c>
      <c r="I48" s="50">
        <v>5</v>
      </c>
      <c r="J48" s="50">
        <v>2</v>
      </c>
      <c r="K48" s="50">
        <v>1</v>
      </c>
      <c r="L48" s="50">
        <v>1</v>
      </c>
      <c r="M48" s="50">
        <v>54</v>
      </c>
      <c r="N48" s="50">
        <v>0</v>
      </c>
      <c r="O48" s="15">
        <f t="shared" si="0"/>
        <v>79</v>
      </c>
      <c r="P48" s="15">
        <f t="shared" si="1"/>
        <v>133</v>
      </c>
      <c r="R48" s="8"/>
      <c r="T48"/>
    </row>
    <row r="49" spans="2:20" ht="23.1" customHeight="1" x14ac:dyDescent="0.25">
      <c r="B49" s="45" t="s">
        <v>76</v>
      </c>
      <c r="C49" s="50">
        <v>44</v>
      </c>
      <c r="D49" s="50">
        <v>4</v>
      </c>
      <c r="E49" s="50">
        <v>4</v>
      </c>
      <c r="F49" s="50">
        <v>9</v>
      </c>
      <c r="G49" s="50">
        <v>0</v>
      </c>
      <c r="H49" s="50">
        <v>0</v>
      </c>
      <c r="I49" s="50">
        <v>4</v>
      </c>
      <c r="J49" s="50">
        <v>1</v>
      </c>
      <c r="K49" s="50">
        <v>0</v>
      </c>
      <c r="L49" s="50">
        <v>1</v>
      </c>
      <c r="M49" s="50">
        <v>122</v>
      </c>
      <c r="N49" s="50">
        <v>0</v>
      </c>
      <c r="O49" s="15">
        <f t="shared" si="0"/>
        <v>67</v>
      </c>
      <c r="P49" s="15">
        <f t="shared" si="1"/>
        <v>189</v>
      </c>
      <c r="R49" s="8"/>
      <c r="T49"/>
    </row>
    <row r="50" spans="2:20" ht="23.1" customHeight="1" x14ac:dyDescent="0.25">
      <c r="B50" s="46" t="s">
        <v>77</v>
      </c>
      <c r="C50" s="50">
        <v>33</v>
      </c>
      <c r="D50" s="50">
        <v>5</v>
      </c>
      <c r="E50" s="50">
        <v>7</v>
      </c>
      <c r="F50" s="50">
        <v>8</v>
      </c>
      <c r="G50" s="50">
        <v>26</v>
      </c>
      <c r="H50" s="50">
        <v>4</v>
      </c>
      <c r="I50" s="50">
        <v>5</v>
      </c>
      <c r="J50" s="50">
        <v>5</v>
      </c>
      <c r="K50" s="50">
        <v>0</v>
      </c>
      <c r="L50" s="50">
        <v>0</v>
      </c>
      <c r="M50" s="50">
        <v>46</v>
      </c>
      <c r="N50" s="50">
        <v>0</v>
      </c>
      <c r="O50" s="15">
        <f t="shared" si="0"/>
        <v>93</v>
      </c>
      <c r="P50" s="15">
        <f t="shared" si="1"/>
        <v>139</v>
      </c>
      <c r="R50" s="8"/>
      <c r="T50"/>
    </row>
    <row r="51" spans="2:20" ht="23.1" customHeight="1" x14ac:dyDescent="0.25">
      <c r="B51" s="46" t="s">
        <v>78</v>
      </c>
      <c r="C51" s="50">
        <v>26</v>
      </c>
      <c r="D51" s="50">
        <v>4</v>
      </c>
      <c r="E51" s="50">
        <v>5</v>
      </c>
      <c r="F51" s="50">
        <v>5</v>
      </c>
      <c r="G51" s="50">
        <v>0</v>
      </c>
      <c r="H51" s="50">
        <v>0</v>
      </c>
      <c r="I51" s="50">
        <v>5</v>
      </c>
      <c r="J51" s="50">
        <v>4</v>
      </c>
      <c r="K51" s="50">
        <v>0</v>
      </c>
      <c r="L51" s="50">
        <v>3</v>
      </c>
      <c r="M51" s="50">
        <v>84</v>
      </c>
      <c r="N51" s="50">
        <v>0</v>
      </c>
      <c r="O51" s="15">
        <f t="shared" si="0"/>
        <v>52</v>
      </c>
      <c r="P51" s="15">
        <f t="shared" si="1"/>
        <v>136</v>
      </c>
      <c r="R51" s="8"/>
      <c r="T51"/>
    </row>
    <row r="52" spans="2:20" ht="23.1" customHeight="1" x14ac:dyDescent="0.25">
      <c r="B52" s="46" t="s">
        <v>79</v>
      </c>
      <c r="C52" s="50">
        <v>30</v>
      </c>
      <c r="D52" s="50">
        <v>8</v>
      </c>
      <c r="E52" s="50">
        <v>7</v>
      </c>
      <c r="F52" s="50">
        <v>8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102</v>
      </c>
      <c r="N52" s="50">
        <v>0</v>
      </c>
      <c r="O52" s="15">
        <f t="shared" si="0"/>
        <v>53</v>
      </c>
      <c r="P52" s="15">
        <f t="shared" si="1"/>
        <v>155</v>
      </c>
      <c r="R52" s="8"/>
      <c r="T52"/>
    </row>
    <row r="53" spans="2:20" ht="23.1" customHeight="1" x14ac:dyDescent="0.25">
      <c r="B53" s="45" t="s">
        <v>80</v>
      </c>
      <c r="C53" s="50">
        <v>24</v>
      </c>
      <c r="D53" s="50">
        <v>4</v>
      </c>
      <c r="E53" s="50">
        <v>2</v>
      </c>
      <c r="F53" s="50">
        <v>6</v>
      </c>
      <c r="G53" s="50">
        <v>1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126</v>
      </c>
      <c r="N53" s="50">
        <v>0</v>
      </c>
      <c r="O53" s="15">
        <f t="shared" si="0"/>
        <v>39</v>
      </c>
      <c r="P53" s="15">
        <f t="shared" si="1"/>
        <v>165</v>
      </c>
      <c r="R53" s="8"/>
      <c r="T53"/>
    </row>
    <row r="54" spans="2:20" ht="23.1" customHeight="1" x14ac:dyDescent="0.25">
      <c r="B54" s="45" t="s">
        <v>81</v>
      </c>
      <c r="C54" s="50">
        <v>41</v>
      </c>
      <c r="D54" s="50">
        <v>4</v>
      </c>
      <c r="E54" s="50">
        <v>0</v>
      </c>
      <c r="F54" s="50">
        <v>11</v>
      </c>
      <c r="G54" s="50">
        <v>1</v>
      </c>
      <c r="H54" s="50">
        <v>0</v>
      </c>
      <c r="I54" s="50">
        <v>4</v>
      </c>
      <c r="J54" s="50">
        <v>2</v>
      </c>
      <c r="K54" s="50">
        <v>0</v>
      </c>
      <c r="L54" s="50">
        <v>0</v>
      </c>
      <c r="M54" s="50">
        <v>48</v>
      </c>
      <c r="N54" s="50">
        <v>0</v>
      </c>
      <c r="O54" s="15">
        <f t="shared" si="0"/>
        <v>63</v>
      </c>
      <c r="P54" s="15">
        <f t="shared" si="1"/>
        <v>111</v>
      </c>
      <c r="R54" s="8"/>
      <c r="T54"/>
    </row>
    <row r="55" spans="2:20" ht="23.1" customHeight="1" x14ac:dyDescent="0.25">
      <c r="B55" s="45" t="s">
        <v>82</v>
      </c>
      <c r="C55" s="50">
        <v>37</v>
      </c>
      <c r="D55" s="50">
        <v>2</v>
      </c>
      <c r="E55" s="50">
        <v>7</v>
      </c>
      <c r="F55" s="50">
        <v>11</v>
      </c>
      <c r="G55" s="50">
        <v>0</v>
      </c>
      <c r="H55" s="50">
        <v>0</v>
      </c>
      <c r="I55" s="50">
        <v>7</v>
      </c>
      <c r="J55" s="50">
        <v>1</v>
      </c>
      <c r="K55" s="50">
        <v>0</v>
      </c>
      <c r="L55" s="50">
        <v>0</v>
      </c>
      <c r="M55" s="50">
        <v>103</v>
      </c>
      <c r="N55" s="50">
        <v>0</v>
      </c>
      <c r="O55" s="15">
        <f t="shared" si="0"/>
        <v>65</v>
      </c>
      <c r="P55" s="15">
        <f t="shared" si="1"/>
        <v>168</v>
      </c>
      <c r="R55" s="8"/>
      <c r="T55"/>
    </row>
    <row r="56" spans="2:20" ht="23.1" customHeight="1" x14ac:dyDescent="0.25">
      <c r="B56" s="45" t="s">
        <v>83</v>
      </c>
      <c r="C56" s="50">
        <v>39</v>
      </c>
      <c r="D56" s="50">
        <v>5</v>
      </c>
      <c r="E56" s="50">
        <v>6</v>
      </c>
      <c r="F56" s="50">
        <v>12</v>
      </c>
      <c r="G56" s="50">
        <v>1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79</v>
      </c>
      <c r="N56" s="50">
        <v>0</v>
      </c>
      <c r="O56" s="15">
        <f t="shared" si="0"/>
        <v>63</v>
      </c>
      <c r="P56" s="15">
        <f t="shared" si="1"/>
        <v>142</v>
      </c>
      <c r="R56" s="8"/>
      <c r="T56"/>
    </row>
    <row r="57" spans="2:20" ht="23.1" customHeight="1" x14ac:dyDescent="0.25">
      <c r="B57" s="45" t="s">
        <v>84</v>
      </c>
      <c r="C57" s="50">
        <v>32</v>
      </c>
      <c r="D57" s="50">
        <v>3</v>
      </c>
      <c r="E57" s="50">
        <v>9</v>
      </c>
      <c r="F57" s="50">
        <v>9</v>
      </c>
      <c r="G57" s="50">
        <v>1</v>
      </c>
      <c r="H57" s="50">
        <v>0</v>
      </c>
      <c r="I57" s="50">
        <v>3</v>
      </c>
      <c r="J57" s="50">
        <v>0</v>
      </c>
      <c r="K57" s="50">
        <v>0</v>
      </c>
      <c r="L57" s="50">
        <v>3</v>
      </c>
      <c r="M57" s="50">
        <v>51</v>
      </c>
      <c r="N57" s="50">
        <v>0</v>
      </c>
      <c r="O57" s="15">
        <f t="shared" si="0"/>
        <v>60</v>
      </c>
      <c r="P57" s="15">
        <f t="shared" si="1"/>
        <v>111</v>
      </c>
      <c r="R57" s="8"/>
      <c r="T57"/>
    </row>
    <row r="58" spans="2:20" ht="23.1" customHeight="1" x14ac:dyDescent="0.25">
      <c r="B58" s="45" t="s">
        <v>99</v>
      </c>
      <c r="C58" s="50">
        <v>2</v>
      </c>
      <c r="D58" s="50">
        <v>6</v>
      </c>
      <c r="E58" s="50">
        <v>2</v>
      </c>
      <c r="F58" s="50">
        <v>1</v>
      </c>
      <c r="G58" s="50">
        <v>0</v>
      </c>
      <c r="H58" s="50">
        <v>0</v>
      </c>
      <c r="I58" s="50">
        <v>2</v>
      </c>
      <c r="J58" s="50">
        <v>0</v>
      </c>
      <c r="K58" s="50">
        <v>0</v>
      </c>
      <c r="L58" s="50">
        <v>0</v>
      </c>
      <c r="M58" s="50">
        <v>35</v>
      </c>
      <c r="N58" s="50">
        <v>0</v>
      </c>
      <c r="O58" s="15">
        <f t="shared" si="0"/>
        <v>13</v>
      </c>
      <c r="P58" s="15">
        <f t="shared" si="1"/>
        <v>48</v>
      </c>
      <c r="R58" s="8"/>
      <c r="T58"/>
    </row>
    <row r="59" spans="2:20" ht="23.1" customHeight="1" x14ac:dyDescent="0.25">
      <c r="B59" s="45" t="s">
        <v>100</v>
      </c>
      <c r="C59" s="50">
        <v>35</v>
      </c>
      <c r="D59" s="50">
        <v>25</v>
      </c>
      <c r="E59" s="50">
        <v>2</v>
      </c>
      <c r="F59" s="50">
        <v>4</v>
      </c>
      <c r="G59" s="50">
        <v>0</v>
      </c>
      <c r="H59" s="50">
        <v>0</v>
      </c>
      <c r="I59" s="50">
        <v>0</v>
      </c>
      <c r="J59" s="50">
        <v>1</v>
      </c>
      <c r="K59" s="50">
        <v>2</v>
      </c>
      <c r="L59" s="50">
        <v>1</v>
      </c>
      <c r="M59" s="50">
        <v>105</v>
      </c>
      <c r="N59" s="50">
        <v>0</v>
      </c>
      <c r="O59" s="15">
        <f t="shared" si="0"/>
        <v>70</v>
      </c>
      <c r="P59" s="15">
        <f t="shared" si="1"/>
        <v>175</v>
      </c>
      <c r="R59" s="8"/>
      <c r="T59"/>
    </row>
    <row r="60" spans="2:20" ht="23.1" customHeight="1" x14ac:dyDescent="0.25">
      <c r="B60" s="45" t="s">
        <v>101</v>
      </c>
      <c r="C60" s="50">
        <v>26</v>
      </c>
      <c r="D60" s="50">
        <v>21</v>
      </c>
      <c r="E60" s="50">
        <v>6</v>
      </c>
      <c r="F60" s="50">
        <v>9</v>
      </c>
      <c r="G60" s="50">
        <v>0</v>
      </c>
      <c r="H60" s="50">
        <v>0</v>
      </c>
      <c r="I60" s="50">
        <v>0</v>
      </c>
      <c r="J60" s="50">
        <v>1</v>
      </c>
      <c r="K60" s="50">
        <v>0</v>
      </c>
      <c r="L60" s="50">
        <v>0</v>
      </c>
      <c r="M60" s="50">
        <v>180</v>
      </c>
      <c r="N60" s="50">
        <v>0</v>
      </c>
      <c r="O60" s="15">
        <f t="shared" si="0"/>
        <v>63</v>
      </c>
      <c r="P60" s="15">
        <f t="shared" si="1"/>
        <v>243</v>
      </c>
      <c r="R60" s="8"/>
      <c r="T60"/>
    </row>
    <row r="61" spans="2:20" ht="23.1" customHeight="1" x14ac:dyDescent="0.25">
      <c r="B61" s="45" t="s">
        <v>102</v>
      </c>
      <c r="C61" s="50">
        <v>15</v>
      </c>
      <c r="D61" s="50">
        <v>15</v>
      </c>
      <c r="E61" s="50">
        <v>3</v>
      </c>
      <c r="F61" s="50">
        <v>8</v>
      </c>
      <c r="G61" s="50">
        <v>0</v>
      </c>
      <c r="H61" s="50">
        <v>0</v>
      </c>
      <c r="I61" s="50">
        <v>0</v>
      </c>
      <c r="J61" s="50">
        <v>1</v>
      </c>
      <c r="K61" s="50">
        <v>0</v>
      </c>
      <c r="L61" s="50">
        <v>0</v>
      </c>
      <c r="M61" s="50">
        <v>149</v>
      </c>
      <c r="N61" s="50">
        <v>0</v>
      </c>
      <c r="O61" s="15">
        <f t="shared" si="0"/>
        <v>42</v>
      </c>
      <c r="P61" s="15">
        <f t="shared" si="1"/>
        <v>191</v>
      </c>
      <c r="R61" s="8"/>
      <c r="T61"/>
    </row>
    <row r="62" spans="2:20" ht="23.1" customHeight="1" x14ac:dyDescent="0.25">
      <c r="B62" s="45" t="s">
        <v>107</v>
      </c>
      <c r="C62" s="50">
        <v>13</v>
      </c>
      <c r="D62" s="50">
        <v>10</v>
      </c>
      <c r="E62" s="50">
        <v>5</v>
      </c>
      <c r="F62" s="50">
        <v>7</v>
      </c>
      <c r="G62" s="50">
        <v>0</v>
      </c>
      <c r="H62" s="50">
        <v>0</v>
      </c>
      <c r="I62" s="50">
        <v>0</v>
      </c>
      <c r="J62" s="50">
        <v>2</v>
      </c>
      <c r="K62" s="50">
        <v>2</v>
      </c>
      <c r="L62" s="50">
        <v>0</v>
      </c>
      <c r="M62" s="50">
        <v>145</v>
      </c>
      <c r="N62" s="50">
        <v>0</v>
      </c>
      <c r="O62" s="15">
        <f t="shared" si="0"/>
        <v>39</v>
      </c>
      <c r="P62" s="15">
        <f t="shared" si="1"/>
        <v>184</v>
      </c>
      <c r="R62" s="8"/>
      <c r="T62"/>
    </row>
    <row r="63" spans="2:20" ht="23.1" customHeight="1" x14ac:dyDescent="0.25">
      <c r="B63" s="45" t="s">
        <v>108</v>
      </c>
      <c r="C63" s="50">
        <v>16</v>
      </c>
      <c r="D63" s="50">
        <v>17</v>
      </c>
      <c r="E63" s="50">
        <v>5</v>
      </c>
      <c r="F63" s="50">
        <v>6</v>
      </c>
      <c r="G63" s="50">
        <v>1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179</v>
      </c>
      <c r="N63" s="50">
        <v>0</v>
      </c>
      <c r="O63" s="15">
        <f t="shared" si="0"/>
        <v>45</v>
      </c>
      <c r="P63" s="15">
        <f t="shared" si="1"/>
        <v>224</v>
      </c>
      <c r="R63" s="8"/>
      <c r="T63"/>
    </row>
    <row r="64" spans="2:20" ht="23.1" customHeight="1" x14ac:dyDescent="0.25">
      <c r="B64" s="45" t="s">
        <v>109</v>
      </c>
      <c r="C64" s="50">
        <v>29</v>
      </c>
      <c r="D64" s="50">
        <v>17</v>
      </c>
      <c r="E64" s="50">
        <v>5</v>
      </c>
      <c r="F64" s="50">
        <v>6</v>
      </c>
      <c r="G64" s="50">
        <v>1</v>
      </c>
      <c r="H64" s="50">
        <v>0</v>
      </c>
      <c r="I64" s="50">
        <v>3</v>
      </c>
      <c r="J64" s="50">
        <v>1</v>
      </c>
      <c r="K64" s="50">
        <v>0</v>
      </c>
      <c r="L64" s="50">
        <v>0</v>
      </c>
      <c r="M64" s="50">
        <v>138</v>
      </c>
      <c r="N64" s="50">
        <v>0</v>
      </c>
      <c r="O64" s="15">
        <f t="shared" si="0"/>
        <v>62</v>
      </c>
      <c r="P64" s="15">
        <f t="shared" si="1"/>
        <v>200</v>
      </c>
      <c r="R64" s="8"/>
      <c r="T64"/>
    </row>
    <row r="65" spans="2:20" ht="23.1" customHeight="1" x14ac:dyDescent="0.25">
      <c r="B65" s="45" t="s">
        <v>158</v>
      </c>
      <c r="C65" s="50">
        <v>26</v>
      </c>
      <c r="D65" s="50">
        <v>26</v>
      </c>
      <c r="E65" s="50">
        <v>2</v>
      </c>
      <c r="F65" s="50">
        <v>1</v>
      </c>
      <c r="G65" s="50">
        <v>0</v>
      </c>
      <c r="H65" s="50">
        <v>0</v>
      </c>
      <c r="I65" s="50">
        <v>3</v>
      </c>
      <c r="J65" s="50">
        <v>1</v>
      </c>
      <c r="K65" s="50">
        <v>0</v>
      </c>
      <c r="L65" s="50">
        <v>0</v>
      </c>
      <c r="M65" s="50">
        <v>130</v>
      </c>
      <c r="N65" s="50">
        <v>0</v>
      </c>
      <c r="O65" s="15">
        <f t="shared" si="0"/>
        <v>59</v>
      </c>
      <c r="P65" s="15">
        <f t="shared" si="1"/>
        <v>189</v>
      </c>
      <c r="R65" s="8"/>
      <c r="T65"/>
    </row>
    <row r="66" spans="2:20" ht="23.1" customHeight="1" x14ac:dyDescent="0.25">
      <c r="B66" s="45" t="s">
        <v>103</v>
      </c>
      <c r="C66" s="50">
        <v>50</v>
      </c>
      <c r="D66" s="50">
        <v>25</v>
      </c>
      <c r="E66" s="50">
        <v>4</v>
      </c>
      <c r="F66" s="50">
        <v>13</v>
      </c>
      <c r="G66" s="50">
        <v>2</v>
      </c>
      <c r="H66" s="50">
        <v>0</v>
      </c>
      <c r="I66" s="50">
        <v>2</v>
      </c>
      <c r="J66" s="50">
        <v>0</v>
      </c>
      <c r="K66" s="50">
        <v>1</v>
      </c>
      <c r="L66" s="50">
        <v>0</v>
      </c>
      <c r="M66" s="50">
        <v>106</v>
      </c>
      <c r="N66" s="50">
        <v>0</v>
      </c>
      <c r="O66" s="15">
        <f t="shared" si="0"/>
        <v>97</v>
      </c>
      <c r="P66" s="15">
        <f t="shared" si="1"/>
        <v>203</v>
      </c>
      <c r="R66" s="8"/>
      <c r="T66"/>
    </row>
    <row r="67" spans="2:20" ht="23.1" customHeight="1" x14ac:dyDescent="0.25">
      <c r="B67" s="45" t="s">
        <v>104</v>
      </c>
      <c r="C67" s="50">
        <v>35</v>
      </c>
      <c r="D67" s="50">
        <v>30</v>
      </c>
      <c r="E67" s="50">
        <v>3</v>
      </c>
      <c r="F67" s="50">
        <v>14</v>
      </c>
      <c r="G67" s="50">
        <v>0</v>
      </c>
      <c r="H67" s="50">
        <v>0</v>
      </c>
      <c r="I67" s="50">
        <v>8</v>
      </c>
      <c r="J67" s="50">
        <v>0</v>
      </c>
      <c r="K67" s="50">
        <v>0</v>
      </c>
      <c r="L67" s="50">
        <v>1</v>
      </c>
      <c r="M67" s="50">
        <v>139</v>
      </c>
      <c r="N67" s="50">
        <v>0</v>
      </c>
      <c r="O67" s="15">
        <f t="shared" si="0"/>
        <v>91</v>
      </c>
      <c r="P67" s="15">
        <f t="shared" si="1"/>
        <v>230</v>
      </c>
      <c r="R67" s="8"/>
      <c r="T67"/>
    </row>
    <row r="68" spans="2:20" ht="23.1" customHeight="1" x14ac:dyDescent="0.25">
      <c r="B68" s="45" t="s">
        <v>105</v>
      </c>
      <c r="C68" s="50">
        <v>42</v>
      </c>
      <c r="D68" s="50">
        <v>12</v>
      </c>
      <c r="E68" s="50">
        <v>6</v>
      </c>
      <c r="F68" s="50">
        <v>19</v>
      </c>
      <c r="G68" s="50">
        <v>0</v>
      </c>
      <c r="H68" s="50">
        <v>0</v>
      </c>
      <c r="I68" s="50">
        <v>1</v>
      </c>
      <c r="J68" s="50">
        <v>2</v>
      </c>
      <c r="K68" s="50">
        <v>1</v>
      </c>
      <c r="L68" s="50">
        <v>0</v>
      </c>
      <c r="M68" s="50">
        <v>85</v>
      </c>
      <c r="N68" s="50">
        <v>0</v>
      </c>
      <c r="O68" s="15">
        <f t="shared" si="0"/>
        <v>83</v>
      </c>
      <c r="P68" s="15">
        <f t="shared" si="1"/>
        <v>168</v>
      </c>
      <c r="R68" s="8"/>
      <c r="T68"/>
    </row>
    <row r="69" spans="2:20" ht="23.1" customHeight="1" x14ac:dyDescent="0.25">
      <c r="B69" s="45" t="s">
        <v>106</v>
      </c>
      <c r="C69" s="50">
        <v>50</v>
      </c>
      <c r="D69" s="50">
        <v>16</v>
      </c>
      <c r="E69" s="50">
        <v>4</v>
      </c>
      <c r="F69" s="50">
        <v>21</v>
      </c>
      <c r="G69" s="50">
        <v>1</v>
      </c>
      <c r="H69" s="50">
        <v>0</v>
      </c>
      <c r="I69" s="50">
        <v>1</v>
      </c>
      <c r="J69" s="50">
        <v>1</v>
      </c>
      <c r="K69" s="50">
        <v>0</v>
      </c>
      <c r="L69" s="50">
        <v>0</v>
      </c>
      <c r="M69" s="50">
        <v>90</v>
      </c>
      <c r="N69" s="50">
        <v>0</v>
      </c>
      <c r="O69" s="15">
        <f t="shared" si="0"/>
        <v>94</v>
      </c>
      <c r="P69" s="15">
        <f t="shared" si="1"/>
        <v>184</v>
      </c>
      <c r="R69" s="8"/>
      <c r="T69"/>
    </row>
    <row r="70" spans="2:20" ht="23.1" customHeight="1" x14ac:dyDescent="0.25">
      <c r="B70" s="45" t="s">
        <v>110</v>
      </c>
      <c r="C70" s="50">
        <v>18</v>
      </c>
      <c r="D70" s="50">
        <v>20</v>
      </c>
      <c r="E70" s="50">
        <v>1</v>
      </c>
      <c r="F70" s="50">
        <v>18</v>
      </c>
      <c r="G70" s="50">
        <v>0</v>
      </c>
      <c r="H70" s="50">
        <v>0</v>
      </c>
      <c r="I70" s="50">
        <v>2</v>
      </c>
      <c r="J70" s="50">
        <v>0</v>
      </c>
      <c r="K70" s="50">
        <v>0</v>
      </c>
      <c r="L70" s="50">
        <v>0</v>
      </c>
      <c r="M70" s="50">
        <v>80</v>
      </c>
      <c r="N70" s="50">
        <v>0</v>
      </c>
      <c r="O70" s="15">
        <f t="shared" si="0"/>
        <v>59</v>
      </c>
      <c r="P70" s="15">
        <f t="shared" si="1"/>
        <v>139</v>
      </c>
      <c r="R70" s="8"/>
      <c r="T70"/>
    </row>
    <row r="71" spans="2:20" ht="23.1" customHeight="1" x14ac:dyDescent="0.25">
      <c r="B71" s="45" t="s">
        <v>111</v>
      </c>
      <c r="C71" s="50">
        <v>31</v>
      </c>
      <c r="D71" s="50">
        <v>23</v>
      </c>
      <c r="E71" s="50">
        <v>3</v>
      </c>
      <c r="F71" s="50">
        <v>8</v>
      </c>
      <c r="G71" s="50">
        <v>0</v>
      </c>
      <c r="H71" s="50">
        <v>0</v>
      </c>
      <c r="I71" s="50">
        <v>0</v>
      </c>
      <c r="J71" s="50">
        <v>2</v>
      </c>
      <c r="K71" s="50">
        <v>1</v>
      </c>
      <c r="L71" s="50">
        <v>0</v>
      </c>
      <c r="M71" s="50">
        <v>88</v>
      </c>
      <c r="N71" s="50">
        <v>0</v>
      </c>
      <c r="O71" s="15">
        <f t="shared" si="0"/>
        <v>68</v>
      </c>
      <c r="P71" s="15">
        <f t="shared" si="1"/>
        <v>156</v>
      </c>
      <c r="R71" s="8"/>
      <c r="T71"/>
    </row>
    <row r="72" spans="2:20" ht="23.1" customHeight="1" x14ac:dyDescent="0.25">
      <c r="B72" s="45" t="s">
        <v>112</v>
      </c>
      <c r="C72" s="50">
        <v>7</v>
      </c>
      <c r="D72" s="50">
        <v>4</v>
      </c>
      <c r="E72" s="50">
        <v>1</v>
      </c>
      <c r="F72" s="50">
        <v>2</v>
      </c>
      <c r="G72" s="50">
        <v>0</v>
      </c>
      <c r="H72" s="50">
        <v>0</v>
      </c>
      <c r="I72" s="50">
        <v>2</v>
      </c>
      <c r="J72" s="50">
        <v>1</v>
      </c>
      <c r="K72" s="50">
        <v>0</v>
      </c>
      <c r="L72" s="50">
        <v>0</v>
      </c>
      <c r="M72" s="50">
        <v>81</v>
      </c>
      <c r="N72" s="50">
        <v>0</v>
      </c>
      <c r="O72" s="15">
        <f t="shared" si="0"/>
        <v>17</v>
      </c>
      <c r="P72" s="15">
        <f t="shared" si="1"/>
        <v>98</v>
      </c>
      <c r="R72" s="8"/>
      <c r="T72"/>
    </row>
    <row r="73" spans="2:20" ht="23.1" customHeight="1" x14ac:dyDescent="0.25">
      <c r="B73" s="45" t="s">
        <v>113</v>
      </c>
      <c r="C73" s="50">
        <v>23</v>
      </c>
      <c r="D73" s="50">
        <v>7</v>
      </c>
      <c r="E73" s="50">
        <v>4</v>
      </c>
      <c r="F73" s="50">
        <v>3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24</v>
      </c>
      <c r="N73" s="50">
        <v>0</v>
      </c>
      <c r="O73" s="15">
        <f t="shared" si="0"/>
        <v>37</v>
      </c>
      <c r="P73" s="15">
        <f t="shared" si="1"/>
        <v>61</v>
      </c>
      <c r="R73" s="8"/>
      <c r="T73"/>
    </row>
    <row r="74" spans="2:20" ht="23.1" customHeight="1" x14ac:dyDescent="0.25">
      <c r="B74" s="45" t="s">
        <v>114</v>
      </c>
      <c r="C74" s="50">
        <v>34</v>
      </c>
      <c r="D74" s="50">
        <v>15</v>
      </c>
      <c r="E74" s="50">
        <v>3</v>
      </c>
      <c r="F74" s="50">
        <v>5</v>
      </c>
      <c r="G74" s="50">
        <v>0</v>
      </c>
      <c r="H74" s="50">
        <v>0</v>
      </c>
      <c r="I74" s="50">
        <v>0</v>
      </c>
      <c r="J74" s="50">
        <v>1</v>
      </c>
      <c r="K74" s="50">
        <v>0</v>
      </c>
      <c r="L74" s="50">
        <v>0</v>
      </c>
      <c r="M74" s="50">
        <v>45</v>
      </c>
      <c r="N74" s="50">
        <v>0</v>
      </c>
      <c r="O74" s="15">
        <f t="shared" ref="O74:O105" si="35">SUM(C74:L74,N74)</f>
        <v>58</v>
      </c>
      <c r="P74" s="15">
        <f t="shared" ref="P74:P105" si="36">SUM(C74:N74)</f>
        <v>103</v>
      </c>
      <c r="R74" s="8"/>
      <c r="T74"/>
    </row>
    <row r="75" spans="2:20" ht="23.1" customHeight="1" x14ac:dyDescent="0.25">
      <c r="B75" s="45" t="s">
        <v>115</v>
      </c>
      <c r="C75" s="50">
        <v>12</v>
      </c>
      <c r="D75" s="50">
        <v>8</v>
      </c>
      <c r="E75" s="50">
        <v>4</v>
      </c>
      <c r="F75" s="50">
        <v>1</v>
      </c>
      <c r="G75" s="50">
        <v>1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55</v>
      </c>
      <c r="N75" s="50">
        <v>0</v>
      </c>
      <c r="O75" s="15">
        <f t="shared" si="35"/>
        <v>26</v>
      </c>
      <c r="P75" s="15">
        <f t="shared" si="36"/>
        <v>81</v>
      </c>
      <c r="R75" s="8"/>
      <c r="T75"/>
    </row>
    <row r="76" spans="2:20" ht="23.1" customHeight="1" x14ac:dyDescent="0.25">
      <c r="B76" s="45" t="s">
        <v>116</v>
      </c>
      <c r="C76" s="50">
        <v>19</v>
      </c>
      <c r="D76" s="50">
        <v>19</v>
      </c>
      <c r="E76" s="50">
        <v>2</v>
      </c>
      <c r="F76" s="50">
        <v>10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1</v>
      </c>
      <c r="M76" s="50">
        <v>52</v>
      </c>
      <c r="N76" s="50">
        <v>0</v>
      </c>
      <c r="O76" s="15">
        <f t="shared" si="35"/>
        <v>51</v>
      </c>
      <c r="P76" s="15">
        <f t="shared" si="36"/>
        <v>103</v>
      </c>
      <c r="R76" s="8"/>
      <c r="T76"/>
    </row>
    <row r="77" spans="2:20" ht="23.1" customHeight="1" x14ac:dyDescent="0.25">
      <c r="B77" s="45" t="s">
        <v>117</v>
      </c>
      <c r="C77" s="50">
        <v>10</v>
      </c>
      <c r="D77" s="50">
        <v>8</v>
      </c>
      <c r="E77" s="50">
        <v>3</v>
      </c>
      <c r="F77" s="50">
        <v>0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44</v>
      </c>
      <c r="N77" s="50">
        <v>0</v>
      </c>
      <c r="O77" s="15">
        <f t="shared" si="35"/>
        <v>22</v>
      </c>
      <c r="P77" s="15">
        <f t="shared" si="36"/>
        <v>66</v>
      </c>
      <c r="R77" s="8"/>
      <c r="T77"/>
    </row>
    <row r="78" spans="2:20" ht="23.1" customHeight="1" x14ac:dyDescent="0.25">
      <c r="B78" s="46" t="s">
        <v>118</v>
      </c>
      <c r="C78" s="50">
        <v>16</v>
      </c>
      <c r="D78" s="50">
        <v>6</v>
      </c>
      <c r="E78" s="50">
        <v>0</v>
      </c>
      <c r="F78" s="50">
        <v>1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1</v>
      </c>
      <c r="M78" s="50">
        <v>39</v>
      </c>
      <c r="N78" s="50">
        <v>0</v>
      </c>
      <c r="O78" s="15">
        <f t="shared" si="35"/>
        <v>24</v>
      </c>
      <c r="P78" s="15">
        <f t="shared" si="36"/>
        <v>63</v>
      </c>
      <c r="R78" s="8"/>
      <c r="T78"/>
    </row>
    <row r="79" spans="2:20" ht="23.1" customHeight="1" x14ac:dyDescent="0.25">
      <c r="B79" s="45" t="s">
        <v>119</v>
      </c>
      <c r="C79" s="50">
        <v>17</v>
      </c>
      <c r="D79" s="50">
        <v>7</v>
      </c>
      <c r="E79" s="50">
        <v>0</v>
      </c>
      <c r="F79" s="50">
        <v>0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25</v>
      </c>
      <c r="N79" s="50">
        <v>0</v>
      </c>
      <c r="O79" s="15">
        <f t="shared" si="35"/>
        <v>25</v>
      </c>
      <c r="P79" s="15">
        <f t="shared" si="36"/>
        <v>50</v>
      </c>
      <c r="R79" s="8"/>
      <c r="T79"/>
    </row>
    <row r="80" spans="2:20" ht="23.1" customHeight="1" x14ac:dyDescent="0.25">
      <c r="B80" s="47" t="s">
        <v>120</v>
      </c>
      <c r="C80" s="50">
        <v>15</v>
      </c>
      <c r="D80" s="50">
        <v>3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1</v>
      </c>
      <c r="M80" s="50">
        <v>46</v>
      </c>
      <c r="N80" s="50">
        <v>0</v>
      </c>
      <c r="O80" s="15">
        <f t="shared" si="35"/>
        <v>20</v>
      </c>
      <c r="P80" s="15">
        <f t="shared" si="36"/>
        <v>66</v>
      </c>
      <c r="R80" s="8"/>
      <c r="T80"/>
    </row>
    <row r="81" spans="2:20" ht="23.1" customHeight="1" x14ac:dyDescent="0.25">
      <c r="B81" s="45" t="s">
        <v>121</v>
      </c>
      <c r="C81" s="50">
        <v>11</v>
      </c>
      <c r="D81" s="50">
        <v>5</v>
      </c>
      <c r="E81" s="50">
        <v>0</v>
      </c>
      <c r="F81" s="50">
        <v>2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1</v>
      </c>
      <c r="M81" s="50">
        <v>31</v>
      </c>
      <c r="N81" s="50">
        <v>0</v>
      </c>
      <c r="O81" s="15">
        <f t="shared" si="35"/>
        <v>19</v>
      </c>
      <c r="P81" s="15">
        <f t="shared" si="36"/>
        <v>50</v>
      </c>
      <c r="R81" s="8"/>
      <c r="T81"/>
    </row>
    <row r="82" spans="2:20" ht="23.1" customHeight="1" x14ac:dyDescent="0.25">
      <c r="B82" s="46" t="s">
        <v>122</v>
      </c>
      <c r="C82" s="50">
        <v>10</v>
      </c>
      <c r="D82" s="50">
        <v>4</v>
      </c>
      <c r="E82" s="50">
        <v>2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51</v>
      </c>
      <c r="N82" s="50">
        <v>0</v>
      </c>
      <c r="O82" s="15">
        <f t="shared" si="35"/>
        <v>16</v>
      </c>
      <c r="P82" s="15">
        <f t="shared" si="36"/>
        <v>67</v>
      </c>
      <c r="R82" s="8"/>
      <c r="T82"/>
    </row>
    <row r="83" spans="2:20" ht="23.1" customHeight="1" x14ac:dyDescent="0.25">
      <c r="B83" s="45" t="s">
        <v>123</v>
      </c>
      <c r="C83" s="50">
        <v>9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13</v>
      </c>
      <c r="N83" s="50">
        <v>0</v>
      </c>
      <c r="O83" s="15">
        <f t="shared" si="35"/>
        <v>10</v>
      </c>
      <c r="P83" s="15">
        <f t="shared" si="36"/>
        <v>23</v>
      </c>
      <c r="R83" s="8"/>
      <c r="T83"/>
    </row>
    <row r="84" spans="2:20" ht="23.1" customHeight="1" x14ac:dyDescent="0.25">
      <c r="B84" s="47" t="s">
        <v>124</v>
      </c>
      <c r="C84" s="50">
        <v>10</v>
      </c>
      <c r="D84" s="50">
        <v>7</v>
      </c>
      <c r="E84" s="50">
        <v>1</v>
      </c>
      <c r="F84" s="50">
        <v>0</v>
      </c>
      <c r="G84" s="50">
        <v>0</v>
      </c>
      <c r="H84" s="50">
        <v>0</v>
      </c>
      <c r="I84" s="50">
        <v>3</v>
      </c>
      <c r="J84" s="50">
        <v>0</v>
      </c>
      <c r="K84" s="50">
        <v>0</v>
      </c>
      <c r="L84" s="50">
        <v>0</v>
      </c>
      <c r="M84" s="50">
        <v>20</v>
      </c>
      <c r="N84" s="50">
        <v>0</v>
      </c>
      <c r="O84" s="15">
        <f t="shared" si="35"/>
        <v>21</v>
      </c>
      <c r="P84" s="15">
        <f t="shared" si="36"/>
        <v>41</v>
      </c>
      <c r="R84" s="8"/>
      <c r="T84"/>
    </row>
    <row r="85" spans="2:20" ht="23.1" customHeight="1" x14ac:dyDescent="0.25">
      <c r="B85" s="45" t="s">
        <v>125</v>
      </c>
      <c r="C85" s="50">
        <v>7</v>
      </c>
      <c r="D85" s="50">
        <v>6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22</v>
      </c>
      <c r="N85" s="50">
        <v>0</v>
      </c>
      <c r="O85" s="15">
        <f t="shared" si="35"/>
        <v>13</v>
      </c>
      <c r="P85" s="15">
        <f t="shared" si="36"/>
        <v>35</v>
      </c>
      <c r="R85" s="8"/>
      <c r="T85"/>
    </row>
    <row r="86" spans="2:20" ht="23.1" customHeight="1" x14ac:dyDescent="0.25">
      <c r="B86" s="46" t="s">
        <v>126</v>
      </c>
      <c r="C86" s="50">
        <v>9</v>
      </c>
      <c r="D86" s="50">
        <v>8</v>
      </c>
      <c r="E86" s="50">
        <v>1</v>
      </c>
      <c r="F86" s="50">
        <v>1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31</v>
      </c>
      <c r="N86" s="50">
        <v>0</v>
      </c>
      <c r="O86" s="15">
        <f t="shared" si="35"/>
        <v>19</v>
      </c>
      <c r="P86" s="15">
        <f t="shared" si="36"/>
        <v>50</v>
      </c>
      <c r="R86" s="8"/>
      <c r="T86"/>
    </row>
    <row r="87" spans="2:20" ht="23.1" customHeight="1" x14ac:dyDescent="0.25">
      <c r="B87" s="45" t="s">
        <v>127</v>
      </c>
      <c r="C87" s="50">
        <v>3</v>
      </c>
      <c r="D87" s="50">
        <v>1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10</v>
      </c>
      <c r="N87" s="50">
        <v>0</v>
      </c>
      <c r="O87" s="15">
        <f t="shared" si="35"/>
        <v>4</v>
      </c>
      <c r="P87" s="15">
        <f t="shared" si="36"/>
        <v>14</v>
      </c>
      <c r="R87" s="8"/>
      <c r="T87"/>
    </row>
    <row r="88" spans="2:20" ht="23.1" customHeight="1" x14ac:dyDescent="0.25">
      <c r="B88" s="47" t="s">
        <v>128</v>
      </c>
      <c r="C88" s="50">
        <v>8</v>
      </c>
      <c r="D88" s="50">
        <v>0</v>
      </c>
      <c r="E88" s="50">
        <v>1</v>
      </c>
      <c r="F88" s="50">
        <v>1</v>
      </c>
      <c r="G88" s="50">
        <v>0</v>
      </c>
      <c r="H88" s="50">
        <v>0</v>
      </c>
      <c r="I88" s="50">
        <v>0</v>
      </c>
      <c r="J88" s="50">
        <v>1</v>
      </c>
      <c r="K88" s="50">
        <v>0</v>
      </c>
      <c r="L88" s="50">
        <v>0</v>
      </c>
      <c r="M88" s="50">
        <v>9</v>
      </c>
      <c r="N88" s="50">
        <v>0</v>
      </c>
      <c r="O88" s="15">
        <f t="shared" si="35"/>
        <v>11</v>
      </c>
      <c r="P88" s="15">
        <f t="shared" si="36"/>
        <v>20</v>
      </c>
      <c r="R88" s="8"/>
      <c r="T88"/>
    </row>
    <row r="89" spans="2:20" ht="23.1" customHeight="1" x14ac:dyDescent="0.25">
      <c r="B89" s="45" t="s">
        <v>129</v>
      </c>
      <c r="C89" s="50">
        <v>6</v>
      </c>
      <c r="D89" s="50">
        <v>2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8</v>
      </c>
      <c r="N89" s="50">
        <v>0</v>
      </c>
      <c r="O89" s="15">
        <f t="shared" si="35"/>
        <v>9</v>
      </c>
      <c r="P89" s="15">
        <f t="shared" si="36"/>
        <v>17</v>
      </c>
      <c r="R89" s="8"/>
      <c r="T89"/>
    </row>
    <row r="90" spans="2:20" ht="23.1" customHeight="1" x14ac:dyDescent="0.25">
      <c r="B90" s="46" t="s">
        <v>130</v>
      </c>
      <c r="C90" s="50">
        <v>7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9</v>
      </c>
      <c r="N90" s="50">
        <v>0</v>
      </c>
      <c r="O90" s="15">
        <f t="shared" si="35"/>
        <v>8</v>
      </c>
      <c r="P90" s="15">
        <f t="shared" si="36"/>
        <v>17</v>
      </c>
      <c r="R90" s="8"/>
      <c r="T90"/>
    </row>
    <row r="91" spans="2:20" ht="23.1" customHeight="1" x14ac:dyDescent="0.25">
      <c r="B91" s="45" t="s">
        <v>131</v>
      </c>
      <c r="C91" s="50">
        <v>3</v>
      </c>
      <c r="D91" s="50">
        <v>4</v>
      </c>
      <c r="E91" s="50">
        <v>1</v>
      </c>
      <c r="F91" s="50">
        <v>1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3</v>
      </c>
      <c r="N91" s="50">
        <v>0</v>
      </c>
      <c r="O91" s="15">
        <f t="shared" si="35"/>
        <v>9</v>
      </c>
      <c r="P91" s="15">
        <f t="shared" si="36"/>
        <v>12</v>
      </c>
      <c r="R91" s="8"/>
      <c r="T91"/>
    </row>
    <row r="92" spans="2:20" ht="23.1" customHeight="1" x14ac:dyDescent="0.25">
      <c r="B92" s="47" t="s">
        <v>132</v>
      </c>
      <c r="C92" s="50">
        <v>6</v>
      </c>
      <c r="D92" s="50">
        <v>1</v>
      </c>
      <c r="E92" s="50">
        <v>0</v>
      </c>
      <c r="F92" s="50">
        <v>1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9</v>
      </c>
      <c r="N92" s="50">
        <v>0</v>
      </c>
      <c r="O92" s="15">
        <f t="shared" si="35"/>
        <v>8</v>
      </c>
      <c r="P92" s="15">
        <f t="shared" si="36"/>
        <v>17</v>
      </c>
      <c r="R92" s="8"/>
      <c r="T92"/>
    </row>
    <row r="93" spans="2:20" ht="23.1" customHeight="1" x14ac:dyDescent="0.25">
      <c r="B93" s="45" t="s">
        <v>133</v>
      </c>
      <c r="C93" s="50">
        <v>4</v>
      </c>
      <c r="D93" s="50">
        <v>4</v>
      </c>
      <c r="E93" s="50">
        <v>1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15</v>
      </c>
      <c r="N93" s="50">
        <v>0</v>
      </c>
      <c r="O93" s="15">
        <f t="shared" si="35"/>
        <v>9</v>
      </c>
      <c r="P93" s="15">
        <f t="shared" si="36"/>
        <v>24</v>
      </c>
      <c r="R93" s="8"/>
      <c r="T93"/>
    </row>
    <row r="94" spans="2:20" ht="23.1" customHeight="1" x14ac:dyDescent="0.25">
      <c r="B94" s="46" t="s">
        <v>134</v>
      </c>
      <c r="C94" s="50">
        <v>3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5</v>
      </c>
      <c r="N94" s="50">
        <v>0</v>
      </c>
      <c r="O94" s="15">
        <f t="shared" si="35"/>
        <v>3</v>
      </c>
      <c r="P94" s="15">
        <f t="shared" si="36"/>
        <v>8</v>
      </c>
      <c r="R94" s="8"/>
      <c r="T94"/>
    </row>
    <row r="95" spans="2:20" ht="23.1" customHeight="1" x14ac:dyDescent="0.25">
      <c r="B95" s="45" t="s">
        <v>135</v>
      </c>
      <c r="C95" s="50">
        <v>5</v>
      </c>
      <c r="D95" s="50">
        <v>1</v>
      </c>
      <c r="E95" s="50">
        <v>2</v>
      </c>
      <c r="F95" s="50">
        <v>0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17</v>
      </c>
      <c r="N95" s="50">
        <v>0</v>
      </c>
      <c r="O95" s="15">
        <f t="shared" si="35"/>
        <v>9</v>
      </c>
      <c r="P95" s="15">
        <f t="shared" si="36"/>
        <v>26</v>
      </c>
      <c r="R95" s="8"/>
      <c r="T95"/>
    </row>
    <row r="96" spans="2:20" ht="23.1" customHeight="1" x14ac:dyDescent="0.25">
      <c r="B96" s="47" t="s">
        <v>136</v>
      </c>
      <c r="C96" s="50">
        <v>4</v>
      </c>
      <c r="D96" s="50">
        <v>0</v>
      </c>
      <c r="E96" s="50">
        <v>1</v>
      </c>
      <c r="F96" s="50">
        <v>2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13</v>
      </c>
      <c r="N96" s="50">
        <v>0</v>
      </c>
      <c r="O96" s="15">
        <f t="shared" si="35"/>
        <v>7</v>
      </c>
      <c r="P96" s="15">
        <f t="shared" si="36"/>
        <v>20</v>
      </c>
      <c r="R96" s="8"/>
      <c r="T96"/>
    </row>
    <row r="97" spans="2:20" ht="23.1" customHeight="1" x14ac:dyDescent="0.25">
      <c r="B97" s="45" t="s">
        <v>137</v>
      </c>
      <c r="C97" s="50">
        <v>4</v>
      </c>
      <c r="D97" s="50">
        <v>0</v>
      </c>
      <c r="E97" s="50">
        <v>0</v>
      </c>
      <c r="F97" s="50">
        <v>1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15</v>
      </c>
      <c r="N97" s="50">
        <v>0</v>
      </c>
      <c r="O97" s="15">
        <f t="shared" si="35"/>
        <v>5</v>
      </c>
      <c r="P97" s="15">
        <f t="shared" si="36"/>
        <v>20</v>
      </c>
      <c r="R97" s="8"/>
      <c r="T97"/>
    </row>
    <row r="98" spans="2:20" ht="23.1" customHeight="1" x14ac:dyDescent="0.25">
      <c r="B98" s="46" t="s">
        <v>138</v>
      </c>
      <c r="C98" s="50">
        <v>4</v>
      </c>
      <c r="D98" s="50">
        <v>0</v>
      </c>
      <c r="E98" s="50">
        <v>0</v>
      </c>
      <c r="F98" s="50">
        <v>2</v>
      </c>
      <c r="G98" s="50">
        <v>0</v>
      </c>
      <c r="H98" s="50">
        <v>0</v>
      </c>
      <c r="I98" s="50">
        <v>2</v>
      </c>
      <c r="J98" s="50">
        <v>1</v>
      </c>
      <c r="K98" s="50">
        <v>0</v>
      </c>
      <c r="L98" s="50">
        <v>0</v>
      </c>
      <c r="M98" s="50">
        <v>19</v>
      </c>
      <c r="N98" s="50">
        <v>0</v>
      </c>
      <c r="O98" s="15">
        <f t="shared" si="35"/>
        <v>9</v>
      </c>
      <c r="P98" s="15">
        <f t="shared" si="36"/>
        <v>28</v>
      </c>
      <c r="R98" s="8"/>
      <c r="T98"/>
    </row>
    <row r="99" spans="2:20" ht="23.1" customHeight="1" x14ac:dyDescent="0.25">
      <c r="B99" s="45" t="s">
        <v>139</v>
      </c>
      <c r="C99" s="50">
        <v>5</v>
      </c>
      <c r="D99" s="50">
        <v>0</v>
      </c>
      <c r="E99" s="50">
        <v>2</v>
      </c>
      <c r="F99" s="50">
        <v>6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0</v>
      </c>
      <c r="M99" s="50">
        <v>26</v>
      </c>
      <c r="N99" s="50">
        <v>0</v>
      </c>
      <c r="O99" s="15">
        <f t="shared" si="35"/>
        <v>14</v>
      </c>
      <c r="P99" s="15">
        <f t="shared" si="36"/>
        <v>40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3</v>
      </c>
      <c r="E100" s="50">
        <v>0</v>
      </c>
      <c r="F100" s="50">
        <v>15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0</v>
      </c>
      <c r="M100" s="50">
        <v>22</v>
      </c>
      <c r="N100" s="50">
        <v>0</v>
      </c>
      <c r="O100" s="15">
        <f t="shared" si="35"/>
        <v>20</v>
      </c>
      <c r="P100" s="15">
        <f t="shared" si="36"/>
        <v>42</v>
      </c>
      <c r="R100" s="8"/>
      <c r="T100"/>
    </row>
    <row r="101" spans="2:20" ht="23.1" customHeight="1" x14ac:dyDescent="0.25">
      <c r="B101" s="45" t="s">
        <v>141</v>
      </c>
      <c r="C101" s="50">
        <v>4</v>
      </c>
      <c r="D101" s="50">
        <v>1</v>
      </c>
      <c r="E101" s="50">
        <v>0</v>
      </c>
      <c r="F101" s="50">
        <v>9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4</v>
      </c>
      <c r="M101" s="50">
        <v>20</v>
      </c>
      <c r="N101" s="50">
        <v>0</v>
      </c>
      <c r="O101" s="15">
        <f t="shared" si="35"/>
        <v>19</v>
      </c>
      <c r="P101" s="15">
        <f t="shared" si="36"/>
        <v>39</v>
      </c>
      <c r="R101" s="8"/>
      <c r="T101"/>
    </row>
    <row r="102" spans="2:20" ht="23.1" customHeight="1" x14ac:dyDescent="0.25">
      <c r="B102" s="46" t="s">
        <v>142</v>
      </c>
      <c r="C102" s="50">
        <v>8</v>
      </c>
      <c r="D102" s="50">
        <v>1</v>
      </c>
      <c r="E102" s="50">
        <v>1</v>
      </c>
      <c r="F102" s="50">
        <v>8</v>
      </c>
      <c r="G102" s="50">
        <v>0</v>
      </c>
      <c r="H102" s="50">
        <v>0</v>
      </c>
      <c r="I102" s="50">
        <v>2</v>
      </c>
      <c r="J102" s="50">
        <v>0</v>
      </c>
      <c r="K102" s="50">
        <v>0</v>
      </c>
      <c r="L102" s="50">
        <v>4</v>
      </c>
      <c r="M102" s="50">
        <v>28</v>
      </c>
      <c r="N102" s="50">
        <v>0</v>
      </c>
      <c r="O102" s="15">
        <f t="shared" si="35"/>
        <v>24</v>
      </c>
      <c r="P102" s="15">
        <f t="shared" si="36"/>
        <v>52</v>
      </c>
      <c r="R102" s="8"/>
      <c r="T102"/>
    </row>
    <row r="103" spans="2:20" ht="23.1" customHeight="1" x14ac:dyDescent="0.25">
      <c r="B103" s="45" t="s">
        <v>143</v>
      </c>
      <c r="C103" s="50">
        <v>6</v>
      </c>
      <c r="D103" s="50">
        <v>2</v>
      </c>
      <c r="E103" s="50">
        <v>2</v>
      </c>
      <c r="F103" s="50">
        <v>10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3</v>
      </c>
      <c r="M103" s="50">
        <v>57</v>
      </c>
      <c r="N103" s="50">
        <v>0</v>
      </c>
      <c r="O103" s="15">
        <f t="shared" si="35"/>
        <v>24</v>
      </c>
      <c r="P103" s="15">
        <f t="shared" si="36"/>
        <v>81</v>
      </c>
      <c r="R103" s="8"/>
      <c r="T103"/>
    </row>
    <row r="104" spans="2:20" ht="23.1" customHeight="1" x14ac:dyDescent="0.25">
      <c r="B104" s="47" t="s">
        <v>144</v>
      </c>
      <c r="C104" s="50">
        <v>7</v>
      </c>
      <c r="D104" s="50">
        <v>0</v>
      </c>
      <c r="E104" s="50">
        <v>1</v>
      </c>
      <c r="F104" s="50">
        <v>13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2</v>
      </c>
      <c r="M104" s="50">
        <v>89</v>
      </c>
      <c r="N104" s="50">
        <v>0</v>
      </c>
      <c r="O104" s="15">
        <f t="shared" si="35"/>
        <v>23</v>
      </c>
      <c r="P104" s="15">
        <f t="shared" si="36"/>
        <v>112</v>
      </c>
      <c r="R104" s="8"/>
      <c r="T104"/>
    </row>
    <row r="105" spans="2:20" ht="23.1" customHeight="1" x14ac:dyDescent="0.25">
      <c r="B105" s="45" t="s">
        <v>145</v>
      </c>
      <c r="C105" s="50">
        <v>5</v>
      </c>
      <c r="D105" s="50">
        <v>3</v>
      </c>
      <c r="E105" s="50">
        <v>0</v>
      </c>
      <c r="F105" s="50">
        <v>19</v>
      </c>
      <c r="G105" s="50">
        <v>0</v>
      </c>
      <c r="H105" s="50">
        <v>0</v>
      </c>
      <c r="I105" s="50">
        <v>0</v>
      </c>
      <c r="J105" s="50">
        <v>0</v>
      </c>
      <c r="K105" s="50">
        <v>1</v>
      </c>
      <c r="L105" s="50">
        <v>1</v>
      </c>
      <c r="M105" s="50">
        <v>77</v>
      </c>
      <c r="N105" s="50">
        <v>0</v>
      </c>
      <c r="O105" s="15">
        <f t="shared" si="35"/>
        <v>29</v>
      </c>
      <c r="P105" s="15">
        <f t="shared" si="36"/>
        <v>106</v>
      </c>
      <c r="R105" s="8"/>
      <c r="T105"/>
    </row>
    <row r="106" spans="2:20" ht="23.1" customHeight="1" x14ac:dyDescent="0.25">
      <c r="B106" s="26" t="s">
        <v>18</v>
      </c>
      <c r="C106" s="16" t="s">
        <v>168</v>
      </c>
      <c r="D106" s="16">
        <f t="shared" ref="D106:P106" si="37">SUM(D10:D105)</f>
        <v>789</v>
      </c>
      <c r="E106" s="16">
        <f t="shared" si="37"/>
        <v>338</v>
      </c>
      <c r="F106" s="16">
        <f t="shared" si="37"/>
        <v>723</v>
      </c>
      <c r="G106" s="16">
        <f t="shared" si="37"/>
        <v>58</v>
      </c>
      <c r="H106" s="16">
        <f t="shared" si="37"/>
        <v>9</v>
      </c>
      <c r="I106" s="16">
        <f t="shared" si="37"/>
        <v>257</v>
      </c>
      <c r="J106" s="16">
        <f t="shared" si="37"/>
        <v>74</v>
      </c>
      <c r="K106" s="16">
        <f t="shared" si="37"/>
        <v>22</v>
      </c>
      <c r="L106" s="16">
        <f t="shared" si="37"/>
        <v>79</v>
      </c>
      <c r="M106" s="16">
        <f t="shared" si="37"/>
        <v>6464</v>
      </c>
      <c r="N106" s="16">
        <f t="shared" si="37"/>
        <v>0</v>
      </c>
      <c r="O106" s="16">
        <f t="shared" si="37"/>
        <v>4798</v>
      </c>
      <c r="P106" s="16">
        <f t="shared" si="37"/>
        <v>11262</v>
      </c>
      <c r="R106" s="8"/>
      <c r="T106"/>
    </row>
    <row r="107" spans="2:20" ht="23.1" customHeight="1" x14ac:dyDescent="0.25">
      <c r="B107" s="26" t="s">
        <v>93</v>
      </c>
      <c r="C107" s="43" t="e">
        <f t="shared" ref="C107:N107" si="38">C106/$P$106</f>
        <v>#VALUE!</v>
      </c>
      <c r="D107" s="43">
        <f t="shared" si="38"/>
        <v>7.0058604155567389E-2</v>
      </c>
      <c r="E107" s="43">
        <f t="shared" si="38"/>
        <v>3.0012431184514295E-2</v>
      </c>
      <c r="F107" s="43">
        <f t="shared" si="38"/>
        <v>6.4198188598827921E-2</v>
      </c>
      <c r="G107" s="43">
        <f t="shared" si="38"/>
        <v>5.1500621559225713E-3</v>
      </c>
      <c r="H107" s="43">
        <f t="shared" si="38"/>
        <v>7.9914757591901967E-4</v>
      </c>
      <c r="I107" s="43">
        <f t="shared" si="38"/>
        <v>2.2820103001243118E-2</v>
      </c>
      <c r="J107" s="43">
        <f t="shared" si="38"/>
        <v>6.5707689575563843E-3</v>
      </c>
      <c r="K107" s="43">
        <f t="shared" si="38"/>
        <v>1.9534718522464926E-3</v>
      </c>
      <c r="L107" s="43">
        <f t="shared" si="38"/>
        <v>7.0147398330669512E-3</v>
      </c>
      <c r="M107" s="43">
        <f t="shared" si="38"/>
        <v>0.57396554786006038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 t="e">
        <f>C106/$O$106</f>
        <v>#VALUE!</v>
      </c>
      <c r="D108" s="44">
        <f t="shared" ref="D108:N108" si="39">D106/$O$106</f>
        <v>0.16444351813255523</v>
      </c>
      <c r="E108" s="44">
        <f t="shared" si="39"/>
        <v>7.0446019174656108E-2</v>
      </c>
      <c r="F108" s="44">
        <f t="shared" si="39"/>
        <v>0.15068778657774073</v>
      </c>
      <c r="G108" s="44">
        <f t="shared" si="39"/>
        <v>1.2088370154230929E-2</v>
      </c>
      <c r="H108" s="44">
        <f t="shared" si="39"/>
        <v>1.8757815756565235E-3</v>
      </c>
      <c r="I108" s="44">
        <f t="shared" si="39"/>
        <v>5.3563984993747392E-2</v>
      </c>
      <c r="J108" s="44">
        <f t="shared" si="39"/>
        <v>1.5423092955398083E-2</v>
      </c>
      <c r="K108" s="44">
        <f t="shared" si="39"/>
        <v>4.5852438516048354E-3</v>
      </c>
      <c r="L108" s="44">
        <f t="shared" si="39"/>
        <v>1.6465193830762819E-2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G57" sqref="G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Spear Motors -URA'!C3:G3</f>
        <v>MCC - C1 - STN44- NAKAWA-JINJA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63" t="str">
        <f>'03.08 URA-Spear Motors-24h'!G5:H5</f>
        <v>Spear Motors Limited</v>
      </c>
      <c r="H5" s="64"/>
      <c r="I5" s="14"/>
      <c r="J5" s="2" t="s">
        <v>5</v>
      </c>
      <c r="K5" s="63" t="s">
        <v>192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Spear Motors -URA'!D6:E6</f>
        <v>Spear Motors</v>
      </c>
      <c r="E6" s="64"/>
      <c r="F6" s="2" t="s">
        <v>2</v>
      </c>
      <c r="G6" s="63" t="str">
        <f>'29.07 Spear Motors -URA'!G6:H6</f>
        <v>URA</v>
      </c>
      <c r="H6" s="64"/>
      <c r="J6" s="2" t="s">
        <v>21</v>
      </c>
      <c r="K6" s="63" t="s">
        <v>189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5</v>
      </c>
      <c r="E10" s="50">
        <v>6</v>
      </c>
      <c r="F10" s="50">
        <v>5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65</v>
      </c>
      <c r="N10" s="50">
        <v>0</v>
      </c>
      <c r="O10" s="15">
        <f t="shared" ref="O10:O57" si="0">SUM(C10:L10,N10)</f>
        <v>17</v>
      </c>
      <c r="P10" s="15">
        <f t="shared" ref="P10:P57" si="1">SUM(C10:N10)</f>
        <v>82</v>
      </c>
      <c r="R10" s="1" t="s">
        <v>6</v>
      </c>
      <c r="S10" s="17">
        <f t="shared" ref="S10:AF10" si="2">SUM(C10:C13)</f>
        <v>24</v>
      </c>
      <c r="T10" s="17">
        <f t="shared" si="2"/>
        <v>17</v>
      </c>
      <c r="U10" s="17">
        <f t="shared" si="2"/>
        <v>17</v>
      </c>
      <c r="V10" s="17">
        <f t="shared" si="2"/>
        <v>33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6</v>
      </c>
      <c r="AA10" s="17">
        <f t="shared" si="2"/>
        <v>0</v>
      </c>
      <c r="AB10" s="17">
        <f t="shared" si="2"/>
        <v>4</v>
      </c>
      <c r="AC10" s="17">
        <f t="shared" si="2"/>
        <v>326</v>
      </c>
      <c r="AD10" s="17">
        <f t="shared" si="2"/>
        <v>0</v>
      </c>
      <c r="AE10" s="31">
        <f t="shared" si="2"/>
        <v>102</v>
      </c>
      <c r="AF10" s="31">
        <f t="shared" si="2"/>
        <v>428</v>
      </c>
    </row>
    <row r="11" spans="2:32" s="6" customFormat="1" ht="23.1" customHeight="1" x14ac:dyDescent="0.25">
      <c r="B11" s="23" t="s">
        <v>38</v>
      </c>
      <c r="C11" s="50">
        <v>3</v>
      </c>
      <c r="D11" s="50">
        <v>2</v>
      </c>
      <c r="E11" s="50">
        <v>4</v>
      </c>
      <c r="F11" s="50">
        <v>9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3</v>
      </c>
      <c r="M11" s="50">
        <v>44</v>
      </c>
      <c r="N11" s="50">
        <v>0</v>
      </c>
      <c r="O11" s="15">
        <f t="shared" si="0"/>
        <v>22</v>
      </c>
      <c r="P11" s="15">
        <f t="shared" si="1"/>
        <v>66</v>
      </c>
      <c r="R11" s="1" t="s">
        <v>7</v>
      </c>
      <c r="S11" s="17">
        <f t="shared" ref="S11:AF11" si="3">SUM(C14:C17)</f>
        <v>42</v>
      </c>
      <c r="T11" s="17">
        <f t="shared" si="3"/>
        <v>10</v>
      </c>
      <c r="U11" s="17">
        <f t="shared" si="3"/>
        <v>15</v>
      </c>
      <c r="V11" s="17">
        <f t="shared" si="3"/>
        <v>27</v>
      </c>
      <c r="W11" s="17">
        <f t="shared" si="3"/>
        <v>1</v>
      </c>
      <c r="X11" s="17">
        <f t="shared" si="3"/>
        <v>0</v>
      </c>
      <c r="Y11" s="17">
        <f t="shared" si="3"/>
        <v>3</v>
      </c>
      <c r="Z11" s="17">
        <f t="shared" si="3"/>
        <v>1</v>
      </c>
      <c r="AA11" s="17">
        <f t="shared" si="3"/>
        <v>1</v>
      </c>
      <c r="AB11" s="17">
        <f t="shared" si="3"/>
        <v>11</v>
      </c>
      <c r="AC11" s="17">
        <f t="shared" si="3"/>
        <v>503</v>
      </c>
      <c r="AD11" s="17">
        <f t="shared" si="3"/>
        <v>0</v>
      </c>
      <c r="AE11" s="31">
        <f t="shared" si="3"/>
        <v>111</v>
      </c>
      <c r="AF11" s="31">
        <f t="shared" si="3"/>
        <v>614</v>
      </c>
    </row>
    <row r="12" spans="2:32" ht="23.1" customHeight="1" x14ac:dyDescent="0.25">
      <c r="B12" s="23" t="s">
        <v>39</v>
      </c>
      <c r="C12" s="50">
        <v>7</v>
      </c>
      <c r="D12" s="50">
        <v>4</v>
      </c>
      <c r="E12" s="50">
        <v>2</v>
      </c>
      <c r="F12" s="50">
        <v>12</v>
      </c>
      <c r="G12" s="50">
        <v>0</v>
      </c>
      <c r="H12" s="50">
        <v>0</v>
      </c>
      <c r="I12" s="50">
        <v>0</v>
      </c>
      <c r="J12" s="50">
        <v>3</v>
      </c>
      <c r="K12" s="50">
        <v>0</v>
      </c>
      <c r="L12" s="50">
        <v>1</v>
      </c>
      <c r="M12" s="50">
        <v>82</v>
      </c>
      <c r="N12" s="50">
        <v>0</v>
      </c>
      <c r="O12" s="15">
        <f t="shared" si="0"/>
        <v>29</v>
      </c>
      <c r="P12" s="15">
        <f t="shared" si="1"/>
        <v>111</v>
      </c>
      <c r="R12" s="1" t="s">
        <v>8</v>
      </c>
      <c r="S12" s="17">
        <f t="shared" ref="S12:AF12" si="4">SUM(C18:C21)</f>
        <v>71</v>
      </c>
      <c r="T12" s="17">
        <f t="shared" si="4"/>
        <v>19</v>
      </c>
      <c r="U12" s="17">
        <f t="shared" si="4"/>
        <v>13</v>
      </c>
      <c r="V12" s="17">
        <f t="shared" si="4"/>
        <v>22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2</v>
      </c>
      <c r="AA12" s="17">
        <f t="shared" si="4"/>
        <v>0</v>
      </c>
      <c r="AB12" s="17">
        <f t="shared" si="4"/>
        <v>3</v>
      </c>
      <c r="AC12" s="17">
        <f t="shared" si="4"/>
        <v>470</v>
      </c>
      <c r="AD12" s="17">
        <f t="shared" si="4"/>
        <v>0</v>
      </c>
      <c r="AE12" s="31">
        <f t="shared" si="4"/>
        <v>137</v>
      </c>
      <c r="AF12" s="31">
        <f t="shared" si="4"/>
        <v>607</v>
      </c>
    </row>
    <row r="13" spans="2:32" ht="23.1" customHeight="1" x14ac:dyDescent="0.25">
      <c r="B13" s="23" t="s">
        <v>40</v>
      </c>
      <c r="C13" s="50">
        <v>13</v>
      </c>
      <c r="D13" s="50">
        <v>6</v>
      </c>
      <c r="E13" s="50">
        <v>5</v>
      </c>
      <c r="F13" s="50">
        <v>7</v>
      </c>
      <c r="G13" s="50">
        <v>0</v>
      </c>
      <c r="H13" s="50">
        <v>0</v>
      </c>
      <c r="I13" s="50">
        <v>1</v>
      </c>
      <c r="J13" s="50">
        <v>2</v>
      </c>
      <c r="K13" s="50">
        <v>0</v>
      </c>
      <c r="L13" s="50">
        <v>0</v>
      </c>
      <c r="M13" s="50">
        <v>135</v>
      </c>
      <c r="N13" s="50">
        <v>0</v>
      </c>
      <c r="O13" s="15">
        <f t="shared" si="0"/>
        <v>34</v>
      </c>
      <c r="P13" s="15">
        <f t="shared" si="1"/>
        <v>169</v>
      </c>
      <c r="R13" s="1" t="s">
        <v>9</v>
      </c>
      <c r="S13" s="17">
        <f t="shared" ref="S13:AF13" si="5">SUM(C22:C25)</f>
        <v>99</v>
      </c>
      <c r="T13" s="17">
        <f t="shared" si="5"/>
        <v>20</v>
      </c>
      <c r="U13" s="17">
        <f t="shared" si="5"/>
        <v>12</v>
      </c>
      <c r="V13" s="17">
        <f t="shared" si="5"/>
        <v>17</v>
      </c>
      <c r="W13" s="17">
        <f t="shared" si="5"/>
        <v>3</v>
      </c>
      <c r="X13" s="17">
        <f t="shared" si="5"/>
        <v>0</v>
      </c>
      <c r="Y13" s="17">
        <f t="shared" si="5"/>
        <v>4</v>
      </c>
      <c r="Z13" s="17">
        <f t="shared" si="5"/>
        <v>3</v>
      </c>
      <c r="AA13" s="17">
        <f t="shared" si="5"/>
        <v>3</v>
      </c>
      <c r="AB13" s="17">
        <f t="shared" si="5"/>
        <v>8</v>
      </c>
      <c r="AC13" s="17">
        <f t="shared" si="5"/>
        <v>427</v>
      </c>
      <c r="AD13" s="17">
        <f t="shared" si="5"/>
        <v>0</v>
      </c>
      <c r="AE13" s="31">
        <f t="shared" si="5"/>
        <v>169</v>
      </c>
      <c r="AF13" s="31">
        <f t="shared" si="5"/>
        <v>596</v>
      </c>
    </row>
    <row r="14" spans="2:32" ht="23.1" customHeight="1" x14ac:dyDescent="0.25">
      <c r="B14" s="23" t="s">
        <v>41</v>
      </c>
      <c r="C14" s="50">
        <v>16</v>
      </c>
      <c r="D14" s="50">
        <v>3</v>
      </c>
      <c r="E14" s="50">
        <v>3</v>
      </c>
      <c r="F14" s="50">
        <v>5</v>
      </c>
      <c r="G14" s="50">
        <v>1</v>
      </c>
      <c r="H14" s="50">
        <v>0</v>
      </c>
      <c r="I14" s="50">
        <v>1</v>
      </c>
      <c r="J14" s="50">
        <v>0</v>
      </c>
      <c r="K14" s="50">
        <v>1</v>
      </c>
      <c r="L14" s="50">
        <v>2</v>
      </c>
      <c r="M14" s="50">
        <v>127</v>
      </c>
      <c r="N14" s="50">
        <v>0</v>
      </c>
      <c r="O14" s="15">
        <f t="shared" si="0"/>
        <v>32</v>
      </c>
      <c r="P14" s="15">
        <f t="shared" si="1"/>
        <v>159</v>
      </c>
      <c r="R14" s="1" t="s">
        <v>10</v>
      </c>
      <c r="S14" s="17">
        <f t="shared" ref="S14:AF14" si="6">SUM(C26:C29)</f>
        <v>111</v>
      </c>
      <c r="T14" s="17">
        <f t="shared" si="6"/>
        <v>169</v>
      </c>
      <c r="U14" s="17">
        <f t="shared" si="6"/>
        <v>21</v>
      </c>
      <c r="V14" s="17">
        <f t="shared" si="6"/>
        <v>35</v>
      </c>
      <c r="W14" s="17">
        <f t="shared" si="6"/>
        <v>13</v>
      </c>
      <c r="X14" s="17">
        <f t="shared" si="6"/>
        <v>0</v>
      </c>
      <c r="Y14" s="17">
        <f t="shared" si="6"/>
        <v>6</v>
      </c>
      <c r="Z14" s="17">
        <f t="shared" si="6"/>
        <v>2</v>
      </c>
      <c r="AA14" s="17">
        <f t="shared" si="6"/>
        <v>0</v>
      </c>
      <c r="AB14" s="17">
        <f t="shared" si="6"/>
        <v>11</v>
      </c>
      <c r="AC14" s="17">
        <f t="shared" si="6"/>
        <v>531</v>
      </c>
      <c r="AD14" s="17">
        <f t="shared" si="6"/>
        <v>0</v>
      </c>
      <c r="AE14" s="31">
        <f t="shared" si="6"/>
        <v>368</v>
      </c>
      <c r="AF14" s="31">
        <f t="shared" si="6"/>
        <v>899</v>
      </c>
    </row>
    <row r="15" spans="2:32" ht="23.1" customHeight="1" x14ac:dyDescent="0.25">
      <c r="B15" s="23" t="s">
        <v>42</v>
      </c>
      <c r="C15" s="50">
        <v>7</v>
      </c>
      <c r="D15" s="50">
        <v>2</v>
      </c>
      <c r="E15" s="50">
        <v>1</v>
      </c>
      <c r="F15" s="50">
        <v>4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4</v>
      </c>
      <c r="M15" s="50">
        <v>109</v>
      </c>
      <c r="N15" s="50">
        <v>0</v>
      </c>
      <c r="O15" s="15">
        <f t="shared" si="0"/>
        <v>20</v>
      </c>
      <c r="P15" s="15">
        <f t="shared" si="1"/>
        <v>129</v>
      </c>
      <c r="R15" s="1" t="s">
        <v>11</v>
      </c>
      <c r="S15" s="17">
        <f t="shared" ref="S15:AF15" si="7">SUM(C30:C33)</f>
        <v>116</v>
      </c>
      <c r="T15" s="17">
        <f t="shared" si="7"/>
        <v>20</v>
      </c>
      <c r="U15" s="17">
        <f t="shared" si="7"/>
        <v>18</v>
      </c>
      <c r="V15" s="17">
        <f t="shared" si="7"/>
        <v>21</v>
      </c>
      <c r="W15" s="17">
        <f t="shared" si="7"/>
        <v>3</v>
      </c>
      <c r="X15" s="17">
        <f t="shared" si="7"/>
        <v>0</v>
      </c>
      <c r="Y15" s="17">
        <f t="shared" si="7"/>
        <v>7</v>
      </c>
      <c r="Z15" s="17">
        <f t="shared" si="7"/>
        <v>4</v>
      </c>
      <c r="AA15" s="17">
        <f t="shared" si="7"/>
        <v>0</v>
      </c>
      <c r="AB15" s="17">
        <f t="shared" si="7"/>
        <v>8</v>
      </c>
      <c r="AC15" s="17">
        <f t="shared" si="7"/>
        <v>441</v>
      </c>
      <c r="AD15" s="17">
        <f t="shared" si="7"/>
        <v>0</v>
      </c>
      <c r="AE15" s="31">
        <f t="shared" si="7"/>
        <v>197</v>
      </c>
      <c r="AF15" s="31">
        <f t="shared" si="7"/>
        <v>638</v>
      </c>
    </row>
    <row r="16" spans="2:32" ht="23.1" customHeight="1" x14ac:dyDescent="0.25">
      <c r="B16" s="23" t="s">
        <v>43</v>
      </c>
      <c r="C16" s="50">
        <v>9</v>
      </c>
      <c r="D16" s="50">
        <v>4</v>
      </c>
      <c r="E16" s="50">
        <v>9</v>
      </c>
      <c r="F16" s="50">
        <v>10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2</v>
      </c>
      <c r="M16" s="50">
        <v>138</v>
      </c>
      <c r="N16" s="50">
        <v>0</v>
      </c>
      <c r="O16" s="15">
        <f t="shared" si="0"/>
        <v>34</v>
      </c>
      <c r="P16" s="15">
        <f t="shared" si="1"/>
        <v>172</v>
      </c>
      <c r="R16" s="1" t="s">
        <v>12</v>
      </c>
      <c r="S16" s="17">
        <f t="shared" ref="S16:AF16" si="8">SUM(C34:C37)</f>
        <v>133</v>
      </c>
      <c r="T16" s="17">
        <f t="shared" si="8"/>
        <v>14</v>
      </c>
      <c r="U16" s="17">
        <f t="shared" si="8"/>
        <v>14</v>
      </c>
      <c r="V16" s="17">
        <f t="shared" si="8"/>
        <v>19</v>
      </c>
      <c r="W16" s="17">
        <f t="shared" si="8"/>
        <v>3</v>
      </c>
      <c r="X16" s="17">
        <f t="shared" si="8"/>
        <v>0</v>
      </c>
      <c r="Y16" s="17">
        <f t="shared" si="8"/>
        <v>4</v>
      </c>
      <c r="Z16" s="17">
        <f t="shared" si="8"/>
        <v>4</v>
      </c>
      <c r="AA16" s="17">
        <f t="shared" si="8"/>
        <v>0</v>
      </c>
      <c r="AB16" s="17">
        <f t="shared" si="8"/>
        <v>3</v>
      </c>
      <c r="AC16" s="17">
        <f t="shared" si="8"/>
        <v>480</v>
      </c>
      <c r="AD16" s="17">
        <f t="shared" si="8"/>
        <v>0</v>
      </c>
      <c r="AE16" s="31">
        <f t="shared" si="8"/>
        <v>194</v>
      </c>
      <c r="AF16" s="31">
        <f t="shared" si="8"/>
        <v>674</v>
      </c>
    </row>
    <row r="17" spans="2:32" ht="23.1" customHeight="1" x14ac:dyDescent="0.25">
      <c r="B17" s="23" t="s">
        <v>44</v>
      </c>
      <c r="C17" s="50">
        <v>10</v>
      </c>
      <c r="D17" s="50">
        <v>1</v>
      </c>
      <c r="E17" s="50">
        <v>2</v>
      </c>
      <c r="F17" s="50">
        <v>8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3</v>
      </c>
      <c r="M17" s="50">
        <v>129</v>
      </c>
      <c r="N17" s="50">
        <v>0</v>
      </c>
      <c r="O17" s="15">
        <f t="shared" si="0"/>
        <v>25</v>
      </c>
      <c r="P17" s="15">
        <f t="shared" si="1"/>
        <v>154</v>
      </c>
      <c r="R17" s="1" t="s">
        <v>13</v>
      </c>
      <c r="S17" s="17">
        <f t="shared" ref="S17:AF17" si="9">SUM(C38:C41)</f>
        <v>139</v>
      </c>
      <c r="T17" s="17">
        <f t="shared" si="9"/>
        <v>31</v>
      </c>
      <c r="U17" s="17">
        <f t="shared" si="9"/>
        <v>16</v>
      </c>
      <c r="V17" s="17">
        <f t="shared" si="9"/>
        <v>19</v>
      </c>
      <c r="W17" s="17">
        <f t="shared" si="9"/>
        <v>4</v>
      </c>
      <c r="X17" s="17">
        <f t="shared" si="9"/>
        <v>0</v>
      </c>
      <c r="Y17" s="17">
        <f t="shared" si="9"/>
        <v>5</v>
      </c>
      <c r="Z17" s="17">
        <f t="shared" si="9"/>
        <v>4</v>
      </c>
      <c r="AA17" s="17">
        <f t="shared" si="9"/>
        <v>2</v>
      </c>
      <c r="AB17" s="17">
        <f t="shared" si="9"/>
        <v>8</v>
      </c>
      <c r="AC17" s="17">
        <f t="shared" si="9"/>
        <v>424</v>
      </c>
      <c r="AD17" s="17">
        <f t="shared" si="9"/>
        <v>0</v>
      </c>
      <c r="AE17" s="31">
        <f t="shared" si="9"/>
        <v>228</v>
      </c>
      <c r="AF17" s="31">
        <f t="shared" si="9"/>
        <v>652</v>
      </c>
    </row>
    <row r="18" spans="2:32" ht="23.1" customHeight="1" x14ac:dyDescent="0.25">
      <c r="B18" s="23" t="s">
        <v>45</v>
      </c>
      <c r="C18" s="50">
        <v>12</v>
      </c>
      <c r="D18" s="50">
        <v>4</v>
      </c>
      <c r="E18" s="50">
        <v>2</v>
      </c>
      <c r="F18" s="50">
        <v>5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111</v>
      </c>
      <c r="N18" s="50">
        <v>0</v>
      </c>
      <c r="O18" s="15">
        <f t="shared" si="0"/>
        <v>25</v>
      </c>
      <c r="P18" s="15">
        <f t="shared" si="1"/>
        <v>136</v>
      </c>
      <c r="R18" s="1" t="s">
        <v>14</v>
      </c>
      <c r="S18" s="17">
        <f t="shared" ref="S18:AF18" si="10">SUM(C42:C45)</f>
        <v>135</v>
      </c>
      <c r="T18" s="17">
        <f t="shared" si="10"/>
        <v>20</v>
      </c>
      <c r="U18" s="17">
        <f t="shared" si="10"/>
        <v>11</v>
      </c>
      <c r="V18" s="17">
        <f t="shared" si="10"/>
        <v>19</v>
      </c>
      <c r="W18" s="17">
        <f t="shared" si="10"/>
        <v>3</v>
      </c>
      <c r="X18" s="17">
        <f t="shared" si="10"/>
        <v>0</v>
      </c>
      <c r="Y18" s="17">
        <f t="shared" si="10"/>
        <v>3</v>
      </c>
      <c r="Z18" s="17">
        <f t="shared" si="10"/>
        <v>4</v>
      </c>
      <c r="AA18" s="17">
        <f t="shared" si="10"/>
        <v>1</v>
      </c>
      <c r="AB18" s="17">
        <f t="shared" si="10"/>
        <v>11</v>
      </c>
      <c r="AC18" s="17">
        <f t="shared" si="10"/>
        <v>435</v>
      </c>
      <c r="AD18" s="17">
        <f t="shared" si="10"/>
        <v>0</v>
      </c>
      <c r="AE18" s="31">
        <f t="shared" si="10"/>
        <v>207</v>
      </c>
      <c r="AF18" s="31">
        <f t="shared" si="10"/>
        <v>642</v>
      </c>
    </row>
    <row r="19" spans="2:32" ht="23.1" customHeight="1" x14ac:dyDescent="0.25">
      <c r="B19" s="23" t="s">
        <v>46</v>
      </c>
      <c r="C19" s="50">
        <v>24</v>
      </c>
      <c r="D19" s="50">
        <v>4</v>
      </c>
      <c r="E19" s="50">
        <v>4</v>
      </c>
      <c r="F19" s="50">
        <v>4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2</v>
      </c>
      <c r="M19" s="50">
        <v>121</v>
      </c>
      <c r="N19" s="50">
        <v>0</v>
      </c>
      <c r="O19" s="15">
        <f t="shared" si="0"/>
        <v>39</v>
      </c>
      <c r="P19" s="15">
        <f t="shared" si="1"/>
        <v>160</v>
      </c>
      <c r="R19" s="1" t="s">
        <v>15</v>
      </c>
      <c r="S19" s="17">
        <f t="shared" ref="S19:AF19" si="11">SUM(C46:C49)</f>
        <v>155</v>
      </c>
      <c r="T19" s="17">
        <f t="shared" si="11"/>
        <v>34</v>
      </c>
      <c r="U19" s="17">
        <f t="shared" si="11"/>
        <v>23</v>
      </c>
      <c r="V19" s="17">
        <f t="shared" si="11"/>
        <v>24</v>
      </c>
      <c r="W19" s="17">
        <f t="shared" si="11"/>
        <v>4</v>
      </c>
      <c r="X19" s="17">
        <f t="shared" si="11"/>
        <v>0</v>
      </c>
      <c r="Y19" s="17">
        <f t="shared" si="11"/>
        <v>7</v>
      </c>
      <c r="Z19" s="17">
        <f t="shared" si="11"/>
        <v>6</v>
      </c>
      <c r="AA19" s="17">
        <f t="shared" si="11"/>
        <v>0</v>
      </c>
      <c r="AB19" s="17">
        <f t="shared" si="11"/>
        <v>5</v>
      </c>
      <c r="AC19" s="17">
        <f t="shared" si="11"/>
        <v>471</v>
      </c>
      <c r="AD19" s="17">
        <f t="shared" si="11"/>
        <v>0</v>
      </c>
      <c r="AE19" s="31">
        <f t="shared" si="11"/>
        <v>258</v>
      </c>
      <c r="AF19" s="31">
        <f t="shared" si="11"/>
        <v>729</v>
      </c>
    </row>
    <row r="20" spans="2:32" ht="23.1" customHeight="1" x14ac:dyDescent="0.25">
      <c r="B20" s="23" t="s">
        <v>47</v>
      </c>
      <c r="C20" s="50">
        <v>15</v>
      </c>
      <c r="D20" s="50">
        <v>3</v>
      </c>
      <c r="E20" s="50">
        <v>6</v>
      </c>
      <c r="F20" s="50">
        <v>5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1</v>
      </c>
      <c r="M20" s="50">
        <v>130</v>
      </c>
      <c r="N20" s="50">
        <v>0</v>
      </c>
      <c r="O20" s="15">
        <f t="shared" si="0"/>
        <v>31</v>
      </c>
      <c r="P20" s="15">
        <f t="shared" si="1"/>
        <v>161</v>
      </c>
      <c r="R20" s="1" t="s">
        <v>16</v>
      </c>
      <c r="S20" s="17">
        <f t="shared" ref="S20:AF20" si="12">SUM(C50:C53)</f>
        <v>114</v>
      </c>
      <c r="T20" s="17">
        <f t="shared" si="12"/>
        <v>21</v>
      </c>
      <c r="U20" s="17">
        <f t="shared" si="12"/>
        <v>13</v>
      </c>
      <c r="V20" s="17">
        <f t="shared" si="12"/>
        <v>15</v>
      </c>
      <c r="W20" s="17">
        <f t="shared" si="12"/>
        <v>5</v>
      </c>
      <c r="X20" s="17">
        <f t="shared" si="12"/>
        <v>0</v>
      </c>
      <c r="Y20" s="17">
        <f t="shared" si="12"/>
        <v>4</v>
      </c>
      <c r="Z20" s="17">
        <f t="shared" si="12"/>
        <v>4</v>
      </c>
      <c r="AA20" s="17">
        <f t="shared" si="12"/>
        <v>2</v>
      </c>
      <c r="AB20" s="17">
        <f t="shared" si="12"/>
        <v>5</v>
      </c>
      <c r="AC20" s="17">
        <f t="shared" si="12"/>
        <v>410</v>
      </c>
      <c r="AD20" s="17">
        <f t="shared" si="12"/>
        <v>0</v>
      </c>
      <c r="AE20" s="31">
        <f t="shared" si="12"/>
        <v>183</v>
      </c>
      <c r="AF20" s="31">
        <f t="shared" si="12"/>
        <v>593</v>
      </c>
    </row>
    <row r="21" spans="2:32" ht="23.1" customHeight="1" x14ac:dyDescent="0.25">
      <c r="B21" s="23" t="s">
        <v>48</v>
      </c>
      <c r="C21" s="50">
        <v>20</v>
      </c>
      <c r="D21" s="50">
        <v>8</v>
      </c>
      <c r="E21" s="50">
        <v>1</v>
      </c>
      <c r="F21" s="50">
        <v>8</v>
      </c>
      <c r="G21" s="50">
        <v>0</v>
      </c>
      <c r="H21" s="50">
        <v>0</v>
      </c>
      <c r="I21" s="50">
        <v>4</v>
      </c>
      <c r="J21" s="50">
        <v>1</v>
      </c>
      <c r="K21" s="50">
        <v>0</v>
      </c>
      <c r="L21" s="50">
        <v>0</v>
      </c>
      <c r="M21" s="50">
        <v>108</v>
      </c>
      <c r="N21" s="50">
        <v>0</v>
      </c>
      <c r="O21" s="15">
        <f t="shared" si="0"/>
        <v>42</v>
      </c>
      <c r="P21" s="15">
        <f t="shared" si="1"/>
        <v>150</v>
      </c>
      <c r="R21" s="36" t="s">
        <v>20</v>
      </c>
      <c r="S21" s="34">
        <f t="shared" ref="S21:AF21" si="13">SUM(C54:C57)</f>
        <v>153</v>
      </c>
      <c r="T21" s="17">
        <f t="shared" si="13"/>
        <v>28</v>
      </c>
      <c r="U21" s="17">
        <f t="shared" si="13"/>
        <v>21</v>
      </c>
      <c r="V21" s="17">
        <f t="shared" si="13"/>
        <v>13</v>
      </c>
      <c r="W21" s="17">
        <f t="shared" si="13"/>
        <v>3</v>
      </c>
      <c r="X21" s="17">
        <f t="shared" si="13"/>
        <v>0</v>
      </c>
      <c r="Y21" s="17">
        <f t="shared" si="13"/>
        <v>12</v>
      </c>
      <c r="Z21" s="17">
        <f t="shared" si="13"/>
        <v>1</v>
      </c>
      <c r="AA21" s="17">
        <f t="shared" si="13"/>
        <v>0</v>
      </c>
      <c r="AB21" s="17">
        <f t="shared" si="13"/>
        <v>6</v>
      </c>
      <c r="AC21" s="17">
        <f t="shared" si="13"/>
        <v>399</v>
      </c>
      <c r="AD21" s="17">
        <f t="shared" si="13"/>
        <v>0</v>
      </c>
      <c r="AE21" s="31">
        <f t="shared" si="13"/>
        <v>237</v>
      </c>
      <c r="AF21" s="31">
        <f t="shared" si="13"/>
        <v>636</v>
      </c>
    </row>
    <row r="22" spans="2:32" ht="23.1" customHeight="1" x14ac:dyDescent="0.25">
      <c r="B22" s="23" t="s">
        <v>49</v>
      </c>
      <c r="C22" s="50">
        <v>31</v>
      </c>
      <c r="D22" s="50">
        <v>4</v>
      </c>
      <c r="E22" s="50">
        <v>3</v>
      </c>
      <c r="F22" s="50">
        <v>2</v>
      </c>
      <c r="G22" s="50">
        <v>1</v>
      </c>
      <c r="H22" s="50">
        <v>0</v>
      </c>
      <c r="I22" s="50">
        <v>1</v>
      </c>
      <c r="J22" s="50">
        <v>1</v>
      </c>
      <c r="K22" s="50">
        <v>1</v>
      </c>
      <c r="L22" s="50">
        <v>2</v>
      </c>
      <c r="M22" s="50">
        <v>105</v>
      </c>
      <c r="N22" s="50">
        <v>0</v>
      </c>
      <c r="O22" s="15">
        <f t="shared" si="0"/>
        <v>46</v>
      </c>
      <c r="P22" s="15">
        <f t="shared" si="1"/>
        <v>151</v>
      </c>
      <c r="R22" s="38" t="s">
        <v>90</v>
      </c>
      <c r="S22" s="39">
        <f>MAX(S10:S12)</f>
        <v>71</v>
      </c>
      <c r="T22" s="39">
        <f t="shared" ref="T22:AF22" si="14">MAX(T10:T12)</f>
        <v>19</v>
      </c>
      <c r="U22" s="39">
        <f t="shared" si="14"/>
        <v>17</v>
      </c>
      <c r="V22" s="39">
        <f t="shared" si="14"/>
        <v>33</v>
      </c>
      <c r="W22" s="39">
        <f t="shared" si="14"/>
        <v>1</v>
      </c>
      <c r="X22" s="39">
        <f t="shared" si="14"/>
        <v>0</v>
      </c>
      <c r="Y22" s="39">
        <f t="shared" si="14"/>
        <v>7</v>
      </c>
      <c r="Z22" s="39">
        <f t="shared" si="14"/>
        <v>6</v>
      </c>
      <c r="AA22" s="39">
        <f t="shared" si="14"/>
        <v>1</v>
      </c>
      <c r="AB22" s="39">
        <f t="shared" si="14"/>
        <v>11</v>
      </c>
      <c r="AC22" s="39">
        <f t="shared" si="14"/>
        <v>503</v>
      </c>
      <c r="AD22" s="39">
        <f t="shared" si="14"/>
        <v>0</v>
      </c>
      <c r="AE22" s="40">
        <f t="shared" si="14"/>
        <v>137</v>
      </c>
      <c r="AF22" s="40">
        <f t="shared" si="14"/>
        <v>614</v>
      </c>
    </row>
    <row r="23" spans="2:32" ht="23.1" customHeight="1" x14ac:dyDescent="0.25">
      <c r="B23" s="23" t="s">
        <v>50</v>
      </c>
      <c r="C23" s="50">
        <v>16</v>
      </c>
      <c r="D23" s="50">
        <v>3</v>
      </c>
      <c r="E23" s="50">
        <v>4</v>
      </c>
      <c r="F23" s="50">
        <v>4</v>
      </c>
      <c r="G23" s="50">
        <v>0</v>
      </c>
      <c r="H23" s="50">
        <v>0</v>
      </c>
      <c r="I23" s="50">
        <v>1</v>
      </c>
      <c r="J23" s="50">
        <v>2</v>
      </c>
      <c r="K23" s="50">
        <v>2</v>
      </c>
      <c r="L23" s="50">
        <v>2</v>
      </c>
      <c r="M23" s="50">
        <v>60</v>
      </c>
      <c r="N23" s="50">
        <v>0</v>
      </c>
      <c r="O23" s="15">
        <f t="shared" si="0"/>
        <v>34</v>
      </c>
      <c r="P23" s="15">
        <f t="shared" si="1"/>
        <v>94</v>
      </c>
      <c r="R23" s="38" t="s">
        <v>91</v>
      </c>
      <c r="S23" s="39">
        <f>MAX(S13:S18)</f>
        <v>139</v>
      </c>
      <c r="T23" s="39">
        <f t="shared" ref="T23:AF23" si="15">MAX(T13:T18)</f>
        <v>169</v>
      </c>
      <c r="U23" s="39">
        <f t="shared" si="15"/>
        <v>21</v>
      </c>
      <c r="V23" s="39">
        <f t="shared" si="15"/>
        <v>35</v>
      </c>
      <c r="W23" s="39">
        <f t="shared" si="15"/>
        <v>13</v>
      </c>
      <c r="X23" s="39">
        <f t="shared" si="15"/>
        <v>0</v>
      </c>
      <c r="Y23" s="39">
        <f t="shared" si="15"/>
        <v>7</v>
      </c>
      <c r="Z23" s="39">
        <f t="shared" si="15"/>
        <v>4</v>
      </c>
      <c r="AA23" s="39">
        <f t="shared" si="15"/>
        <v>3</v>
      </c>
      <c r="AB23" s="39">
        <f t="shared" si="15"/>
        <v>11</v>
      </c>
      <c r="AC23" s="39">
        <f t="shared" si="15"/>
        <v>531</v>
      </c>
      <c r="AD23" s="39">
        <f t="shared" si="15"/>
        <v>0</v>
      </c>
      <c r="AE23" s="40">
        <f t="shared" si="15"/>
        <v>368</v>
      </c>
      <c r="AF23" s="40">
        <f t="shared" si="15"/>
        <v>899</v>
      </c>
    </row>
    <row r="24" spans="2:32" ht="23.1" customHeight="1" x14ac:dyDescent="0.25">
      <c r="B24" s="23" t="s">
        <v>51</v>
      </c>
      <c r="C24" s="50">
        <v>25</v>
      </c>
      <c r="D24" s="50">
        <v>8</v>
      </c>
      <c r="E24" s="50">
        <v>3</v>
      </c>
      <c r="F24" s="50">
        <v>4</v>
      </c>
      <c r="G24" s="50">
        <v>1</v>
      </c>
      <c r="H24" s="50">
        <v>0</v>
      </c>
      <c r="I24" s="50">
        <v>2</v>
      </c>
      <c r="J24" s="50">
        <v>0</v>
      </c>
      <c r="K24" s="50">
        <v>0</v>
      </c>
      <c r="L24" s="50">
        <v>1</v>
      </c>
      <c r="M24" s="50">
        <v>117</v>
      </c>
      <c r="N24" s="50">
        <v>0</v>
      </c>
      <c r="O24" s="15">
        <f t="shared" si="0"/>
        <v>44</v>
      </c>
      <c r="P24" s="15">
        <f t="shared" si="1"/>
        <v>161</v>
      </c>
      <c r="R24" s="38" t="s">
        <v>92</v>
      </c>
      <c r="S24" s="39">
        <f>MAX(S19:S21)</f>
        <v>155</v>
      </c>
      <c r="T24" s="39">
        <f t="shared" ref="T24:AF24" si="16">MAX(T19:T21)</f>
        <v>34</v>
      </c>
      <c r="U24" s="39">
        <f t="shared" si="16"/>
        <v>23</v>
      </c>
      <c r="V24" s="39">
        <f t="shared" si="16"/>
        <v>24</v>
      </c>
      <c r="W24" s="39">
        <f t="shared" si="16"/>
        <v>5</v>
      </c>
      <c r="X24" s="39">
        <f t="shared" si="16"/>
        <v>0</v>
      </c>
      <c r="Y24" s="39">
        <f t="shared" si="16"/>
        <v>12</v>
      </c>
      <c r="Z24" s="39">
        <f t="shared" si="16"/>
        <v>6</v>
      </c>
      <c r="AA24" s="39">
        <f t="shared" si="16"/>
        <v>2</v>
      </c>
      <c r="AB24" s="39">
        <f t="shared" si="16"/>
        <v>6</v>
      </c>
      <c r="AC24" s="39">
        <f t="shared" si="16"/>
        <v>471</v>
      </c>
      <c r="AD24" s="39">
        <f t="shared" si="16"/>
        <v>0</v>
      </c>
      <c r="AE24" s="40">
        <f t="shared" si="16"/>
        <v>258</v>
      </c>
      <c r="AF24" s="40">
        <f t="shared" si="16"/>
        <v>729</v>
      </c>
    </row>
    <row r="25" spans="2:32" ht="23.1" customHeight="1" x14ac:dyDescent="0.25">
      <c r="B25" s="23" t="s">
        <v>52</v>
      </c>
      <c r="C25" s="50">
        <v>27</v>
      </c>
      <c r="D25" s="50">
        <v>5</v>
      </c>
      <c r="E25" s="50">
        <v>2</v>
      </c>
      <c r="F25" s="50">
        <v>7</v>
      </c>
      <c r="G25" s="50">
        <v>1</v>
      </c>
      <c r="H25" s="50">
        <v>0</v>
      </c>
      <c r="I25" s="50">
        <v>0</v>
      </c>
      <c r="J25" s="50">
        <v>0</v>
      </c>
      <c r="K25" s="50">
        <v>0</v>
      </c>
      <c r="L25" s="50">
        <v>3</v>
      </c>
      <c r="M25" s="50">
        <v>145</v>
      </c>
      <c r="N25" s="50">
        <v>0</v>
      </c>
      <c r="O25" s="15">
        <f t="shared" si="0"/>
        <v>45</v>
      </c>
      <c r="P25" s="15">
        <f t="shared" si="1"/>
        <v>190</v>
      </c>
      <c r="R25" s="37" t="s">
        <v>85</v>
      </c>
      <c r="S25" s="35">
        <f t="shared" ref="S25:AF25" si="17">SUM(S10:S12)</f>
        <v>137</v>
      </c>
      <c r="T25" s="16">
        <f t="shared" si="17"/>
        <v>46</v>
      </c>
      <c r="U25" s="16">
        <f t="shared" si="17"/>
        <v>45</v>
      </c>
      <c r="V25" s="16">
        <f t="shared" si="17"/>
        <v>82</v>
      </c>
      <c r="W25" s="16">
        <f t="shared" si="17"/>
        <v>1</v>
      </c>
      <c r="X25" s="16">
        <f t="shared" si="17"/>
        <v>0</v>
      </c>
      <c r="Y25" s="16">
        <f t="shared" si="17"/>
        <v>11</v>
      </c>
      <c r="Z25" s="16">
        <f t="shared" si="17"/>
        <v>9</v>
      </c>
      <c r="AA25" s="16">
        <f t="shared" si="17"/>
        <v>1</v>
      </c>
      <c r="AB25" s="16">
        <f t="shared" si="17"/>
        <v>18</v>
      </c>
      <c r="AC25" s="16">
        <f t="shared" si="17"/>
        <v>1299</v>
      </c>
      <c r="AD25" s="16">
        <f t="shared" si="17"/>
        <v>0</v>
      </c>
      <c r="AE25" s="32">
        <f t="shared" si="17"/>
        <v>350</v>
      </c>
      <c r="AF25" s="32">
        <f t="shared" si="17"/>
        <v>1649</v>
      </c>
    </row>
    <row r="26" spans="2:32" ht="23.1" customHeight="1" x14ac:dyDescent="0.25">
      <c r="B26" s="23" t="s">
        <v>53</v>
      </c>
      <c r="C26" s="50">
        <v>23</v>
      </c>
      <c r="D26" s="50">
        <v>6</v>
      </c>
      <c r="E26" s="50">
        <v>9</v>
      </c>
      <c r="F26" s="50">
        <v>11</v>
      </c>
      <c r="G26" s="50">
        <v>0</v>
      </c>
      <c r="H26" s="50">
        <v>0</v>
      </c>
      <c r="I26" s="50">
        <v>3</v>
      </c>
      <c r="J26" s="50">
        <v>0</v>
      </c>
      <c r="K26" s="50">
        <v>0</v>
      </c>
      <c r="L26" s="50">
        <v>2</v>
      </c>
      <c r="M26" s="50">
        <v>145</v>
      </c>
      <c r="N26" s="50">
        <v>0</v>
      </c>
      <c r="O26" s="15">
        <f t="shared" si="0"/>
        <v>54</v>
      </c>
      <c r="P26" s="15">
        <f t="shared" si="1"/>
        <v>199</v>
      </c>
      <c r="R26" s="28" t="s">
        <v>86</v>
      </c>
      <c r="S26" s="16">
        <f t="shared" ref="S26:AF26" si="18">SUM(S13:S18)</f>
        <v>733</v>
      </c>
      <c r="T26" s="16">
        <f t="shared" si="18"/>
        <v>274</v>
      </c>
      <c r="U26" s="16">
        <f t="shared" si="18"/>
        <v>92</v>
      </c>
      <c r="V26" s="16">
        <f t="shared" si="18"/>
        <v>130</v>
      </c>
      <c r="W26" s="16">
        <f t="shared" si="18"/>
        <v>29</v>
      </c>
      <c r="X26" s="16">
        <f t="shared" si="18"/>
        <v>0</v>
      </c>
      <c r="Y26" s="16">
        <f t="shared" si="18"/>
        <v>29</v>
      </c>
      <c r="Z26" s="16">
        <f t="shared" si="18"/>
        <v>21</v>
      </c>
      <c r="AA26" s="16">
        <f t="shared" si="18"/>
        <v>6</v>
      </c>
      <c r="AB26" s="16">
        <f t="shared" si="18"/>
        <v>49</v>
      </c>
      <c r="AC26" s="16">
        <f t="shared" si="18"/>
        <v>2738</v>
      </c>
      <c r="AD26" s="16">
        <f t="shared" si="18"/>
        <v>0</v>
      </c>
      <c r="AE26" s="32">
        <f t="shared" si="18"/>
        <v>1363</v>
      </c>
      <c r="AF26" s="32">
        <f t="shared" si="18"/>
        <v>4101</v>
      </c>
    </row>
    <row r="27" spans="2:32" ht="23.1" customHeight="1" x14ac:dyDescent="0.25">
      <c r="B27" s="23" t="s">
        <v>54</v>
      </c>
      <c r="C27" s="50">
        <v>34</v>
      </c>
      <c r="D27" s="50">
        <v>152</v>
      </c>
      <c r="E27" s="50">
        <v>5</v>
      </c>
      <c r="F27" s="50">
        <v>12</v>
      </c>
      <c r="G27" s="50">
        <v>11</v>
      </c>
      <c r="H27" s="50">
        <v>0</v>
      </c>
      <c r="I27" s="50">
        <v>1</v>
      </c>
      <c r="J27" s="50">
        <v>2</v>
      </c>
      <c r="K27" s="50">
        <v>0</v>
      </c>
      <c r="L27" s="50">
        <v>4</v>
      </c>
      <c r="M27" s="50">
        <v>126</v>
      </c>
      <c r="N27" s="50">
        <v>0</v>
      </c>
      <c r="O27" s="15">
        <f t="shared" si="0"/>
        <v>221</v>
      </c>
      <c r="P27" s="15">
        <f t="shared" si="1"/>
        <v>347</v>
      </c>
      <c r="R27" s="29" t="s">
        <v>87</v>
      </c>
      <c r="S27" s="16">
        <f t="shared" ref="S27:AF27" si="19">SUM(S19:S21)</f>
        <v>422</v>
      </c>
      <c r="T27" s="16">
        <f t="shared" si="19"/>
        <v>83</v>
      </c>
      <c r="U27" s="16">
        <f t="shared" si="19"/>
        <v>57</v>
      </c>
      <c r="V27" s="16">
        <f t="shared" si="19"/>
        <v>52</v>
      </c>
      <c r="W27" s="16">
        <f t="shared" si="19"/>
        <v>12</v>
      </c>
      <c r="X27" s="16">
        <f t="shared" si="19"/>
        <v>0</v>
      </c>
      <c r="Y27" s="16">
        <f t="shared" si="19"/>
        <v>23</v>
      </c>
      <c r="Z27" s="16">
        <f t="shared" si="19"/>
        <v>11</v>
      </c>
      <c r="AA27" s="16">
        <f t="shared" si="19"/>
        <v>2</v>
      </c>
      <c r="AB27" s="16">
        <f t="shared" si="19"/>
        <v>16</v>
      </c>
      <c r="AC27" s="16">
        <f t="shared" si="19"/>
        <v>1280</v>
      </c>
      <c r="AD27" s="16">
        <f t="shared" si="19"/>
        <v>0</v>
      </c>
      <c r="AE27" s="32">
        <f t="shared" si="19"/>
        <v>678</v>
      </c>
      <c r="AF27" s="32">
        <f t="shared" si="19"/>
        <v>1958</v>
      </c>
    </row>
    <row r="28" spans="2:32" ht="23.1" customHeight="1" x14ac:dyDescent="0.25">
      <c r="B28" s="23" t="s">
        <v>55</v>
      </c>
      <c r="C28" s="50">
        <v>32</v>
      </c>
      <c r="D28" s="50">
        <v>6</v>
      </c>
      <c r="E28" s="50">
        <v>3</v>
      </c>
      <c r="F28" s="50">
        <v>6</v>
      </c>
      <c r="G28" s="50">
        <v>1</v>
      </c>
      <c r="H28" s="50">
        <v>0</v>
      </c>
      <c r="I28" s="50">
        <v>2</v>
      </c>
      <c r="J28" s="50">
        <v>0</v>
      </c>
      <c r="K28" s="50">
        <v>0</v>
      </c>
      <c r="L28" s="50">
        <v>4</v>
      </c>
      <c r="M28" s="50">
        <v>125</v>
      </c>
      <c r="N28" s="50">
        <v>0</v>
      </c>
      <c r="O28" s="15">
        <f t="shared" si="0"/>
        <v>54</v>
      </c>
      <c r="P28" s="15">
        <f t="shared" si="1"/>
        <v>179</v>
      </c>
      <c r="R28" s="5" t="s">
        <v>17</v>
      </c>
      <c r="S28" s="16">
        <f t="shared" ref="S28:AF28" si="20">SUM(S10:S21)</f>
        <v>1292</v>
      </c>
      <c r="T28" s="16">
        <f t="shared" si="20"/>
        <v>403</v>
      </c>
      <c r="U28" s="16">
        <f t="shared" si="20"/>
        <v>194</v>
      </c>
      <c r="V28" s="16">
        <f t="shared" si="20"/>
        <v>264</v>
      </c>
      <c r="W28" s="16">
        <f t="shared" si="20"/>
        <v>42</v>
      </c>
      <c r="X28" s="16">
        <f t="shared" si="20"/>
        <v>0</v>
      </c>
      <c r="Y28" s="16">
        <f t="shared" si="20"/>
        <v>63</v>
      </c>
      <c r="Z28" s="16">
        <f t="shared" si="20"/>
        <v>41</v>
      </c>
      <c r="AA28" s="16">
        <f t="shared" si="20"/>
        <v>9</v>
      </c>
      <c r="AB28" s="16">
        <f t="shared" si="20"/>
        <v>83</v>
      </c>
      <c r="AC28" s="16">
        <f t="shared" si="20"/>
        <v>5317</v>
      </c>
      <c r="AD28" s="16">
        <f t="shared" si="20"/>
        <v>0</v>
      </c>
      <c r="AE28" s="32">
        <f t="shared" si="20"/>
        <v>2391</v>
      </c>
      <c r="AF28" s="32">
        <f t="shared" si="20"/>
        <v>7708</v>
      </c>
    </row>
    <row r="29" spans="2:32" ht="23.1" customHeight="1" x14ac:dyDescent="0.25">
      <c r="B29" s="23" t="s">
        <v>56</v>
      </c>
      <c r="C29" s="50">
        <v>22</v>
      </c>
      <c r="D29" s="50">
        <v>5</v>
      </c>
      <c r="E29" s="50">
        <v>4</v>
      </c>
      <c r="F29" s="50">
        <v>6</v>
      </c>
      <c r="G29" s="50">
        <v>1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135</v>
      </c>
      <c r="N29" s="50">
        <v>0</v>
      </c>
      <c r="O29" s="15">
        <f t="shared" si="0"/>
        <v>39</v>
      </c>
      <c r="P29" s="15">
        <f t="shared" si="1"/>
        <v>174</v>
      </c>
      <c r="R29"/>
      <c r="S29" s="20"/>
      <c r="T29" s="19"/>
    </row>
    <row r="30" spans="2:32" ht="23.1" customHeight="1" x14ac:dyDescent="0.25">
      <c r="B30" s="23" t="s">
        <v>57</v>
      </c>
      <c r="C30" s="50">
        <v>27</v>
      </c>
      <c r="D30" s="50">
        <v>4</v>
      </c>
      <c r="E30" s="50">
        <v>2</v>
      </c>
      <c r="F30" s="50">
        <v>7</v>
      </c>
      <c r="G30" s="50">
        <v>1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109</v>
      </c>
      <c r="N30" s="50">
        <v>0</v>
      </c>
      <c r="O30" s="15">
        <f t="shared" si="0"/>
        <v>43</v>
      </c>
      <c r="P30" s="15">
        <f t="shared" si="1"/>
        <v>152</v>
      </c>
    </row>
    <row r="31" spans="2:32" ht="23.1" customHeight="1" x14ac:dyDescent="0.25">
      <c r="B31" s="24" t="s">
        <v>58</v>
      </c>
      <c r="C31" s="50">
        <v>32</v>
      </c>
      <c r="D31" s="50">
        <v>3</v>
      </c>
      <c r="E31" s="50">
        <v>6</v>
      </c>
      <c r="F31" s="50">
        <v>8</v>
      </c>
      <c r="G31" s="50">
        <v>2</v>
      </c>
      <c r="H31" s="50">
        <v>0</v>
      </c>
      <c r="I31" s="50">
        <v>3</v>
      </c>
      <c r="J31" s="50">
        <v>0</v>
      </c>
      <c r="K31" s="50">
        <v>0</v>
      </c>
      <c r="L31" s="50">
        <v>4</v>
      </c>
      <c r="M31" s="50">
        <v>114</v>
      </c>
      <c r="N31" s="50">
        <v>0</v>
      </c>
      <c r="O31" s="15">
        <f t="shared" si="0"/>
        <v>58</v>
      </c>
      <c r="P31" s="15">
        <f t="shared" si="1"/>
        <v>172</v>
      </c>
    </row>
    <row r="32" spans="2:32" ht="23.1" customHeight="1" x14ac:dyDescent="0.25">
      <c r="B32" s="24" t="s">
        <v>59</v>
      </c>
      <c r="C32" s="50">
        <v>26</v>
      </c>
      <c r="D32" s="50">
        <v>5</v>
      </c>
      <c r="E32" s="50">
        <v>3</v>
      </c>
      <c r="F32" s="50">
        <v>3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3</v>
      </c>
      <c r="M32" s="50">
        <v>106</v>
      </c>
      <c r="N32" s="50">
        <v>0</v>
      </c>
      <c r="O32" s="15">
        <f t="shared" si="0"/>
        <v>42</v>
      </c>
      <c r="P32" s="15">
        <f t="shared" si="1"/>
        <v>148</v>
      </c>
    </row>
    <row r="33" spans="2:20" ht="23.1" customHeight="1" x14ac:dyDescent="0.25">
      <c r="B33" s="23" t="s">
        <v>60</v>
      </c>
      <c r="C33" s="50">
        <v>31</v>
      </c>
      <c r="D33" s="50">
        <v>8</v>
      </c>
      <c r="E33" s="50">
        <v>7</v>
      </c>
      <c r="F33" s="50">
        <v>3</v>
      </c>
      <c r="G33" s="50">
        <v>0</v>
      </c>
      <c r="H33" s="50">
        <v>0</v>
      </c>
      <c r="I33" s="50">
        <v>2</v>
      </c>
      <c r="J33" s="50">
        <v>2</v>
      </c>
      <c r="K33" s="50">
        <v>0</v>
      </c>
      <c r="L33" s="50">
        <v>1</v>
      </c>
      <c r="M33" s="50">
        <v>112</v>
      </c>
      <c r="N33" s="50">
        <v>0</v>
      </c>
      <c r="O33" s="15">
        <f t="shared" si="0"/>
        <v>54</v>
      </c>
      <c r="P33" s="15">
        <f t="shared" si="1"/>
        <v>166</v>
      </c>
    </row>
    <row r="34" spans="2:20" ht="23.1" customHeight="1" x14ac:dyDescent="0.25">
      <c r="B34" s="24" t="s">
        <v>61</v>
      </c>
      <c r="C34" s="50">
        <v>33</v>
      </c>
      <c r="D34" s="50">
        <v>3</v>
      </c>
      <c r="E34" s="50">
        <v>1</v>
      </c>
      <c r="F34" s="50">
        <v>6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1</v>
      </c>
      <c r="M34" s="50">
        <v>145</v>
      </c>
      <c r="N34" s="50">
        <v>0</v>
      </c>
      <c r="O34" s="15">
        <f t="shared" si="0"/>
        <v>46</v>
      </c>
      <c r="P34" s="15">
        <f t="shared" si="1"/>
        <v>191</v>
      </c>
    </row>
    <row r="35" spans="2:20" ht="23.1" customHeight="1" x14ac:dyDescent="0.25">
      <c r="B35" s="24" t="s">
        <v>62</v>
      </c>
      <c r="C35" s="50">
        <v>26</v>
      </c>
      <c r="D35" s="50">
        <v>2</v>
      </c>
      <c r="E35" s="50">
        <v>4</v>
      </c>
      <c r="F35" s="50">
        <v>3</v>
      </c>
      <c r="G35" s="50">
        <v>1</v>
      </c>
      <c r="H35" s="50">
        <v>0</v>
      </c>
      <c r="I35" s="50">
        <v>1</v>
      </c>
      <c r="J35" s="50">
        <v>1</v>
      </c>
      <c r="K35" s="50">
        <v>0</v>
      </c>
      <c r="L35" s="50">
        <v>1</v>
      </c>
      <c r="M35" s="50">
        <v>115</v>
      </c>
      <c r="N35" s="50">
        <v>0</v>
      </c>
      <c r="O35" s="15">
        <f t="shared" si="0"/>
        <v>39</v>
      </c>
      <c r="P35" s="15">
        <f t="shared" si="1"/>
        <v>154</v>
      </c>
    </row>
    <row r="36" spans="2:20" ht="23.1" customHeight="1" x14ac:dyDescent="0.25">
      <c r="B36" s="24" t="s">
        <v>63</v>
      </c>
      <c r="C36" s="50">
        <v>37</v>
      </c>
      <c r="D36" s="50">
        <v>5</v>
      </c>
      <c r="E36" s="50">
        <v>2</v>
      </c>
      <c r="F36" s="50">
        <v>6</v>
      </c>
      <c r="G36" s="50">
        <v>2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98</v>
      </c>
      <c r="N36" s="50">
        <v>0</v>
      </c>
      <c r="O36" s="15">
        <f t="shared" si="0"/>
        <v>53</v>
      </c>
      <c r="P36" s="15">
        <f t="shared" si="1"/>
        <v>151</v>
      </c>
    </row>
    <row r="37" spans="2:20" ht="23.1" customHeight="1" x14ac:dyDescent="0.25">
      <c r="B37" s="23" t="s">
        <v>64</v>
      </c>
      <c r="C37" s="50">
        <v>37</v>
      </c>
      <c r="D37" s="50">
        <v>4</v>
      </c>
      <c r="E37" s="50">
        <v>7</v>
      </c>
      <c r="F37" s="50">
        <v>4</v>
      </c>
      <c r="G37" s="50">
        <v>0</v>
      </c>
      <c r="H37" s="50">
        <v>0</v>
      </c>
      <c r="I37" s="50">
        <v>1</v>
      </c>
      <c r="J37" s="50">
        <v>2</v>
      </c>
      <c r="K37" s="50">
        <v>0</v>
      </c>
      <c r="L37" s="50">
        <v>1</v>
      </c>
      <c r="M37" s="50">
        <v>122</v>
      </c>
      <c r="N37" s="50">
        <v>0</v>
      </c>
      <c r="O37" s="15">
        <f t="shared" si="0"/>
        <v>56</v>
      </c>
      <c r="P37" s="15">
        <f t="shared" si="1"/>
        <v>178</v>
      </c>
    </row>
    <row r="38" spans="2:20" ht="23.1" customHeight="1" x14ac:dyDescent="0.25">
      <c r="B38" s="24" t="s">
        <v>65</v>
      </c>
      <c r="C38" s="50">
        <v>40</v>
      </c>
      <c r="D38" s="50">
        <v>11</v>
      </c>
      <c r="E38" s="50">
        <v>3</v>
      </c>
      <c r="F38" s="50">
        <v>7</v>
      </c>
      <c r="G38" s="50">
        <v>2</v>
      </c>
      <c r="H38" s="50">
        <v>0</v>
      </c>
      <c r="I38" s="50">
        <v>0</v>
      </c>
      <c r="J38" s="50">
        <v>2</v>
      </c>
      <c r="K38" s="50">
        <v>1</v>
      </c>
      <c r="L38" s="50">
        <v>1</v>
      </c>
      <c r="M38" s="50">
        <v>105</v>
      </c>
      <c r="N38" s="50">
        <v>0</v>
      </c>
      <c r="O38" s="15">
        <f t="shared" si="0"/>
        <v>67</v>
      </c>
      <c r="P38" s="15">
        <f t="shared" si="1"/>
        <v>172</v>
      </c>
    </row>
    <row r="39" spans="2:20" ht="23.1" customHeight="1" x14ac:dyDescent="0.25">
      <c r="B39" s="24" t="s">
        <v>66</v>
      </c>
      <c r="C39" s="50">
        <v>28</v>
      </c>
      <c r="D39" s="50">
        <v>5</v>
      </c>
      <c r="E39" s="50">
        <v>4</v>
      </c>
      <c r="F39" s="50">
        <v>3</v>
      </c>
      <c r="G39" s="50">
        <v>0</v>
      </c>
      <c r="H39" s="50">
        <v>0</v>
      </c>
      <c r="I39" s="50">
        <v>3</v>
      </c>
      <c r="J39" s="50">
        <v>2</v>
      </c>
      <c r="K39" s="50">
        <v>0</v>
      </c>
      <c r="L39" s="50">
        <v>5</v>
      </c>
      <c r="M39" s="50">
        <v>120</v>
      </c>
      <c r="N39" s="50">
        <v>0</v>
      </c>
      <c r="O39" s="15">
        <f t="shared" si="0"/>
        <v>50</v>
      </c>
      <c r="P39" s="15">
        <f t="shared" si="1"/>
        <v>170</v>
      </c>
    </row>
    <row r="40" spans="2:20" ht="23.1" customHeight="1" x14ac:dyDescent="0.25">
      <c r="B40" s="24" t="s">
        <v>67</v>
      </c>
      <c r="C40" s="50">
        <v>41</v>
      </c>
      <c r="D40" s="50">
        <v>8</v>
      </c>
      <c r="E40" s="50">
        <v>4</v>
      </c>
      <c r="F40" s="50">
        <v>3</v>
      </c>
      <c r="G40" s="50">
        <v>1</v>
      </c>
      <c r="H40" s="50">
        <v>0</v>
      </c>
      <c r="I40" s="50">
        <v>1</v>
      </c>
      <c r="J40" s="50">
        <v>0</v>
      </c>
      <c r="K40" s="50">
        <v>0</v>
      </c>
      <c r="L40" s="50">
        <v>2</v>
      </c>
      <c r="M40" s="50">
        <v>86</v>
      </c>
      <c r="N40" s="50">
        <v>0</v>
      </c>
      <c r="O40" s="15">
        <f t="shared" si="0"/>
        <v>60</v>
      </c>
      <c r="P40" s="15">
        <f t="shared" si="1"/>
        <v>146</v>
      </c>
    </row>
    <row r="41" spans="2:20" ht="23.1" customHeight="1" x14ac:dyDescent="0.25">
      <c r="B41" s="23" t="s">
        <v>68</v>
      </c>
      <c r="C41" s="50">
        <v>30</v>
      </c>
      <c r="D41" s="50">
        <v>7</v>
      </c>
      <c r="E41" s="50">
        <v>5</v>
      </c>
      <c r="F41" s="50">
        <v>6</v>
      </c>
      <c r="G41" s="50">
        <v>1</v>
      </c>
      <c r="H41" s="50">
        <v>0</v>
      </c>
      <c r="I41" s="50">
        <v>1</v>
      </c>
      <c r="J41" s="50">
        <v>0</v>
      </c>
      <c r="K41" s="50">
        <v>1</v>
      </c>
      <c r="L41" s="50">
        <v>0</v>
      </c>
      <c r="M41" s="50">
        <v>113</v>
      </c>
      <c r="N41" s="50">
        <v>0</v>
      </c>
      <c r="O41" s="15">
        <f t="shared" si="0"/>
        <v>51</v>
      </c>
      <c r="P41" s="15">
        <f t="shared" si="1"/>
        <v>164</v>
      </c>
    </row>
    <row r="42" spans="2:20" ht="23.1" customHeight="1" x14ac:dyDescent="0.25">
      <c r="B42" s="24" t="s">
        <v>69</v>
      </c>
      <c r="C42" s="50">
        <v>42</v>
      </c>
      <c r="D42" s="50">
        <v>7</v>
      </c>
      <c r="E42" s="50">
        <v>4</v>
      </c>
      <c r="F42" s="50">
        <v>7</v>
      </c>
      <c r="G42" s="50">
        <v>0</v>
      </c>
      <c r="H42" s="50">
        <v>0</v>
      </c>
      <c r="I42" s="50">
        <v>1</v>
      </c>
      <c r="J42" s="50">
        <v>1</v>
      </c>
      <c r="K42" s="50">
        <v>1</v>
      </c>
      <c r="L42" s="50">
        <v>2</v>
      </c>
      <c r="M42" s="50">
        <v>102</v>
      </c>
      <c r="N42" s="50">
        <v>0</v>
      </c>
      <c r="O42" s="15">
        <f t="shared" si="0"/>
        <v>65</v>
      </c>
      <c r="P42" s="15">
        <f t="shared" si="1"/>
        <v>167</v>
      </c>
    </row>
    <row r="43" spans="2:20" ht="23.1" customHeight="1" x14ac:dyDescent="0.25">
      <c r="B43" s="23" t="s">
        <v>70</v>
      </c>
      <c r="C43" s="50">
        <v>34</v>
      </c>
      <c r="D43" s="50">
        <v>7</v>
      </c>
      <c r="E43" s="50">
        <v>5</v>
      </c>
      <c r="F43" s="50">
        <v>4</v>
      </c>
      <c r="G43" s="50">
        <v>1</v>
      </c>
      <c r="H43" s="50">
        <v>0</v>
      </c>
      <c r="I43" s="50">
        <v>1</v>
      </c>
      <c r="J43" s="50">
        <v>1</v>
      </c>
      <c r="K43" s="50">
        <v>0</v>
      </c>
      <c r="L43" s="50">
        <v>3</v>
      </c>
      <c r="M43" s="50">
        <v>118</v>
      </c>
      <c r="N43" s="50">
        <v>0</v>
      </c>
      <c r="O43" s="15">
        <f t="shared" si="0"/>
        <v>56</v>
      </c>
      <c r="P43" s="15">
        <f t="shared" si="1"/>
        <v>174</v>
      </c>
    </row>
    <row r="44" spans="2:20" ht="23.1" customHeight="1" x14ac:dyDescent="0.25">
      <c r="B44" s="25" t="s">
        <v>71</v>
      </c>
      <c r="C44" s="50">
        <v>26</v>
      </c>
      <c r="D44" s="50">
        <v>2</v>
      </c>
      <c r="E44" s="50">
        <v>0</v>
      </c>
      <c r="F44" s="50">
        <v>5</v>
      </c>
      <c r="G44" s="50">
        <v>2</v>
      </c>
      <c r="H44" s="50">
        <v>0</v>
      </c>
      <c r="I44" s="50">
        <v>1</v>
      </c>
      <c r="J44" s="50">
        <v>2</v>
      </c>
      <c r="K44" s="50">
        <v>0</v>
      </c>
      <c r="L44" s="50">
        <v>2</v>
      </c>
      <c r="M44" s="50">
        <v>116</v>
      </c>
      <c r="N44" s="50">
        <v>0</v>
      </c>
      <c r="O44" s="15">
        <f t="shared" si="0"/>
        <v>40</v>
      </c>
      <c r="P44" s="15">
        <f t="shared" si="1"/>
        <v>156</v>
      </c>
    </row>
    <row r="45" spans="2:20" ht="23.1" customHeight="1" x14ac:dyDescent="0.25">
      <c r="B45" s="23" t="s">
        <v>72</v>
      </c>
      <c r="C45" s="50">
        <v>33</v>
      </c>
      <c r="D45" s="50">
        <v>4</v>
      </c>
      <c r="E45" s="50">
        <v>2</v>
      </c>
      <c r="F45" s="50">
        <v>3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4</v>
      </c>
      <c r="M45" s="50">
        <v>99</v>
      </c>
      <c r="N45" s="50">
        <v>0</v>
      </c>
      <c r="O45" s="15">
        <f t="shared" si="0"/>
        <v>46</v>
      </c>
      <c r="P45" s="15">
        <f t="shared" si="1"/>
        <v>145</v>
      </c>
    </row>
    <row r="46" spans="2:20" ht="23.1" customHeight="1" x14ac:dyDescent="0.25">
      <c r="B46" s="24" t="s">
        <v>73</v>
      </c>
      <c r="C46" s="50">
        <v>41</v>
      </c>
      <c r="D46" s="50">
        <v>4</v>
      </c>
      <c r="E46" s="50">
        <v>7</v>
      </c>
      <c r="F46" s="50">
        <v>7</v>
      </c>
      <c r="G46" s="50">
        <v>1</v>
      </c>
      <c r="H46" s="50">
        <v>0</v>
      </c>
      <c r="I46" s="50">
        <v>2</v>
      </c>
      <c r="J46" s="50">
        <v>4</v>
      </c>
      <c r="K46" s="50">
        <v>0</v>
      </c>
      <c r="L46" s="50">
        <v>2</v>
      </c>
      <c r="M46" s="50">
        <v>111</v>
      </c>
      <c r="N46" s="50">
        <v>0</v>
      </c>
      <c r="O46" s="15">
        <f t="shared" si="0"/>
        <v>68</v>
      </c>
      <c r="P46" s="15">
        <f t="shared" si="1"/>
        <v>179</v>
      </c>
      <c r="R46" s="8"/>
      <c r="T46"/>
    </row>
    <row r="47" spans="2:20" ht="23.1" customHeight="1" x14ac:dyDescent="0.25">
      <c r="B47" s="24" t="s">
        <v>74</v>
      </c>
      <c r="C47" s="50">
        <v>37</v>
      </c>
      <c r="D47" s="50">
        <v>8</v>
      </c>
      <c r="E47" s="50">
        <v>4</v>
      </c>
      <c r="F47" s="50">
        <v>3</v>
      </c>
      <c r="G47" s="50">
        <v>2</v>
      </c>
      <c r="H47" s="50">
        <v>0</v>
      </c>
      <c r="I47" s="50">
        <v>2</v>
      </c>
      <c r="J47" s="50">
        <v>0</v>
      </c>
      <c r="K47" s="50">
        <v>0</v>
      </c>
      <c r="L47" s="50">
        <v>1</v>
      </c>
      <c r="M47" s="50">
        <v>125</v>
      </c>
      <c r="N47" s="50">
        <v>0</v>
      </c>
      <c r="O47" s="15">
        <f t="shared" si="0"/>
        <v>57</v>
      </c>
      <c r="P47" s="15">
        <f t="shared" si="1"/>
        <v>182</v>
      </c>
      <c r="R47" s="8"/>
      <c r="T47"/>
    </row>
    <row r="48" spans="2:20" ht="23.1" customHeight="1" x14ac:dyDescent="0.25">
      <c r="B48" s="24" t="s">
        <v>75</v>
      </c>
      <c r="C48" s="50">
        <v>34</v>
      </c>
      <c r="D48" s="50">
        <v>15</v>
      </c>
      <c r="E48" s="50">
        <v>8</v>
      </c>
      <c r="F48" s="50">
        <v>5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125</v>
      </c>
      <c r="N48" s="50">
        <v>0</v>
      </c>
      <c r="O48" s="15">
        <f t="shared" si="0"/>
        <v>64</v>
      </c>
      <c r="P48" s="15">
        <f t="shared" si="1"/>
        <v>189</v>
      </c>
      <c r="R48" s="8"/>
      <c r="T48"/>
    </row>
    <row r="49" spans="2:20" ht="23.1" customHeight="1" x14ac:dyDescent="0.25">
      <c r="B49" s="23" t="s">
        <v>76</v>
      </c>
      <c r="C49" s="50">
        <v>43</v>
      </c>
      <c r="D49" s="50">
        <v>7</v>
      </c>
      <c r="E49" s="50">
        <v>4</v>
      </c>
      <c r="F49" s="50">
        <v>9</v>
      </c>
      <c r="G49" s="50">
        <v>1</v>
      </c>
      <c r="H49" s="50">
        <v>0</v>
      </c>
      <c r="I49" s="50">
        <v>2</v>
      </c>
      <c r="J49" s="50">
        <v>1</v>
      </c>
      <c r="K49" s="50">
        <v>0</v>
      </c>
      <c r="L49" s="50">
        <v>2</v>
      </c>
      <c r="M49" s="50">
        <v>110</v>
      </c>
      <c r="N49" s="50">
        <v>0</v>
      </c>
      <c r="O49" s="15">
        <f t="shared" si="0"/>
        <v>69</v>
      </c>
      <c r="P49" s="15">
        <f t="shared" si="1"/>
        <v>179</v>
      </c>
      <c r="R49" s="8"/>
      <c r="T49"/>
    </row>
    <row r="50" spans="2:20" ht="23.1" customHeight="1" x14ac:dyDescent="0.25">
      <c r="B50" s="24" t="s">
        <v>77</v>
      </c>
      <c r="C50" s="50">
        <v>37</v>
      </c>
      <c r="D50" s="50">
        <v>4</v>
      </c>
      <c r="E50" s="50">
        <v>5</v>
      </c>
      <c r="F50" s="50">
        <v>3</v>
      </c>
      <c r="G50" s="50">
        <v>0</v>
      </c>
      <c r="H50" s="50">
        <v>0</v>
      </c>
      <c r="I50" s="50">
        <v>2</v>
      </c>
      <c r="J50" s="50">
        <v>1</v>
      </c>
      <c r="K50" s="50">
        <v>0</v>
      </c>
      <c r="L50" s="50">
        <v>3</v>
      </c>
      <c r="M50" s="50">
        <v>100</v>
      </c>
      <c r="N50" s="50">
        <v>0</v>
      </c>
      <c r="O50" s="15">
        <f t="shared" si="0"/>
        <v>55</v>
      </c>
      <c r="P50" s="15">
        <f t="shared" si="1"/>
        <v>155</v>
      </c>
      <c r="R50" s="8"/>
      <c r="T50"/>
    </row>
    <row r="51" spans="2:20" ht="23.1" customHeight="1" x14ac:dyDescent="0.25">
      <c r="B51" s="24" t="s">
        <v>78</v>
      </c>
      <c r="C51" s="50">
        <v>31</v>
      </c>
      <c r="D51" s="50">
        <v>5</v>
      </c>
      <c r="E51" s="50">
        <v>3</v>
      </c>
      <c r="F51" s="50">
        <v>2</v>
      </c>
      <c r="G51" s="50">
        <v>1</v>
      </c>
      <c r="H51" s="50">
        <v>0</v>
      </c>
      <c r="I51" s="50">
        <v>1</v>
      </c>
      <c r="J51" s="50">
        <v>0</v>
      </c>
      <c r="K51" s="50">
        <v>0</v>
      </c>
      <c r="L51" s="50">
        <v>1</v>
      </c>
      <c r="M51" s="50">
        <v>86</v>
      </c>
      <c r="N51" s="50">
        <v>0</v>
      </c>
      <c r="O51" s="15">
        <f t="shared" si="0"/>
        <v>44</v>
      </c>
      <c r="P51" s="15">
        <f t="shared" si="1"/>
        <v>130</v>
      </c>
      <c r="R51" s="8"/>
      <c r="T51"/>
    </row>
    <row r="52" spans="2:20" ht="23.1" customHeight="1" x14ac:dyDescent="0.25">
      <c r="B52" s="24" t="s">
        <v>79</v>
      </c>
      <c r="C52" s="50">
        <v>16</v>
      </c>
      <c r="D52" s="50">
        <v>5</v>
      </c>
      <c r="E52" s="50">
        <v>1</v>
      </c>
      <c r="F52" s="50">
        <v>4</v>
      </c>
      <c r="G52" s="50">
        <v>1</v>
      </c>
      <c r="H52" s="50">
        <v>0</v>
      </c>
      <c r="I52" s="50">
        <v>0</v>
      </c>
      <c r="J52" s="50">
        <v>1</v>
      </c>
      <c r="K52" s="50">
        <v>1</v>
      </c>
      <c r="L52" s="50">
        <v>0</v>
      </c>
      <c r="M52" s="50">
        <v>94</v>
      </c>
      <c r="N52" s="50">
        <v>0</v>
      </c>
      <c r="O52" s="15">
        <f t="shared" si="0"/>
        <v>29</v>
      </c>
      <c r="P52" s="15">
        <f t="shared" si="1"/>
        <v>123</v>
      </c>
      <c r="R52" s="8"/>
      <c r="T52"/>
    </row>
    <row r="53" spans="2:20" ht="23.1" customHeight="1" x14ac:dyDescent="0.25">
      <c r="B53" s="23" t="s">
        <v>80</v>
      </c>
      <c r="C53" s="50">
        <v>30</v>
      </c>
      <c r="D53" s="50">
        <v>7</v>
      </c>
      <c r="E53" s="50">
        <v>4</v>
      </c>
      <c r="F53" s="50">
        <v>6</v>
      </c>
      <c r="G53" s="50">
        <v>3</v>
      </c>
      <c r="H53" s="50">
        <v>0</v>
      </c>
      <c r="I53" s="50">
        <v>1</v>
      </c>
      <c r="J53" s="50">
        <v>2</v>
      </c>
      <c r="K53" s="50">
        <v>1</v>
      </c>
      <c r="L53" s="50">
        <v>1</v>
      </c>
      <c r="M53" s="50">
        <v>130</v>
      </c>
      <c r="N53" s="50">
        <v>0</v>
      </c>
      <c r="O53" s="15">
        <f t="shared" si="0"/>
        <v>55</v>
      </c>
      <c r="P53" s="15">
        <f t="shared" si="1"/>
        <v>185</v>
      </c>
      <c r="R53" s="8"/>
      <c r="T53"/>
    </row>
    <row r="54" spans="2:20" ht="23.1" customHeight="1" x14ac:dyDescent="0.25">
      <c r="B54" s="23" t="s">
        <v>81</v>
      </c>
      <c r="C54" s="50">
        <v>32</v>
      </c>
      <c r="D54" s="50">
        <v>8</v>
      </c>
      <c r="E54" s="50">
        <v>2</v>
      </c>
      <c r="F54" s="50">
        <v>3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1</v>
      </c>
      <c r="M54" s="50">
        <v>86</v>
      </c>
      <c r="N54" s="50">
        <v>0</v>
      </c>
      <c r="O54" s="15">
        <f t="shared" si="0"/>
        <v>49</v>
      </c>
      <c r="P54" s="15">
        <f t="shared" si="1"/>
        <v>135</v>
      </c>
      <c r="R54" s="8"/>
      <c r="T54"/>
    </row>
    <row r="55" spans="2:20" ht="23.1" customHeight="1" x14ac:dyDescent="0.25">
      <c r="B55" s="23" t="s">
        <v>82</v>
      </c>
      <c r="C55" s="50">
        <v>48</v>
      </c>
      <c r="D55" s="50">
        <v>6</v>
      </c>
      <c r="E55" s="50">
        <v>11</v>
      </c>
      <c r="F55" s="50">
        <v>6</v>
      </c>
      <c r="G55" s="50">
        <v>2</v>
      </c>
      <c r="H55" s="50">
        <v>0</v>
      </c>
      <c r="I55" s="50">
        <v>8</v>
      </c>
      <c r="J55" s="50">
        <v>0</v>
      </c>
      <c r="K55" s="50">
        <v>0</v>
      </c>
      <c r="L55" s="50">
        <v>1</v>
      </c>
      <c r="M55" s="50">
        <v>102</v>
      </c>
      <c r="N55" s="50">
        <v>0</v>
      </c>
      <c r="O55" s="15">
        <f t="shared" si="0"/>
        <v>82</v>
      </c>
      <c r="P55" s="15">
        <f t="shared" si="1"/>
        <v>184</v>
      </c>
      <c r="R55" s="8"/>
      <c r="T55"/>
    </row>
    <row r="56" spans="2:20" ht="23.1" customHeight="1" x14ac:dyDescent="0.25">
      <c r="B56" s="23" t="s">
        <v>83</v>
      </c>
      <c r="C56" s="50">
        <v>41</v>
      </c>
      <c r="D56" s="50">
        <v>10</v>
      </c>
      <c r="E56" s="50">
        <v>5</v>
      </c>
      <c r="F56" s="50">
        <v>0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2</v>
      </c>
      <c r="M56" s="50">
        <v>123</v>
      </c>
      <c r="N56" s="50">
        <v>0</v>
      </c>
      <c r="O56" s="15">
        <f t="shared" si="0"/>
        <v>59</v>
      </c>
      <c r="P56" s="15">
        <f t="shared" si="1"/>
        <v>182</v>
      </c>
      <c r="R56" s="8"/>
      <c r="T56"/>
    </row>
    <row r="57" spans="2:20" ht="23.1" customHeight="1" x14ac:dyDescent="0.25">
      <c r="B57" s="23" t="s">
        <v>84</v>
      </c>
      <c r="C57" s="50">
        <v>32</v>
      </c>
      <c r="D57" s="50">
        <v>4</v>
      </c>
      <c r="E57" s="50">
        <v>3</v>
      </c>
      <c r="F57" s="50">
        <v>4</v>
      </c>
      <c r="G57" s="50">
        <v>1</v>
      </c>
      <c r="H57" s="50">
        <v>0</v>
      </c>
      <c r="I57" s="50">
        <v>1</v>
      </c>
      <c r="J57" s="50">
        <v>0</v>
      </c>
      <c r="K57" s="50">
        <v>0</v>
      </c>
      <c r="L57" s="50">
        <v>2</v>
      </c>
      <c r="M57" s="50">
        <v>88</v>
      </c>
      <c r="N57" s="50">
        <v>0</v>
      </c>
      <c r="O57" s="15">
        <f t="shared" si="0"/>
        <v>47</v>
      </c>
      <c r="P57" s="15">
        <f t="shared" si="1"/>
        <v>135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1292</v>
      </c>
      <c r="D58" s="16">
        <f t="shared" si="21"/>
        <v>403</v>
      </c>
      <c r="E58" s="16">
        <f t="shared" si="21"/>
        <v>194</v>
      </c>
      <c r="F58" s="16">
        <f t="shared" si="21"/>
        <v>264</v>
      </c>
      <c r="G58" s="16">
        <f t="shared" si="21"/>
        <v>42</v>
      </c>
      <c r="H58" s="16">
        <f t="shared" si="21"/>
        <v>0</v>
      </c>
      <c r="I58" s="16">
        <f t="shared" si="21"/>
        <v>63</v>
      </c>
      <c r="J58" s="16">
        <f t="shared" si="21"/>
        <v>41</v>
      </c>
      <c r="K58" s="16">
        <f t="shared" si="21"/>
        <v>9</v>
      </c>
      <c r="L58" s="16">
        <f t="shared" si="21"/>
        <v>83</v>
      </c>
      <c r="M58" s="16">
        <f t="shared" si="21"/>
        <v>5317</v>
      </c>
      <c r="N58" s="16">
        <f t="shared" si="21"/>
        <v>0</v>
      </c>
      <c r="O58" s="16">
        <f t="shared" si="21"/>
        <v>2391</v>
      </c>
      <c r="P58" s="16">
        <f t="shared" si="21"/>
        <v>7708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0.16761805915931499</v>
      </c>
      <c r="D59" s="43">
        <f t="shared" si="22"/>
        <v>5.2283341982355992E-2</v>
      </c>
      <c r="E59" s="43">
        <f t="shared" si="22"/>
        <v>2.5168655941878566E-2</v>
      </c>
      <c r="F59" s="43">
        <f t="shared" si="22"/>
        <v>3.4250129735339904E-2</v>
      </c>
      <c r="G59" s="43">
        <f t="shared" si="22"/>
        <v>5.4488842760768031E-3</v>
      </c>
      <c r="H59" s="43">
        <f t="shared" si="22"/>
        <v>0</v>
      </c>
      <c r="I59" s="43">
        <f t="shared" si="22"/>
        <v>8.1733264141152055E-3</v>
      </c>
      <c r="J59" s="43">
        <f t="shared" si="22"/>
        <v>5.3191489361702126E-3</v>
      </c>
      <c r="K59" s="43">
        <f t="shared" si="22"/>
        <v>1.1676180591593151E-3</v>
      </c>
      <c r="L59" s="43">
        <f t="shared" si="22"/>
        <v>1.0768033212247017E-2</v>
      </c>
      <c r="M59" s="43">
        <f t="shared" si="22"/>
        <v>0.68980280228334201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0.54035968214136343</v>
      </c>
      <c r="D60" s="44">
        <f t="shared" ref="D60:N60" si="23">D58/$O$58</f>
        <v>0.16854872438310331</v>
      </c>
      <c r="E60" s="44">
        <f t="shared" si="23"/>
        <v>8.1137599330823929E-2</v>
      </c>
      <c r="F60" s="44">
        <f t="shared" si="23"/>
        <v>0.11041405269761606</v>
      </c>
      <c r="G60" s="44">
        <f t="shared" si="23"/>
        <v>1.7565872020075281E-2</v>
      </c>
      <c r="H60" s="44">
        <f t="shared" si="23"/>
        <v>0</v>
      </c>
      <c r="I60" s="44">
        <f t="shared" si="23"/>
        <v>2.6348808030112924E-2</v>
      </c>
      <c r="J60" s="44">
        <f t="shared" si="23"/>
        <v>1.7147636971978252E-2</v>
      </c>
      <c r="K60" s="44">
        <f t="shared" si="23"/>
        <v>3.7641154328732747E-3</v>
      </c>
      <c r="L60" s="44">
        <f t="shared" si="23"/>
        <v>3.4713508992053534E-2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B46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URA-Spear Motors'!C3:G3</f>
        <v>MCC - C1 - STN44- NAKAWA-JINJA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63" t="str">
        <f>'04.08 Spear Motors-URA'!G5:H5</f>
        <v>Spear Motors Limited</v>
      </c>
      <c r="H5" s="64"/>
      <c r="I5" s="14"/>
      <c r="J5" s="2" t="s">
        <v>5</v>
      </c>
      <c r="K5" s="63" t="s">
        <v>191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177</v>
      </c>
      <c r="E6" s="64"/>
      <c r="F6" s="2" t="s">
        <v>2</v>
      </c>
      <c r="G6" s="63" t="s">
        <v>181</v>
      </c>
      <c r="H6" s="64"/>
      <c r="J6" s="2" t="s">
        <v>21</v>
      </c>
      <c r="K6" s="63" t="str">
        <f>'04.08 Spear Motors-URA'!K6:L6</f>
        <v>Nusurah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2</v>
      </c>
      <c r="E10" s="50">
        <v>2</v>
      </c>
      <c r="F10" s="50">
        <v>20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45</v>
      </c>
      <c r="N10" s="50">
        <v>0</v>
      </c>
      <c r="O10" s="15">
        <f t="shared" ref="O10:O57" si="0">SUM(C10:L10,N10)</f>
        <v>31</v>
      </c>
      <c r="P10" s="15">
        <f t="shared" ref="P10:P57" si="1">SUM(C10:N10)</f>
        <v>76</v>
      </c>
      <c r="R10" s="1" t="s">
        <v>6</v>
      </c>
      <c r="S10" s="17">
        <f t="shared" ref="S10:AF10" si="2">SUM(C10:C13)</f>
        <v>40</v>
      </c>
      <c r="T10" s="17">
        <f t="shared" si="2"/>
        <v>5</v>
      </c>
      <c r="U10" s="17">
        <f t="shared" si="2"/>
        <v>12</v>
      </c>
      <c r="V10" s="17">
        <f t="shared" si="2"/>
        <v>92</v>
      </c>
      <c r="W10" s="17">
        <f t="shared" si="2"/>
        <v>2</v>
      </c>
      <c r="X10" s="17">
        <f t="shared" si="2"/>
        <v>0</v>
      </c>
      <c r="Y10" s="17">
        <f t="shared" si="2"/>
        <v>6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247</v>
      </c>
      <c r="AD10" s="17">
        <f t="shared" si="2"/>
        <v>0</v>
      </c>
      <c r="AE10" s="31">
        <f t="shared" si="2"/>
        <v>160</v>
      </c>
      <c r="AF10" s="31">
        <f t="shared" si="2"/>
        <v>407</v>
      </c>
    </row>
    <row r="11" spans="2:32" s="6" customFormat="1" ht="23.1" customHeight="1" x14ac:dyDescent="0.25">
      <c r="B11" s="23" t="s">
        <v>38</v>
      </c>
      <c r="C11" s="50">
        <v>10</v>
      </c>
      <c r="D11" s="50">
        <v>1</v>
      </c>
      <c r="E11" s="50">
        <v>2</v>
      </c>
      <c r="F11" s="50">
        <v>30</v>
      </c>
      <c r="G11" s="50">
        <v>0</v>
      </c>
      <c r="H11" s="50">
        <v>0</v>
      </c>
      <c r="I11" s="50">
        <v>4</v>
      </c>
      <c r="J11" s="50">
        <v>2</v>
      </c>
      <c r="K11" s="50">
        <v>0</v>
      </c>
      <c r="L11" s="50">
        <v>0</v>
      </c>
      <c r="M11" s="50">
        <v>66</v>
      </c>
      <c r="N11" s="50">
        <v>0</v>
      </c>
      <c r="O11" s="15">
        <f t="shared" si="0"/>
        <v>49</v>
      </c>
      <c r="P11" s="15">
        <f t="shared" si="1"/>
        <v>115</v>
      </c>
      <c r="R11" s="1" t="s">
        <v>7</v>
      </c>
      <c r="S11" s="17">
        <f t="shared" ref="S11:AF11" si="3">SUM(C14:C17)</f>
        <v>64</v>
      </c>
      <c r="T11" s="17">
        <f t="shared" si="3"/>
        <v>11</v>
      </c>
      <c r="U11" s="17">
        <f t="shared" si="3"/>
        <v>15</v>
      </c>
      <c r="V11" s="17">
        <f t="shared" si="3"/>
        <v>77</v>
      </c>
      <c r="W11" s="17">
        <f t="shared" si="3"/>
        <v>1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1</v>
      </c>
      <c r="AB11" s="17">
        <f t="shared" si="3"/>
        <v>5</v>
      </c>
      <c r="AC11" s="17">
        <f t="shared" si="3"/>
        <v>161</v>
      </c>
      <c r="AD11" s="17">
        <f t="shared" si="3"/>
        <v>0</v>
      </c>
      <c r="AE11" s="31">
        <f t="shared" si="3"/>
        <v>174</v>
      </c>
      <c r="AF11" s="31">
        <f t="shared" si="3"/>
        <v>335</v>
      </c>
    </row>
    <row r="12" spans="2:32" ht="23.1" customHeight="1" x14ac:dyDescent="0.25">
      <c r="B12" s="23" t="s">
        <v>39</v>
      </c>
      <c r="C12" s="50">
        <v>14</v>
      </c>
      <c r="D12" s="50">
        <v>1</v>
      </c>
      <c r="E12" s="50">
        <v>2</v>
      </c>
      <c r="F12" s="50">
        <v>24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52</v>
      </c>
      <c r="N12" s="50">
        <v>0</v>
      </c>
      <c r="O12" s="15">
        <f t="shared" si="0"/>
        <v>41</v>
      </c>
      <c r="P12" s="15">
        <f t="shared" si="1"/>
        <v>93</v>
      </c>
      <c r="R12" s="1" t="s">
        <v>8</v>
      </c>
      <c r="S12" s="17">
        <f t="shared" ref="S12:AF12" si="4">SUM(C18:C21)</f>
        <v>97</v>
      </c>
      <c r="T12" s="17">
        <f t="shared" si="4"/>
        <v>15</v>
      </c>
      <c r="U12" s="17">
        <f t="shared" si="4"/>
        <v>15</v>
      </c>
      <c r="V12" s="17">
        <f t="shared" si="4"/>
        <v>55</v>
      </c>
      <c r="W12" s="17">
        <f t="shared" si="4"/>
        <v>1</v>
      </c>
      <c r="X12" s="17">
        <f t="shared" si="4"/>
        <v>0</v>
      </c>
      <c r="Y12" s="17">
        <f t="shared" si="4"/>
        <v>3</v>
      </c>
      <c r="Z12" s="17">
        <f t="shared" si="4"/>
        <v>11</v>
      </c>
      <c r="AA12" s="17">
        <f t="shared" si="4"/>
        <v>0</v>
      </c>
      <c r="AB12" s="17">
        <f t="shared" si="4"/>
        <v>3</v>
      </c>
      <c r="AC12" s="17">
        <f t="shared" si="4"/>
        <v>242</v>
      </c>
      <c r="AD12" s="17">
        <f t="shared" si="4"/>
        <v>0</v>
      </c>
      <c r="AE12" s="31">
        <f t="shared" si="4"/>
        <v>200</v>
      </c>
      <c r="AF12" s="31">
        <f t="shared" si="4"/>
        <v>442</v>
      </c>
    </row>
    <row r="13" spans="2:32" ht="23.1" customHeight="1" x14ac:dyDescent="0.25">
      <c r="B13" s="23" t="s">
        <v>40</v>
      </c>
      <c r="C13" s="50">
        <v>11</v>
      </c>
      <c r="D13" s="50">
        <v>1</v>
      </c>
      <c r="E13" s="50">
        <v>6</v>
      </c>
      <c r="F13" s="50">
        <v>18</v>
      </c>
      <c r="G13" s="50">
        <v>2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84</v>
      </c>
      <c r="N13" s="50">
        <v>0</v>
      </c>
      <c r="O13" s="15">
        <f t="shared" si="0"/>
        <v>39</v>
      </c>
      <c r="P13" s="15">
        <f t="shared" si="1"/>
        <v>123</v>
      </c>
      <c r="R13" s="1" t="s">
        <v>9</v>
      </c>
      <c r="S13" s="17">
        <f t="shared" ref="S13:AF13" si="5">SUM(C22:C25)</f>
        <v>99</v>
      </c>
      <c r="T13" s="17">
        <f t="shared" si="5"/>
        <v>12</v>
      </c>
      <c r="U13" s="17">
        <f t="shared" si="5"/>
        <v>12</v>
      </c>
      <c r="V13" s="17">
        <f t="shared" si="5"/>
        <v>60</v>
      </c>
      <c r="W13" s="17">
        <f t="shared" si="5"/>
        <v>0</v>
      </c>
      <c r="X13" s="17">
        <f t="shared" si="5"/>
        <v>0</v>
      </c>
      <c r="Y13" s="17">
        <f t="shared" si="5"/>
        <v>10</v>
      </c>
      <c r="Z13" s="17">
        <f t="shared" si="5"/>
        <v>0</v>
      </c>
      <c r="AA13" s="17">
        <f t="shared" si="5"/>
        <v>0</v>
      </c>
      <c r="AB13" s="17">
        <f t="shared" si="5"/>
        <v>2</v>
      </c>
      <c r="AC13" s="17">
        <f t="shared" si="5"/>
        <v>212</v>
      </c>
      <c r="AD13" s="17">
        <f t="shared" si="5"/>
        <v>0</v>
      </c>
      <c r="AE13" s="31">
        <f t="shared" si="5"/>
        <v>195</v>
      </c>
      <c r="AF13" s="31">
        <f t="shared" si="5"/>
        <v>407</v>
      </c>
    </row>
    <row r="14" spans="2:32" ht="23.1" customHeight="1" x14ac:dyDescent="0.25">
      <c r="B14" s="23" t="s">
        <v>41</v>
      </c>
      <c r="C14" s="50">
        <v>12</v>
      </c>
      <c r="D14" s="50">
        <v>3</v>
      </c>
      <c r="E14" s="50">
        <v>5</v>
      </c>
      <c r="F14" s="50">
        <v>22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39</v>
      </c>
      <c r="N14" s="50">
        <v>0</v>
      </c>
      <c r="O14" s="15">
        <f t="shared" si="0"/>
        <v>43</v>
      </c>
      <c r="P14" s="15">
        <f t="shared" si="1"/>
        <v>82</v>
      </c>
      <c r="R14" s="1" t="s">
        <v>10</v>
      </c>
      <c r="S14" s="17">
        <f t="shared" ref="S14:AF14" si="6">SUM(C26:C29)</f>
        <v>102</v>
      </c>
      <c r="T14" s="17">
        <f t="shared" si="6"/>
        <v>17</v>
      </c>
      <c r="U14" s="17">
        <f t="shared" si="6"/>
        <v>13</v>
      </c>
      <c r="V14" s="17">
        <f t="shared" si="6"/>
        <v>41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3</v>
      </c>
      <c r="AA14" s="17">
        <f t="shared" si="6"/>
        <v>0</v>
      </c>
      <c r="AB14" s="17">
        <f t="shared" si="6"/>
        <v>2</v>
      </c>
      <c r="AC14" s="17">
        <f t="shared" si="6"/>
        <v>180</v>
      </c>
      <c r="AD14" s="17">
        <f t="shared" si="6"/>
        <v>0</v>
      </c>
      <c r="AE14" s="31">
        <f t="shared" si="6"/>
        <v>185</v>
      </c>
      <c r="AF14" s="31">
        <f t="shared" si="6"/>
        <v>365</v>
      </c>
    </row>
    <row r="15" spans="2:32" ht="23.1" customHeight="1" x14ac:dyDescent="0.25">
      <c r="B15" s="23" t="s">
        <v>42</v>
      </c>
      <c r="C15" s="50">
        <v>11</v>
      </c>
      <c r="D15" s="50">
        <v>3</v>
      </c>
      <c r="E15" s="50">
        <v>3</v>
      </c>
      <c r="F15" s="50">
        <v>21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3</v>
      </c>
      <c r="M15" s="50">
        <v>24</v>
      </c>
      <c r="N15" s="50">
        <v>0</v>
      </c>
      <c r="O15" s="15">
        <f t="shared" si="0"/>
        <v>41</v>
      </c>
      <c r="P15" s="15">
        <f t="shared" si="1"/>
        <v>65</v>
      </c>
      <c r="R15" s="1" t="s">
        <v>11</v>
      </c>
      <c r="S15" s="17">
        <f t="shared" ref="S15:AF15" si="7">SUM(C30:C33)</f>
        <v>97</v>
      </c>
      <c r="T15" s="17">
        <f t="shared" si="7"/>
        <v>15</v>
      </c>
      <c r="U15" s="17">
        <f t="shared" si="7"/>
        <v>12</v>
      </c>
      <c r="V15" s="17">
        <f t="shared" si="7"/>
        <v>44</v>
      </c>
      <c r="W15" s="17">
        <f t="shared" si="7"/>
        <v>0</v>
      </c>
      <c r="X15" s="17">
        <f t="shared" si="7"/>
        <v>0</v>
      </c>
      <c r="Y15" s="17">
        <f t="shared" si="7"/>
        <v>8</v>
      </c>
      <c r="Z15" s="17">
        <f t="shared" si="7"/>
        <v>2</v>
      </c>
      <c r="AA15" s="17">
        <f t="shared" si="7"/>
        <v>0</v>
      </c>
      <c r="AB15" s="17">
        <f t="shared" si="7"/>
        <v>11</v>
      </c>
      <c r="AC15" s="17">
        <f t="shared" si="7"/>
        <v>163</v>
      </c>
      <c r="AD15" s="17">
        <f t="shared" si="7"/>
        <v>0</v>
      </c>
      <c r="AE15" s="31">
        <f t="shared" si="7"/>
        <v>189</v>
      </c>
      <c r="AF15" s="31">
        <f t="shared" si="7"/>
        <v>352</v>
      </c>
    </row>
    <row r="16" spans="2:32" ht="23.1" customHeight="1" x14ac:dyDescent="0.25">
      <c r="B16" s="23" t="s">
        <v>43</v>
      </c>
      <c r="C16" s="50">
        <v>29</v>
      </c>
      <c r="D16" s="50">
        <v>3</v>
      </c>
      <c r="E16" s="50">
        <v>4</v>
      </c>
      <c r="F16" s="50">
        <v>24</v>
      </c>
      <c r="G16" s="50">
        <v>1</v>
      </c>
      <c r="H16" s="50">
        <v>0</v>
      </c>
      <c r="I16" s="50">
        <v>0</v>
      </c>
      <c r="J16" s="50">
        <v>0</v>
      </c>
      <c r="K16" s="50">
        <v>0</v>
      </c>
      <c r="L16" s="50">
        <v>1</v>
      </c>
      <c r="M16" s="50">
        <v>43</v>
      </c>
      <c r="N16" s="50">
        <v>0</v>
      </c>
      <c r="O16" s="15">
        <f t="shared" si="0"/>
        <v>62</v>
      </c>
      <c r="P16" s="15">
        <f t="shared" si="1"/>
        <v>105</v>
      </c>
      <c r="R16" s="1" t="s">
        <v>12</v>
      </c>
      <c r="S16" s="17">
        <f t="shared" ref="S16:AF16" si="8">SUM(C34:C37)</f>
        <v>118</v>
      </c>
      <c r="T16" s="17">
        <f t="shared" si="8"/>
        <v>14</v>
      </c>
      <c r="U16" s="17">
        <f t="shared" si="8"/>
        <v>11</v>
      </c>
      <c r="V16" s="17">
        <f t="shared" si="8"/>
        <v>42</v>
      </c>
      <c r="W16" s="17">
        <f t="shared" si="8"/>
        <v>2</v>
      </c>
      <c r="X16" s="17">
        <f t="shared" si="8"/>
        <v>1</v>
      </c>
      <c r="Y16" s="17">
        <f t="shared" si="8"/>
        <v>7</v>
      </c>
      <c r="Z16" s="17">
        <f t="shared" si="8"/>
        <v>0</v>
      </c>
      <c r="AA16" s="17">
        <f t="shared" si="8"/>
        <v>0</v>
      </c>
      <c r="AB16" s="17">
        <f t="shared" si="8"/>
        <v>4</v>
      </c>
      <c r="AC16" s="17">
        <f t="shared" si="8"/>
        <v>182</v>
      </c>
      <c r="AD16" s="17">
        <f t="shared" si="8"/>
        <v>0</v>
      </c>
      <c r="AE16" s="31">
        <f t="shared" si="8"/>
        <v>199</v>
      </c>
      <c r="AF16" s="31">
        <f t="shared" si="8"/>
        <v>381</v>
      </c>
    </row>
    <row r="17" spans="2:32" ht="23.1" customHeight="1" x14ac:dyDescent="0.25">
      <c r="B17" s="23" t="s">
        <v>44</v>
      </c>
      <c r="C17" s="50">
        <v>12</v>
      </c>
      <c r="D17" s="50">
        <v>2</v>
      </c>
      <c r="E17" s="50">
        <v>3</v>
      </c>
      <c r="F17" s="50">
        <v>10</v>
      </c>
      <c r="G17" s="50">
        <v>0</v>
      </c>
      <c r="H17" s="50">
        <v>0</v>
      </c>
      <c r="I17" s="50">
        <v>0</v>
      </c>
      <c r="J17" s="50">
        <v>0</v>
      </c>
      <c r="K17" s="50">
        <v>1</v>
      </c>
      <c r="L17" s="50">
        <v>0</v>
      </c>
      <c r="M17" s="50">
        <v>55</v>
      </c>
      <c r="N17" s="50">
        <v>0</v>
      </c>
      <c r="O17" s="15">
        <f t="shared" si="0"/>
        <v>28</v>
      </c>
      <c r="P17" s="15">
        <f t="shared" si="1"/>
        <v>83</v>
      </c>
      <c r="R17" s="1" t="s">
        <v>13</v>
      </c>
      <c r="S17" s="17">
        <f t="shared" ref="S17:AF17" si="9">SUM(C38:C41)</f>
        <v>102</v>
      </c>
      <c r="T17" s="17">
        <f t="shared" si="9"/>
        <v>12</v>
      </c>
      <c r="U17" s="17">
        <f t="shared" si="9"/>
        <v>16</v>
      </c>
      <c r="V17" s="17">
        <f t="shared" si="9"/>
        <v>33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4</v>
      </c>
      <c r="AA17" s="17">
        <f t="shared" si="9"/>
        <v>1</v>
      </c>
      <c r="AB17" s="17">
        <f t="shared" si="9"/>
        <v>2</v>
      </c>
      <c r="AC17" s="17">
        <f t="shared" si="9"/>
        <v>221</v>
      </c>
      <c r="AD17" s="17">
        <f t="shared" si="9"/>
        <v>0</v>
      </c>
      <c r="AE17" s="31">
        <f t="shared" si="9"/>
        <v>176</v>
      </c>
      <c r="AF17" s="31">
        <f t="shared" si="9"/>
        <v>397</v>
      </c>
    </row>
    <row r="18" spans="2:32" ht="23.1" customHeight="1" x14ac:dyDescent="0.25">
      <c r="B18" s="23" t="s">
        <v>45</v>
      </c>
      <c r="C18" s="50">
        <v>30</v>
      </c>
      <c r="D18" s="50">
        <v>5</v>
      </c>
      <c r="E18" s="50">
        <v>2</v>
      </c>
      <c r="F18" s="50">
        <v>13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53</v>
      </c>
      <c r="N18" s="50">
        <v>0</v>
      </c>
      <c r="O18" s="15">
        <f t="shared" si="0"/>
        <v>51</v>
      </c>
      <c r="P18" s="15">
        <f t="shared" si="1"/>
        <v>104</v>
      </c>
      <c r="R18" s="1" t="s">
        <v>14</v>
      </c>
      <c r="S18" s="17">
        <f t="shared" ref="S18:AF18" si="10">SUM(C42:C45)</f>
        <v>104</v>
      </c>
      <c r="T18" s="17">
        <f t="shared" si="10"/>
        <v>24</v>
      </c>
      <c r="U18" s="17">
        <f t="shared" si="10"/>
        <v>15</v>
      </c>
      <c r="V18" s="17">
        <f t="shared" si="10"/>
        <v>36</v>
      </c>
      <c r="W18" s="17">
        <f t="shared" si="10"/>
        <v>1</v>
      </c>
      <c r="X18" s="17">
        <f t="shared" si="10"/>
        <v>0</v>
      </c>
      <c r="Y18" s="17">
        <f t="shared" si="10"/>
        <v>10</v>
      </c>
      <c r="Z18" s="17">
        <f t="shared" si="10"/>
        <v>1</v>
      </c>
      <c r="AA18" s="17">
        <f t="shared" si="10"/>
        <v>1</v>
      </c>
      <c r="AB18" s="17">
        <f t="shared" si="10"/>
        <v>3</v>
      </c>
      <c r="AC18" s="17">
        <f t="shared" si="10"/>
        <v>208</v>
      </c>
      <c r="AD18" s="17">
        <f t="shared" si="10"/>
        <v>0</v>
      </c>
      <c r="AE18" s="31">
        <f t="shared" si="10"/>
        <v>195</v>
      </c>
      <c r="AF18" s="31">
        <f t="shared" si="10"/>
        <v>403</v>
      </c>
    </row>
    <row r="19" spans="2:32" ht="23.1" customHeight="1" x14ac:dyDescent="0.25">
      <c r="B19" s="23" t="s">
        <v>46</v>
      </c>
      <c r="C19" s="50">
        <v>25</v>
      </c>
      <c r="D19" s="50">
        <v>3</v>
      </c>
      <c r="E19" s="50">
        <v>5</v>
      </c>
      <c r="F19" s="50">
        <v>14</v>
      </c>
      <c r="G19" s="50">
        <v>1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56</v>
      </c>
      <c r="N19" s="50">
        <v>0</v>
      </c>
      <c r="O19" s="15">
        <f t="shared" si="0"/>
        <v>49</v>
      </c>
      <c r="P19" s="15">
        <f t="shared" si="1"/>
        <v>105</v>
      </c>
      <c r="R19" s="1" t="s">
        <v>15</v>
      </c>
      <c r="S19" s="17">
        <f t="shared" ref="S19:AF19" si="11">SUM(C46:C49)</f>
        <v>118</v>
      </c>
      <c r="T19" s="17">
        <f t="shared" si="11"/>
        <v>26</v>
      </c>
      <c r="U19" s="17">
        <f t="shared" si="11"/>
        <v>17</v>
      </c>
      <c r="V19" s="17">
        <f t="shared" si="11"/>
        <v>37</v>
      </c>
      <c r="W19" s="17">
        <f t="shared" si="11"/>
        <v>0</v>
      </c>
      <c r="X19" s="17">
        <f t="shared" si="11"/>
        <v>0</v>
      </c>
      <c r="Y19" s="17">
        <f t="shared" si="11"/>
        <v>21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225</v>
      </c>
      <c r="AD19" s="17">
        <f t="shared" si="11"/>
        <v>0</v>
      </c>
      <c r="AE19" s="31">
        <f t="shared" si="11"/>
        <v>220</v>
      </c>
      <c r="AF19" s="31">
        <f t="shared" si="11"/>
        <v>445</v>
      </c>
    </row>
    <row r="20" spans="2:32" ht="23.1" customHeight="1" x14ac:dyDescent="0.25">
      <c r="B20" s="23" t="s">
        <v>47</v>
      </c>
      <c r="C20" s="50">
        <v>16</v>
      </c>
      <c r="D20" s="50">
        <v>3</v>
      </c>
      <c r="E20" s="50">
        <v>5</v>
      </c>
      <c r="F20" s="50">
        <v>13</v>
      </c>
      <c r="G20" s="50">
        <v>0</v>
      </c>
      <c r="H20" s="50">
        <v>0</v>
      </c>
      <c r="I20" s="50">
        <v>0</v>
      </c>
      <c r="J20" s="50">
        <v>11</v>
      </c>
      <c r="K20" s="50">
        <v>0</v>
      </c>
      <c r="L20" s="50">
        <v>3</v>
      </c>
      <c r="M20" s="50">
        <v>75</v>
      </c>
      <c r="N20" s="50">
        <v>0</v>
      </c>
      <c r="O20" s="15">
        <f t="shared" si="0"/>
        <v>51</v>
      </c>
      <c r="P20" s="15">
        <f t="shared" si="1"/>
        <v>126</v>
      </c>
      <c r="R20" s="1" t="s">
        <v>16</v>
      </c>
      <c r="S20" s="17">
        <f t="shared" ref="S20:AF20" si="12">SUM(C50:C53)</f>
        <v>144</v>
      </c>
      <c r="T20" s="17">
        <f t="shared" si="12"/>
        <v>31</v>
      </c>
      <c r="U20" s="17">
        <f t="shared" si="12"/>
        <v>22</v>
      </c>
      <c r="V20" s="17">
        <f t="shared" si="12"/>
        <v>68</v>
      </c>
      <c r="W20" s="17">
        <f t="shared" si="12"/>
        <v>2</v>
      </c>
      <c r="X20" s="17">
        <f t="shared" si="12"/>
        <v>0</v>
      </c>
      <c r="Y20" s="17">
        <f t="shared" si="12"/>
        <v>6</v>
      </c>
      <c r="Z20" s="17">
        <f t="shared" si="12"/>
        <v>3</v>
      </c>
      <c r="AA20" s="17">
        <f t="shared" si="12"/>
        <v>0</v>
      </c>
      <c r="AB20" s="17">
        <f t="shared" si="12"/>
        <v>2</v>
      </c>
      <c r="AC20" s="17">
        <f t="shared" si="12"/>
        <v>215</v>
      </c>
      <c r="AD20" s="17">
        <f t="shared" si="12"/>
        <v>0</v>
      </c>
      <c r="AE20" s="31">
        <f t="shared" si="12"/>
        <v>278</v>
      </c>
      <c r="AF20" s="31">
        <f t="shared" si="12"/>
        <v>493</v>
      </c>
    </row>
    <row r="21" spans="2:32" ht="23.1" customHeight="1" x14ac:dyDescent="0.25">
      <c r="B21" s="23" t="s">
        <v>48</v>
      </c>
      <c r="C21" s="50">
        <v>26</v>
      </c>
      <c r="D21" s="50">
        <v>4</v>
      </c>
      <c r="E21" s="50">
        <v>3</v>
      </c>
      <c r="F21" s="50">
        <v>15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58</v>
      </c>
      <c r="N21" s="50">
        <v>0</v>
      </c>
      <c r="O21" s="15">
        <f t="shared" si="0"/>
        <v>49</v>
      </c>
      <c r="P21" s="15">
        <f t="shared" si="1"/>
        <v>107</v>
      </c>
      <c r="R21" s="36" t="s">
        <v>20</v>
      </c>
      <c r="S21" s="34">
        <f t="shared" ref="S21:AF21" si="13">SUM(C54:C57)</f>
        <v>102</v>
      </c>
      <c r="T21" s="17">
        <f t="shared" si="13"/>
        <v>33</v>
      </c>
      <c r="U21" s="17">
        <f t="shared" si="13"/>
        <v>21</v>
      </c>
      <c r="V21" s="17">
        <f t="shared" si="13"/>
        <v>52</v>
      </c>
      <c r="W21" s="17">
        <f t="shared" si="13"/>
        <v>1</v>
      </c>
      <c r="X21" s="17">
        <f t="shared" si="13"/>
        <v>0</v>
      </c>
      <c r="Y21" s="17">
        <f t="shared" si="13"/>
        <v>5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231</v>
      </c>
      <c r="AD21" s="17">
        <f t="shared" si="13"/>
        <v>0</v>
      </c>
      <c r="AE21" s="31">
        <f t="shared" si="13"/>
        <v>214</v>
      </c>
      <c r="AF21" s="31">
        <f t="shared" si="13"/>
        <v>445</v>
      </c>
    </row>
    <row r="22" spans="2:32" ht="23.1" customHeight="1" x14ac:dyDescent="0.25">
      <c r="B22" s="23" t="s">
        <v>49</v>
      </c>
      <c r="C22" s="50">
        <v>20</v>
      </c>
      <c r="D22" s="50">
        <v>3</v>
      </c>
      <c r="E22" s="50">
        <v>2</v>
      </c>
      <c r="F22" s="50">
        <v>20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47</v>
      </c>
      <c r="N22" s="50">
        <v>0</v>
      </c>
      <c r="O22" s="15">
        <f t="shared" si="0"/>
        <v>46</v>
      </c>
      <c r="P22" s="15">
        <f t="shared" si="1"/>
        <v>93</v>
      </c>
      <c r="R22" s="38" t="s">
        <v>90</v>
      </c>
      <c r="S22" s="39">
        <f>MAX(S10:S12)</f>
        <v>97</v>
      </c>
      <c r="T22" s="39">
        <f t="shared" ref="T22:AF22" si="14">MAX(T10:T12)</f>
        <v>15</v>
      </c>
      <c r="U22" s="39">
        <f t="shared" si="14"/>
        <v>15</v>
      </c>
      <c r="V22" s="39">
        <f t="shared" si="14"/>
        <v>92</v>
      </c>
      <c r="W22" s="39">
        <f t="shared" si="14"/>
        <v>2</v>
      </c>
      <c r="X22" s="39">
        <f t="shared" si="14"/>
        <v>0</v>
      </c>
      <c r="Y22" s="39">
        <f t="shared" si="14"/>
        <v>6</v>
      </c>
      <c r="Z22" s="39">
        <f t="shared" si="14"/>
        <v>11</v>
      </c>
      <c r="AA22" s="39">
        <f t="shared" si="14"/>
        <v>1</v>
      </c>
      <c r="AB22" s="39">
        <f t="shared" si="14"/>
        <v>5</v>
      </c>
      <c r="AC22" s="39">
        <f t="shared" si="14"/>
        <v>247</v>
      </c>
      <c r="AD22" s="39">
        <f t="shared" si="14"/>
        <v>0</v>
      </c>
      <c r="AE22" s="40">
        <f t="shared" si="14"/>
        <v>200</v>
      </c>
      <c r="AF22" s="40">
        <f t="shared" si="14"/>
        <v>442</v>
      </c>
    </row>
    <row r="23" spans="2:32" ht="23.1" customHeight="1" x14ac:dyDescent="0.25">
      <c r="B23" s="23" t="s">
        <v>50</v>
      </c>
      <c r="C23" s="50">
        <v>20</v>
      </c>
      <c r="D23" s="50">
        <v>4</v>
      </c>
      <c r="E23" s="50">
        <v>2</v>
      </c>
      <c r="F23" s="50">
        <v>17</v>
      </c>
      <c r="G23" s="50">
        <v>0</v>
      </c>
      <c r="H23" s="50">
        <v>0</v>
      </c>
      <c r="I23" s="50">
        <v>5</v>
      </c>
      <c r="J23" s="50">
        <v>0</v>
      </c>
      <c r="K23" s="50">
        <v>0</v>
      </c>
      <c r="L23" s="50">
        <v>2</v>
      </c>
      <c r="M23" s="50">
        <v>51</v>
      </c>
      <c r="N23" s="50">
        <v>0</v>
      </c>
      <c r="O23" s="15">
        <f t="shared" si="0"/>
        <v>50</v>
      </c>
      <c r="P23" s="15">
        <f t="shared" si="1"/>
        <v>101</v>
      </c>
      <c r="R23" s="38" t="s">
        <v>91</v>
      </c>
      <c r="S23" s="39">
        <f>MAX(S13:S18)</f>
        <v>118</v>
      </c>
      <c r="T23" s="39">
        <f t="shared" ref="T23:AF23" si="15">MAX(T13:T18)</f>
        <v>24</v>
      </c>
      <c r="U23" s="39">
        <f t="shared" si="15"/>
        <v>16</v>
      </c>
      <c r="V23" s="39">
        <f t="shared" si="15"/>
        <v>60</v>
      </c>
      <c r="W23" s="39">
        <f t="shared" si="15"/>
        <v>2</v>
      </c>
      <c r="X23" s="39">
        <f t="shared" si="15"/>
        <v>1</v>
      </c>
      <c r="Y23" s="39">
        <f t="shared" si="15"/>
        <v>10</v>
      </c>
      <c r="Z23" s="39">
        <f t="shared" si="15"/>
        <v>4</v>
      </c>
      <c r="AA23" s="39">
        <f t="shared" si="15"/>
        <v>1</v>
      </c>
      <c r="AB23" s="39">
        <f t="shared" si="15"/>
        <v>11</v>
      </c>
      <c r="AC23" s="39">
        <f t="shared" si="15"/>
        <v>221</v>
      </c>
      <c r="AD23" s="39">
        <f t="shared" si="15"/>
        <v>0</v>
      </c>
      <c r="AE23" s="40">
        <f t="shared" si="15"/>
        <v>199</v>
      </c>
      <c r="AF23" s="40">
        <f t="shared" si="15"/>
        <v>407</v>
      </c>
    </row>
    <row r="24" spans="2:32" ht="23.1" customHeight="1" x14ac:dyDescent="0.25">
      <c r="B24" s="23" t="s">
        <v>51</v>
      </c>
      <c r="C24" s="50">
        <v>34</v>
      </c>
      <c r="D24" s="50">
        <v>2</v>
      </c>
      <c r="E24" s="50">
        <v>4</v>
      </c>
      <c r="F24" s="50">
        <v>12</v>
      </c>
      <c r="G24" s="50">
        <v>0</v>
      </c>
      <c r="H24" s="50">
        <v>0</v>
      </c>
      <c r="I24" s="50">
        <v>4</v>
      </c>
      <c r="J24" s="50">
        <v>0</v>
      </c>
      <c r="K24" s="50">
        <v>0</v>
      </c>
      <c r="L24" s="50">
        <v>0</v>
      </c>
      <c r="M24" s="50">
        <v>60</v>
      </c>
      <c r="N24" s="50">
        <v>0</v>
      </c>
      <c r="O24" s="15">
        <f t="shared" si="0"/>
        <v>56</v>
      </c>
      <c r="P24" s="15">
        <f t="shared" si="1"/>
        <v>116</v>
      </c>
      <c r="R24" s="38" t="s">
        <v>92</v>
      </c>
      <c r="S24" s="39">
        <f>MAX(S19:S21)</f>
        <v>144</v>
      </c>
      <c r="T24" s="39">
        <f t="shared" ref="T24:AF24" si="16">MAX(T19:T21)</f>
        <v>33</v>
      </c>
      <c r="U24" s="39">
        <f t="shared" si="16"/>
        <v>22</v>
      </c>
      <c r="V24" s="39">
        <f t="shared" si="16"/>
        <v>68</v>
      </c>
      <c r="W24" s="39">
        <f t="shared" si="16"/>
        <v>2</v>
      </c>
      <c r="X24" s="39">
        <f t="shared" si="16"/>
        <v>0</v>
      </c>
      <c r="Y24" s="39">
        <f t="shared" si="16"/>
        <v>21</v>
      </c>
      <c r="Z24" s="39">
        <f t="shared" si="16"/>
        <v>3</v>
      </c>
      <c r="AA24" s="39">
        <f t="shared" si="16"/>
        <v>0</v>
      </c>
      <c r="AB24" s="39">
        <f t="shared" si="16"/>
        <v>2</v>
      </c>
      <c r="AC24" s="39">
        <f t="shared" si="16"/>
        <v>231</v>
      </c>
      <c r="AD24" s="39">
        <f t="shared" si="16"/>
        <v>0</v>
      </c>
      <c r="AE24" s="40">
        <f t="shared" si="16"/>
        <v>278</v>
      </c>
      <c r="AF24" s="40">
        <f t="shared" si="16"/>
        <v>493</v>
      </c>
    </row>
    <row r="25" spans="2:32" ht="23.1" customHeight="1" x14ac:dyDescent="0.25">
      <c r="B25" s="23" t="s">
        <v>52</v>
      </c>
      <c r="C25" s="50">
        <v>25</v>
      </c>
      <c r="D25" s="50">
        <v>3</v>
      </c>
      <c r="E25" s="50">
        <v>4</v>
      </c>
      <c r="F25" s="50">
        <v>11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54</v>
      </c>
      <c r="N25" s="50">
        <v>0</v>
      </c>
      <c r="O25" s="15">
        <f t="shared" si="0"/>
        <v>43</v>
      </c>
      <c r="P25" s="15">
        <f t="shared" si="1"/>
        <v>97</v>
      </c>
      <c r="R25" s="37" t="s">
        <v>85</v>
      </c>
      <c r="S25" s="35">
        <f t="shared" ref="S25:AF25" si="17">SUM(S10:S12)</f>
        <v>201</v>
      </c>
      <c r="T25" s="16">
        <f t="shared" si="17"/>
        <v>31</v>
      </c>
      <c r="U25" s="16">
        <f t="shared" si="17"/>
        <v>42</v>
      </c>
      <c r="V25" s="16">
        <f t="shared" si="17"/>
        <v>224</v>
      </c>
      <c r="W25" s="16">
        <f t="shared" si="17"/>
        <v>4</v>
      </c>
      <c r="X25" s="16">
        <f t="shared" si="17"/>
        <v>0</v>
      </c>
      <c r="Y25" s="16">
        <f t="shared" si="17"/>
        <v>9</v>
      </c>
      <c r="Z25" s="16">
        <f t="shared" si="17"/>
        <v>14</v>
      </c>
      <c r="AA25" s="16">
        <f t="shared" si="17"/>
        <v>1</v>
      </c>
      <c r="AB25" s="16">
        <f t="shared" si="17"/>
        <v>8</v>
      </c>
      <c r="AC25" s="16">
        <f t="shared" si="17"/>
        <v>650</v>
      </c>
      <c r="AD25" s="16">
        <f t="shared" si="17"/>
        <v>0</v>
      </c>
      <c r="AE25" s="32">
        <f t="shared" si="17"/>
        <v>534</v>
      </c>
      <c r="AF25" s="32">
        <f t="shared" si="17"/>
        <v>1184</v>
      </c>
    </row>
    <row r="26" spans="2:32" ht="23.1" customHeight="1" x14ac:dyDescent="0.25">
      <c r="B26" s="23" t="s">
        <v>53</v>
      </c>
      <c r="C26" s="50">
        <v>22</v>
      </c>
      <c r="D26" s="50">
        <v>4</v>
      </c>
      <c r="E26" s="50">
        <v>2</v>
      </c>
      <c r="F26" s="50">
        <v>10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1</v>
      </c>
      <c r="M26" s="50">
        <v>31</v>
      </c>
      <c r="N26" s="50">
        <v>0</v>
      </c>
      <c r="O26" s="15">
        <f t="shared" si="0"/>
        <v>40</v>
      </c>
      <c r="P26" s="15">
        <f t="shared" si="1"/>
        <v>71</v>
      </c>
      <c r="R26" s="28" t="s">
        <v>86</v>
      </c>
      <c r="S26" s="16">
        <f t="shared" ref="S26:AF26" si="18">SUM(S13:S18)</f>
        <v>622</v>
      </c>
      <c r="T26" s="16">
        <f t="shared" si="18"/>
        <v>94</v>
      </c>
      <c r="U26" s="16">
        <f t="shared" si="18"/>
        <v>79</v>
      </c>
      <c r="V26" s="16">
        <f t="shared" si="18"/>
        <v>256</v>
      </c>
      <c r="W26" s="16">
        <f t="shared" si="18"/>
        <v>3</v>
      </c>
      <c r="X26" s="16">
        <f t="shared" si="18"/>
        <v>1</v>
      </c>
      <c r="Y26" s="16">
        <f t="shared" si="18"/>
        <v>48</v>
      </c>
      <c r="Z26" s="16">
        <f t="shared" si="18"/>
        <v>10</v>
      </c>
      <c r="AA26" s="16">
        <f t="shared" si="18"/>
        <v>2</v>
      </c>
      <c r="AB26" s="16">
        <f t="shared" si="18"/>
        <v>24</v>
      </c>
      <c r="AC26" s="16">
        <f t="shared" si="18"/>
        <v>1166</v>
      </c>
      <c r="AD26" s="16">
        <f t="shared" si="18"/>
        <v>0</v>
      </c>
      <c r="AE26" s="32">
        <f t="shared" si="18"/>
        <v>1139</v>
      </c>
      <c r="AF26" s="32">
        <f t="shared" si="18"/>
        <v>2305</v>
      </c>
    </row>
    <row r="27" spans="2:32" ht="23.1" customHeight="1" x14ac:dyDescent="0.25">
      <c r="B27" s="23" t="s">
        <v>54</v>
      </c>
      <c r="C27" s="50">
        <v>26</v>
      </c>
      <c r="D27" s="50">
        <v>7</v>
      </c>
      <c r="E27" s="50">
        <v>2</v>
      </c>
      <c r="F27" s="50">
        <v>13</v>
      </c>
      <c r="G27" s="50">
        <v>0</v>
      </c>
      <c r="H27" s="50">
        <v>0</v>
      </c>
      <c r="I27" s="50">
        <v>2</v>
      </c>
      <c r="J27" s="50">
        <v>1</v>
      </c>
      <c r="K27" s="50">
        <v>0</v>
      </c>
      <c r="L27" s="50">
        <v>1</v>
      </c>
      <c r="M27" s="50">
        <v>69</v>
      </c>
      <c r="N27" s="50">
        <v>0</v>
      </c>
      <c r="O27" s="15">
        <f t="shared" si="0"/>
        <v>52</v>
      </c>
      <c r="P27" s="15">
        <f t="shared" si="1"/>
        <v>121</v>
      </c>
      <c r="R27" s="29" t="s">
        <v>87</v>
      </c>
      <c r="S27" s="16">
        <f t="shared" ref="S27:AF27" si="19">SUM(S19:S21)</f>
        <v>364</v>
      </c>
      <c r="T27" s="16">
        <f t="shared" si="19"/>
        <v>90</v>
      </c>
      <c r="U27" s="16">
        <f t="shared" si="19"/>
        <v>60</v>
      </c>
      <c r="V27" s="16">
        <f t="shared" si="19"/>
        <v>157</v>
      </c>
      <c r="W27" s="16">
        <f t="shared" si="19"/>
        <v>3</v>
      </c>
      <c r="X27" s="16">
        <f t="shared" si="19"/>
        <v>0</v>
      </c>
      <c r="Y27" s="16">
        <f t="shared" si="19"/>
        <v>32</v>
      </c>
      <c r="Z27" s="16">
        <f t="shared" si="19"/>
        <v>3</v>
      </c>
      <c r="AA27" s="16">
        <f t="shared" si="19"/>
        <v>0</v>
      </c>
      <c r="AB27" s="16">
        <f t="shared" si="19"/>
        <v>3</v>
      </c>
      <c r="AC27" s="16">
        <f t="shared" si="19"/>
        <v>671</v>
      </c>
      <c r="AD27" s="16">
        <f t="shared" si="19"/>
        <v>0</v>
      </c>
      <c r="AE27" s="32">
        <f t="shared" si="19"/>
        <v>712</v>
      </c>
      <c r="AF27" s="32">
        <f t="shared" si="19"/>
        <v>1383</v>
      </c>
    </row>
    <row r="28" spans="2:32" ht="23.1" customHeight="1" x14ac:dyDescent="0.25">
      <c r="B28" s="23" t="s">
        <v>55</v>
      </c>
      <c r="C28" s="50">
        <v>23</v>
      </c>
      <c r="D28" s="50">
        <v>1</v>
      </c>
      <c r="E28" s="50">
        <v>5</v>
      </c>
      <c r="F28" s="50">
        <v>8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30</v>
      </c>
      <c r="N28" s="50">
        <v>0</v>
      </c>
      <c r="O28" s="15">
        <f t="shared" si="0"/>
        <v>39</v>
      </c>
      <c r="P28" s="15">
        <f t="shared" si="1"/>
        <v>69</v>
      </c>
      <c r="R28" s="5" t="s">
        <v>17</v>
      </c>
      <c r="S28" s="16">
        <f t="shared" ref="S28:AF28" si="20">SUM(S10:S21)</f>
        <v>1187</v>
      </c>
      <c r="T28" s="16">
        <f t="shared" si="20"/>
        <v>215</v>
      </c>
      <c r="U28" s="16">
        <f t="shared" si="20"/>
        <v>181</v>
      </c>
      <c r="V28" s="16">
        <f t="shared" si="20"/>
        <v>637</v>
      </c>
      <c r="W28" s="16">
        <f t="shared" si="20"/>
        <v>10</v>
      </c>
      <c r="X28" s="16">
        <f t="shared" si="20"/>
        <v>1</v>
      </c>
      <c r="Y28" s="16">
        <f t="shared" si="20"/>
        <v>89</v>
      </c>
      <c r="Z28" s="16">
        <f t="shared" si="20"/>
        <v>27</v>
      </c>
      <c r="AA28" s="16">
        <f t="shared" si="20"/>
        <v>3</v>
      </c>
      <c r="AB28" s="16">
        <f t="shared" si="20"/>
        <v>35</v>
      </c>
      <c r="AC28" s="16">
        <f t="shared" si="20"/>
        <v>2487</v>
      </c>
      <c r="AD28" s="16">
        <f t="shared" si="20"/>
        <v>0</v>
      </c>
      <c r="AE28" s="32">
        <f t="shared" si="20"/>
        <v>2385</v>
      </c>
      <c r="AF28" s="32">
        <f t="shared" si="20"/>
        <v>4872</v>
      </c>
    </row>
    <row r="29" spans="2:32" ht="23.1" customHeight="1" x14ac:dyDescent="0.25">
      <c r="B29" s="23" t="s">
        <v>56</v>
      </c>
      <c r="C29" s="50">
        <v>31</v>
      </c>
      <c r="D29" s="50">
        <v>5</v>
      </c>
      <c r="E29" s="50">
        <v>4</v>
      </c>
      <c r="F29" s="50">
        <v>10</v>
      </c>
      <c r="G29" s="50">
        <v>0</v>
      </c>
      <c r="H29" s="50">
        <v>0</v>
      </c>
      <c r="I29" s="50">
        <v>3</v>
      </c>
      <c r="J29" s="50">
        <v>1</v>
      </c>
      <c r="K29" s="50">
        <v>0</v>
      </c>
      <c r="L29" s="50">
        <v>0</v>
      </c>
      <c r="M29" s="50">
        <v>50</v>
      </c>
      <c r="N29" s="50">
        <v>0</v>
      </c>
      <c r="O29" s="15">
        <f t="shared" si="0"/>
        <v>54</v>
      </c>
      <c r="P29" s="15">
        <f t="shared" si="1"/>
        <v>104</v>
      </c>
      <c r="R29"/>
      <c r="S29" s="20"/>
      <c r="T29" s="19"/>
    </row>
    <row r="30" spans="2:32" ht="23.1" customHeight="1" x14ac:dyDescent="0.25">
      <c r="B30" s="23" t="s">
        <v>57</v>
      </c>
      <c r="C30" s="50">
        <v>28</v>
      </c>
      <c r="D30" s="50">
        <v>3</v>
      </c>
      <c r="E30" s="50">
        <v>3</v>
      </c>
      <c r="F30" s="50">
        <v>10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11</v>
      </c>
      <c r="M30" s="50">
        <v>48</v>
      </c>
      <c r="N30" s="50">
        <v>0</v>
      </c>
      <c r="O30" s="15">
        <f t="shared" si="0"/>
        <v>56</v>
      </c>
      <c r="P30" s="15">
        <f t="shared" si="1"/>
        <v>104</v>
      </c>
    </row>
    <row r="31" spans="2:32" ht="23.1" customHeight="1" x14ac:dyDescent="0.25">
      <c r="B31" s="24" t="s">
        <v>58</v>
      </c>
      <c r="C31" s="50">
        <v>27</v>
      </c>
      <c r="D31" s="50">
        <v>3</v>
      </c>
      <c r="E31" s="50">
        <v>6</v>
      </c>
      <c r="F31" s="50">
        <v>12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50</v>
      </c>
      <c r="N31" s="50">
        <v>0</v>
      </c>
      <c r="O31" s="15">
        <f t="shared" si="0"/>
        <v>51</v>
      </c>
      <c r="P31" s="15">
        <f t="shared" si="1"/>
        <v>101</v>
      </c>
    </row>
    <row r="32" spans="2:32" ht="23.1" customHeight="1" x14ac:dyDescent="0.25">
      <c r="B32" s="24" t="s">
        <v>59</v>
      </c>
      <c r="C32" s="50">
        <v>17</v>
      </c>
      <c r="D32" s="50">
        <v>2</v>
      </c>
      <c r="E32" s="50">
        <v>1</v>
      </c>
      <c r="F32" s="50">
        <v>8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36</v>
      </c>
      <c r="N32" s="50">
        <v>0</v>
      </c>
      <c r="O32" s="15">
        <f t="shared" si="0"/>
        <v>30</v>
      </c>
      <c r="P32" s="15">
        <f t="shared" si="1"/>
        <v>66</v>
      </c>
    </row>
    <row r="33" spans="2:20" ht="23.1" customHeight="1" x14ac:dyDescent="0.25">
      <c r="B33" s="23" t="s">
        <v>60</v>
      </c>
      <c r="C33" s="50">
        <v>25</v>
      </c>
      <c r="D33" s="50">
        <v>7</v>
      </c>
      <c r="E33" s="50">
        <v>2</v>
      </c>
      <c r="F33" s="50">
        <v>14</v>
      </c>
      <c r="G33" s="50">
        <v>0</v>
      </c>
      <c r="H33" s="50">
        <v>0</v>
      </c>
      <c r="I33" s="50">
        <v>2</v>
      </c>
      <c r="J33" s="50">
        <v>2</v>
      </c>
      <c r="K33" s="50">
        <v>0</v>
      </c>
      <c r="L33" s="50">
        <v>0</v>
      </c>
      <c r="M33" s="50">
        <v>29</v>
      </c>
      <c r="N33" s="50">
        <v>0</v>
      </c>
      <c r="O33" s="15">
        <f t="shared" si="0"/>
        <v>52</v>
      </c>
      <c r="P33" s="15">
        <f t="shared" si="1"/>
        <v>81</v>
      </c>
    </row>
    <row r="34" spans="2:20" ht="23.1" customHeight="1" x14ac:dyDescent="0.25">
      <c r="B34" s="24" t="s">
        <v>61</v>
      </c>
      <c r="C34" s="50">
        <v>29</v>
      </c>
      <c r="D34" s="50">
        <v>3</v>
      </c>
      <c r="E34" s="50">
        <v>3</v>
      </c>
      <c r="F34" s="50">
        <v>10</v>
      </c>
      <c r="G34" s="50">
        <v>1</v>
      </c>
      <c r="H34" s="50">
        <v>0</v>
      </c>
      <c r="I34" s="50">
        <v>4</v>
      </c>
      <c r="J34" s="50">
        <v>0</v>
      </c>
      <c r="K34" s="50">
        <v>0</v>
      </c>
      <c r="L34" s="50">
        <v>2</v>
      </c>
      <c r="M34" s="50">
        <v>43</v>
      </c>
      <c r="N34" s="50">
        <v>0</v>
      </c>
      <c r="O34" s="15">
        <f t="shared" si="0"/>
        <v>52</v>
      </c>
      <c r="P34" s="15">
        <f t="shared" si="1"/>
        <v>95</v>
      </c>
    </row>
    <row r="35" spans="2:20" ht="23.1" customHeight="1" x14ac:dyDescent="0.25">
      <c r="B35" s="24" t="s">
        <v>62</v>
      </c>
      <c r="C35" s="50">
        <v>30</v>
      </c>
      <c r="D35" s="50">
        <v>4</v>
      </c>
      <c r="E35" s="50">
        <v>3</v>
      </c>
      <c r="F35" s="50">
        <v>9</v>
      </c>
      <c r="G35" s="50">
        <v>1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55</v>
      </c>
      <c r="N35" s="50">
        <v>0</v>
      </c>
      <c r="O35" s="15">
        <f t="shared" si="0"/>
        <v>47</v>
      </c>
      <c r="P35" s="15">
        <f t="shared" si="1"/>
        <v>102</v>
      </c>
    </row>
    <row r="36" spans="2:20" ht="23.1" customHeight="1" x14ac:dyDescent="0.25">
      <c r="B36" s="24" t="s">
        <v>63</v>
      </c>
      <c r="C36" s="50">
        <v>36</v>
      </c>
      <c r="D36" s="50">
        <v>3</v>
      </c>
      <c r="E36" s="50">
        <v>4</v>
      </c>
      <c r="F36" s="50">
        <v>19</v>
      </c>
      <c r="G36" s="50">
        <v>0</v>
      </c>
      <c r="H36" s="50">
        <v>1</v>
      </c>
      <c r="I36" s="50">
        <v>3</v>
      </c>
      <c r="J36" s="50">
        <v>0</v>
      </c>
      <c r="K36" s="50">
        <v>0</v>
      </c>
      <c r="L36" s="50">
        <v>1</v>
      </c>
      <c r="M36" s="50">
        <v>48</v>
      </c>
      <c r="N36" s="50">
        <v>0</v>
      </c>
      <c r="O36" s="15">
        <f t="shared" si="0"/>
        <v>67</v>
      </c>
      <c r="P36" s="15">
        <f t="shared" si="1"/>
        <v>115</v>
      </c>
    </row>
    <row r="37" spans="2:20" ht="23.1" customHeight="1" x14ac:dyDescent="0.25">
      <c r="B37" s="23" t="s">
        <v>64</v>
      </c>
      <c r="C37" s="50">
        <v>23</v>
      </c>
      <c r="D37" s="50">
        <v>4</v>
      </c>
      <c r="E37" s="50">
        <v>1</v>
      </c>
      <c r="F37" s="50">
        <v>4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1</v>
      </c>
      <c r="M37" s="50">
        <v>36</v>
      </c>
      <c r="N37" s="50">
        <v>0</v>
      </c>
      <c r="O37" s="15">
        <f t="shared" si="0"/>
        <v>33</v>
      </c>
      <c r="P37" s="15">
        <f t="shared" si="1"/>
        <v>69</v>
      </c>
    </row>
    <row r="38" spans="2:20" ht="23.1" customHeight="1" x14ac:dyDescent="0.25">
      <c r="B38" s="24" t="s">
        <v>65</v>
      </c>
      <c r="C38" s="50">
        <v>25</v>
      </c>
      <c r="D38" s="50">
        <v>2</v>
      </c>
      <c r="E38" s="50">
        <v>3</v>
      </c>
      <c r="F38" s="50">
        <v>7</v>
      </c>
      <c r="G38" s="50">
        <v>0</v>
      </c>
      <c r="H38" s="50">
        <v>0</v>
      </c>
      <c r="I38" s="50">
        <v>4</v>
      </c>
      <c r="J38" s="50">
        <v>2</v>
      </c>
      <c r="K38" s="50">
        <v>0</v>
      </c>
      <c r="L38" s="50">
        <v>0</v>
      </c>
      <c r="M38" s="50">
        <v>47</v>
      </c>
      <c r="N38" s="50">
        <v>0</v>
      </c>
      <c r="O38" s="15">
        <f t="shared" si="0"/>
        <v>43</v>
      </c>
      <c r="P38" s="15">
        <f t="shared" si="1"/>
        <v>90</v>
      </c>
    </row>
    <row r="39" spans="2:20" ht="23.1" customHeight="1" x14ac:dyDescent="0.25">
      <c r="B39" s="24" t="s">
        <v>66</v>
      </c>
      <c r="C39" s="50">
        <v>31</v>
      </c>
      <c r="D39" s="50">
        <v>4</v>
      </c>
      <c r="E39" s="50">
        <v>8</v>
      </c>
      <c r="F39" s="50">
        <v>10</v>
      </c>
      <c r="G39" s="50">
        <v>0</v>
      </c>
      <c r="H39" s="50">
        <v>0</v>
      </c>
      <c r="I39" s="50">
        <v>2</v>
      </c>
      <c r="J39" s="50">
        <v>1</v>
      </c>
      <c r="K39" s="50">
        <v>0</v>
      </c>
      <c r="L39" s="50">
        <v>1</v>
      </c>
      <c r="M39" s="50">
        <v>51</v>
      </c>
      <c r="N39" s="50">
        <v>0</v>
      </c>
      <c r="O39" s="15">
        <f t="shared" si="0"/>
        <v>57</v>
      </c>
      <c r="P39" s="15">
        <f t="shared" si="1"/>
        <v>108</v>
      </c>
    </row>
    <row r="40" spans="2:20" ht="23.1" customHeight="1" x14ac:dyDescent="0.25">
      <c r="B40" s="24" t="s">
        <v>67</v>
      </c>
      <c r="C40" s="50">
        <v>19</v>
      </c>
      <c r="D40" s="50">
        <v>4</v>
      </c>
      <c r="E40" s="50">
        <v>1</v>
      </c>
      <c r="F40" s="50">
        <v>8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1</v>
      </c>
      <c r="M40" s="50">
        <v>30</v>
      </c>
      <c r="N40" s="50">
        <v>0</v>
      </c>
      <c r="O40" s="15">
        <f t="shared" si="0"/>
        <v>33</v>
      </c>
      <c r="P40" s="15">
        <f t="shared" si="1"/>
        <v>63</v>
      </c>
    </row>
    <row r="41" spans="2:20" ht="23.1" customHeight="1" x14ac:dyDescent="0.25">
      <c r="B41" s="23" t="s">
        <v>68</v>
      </c>
      <c r="C41" s="50">
        <v>27</v>
      </c>
      <c r="D41" s="50">
        <v>2</v>
      </c>
      <c r="E41" s="50">
        <v>4</v>
      </c>
      <c r="F41" s="50">
        <v>8</v>
      </c>
      <c r="G41" s="50">
        <v>0</v>
      </c>
      <c r="H41" s="50">
        <v>0</v>
      </c>
      <c r="I41" s="50">
        <v>0</v>
      </c>
      <c r="J41" s="50">
        <v>1</v>
      </c>
      <c r="K41" s="50">
        <v>1</v>
      </c>
      <c r="L41" s="50">
        <v>0</v>
      </c>
      <c r="M41" s="50">
        <v>93</v>
      </c>
      <c r="N41" s="50">
        <v>0</v>
      </c>
      <c r="O41" s="15">
        <f t="shared" si="0"/>
        <v>43</v>
      </c>
      <c r="P41" s="15">
        <f t="shared" si="1"/>
        <v>136</v>
      </c>
    </row>
    <row r="42" spans="2:20" ht="23.1" customHeight="1" x14ac:dyDescent="0.25">
      <c r="B42" s="24" t="s">
        <v>69</v>
      </c>
      <c r="C42" s="50">
        <v>22</v>
      </c>
      <c r="D42" s="50">
        <v>8</v>
      </c>
      <c r="E42" s="50">
        <v>4</v>
      </c>
      <c r="F42" s="50">
        <v>3</v>
      </c>
      <c r="G42" s="50">
        <v>0</v>
      </c>
      <c r="H42" s="50">
        <v>0</v>
      </c>
      <c r="I42" s="50">
        <v>4</v>
      </c>
      <c r="J42" s="50">
        <v>1</v>
      </c>
      <c r="K42" s="50">
        <v>0</v>
      </c>
      <c r="L42" s="50">
        <v>0</v>
      </c>
      <c r="M42" s="50">
        <v>74</v>
      </c>
      <c r="N42" s="50">
        <v>0</v>
      </c>
      <c r="O42" s="15">
        <f t="shared" si="0"/>
        <v>42</v>
      </c>
      <c r="P42" s="15">
        <f t="shared" si="1"/>
        <v>116</v>
      </c>
    </row>
    <row r="43" spans="2:20" ht="23.1" customHeight="1" x14ac:dyDescent="0.25">
      <c r="B43" s="23" t="s">
        <v>70</v>
      </c>
      <c r="C43" s="50">
        <v>30</v>
      </c>
      <c r="D43" s="50">
        <v>2</v>
      </c>
      <c r="E43" s="50">
        <v>4</v>
      </c>
      <c r="F43" s="50">
        <v>12</v>
      </c>
      <c r="G43" s="50">
        <v>0</v>
      </c>
      <c r="H43" s="50">
        <v>0</v>
      </c>
      <c r="I43" s="50">
        <v>4</v>
      </c>
      <c r="J43" s="50">
        <v>0</v>
      </c>
      <c r="K43" s="50">
        <v>1</v>
      </c>
      <c r="L43" s="50">
        <v>0</v>
      </c>
      <c r="M43" s="50">
        <v>49</v>
      </c>
      <c r="N43" s="50">
        <v>0</v>
      </c>
      <c r="O43" s="15">
        <f t="shared" si="0"/>
        <v>53</v>
      </c>
      <c r="P43" s="15">
        <f t="shared" si="1"/>
        <v>102</v>
      </c>
    </row>
    <row r="44" spans="2:20" ht="23.1" customHeight="1" x14ac:dyDescent="0.25">
      <c r="B44" s="25" t="s">
        <v>71</v>
      </c>
      <c r="C44" s="50">
        <v>21</v>
      </c>
      <c r="D44" s="50">
        <v>10</v>
      </c>
      <c r="E44" s="50">
        <v>2</v>
      </c>
      <c r="F44" s="50">
        <v>5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1</v>
      </c>
      <c r="M44" s="50">
        <v>57</v>
      </c>
      <c r="N44" s="50">
        <v>0</v>
      </c>
      <c r="O44" s="15">
        <f t="shared" si="0"/>
        <v>39</v>
      </c>
      <c r="P44" s="15">
        <f t="shared" si="1"/>
        <v>96</v>
      </c>
    </row>
    <row r="45" spans="2:20" ht="23.1" customHeight="1" x14ac:dyDescent="0.25">
      <c r="B45" s="23" t="s">
        <v>72</v>
      </c>
      <c r="C45" s="50">
        <v>31</v>
      </c>
      <c r="D45" s="50">
        <v>4</v>
      </c>
      <c r="E45" s="50">
        <v>5</v>
      </c>
      <c r="F45" s="50">
        <v>16</v>
      </c>
      <c r="G45" s="50">
        <v>1</v>
      </c>
      <c r="H45" s="50">
        <v>0</v>
      </c>
      <c r="I45" s="50">
        <v>2</v>
      </c>
      <c r="J45" s="50">
        <v>0</v>
      </c>
      <c r="K45" s="50">
        <v>0</v>
      </c>
      <c r="L45" s="50">
        <v>2</v>
      </c>
      <c r="M45" s="50">
        <v>28</v>
      </c>
      <c r="N45" s="50">
        <v>0</v>
      </c>
      <c r="O45" s="15">
        <f t="shared" si="0"/>
        <v>61</v>
      </c>
      <c r="P45" s="15">
        <f t="shared" si="1"/>
        <v>89</v>
      </c>
    </row>
    <row r="46" spans="2:20" ht="23.1" customHeight="1" x14ac:dyDescent="0.25">
      <c r="B46" s="24" t="s">
        <v>73</v>
      </c>
      <c r="C46" s="50">
        <v>49</v>
      </c>
      <c r="D46" s="50">
        <v>6</v>
      </c>
      <c r="E46" s="50">
        <v>5</v>
      </c>
      <c r="F46" s="50">
        <v>11</v>
      </c>
      <c r="G46" s="50">
        <v>0</v>
      </c>
      <c r="H46" s="50">
        <v>0</v>
      </c>
      <c r="I46" s="50">
        <v>7</v>
      </c>
      <c r="J46" s="50">
        <v>0</v>
      </c>
      <c r="K46" s="50">
        <v>0</v>
      </c>
      <c r="L46" s="50">
        <v>0</v>
      </c>
      <c r="M46" s="50">
        <v>51</v>
      </c>
      <c r="N46" s="50">
        <v>0</v>
      </c>
      <c r="O46" s="15">
        <f t="shared" si="0"/>
        <v>78</v>
      </c>
      <c r="P46" s="15">
        <f t="shared" si="1"/>
        <v>129</v>
      </c>
      <c r="R46" s="8"/>
      <c r="T46"/>
    </row>
    <row r="47" spans="2:20" ht="23.1" customHeight="1" x14ac:dyDescent="0.25">
      <c r="B47" s="24" t="s">
        <v>74</v>
      </c>
      <c r="C47" s="50">
        <v>20</v>
      </c>
      <c r="D47" s="50">
        <v>4</v>
      </c>
      <c r="E47" s="50">
        <v>3</v>
      </c>
      <c r="F47" s="50">
        <v>5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49</v>
      </c>
      <c r="N47" s="50">
        <v>0</v>
      </c>
      <c r="O47" s="15">
        <f t="shared" si="0"/>
        <v>34</v>
      </c>
      <c r="P47" s="15">
        <f t="shared" si="1"/>
        <v>83</v>
      </c>
      <c r="R47" s="8"/>
      <c r="T47"/>
    </row>
    <row r="48" spans="2:20" ht="23.1" customHeight="1" x14ac:dyDescent="0.25">
      <c r="B48" s="24" t="s">
        <v>75</v>
      </c>
      <c r="C48" s="50">
        <v>23</v>
      </c>
      <c r="D48" s="50">
        <v>6</v>
      </c>
      <c r="E48" s="50">
        <v>4</v>
      </c>
      <c r="F48" s="50">
        <v>11</v>
      </c>
      <c r="G48" s="50">
        <v>0</v>
      </c>
      <c r="H48" s="50">
        <v>0</v>
      </c>
      <c r="I48" s="50">
        <v>4</v>
      </c>
      <c r="J48" s="50">
        <v>0</v>
      </c>
      <c r="K48" s="50">
        <v>0</v>
      </c>
      <c r="L48" s="50">
        <v>1</v>
      </c>
      <c r="M48" s="50">
        <v>64</v>
      </c>
      <c r="N48" s="50">
        <v>0</v>
      </c>
      <c r="O48" s="15">
        <f t="shared" si="0"/>
        <v>49</v>
      </c>
      <c r="P48" s="15">
        <f t="shared" si="1"/>
        <v>113</v>
      </c>
      <c r="R48" s="8"/>
      <c r="T48"/>
    </row>
    <row r="49" spans="2:20" ht="23.1" customHeight="1" x14ac:dyDescent="0.25">
      <c r="B49" s="23" t="s">
        <v>76</v>
      </c>
      <c r="C49" s="50">
        <v>26</v>
      </c>
      <c r="D49" s="50">
        <v>10</v>
      </c>
      <c r="E49" s="50">
        <v>5</v>
      </c>
      <c r="F49" s="50">
        <v>10</v>
      </c>
      <c r="G49" s="50">
        <v>0</v>
      </c>
      <c r="H49" s="50">
        <v>0</v>
      </c>
      <c r="I49" s="50">
        <v>8</v>
      </c>
      <c r="J49" s="50">
        <v>0</v>
      </c>
      <c r="K49" s="50">
        <v>0</v>
      </c>
      <c r="L49" s="50">
        <v>0</v>
      </c>
      <c r="M49" s="50">
        <v>61</v>
      </c>
      <c r="N49" s="50">
        <v>0</v>
      </c>
      <c r="O49" s="15">
        <f t="shared" si="0"/>
        <v>59</v>
      </c>
      <c r="P49" s="15">
        <f t="shared" si="1"/>
        <v>120</v>
      </c>
      <c r="R49" s="8"/>
      <c r="T49"/>
    </row>
    <row r="50" spans="2:20" ht="23.1" customHeight="1" x14ac:dyDescent="0.25">
      <c r="B50" s="24" t="s">
        <v>77</v>
      </c>
      <c r="C50" s="50">
        <v>34</v>
      </c>
      <c r="D50" s="50">
        <v>3</v>
      </c>
      <c r="E50" s="50">
        <v>5</v>
      </c>
      <c r="F50" s="50">
        <v>15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1</v>
      </c>
      <c r="M50" s="50">
        <v>47</v>
      </c>
      <c r="N50" s="50">
        <v>0</v>
      </c>
      <c r="O50" s="15">
        <f t="shared" si="0"/>
        <v>60</v>
      </c>
      <c r="P50" s="15">
        <f t="shared" si="1"/>
        <v>107</v>
      </c>
      <c r="R50" s="8"/>
      <c r="T50"/>
    </row>
    <row r="51" spans="2:20" ht="23.1" customHeight="1" x14ac:dyDescent="0.25">
      <c r="B51" s="24" t="s">
        <v>78</v>
      </c>
      <c r="C51" s="50">
        <v>48</v>
      </c>
      <c r="D51" s="50">
        <v>14</v>
      </c>
      <c r="E51" s="50">
        <v>9</v>
      </c>
      <c r="F51" s="50">
        <v>22</v>
      </c>
      <c r="G51" s="50">
        <v>2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55</v>
      </c>
      <c r="N51" s="50">
        <v>0</v>
      </c>
      <c r="O51" s="15">
        <f t="shared" si="0"/>
        <v>96</v>
      </c>
      <c r="P51" s="15">
        <f t="shared" si="1"/>
        <v>151</v>
      </c>
      <c r="R51" s="8"/>
      <c r="T51"/>
    </row>
    <row r="52" spans="2:20" ht="23.1" customHeight="1" x14ac:dyDescent="0.25">
      <c r="B52" s="24" t="s">
        <v>79</v>
      </c>
      <c r="C52" s="50">
        <v>30</v>
      </c>
      <c r="D52" s="50">
        <v>11</v>
      </c>
      <c r="E52" s="50">
        <v>6</v>
      </c>
      <c r="F52" s="50">
        <v>17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52</v>
      </c>
      <c r="N52" s="50">
        <v>0</v>
      </c>
      <c r="O52" s="15">
        <f t="shared" si="0"/>
        <v>67</v>
      </c>
      <c r="P52" s="15">
        <f t="shared" si="1"/>
        <v>119</v>
      </c>
      <c r="R52" s="8"/>
      <c r="T52"/>
    </row>
    <row r="53" spans="2:20" ht="23.1" customHeight="1" x14ac:dyDescent="0.25">
      <c r="B53" s="23" t="s">
        <v>80</v>
      </c>
      <c r="C53" s="50">
        <v>32</v>
      </c>
      <c r="D53" s="50">
        <v>3</v>
      </c>
      <c r="E53" s="50">
        <v>2</v>
      </c>
      <c r="F53" s="50">
        <v>14</v>
      </c>
      <c r="G53" s="50">
        <v>0</v>
      </c>
      <c r="H53" s="50">
        <v>0</v>
      </c>
      <c r="I53" s="50">
        <v>0</v>
      </c>
      <c r="J53" s="50">
        <v>3</v>
      </c>
      <c r="K53" s="50">
        <v>0</v>
      </c>
      <c r="L53" s="50">
        <v>1</v>
      </c>
      <c r="M53" s="50">
        <v>61</v>
      </c>
      <c r="N53" s="50">
        <v>0</v>
      </c>
      <c r="O53" s="15">
        <f t="shared" si="0"/>
        <v>55</v>
      </c>
      <c r="P53" s="15">
        <f t="shared" si="1"/>
        <v>116</v>
      </c>
      <c r="R53" s="8"/>
      <c r="T53"/>
    </row>
    <row r="54" spans="2:20" ht="23.1" customHeight="1" x14ac:dyDescent="0.25">
      <c r="B54" s="23" t="s">
        <v>81</v>
      </c>
      <c r="C54" s="50">
        <v>18</v>
      </c>
      <c r="D54" s="50">
        <v>9</v>
      </c>
      <c r="E54" s="50">
        <v>8</v>
      </c>
      <c r="F54" s="50">
        <v>12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87</v>
      </c>
      <c r="N54" s="50">
        <v>0</v>
      </c>
      <c r="O54" s="15">
        <f t="shared" si="0"/>
        <v>47</v>
      </c>
      <c r="P54" s="15">
        <f t="shared" si="1"/>
        <v>134</v>
      </c>
      <c r="R54" s="8"/>
      <c r="T54"/>
    </row>
    <row r="55" spans="2:20" ht="23.1" customHeight="1" x14ac:dyDescent="0.25">
      <c r="B55" s="23" t="s">
        <v>82</v>
      </c>
      <c r="C55" s="50">
        <v>22</v>
      </c>
      <c r="D55" s="50">
        <v>7</v>
      </c>
      <c r="E55" s="50">
        <v>3</v>
      </c>
      <c r="F55" s="50">
        <v>14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53</v>
      </c>
      <c r="N55" s="50">
        <v>0</v>
      </c>
      <c r="O55" s="15">
        <f t="shared" si="0"/>
        <v>46</v>
      </c>
      <c r="P55" s="15">
        <f t="shared" si="1"/>
        <v>99</v>
      </c>
      <c r="R55" s="8"/>
      <c r="T55"/>
    </row>
    <row r="56" spans="2:20" ht="23.1" customHeight="1" x14ac:dyDescent="0.25">
      <c r="B56" s="23" t="s">
        <v>83</v>
      </c>
      <c r="C56" s="50">
        <v>38</v>
      </c>
      <c r="D56" s="50">
        <v>11</v>
      </c>
      <c r="E56" s="50">
        <v>6</v>
      </c>
      <c r="F56" s="50">
        <v>16</v>
      </c>
      <c r="G56" s="50">
        <v>1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65</v>
      </c>
      <c r="N56" s="50">
        <v>0</v>
      </c>
      <c r="O56" s="15">
        <f t="shared" si="0"/>
        <v>73</v>
      </c>
      <c r="P56" s="15">
        <f t="shared" si="1"/>
        <v>138</v>
      </c>
      <c r="R56" s="8"/>
      <c r="T56"/>
    </row>
    <row r="57" spans="2:20" ht="23.1" customHeight="1" x14ac:dyDescent="0.25">
      <c r="B57" s="23" t="s">
        <v>84</v>
      </c>
      <c r="C57" s="50">
        <v>24</v>
      </c>
      <c r="D57" s="50">
        <v>6</v>
      </c>
      <c r="E57" s="50">
        <v>4</v>
      </c>
      <c r="F57" s="50">
        <v>10</v>
      </c>
      <c r="G57" s="50">
        <v>0</v>
      </c>
      <c r="H57" s="50">
        <v>0</v>
      </c>
      <c r="I57" s="50">
        <v>4</v>
      </c>
      <c r="J57" s="50">
        <v>0</v>
      </c>
      <c r="K57" s="50">
        <v>0</v>
      </c>
      <c r="L57" s="50">
        <v>0</v>
      </c>
      <c r="M57" s="50">
        <v>26</v>
      </c>
      <c r="N57" s="50">
        <v>0</v>
      </c>
      <c r="O57" s="15">
        <f t="shared" si="0"/>
        <v>48</v>
      </c>
      <c r="P57" s="15">
        <f t="shared" si="1"/>
        <v>74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1187</v>
      </c>
      <c r="D58" s="16">
        <f t="shared" si="21"/>
        <v>215</v>
      </c>
      <c r="E58" s="16">
        <f t="shared" si="21"/>
        <v>181</v>
      </c>
      <c r="F58" s="16">
        <f t="shared" si="21"/>
        <v>637</v>
      </c>
      <c r="G58" s="16">
        <f t="shared" si="21"/>
        <v>10</v>
      </c>
      <c r="H58" s="16">
        <f t="shared" si="21"/>
        <v>1</v>
      </c>
      <c r="I58" s="16">
        <f t="shared" si="21"/>
        <v>89</v>
      </c>
      <c r="J58" s="16">
        <f t="shared" si="21"/>
        <v>27</v>
      </c>
      <c r="K58" s="16">
        <f t="shared" si="21"/>
        <v>3</v>
      </c>
      <c r="L58" s="16">
        <f t="shared" si="21"/>
        <v>35</v>
      </c>
      <c r="M58" s="16">
        <f t="shared" si="21"/>
        <v>2487</v>
      </c>
      <c r="N58" s="16">
        <f t="shared" si="21"/>
        <v>0</v>
      </c>
      <c r="O58" s="16">
        <f t="shared" si="21"/>
        <v>2385</v>
      </c>
      <c r="P58" s="16">
        <f t="shared" si="21"/>
        <v>4872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0.24363711001642036</v>
      </c>
      <c r="D59" s="43">
        <f t="shared" si="22"/>
        <v>4.4129720853858787E-2</v>
      </c>
      <c r="E59" s="43">
        <f t="shared" si="22"/>
        <v>3.715106732348112E-2</v>
      </c>
      <c r="F59" s="43">
        <f t="shared" si="22"/>
        <v>0.1307471264367816</v>
      </c>
      <c r="G59" s="43">
        <f t="shared" si="22"/>
        <v>2.052545155993432E-3</v>
      </c>
      <c r="H59" s="43">
        <f t="shared" si="22"/>
        <v>2.0525451559934318E-4</v>
      </c>
      <c r="I59" s="43">
        <f t="shared" si="22"/>
        <v>1.8267651888341542E-2</v>
      </c>
      <c r="J59" s="43">
        <f t="shared" si="22"/>
        <v>5.5418719211822662E-3</v>
      </c>
      <c r="K59" s="43">
        <f t="shared" si="22"/>
        <v>6.1576354679802956E-4</v>
      </c>
      <c r="L59" s="43">
        <f t="shared" si="22"/>
        <v>7.1839080459770114E-3</v>
      </c>
      <c r="M59" s="43">
        <f t="shared" si="22"/>
        <v>0.5104679802955665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0.49769392033542975</v>
      </c>
      <c r="D60" s="44">
        <f t="shared" ref="D60:N60" si="23">D58/$O$58</f>
        <v>9.0146750524109018E-2</v>
      </c>
      <c r="E60" s="44">
        <f t="shared" si="23"/>
        <v>7.5890985324947591E-2</v>
      </c>
      <c r="F60" s="44">
        <f t="shared" si="23"/>
        <v>0.26708595387840672</v>
      </c>
      <c r="G60" s="44">
        <f t="shared" si="23"/>
        <v>4.1928721174004195E-3</v>
      </c>
      <c r="H60" s="44">
        <f t="shared" si="23"/>
        <v>4.1928721174004191E-4</v>
      </c>
      <c r="I60" s="44">
        <f t="shared" si="23"/>
        <v>3.7316561844863733E-2</v>
      </c>
      <c r="J60" s="44">
        <f t="shared" si="23"/>
        <v>1.1320754716981131E-2</v>
      </c>
      <c r="K60" s="44">
        <f t="shared" si="23"/>
        <v>1.2578616352201257E-3</v>
      </c>
      <c r="L60" s="44">
        <f t="shared" si="23"/>
        <v>1.4675052410901468E-2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G85" zoomScale="60" workbookViewId="0">
      <selection activeCell="AD57" sqref="AD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URA-Spear Motors'!C3:G3</f>
        <v>MCC - C1 - STN44- NAKAWA-JINJA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'04.08 Spear Motors-URA'!G5:H5</f>
        <v>Spear Motors Limited</v>
      </c>
      <c r="H5" s="64"/>
      <c r="I5" s="14"/>
      <c r="J5" s="2" t="s">
        <v>5</v>
      </c>
      <c r="K5" s="63" t="str">
        <f>'04.08 Spear Motors-URA'!K5:L5</f>
        <v>Opio Dickson &amp; Bright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'04.08 Spear Motors-URA'!D6:E6</f>
        <v>Spear Motors</v>
      </c>
      <c r="E6" s="64"/>
      <c r="F6" s="2" t="s">
        <v>2</v>
      </c>
      <c r="G6" s="63" t="str">
        <f>'04.08 Spear Motors-URA'!G6:H6</f>
        <v>URA</v>
      </c>
      <c r="H6" s="64"/>
      <c r="J6" s="2" t="s">
        <v>21</v>
      </c>
      <c r="K6" s="63" t="str">
        <f>'04.08 Spear Motors-URA'!K6:L6</f>
        <v>Nusurah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Spear Motors -URA'!C10,'30.07 Spear Motors-URA'!C10,'31.07 Spear Motors-URA'!C10,'02.08 Spear Motors-URA'!C10,'01.08 Spear Motors-URA-24h'!C10,'03.08 Spear Motors-URA-24h'!C10,'04.08 Spear Motors-URA'!C10)</f>
        <v>27.428571428571427</v>
      </c>
      <c r="D10" s="49">
        <f>AVERAGE('29.07 Spear Motors -URA'!D10,'30.07 Spear Motors-URA'!D10,'31.07 Spear Motors-URA'!D10,'02.08 Spear Motors-URA'!D10,'01.08 Spear Motors-URA-24h'!D10,'03.08 Spear Motors-URA-24h'!D10,'04.08 Spear Motors-URA'!D10)</f>
        <v>10</v>
      </c>
      <c r="E10" s="49">
        <f>AVERAGE('29.07 Spear Motors -URA'!E10,'30.07 Spear Motors-URA'!E10,'31.07 Spear Motors-URA'!E10,'02.08 Spear Motors-URA'!E10,'01.08 Spear Motors-URA-24h'!E10,'03.08 Spear Motors-URA-24h'!E10,'04.08 Spear Motors-URA'!E10)</f>
        <v>7</v>
      </c>
      <c r="F10" s="49">
        <f>AVERAGE('29.07 Spear Motors -URA'!F10,'30.07 Spear Motors-URA'!F10,'31.07 Spear Motors-URA'!F10,'02.08 Spear Motors-URA'!F10,'01.08 Spear Motors-URA-24h'!F10,'03.08 Spear Motors-URA-24h'!F10,'04.08 Spear Motors-URA'!F10)</f>
        <v>5.8571428571428568</v>
      </c>
      <c r="G10" s="49">
        <f>AVERAGE('29.07 Spear Motors -URA'!G10,'30.07 Spear Motors-URA'!G10,'31.07 Spear Motors-URA'!G10,'02.08 Spear Motors-URA'!G10,'01.08 Spear Motors-URA-24h'!G10,'03.08 Spear Motors-URA-24h'!G10,'04.08 Spear Motors-URA'!G10)</f>
        <v>1.8571428571428572</v>
      </c>
      <c r="H10" s="49">
        <f>AVERAGE('29.07 Spear Motors -URA'!H10,'30.07 Spear Motors-URA'!H10,'31.07 Spear Motors-URA'!H10,'02.08 Spear Motors-URA'!H10,'01.08 Spear Motors-URA-24h'!H10,'03.08 Spear Motors-URA-24h'!H10,'04.08 Spear Motors-URA'!H10)</f>
        <v>0.2857142857142857</v>
      </c>
      <c r="I10" s="49">
        <f>AVERAGE('29.07 Spear Motors -URA'!I10,'30.07 Spear Motors-URA'!I10,'31.07 Spear Motors-URA'!I10,'02.08 Spear Motors-URA'!I10,'01.08 Spear Motors-URA-24h'!I10,'03.08 Spear Motors-URA-24h'!I10,'04.08 Spear Motors-URA'!I10)</f>
        <v>0.7142857142857143</v>
      </c>
      <c r="J10" s="49">
        <f>AVERAGE('29.07 Spear Motors -URA'!J10,'30.07 Spear Motors-URA'!J10,'31.07 Spear Motors-URA'!J10,'02.08 Spear Motors-URA'!J10,'01.08 Spear Motors-URA-24h'!J10,'03.08 Spear Motors-URA-24h'!J10,'04.08 Spear Motors-URA'!J10)</f>
        <v>1.4285714285714286</v>
      </c>
      <c r="K10" s="49">
        <f>AVERAGE('29.07 Spear Motors -URA'!K10,'30.07 Spear Motors-URA'!K10,'31.07 Spear Motors-URA'!K10,'02.08 Spear Motors-URA'!K10,'01.08 Spear Motors-URA-24h'!K10,'03.08 Spear Motors-URA-24h'!K10,'04.08 Spear Motors-URA'!K10)</f>
        <v>1.5714285714285714</v>
      </c>
      <c r="L10" s="49">
        <f>AVERAGE('29.07 Spear Motors -URA'!L10,'30.07 Spear Motors-URA'!L10,'31.07 Spear Motors-URA'!L10,'02.08 Spear Motors-URA'!L10,'01.08 Spear Motors-URA-24h'!L10,'03.08 Spear Motors-URA-24h'!L10,'04.08 Spear Motors-URA'!L10)</f>
        <v>2.5714285714285716</v>
      </c>
      <c r="M10" s="49">
        <f>AVERAGE('29.07 Spear Motors -URA'!M10,'30.07 Spear Motors-URA'!M10,'31.07 Spear Motors-URA'!M10,'02.08 Spear Motors-URA'!M10,'01.08 Spear Motors-URA-24h'!M10,'03.08 Spear Motors-URA-24h'!M10,'04.08 Spear Motors-URA'!M10)</f>
        <v>122</v>
      </c>
      <c r="N10" s="49">
        <f>AVERAGE('29.07 Spear Motors -URA'!N10,'30.07 Spear Motors-URA'!N10,'31.07 Spear Motors-URA'!N10,'02.08 Spear Motors-URA'!N10,'01.08 Spear Motors-URA-24h'!N10,'03.08 Spear Motors-URA-24h'!N10,'04.08 Spear Motors-URA'!N10)</f>
        <v>0</v>
      </c>
      <c r="O10" s="15">
        <f t="shared" ref="O10:O73" si="0">SUM(C10:L10,N10)</f>
        <v>58.714285714285708</v>
      </c>
      <c r="P10" s="15">
        <f t="shared" ref="P10:P73" si="1">SUM(C10:N10)</f>
        <v>180.71428571428572</v>
      </c>
      <c r="R10" s="1" t="s">
        <v>6</v>
      </c>
      <c r="S10" s="17">
        <f t="shared" ref="S10:AF10" si="2">SUM(C10:C13)</f>
        <v>119.42857142857143</v>
      </c>
      <c r="T10" s="17">
        <f t="shared" si="2"/>
        <v>35.857142857142854</v>
      </c>
      <c r="U10" s="17">
        <f t="shared" si="2"/>
        <v>23.142857142857142</v>
      </c>
      <c r="V10" s="17">
        <f t="shared" si="2"/>
        <v>25</v>
      </c>
      <c r="W10" s="17">
        <f t="shared" si="2"/>
        <v>5.7142857142857135</v>
      </c>
      <c r="X10" s="17">
        <f t="shared" si="2"/>
        <v>0.42857142857142855</v>
      </c>
      <c r="Y10" s="17">
        <f t="shared" si="2"/>
        <v>3.7142857142857144</v>
      </c>
      <c r="Z10" s="17">
        <f t="shared" si="2"/>
        <v>4.1428571428571423</v>
      </c>
      <c r="AA10" s="17">
        <f t="shared" si="2"/>
        <v>5.4285714285714279</v>
      </c>
      <c r="AB10" s="17">
        <f t="shared" si="2"/>
        <v>10.285714285714286</v>
      </c>
      <c r="AC10" s="17">
        <f t="shared" si="2"/>
        <v>644.42857142857144</v>
      </c>
      <c r="AD10" s="17">
        <f t="shared" si="2"/>
        <v>0</v>
      </c>
      <c r="AE10" s="31">
        <f t="shared" si="2"/>
        <v>233.14285714285714</v>
      </c>
      <c r="AF10" s="31">
        <f t="shared" si="2"/>
        <v>877.57142857142867</v>
      </c>
    </row>
    <row r="11" spans="2:32" s="6" customFormat="1" ht="23.1" customHeight="1" x14ac:dyDescent="0.25">
      <c r="B11" s="23" t="s">
        <v>38</v>
      </c>
      <c r="C11" s="49">
        <f>AVERAGE('29.07 Spear Motors -URA'!C11,'30.07 Spear Motors-URA'!C11,'31.07 Spear Motors-URA'!C11,'02.08 Spear Motors-URA'!C11,'01.08 Spear Motors-URA-24h'!C11,'03.08 Spear Motors-URA-24h'!C11,'04.08 Spear Motors-URA'!C11)</f>
        <v>28.714285714285715</v>
      </c>
      <c r="D11" s="49">
        <f>AVERAGE('29.07 Spear Motors -URA'!D11,'30.07 Spear Motors-URA'!D11,'31.07 Spear Motors-URA'!D11,'02.08 Spear Motors-URA'!D11,'01.08 Spear Motors-URA-24h'!D11,'03.08 Spear Motors-URA-24h'!D11,'04.08 Spear Motors-URA'!D11)</f>
        <v>9.8571428571428577</v>
      </c>
      <c r="E11" s="49">
        <f>AVERAGE('29.07 Spear Motors -URA'!E11,'30.07 Spear Motors-URA'!E11,'31.07 Spear Motors-URA'!E11,'02.08 Spear Motors-URA'!E11,'01.08 Spear Motors-URA-24h'!E11,'03.08 Spear Motors-URA-24h'!E11,'04.08 Spear Motors-URA'!E11)</f>
        <v>6.5714285714285712</v>
      </c>
      <c r="F11" s="49">
        <f>AVERAGE('29.07 Spear Motors -URA'!F11,'30.07 Spear Motors-URA'!F11,'31.07 Spear Motors-URA'!F11,'02.08 Spear Motors-URA'!F11,'01.08 Spear Motors-URA-24h'!F11,'03.08 Spear Motors-URA-24h'!F11,'04.08 Spear Motors-URA'!F11)</f>
        <v>6.4285714285714288</v>
      </c>
      <c r="G11" s="49">
        <f>AVERAGE('29.07 Spear Motors -URA'!G11,'30.07 Spear Motors-URA'!G11,'31.07 Spear Motors-URA'!G11,'02.08 Spear Motors-URA'!G11,'01.08 Spear Motors-URA-24h'!G11,'03.08 Spear Motors-URA-24h'!G11,'04.08 Spear Motors-URA'!G11)</f>
        <v>1.4285714285714286</v>
      </c>
      <c r="H11" s="49">
        <f>AVERAGE('29.07 Spear Motors -URA'!H11,'30.07 Spear Motors-URA'!H11,'31.07 Spear Motors-URA'!H11,'02.08 Spear Motors-URA'!H11,'01.08 Spear Motors-URA-24h'!H11,'03.08 Spear Motors-URA-24h'!H11,'04.08 Spear Motors-URA'!H11)</f>
        <v>0</v>
      </c>
      <c r="I11" s="49">
        <f>AVERAGE('29.07 Spear Motors -URA'!I11,'30.07 Spear Motors-URA'!I11,'31.07 Spear Motors-URA'!I11,'02.08 Spear Motors-URA'!I11,'01.08 Spear Motors-URA-24h'!I11,'03.08 Spear Motors-URA-24h'!I11,'04.08 Spear Motors-URA'!I11)</f>
        <v>1</v>
      </c>
      <c r="J11" s="49">
        <f>AVERAGE('29.07 Spear Motors -URA'!J11,'30.07 Spear Motors-URA'!J11,'31.07 Spear Motors-URA'!J11,'02.08 Spear Motors-URA'!J11,'01.08 Spear Motors-URA-24h'!J11,'03.08 Spear Motors-URA-24h'!J11,'04.08 Spear Motors-URA'!J11)</f>
        <v>0.7142857142857143</v>
      </c>
      <c r="K11" s="49">
        <f>AVERAGE('29.07 Spear Motors -URA'!K11,'30.07 Spear Motors-URA'!K11,'31.07 Spear Motors-URA'!K11,'02.08 Spear Motors-URA'!K11,'01.08 Spear Motors-URA-24h'!K11,'03.08 Spear Motors-URA-24h'!K11,'04.08 Spear Motors-URA'!K11)</f>
        <v>1.8571428571428572</v>
      </c>
      <c r="L11" s="49">
        <f>AVERAGE('29.07 Spear Motors -URA'!L11,'30.07 Spear Motors-URA'!L11,'31.07 Spear Motors-URA'!L11,'02.08 Spear Motors-URA'!L11,'01.08 Spear Motors-URA-24h'!L11,'03.08 Spear Motors-URA-24h'!L11,'04.08 Spear Motors-URA'!L11)</f>
        <v>2.2857142857142856</v>
      </c>
      <c r="M11" s="49">
        <f>AVERAGE('29.07 Spear Motors -URA'!M11,'30.07 Spear Motors-URA'!M11,'31.07 Spear Motors-URA'!M11,'02.08 Spear Motors-URA'!M11,'01.08 Spear Motors-URA-24h'!M11,'03.08 Spear Motors-URA-24h'!M11,'04.08 Spear Motors-URA'!M11)</f>
        <v>143.42857142857142</v>
      </c>
      <c r="N11" s="49">
        <f>AVERAGE('29.07 Spear Motors -URA'!N11,'30.07 Spear Motors-URA'!N11,'31.07 Spear Motors-URA'!N11,'02.08 Spear Motors-URA'!N11,'01.08 Spear Motors-URA-24h'!N11,'03.08 Spear Motors-URA-24h'!N11,'04.08 Spear Motors-URA'!N11)</f>
        <v>0</v>
      </c>
      <c r="O11" s="15">
        <f t="shared" si="0"/>
        <v>58.857142857142854</v>
      </c>
      <c r="P11" s="15">
        <f t="shared" si="1"/>
        <v>202.28571428571428</v>
      </c>
      <c r="R11" s="1" t="s">
        <v>7</v>
      </c>
      <c r="S11" s="17">
        <f t="shared" ref="S11:AF11" si="3">SUM(C14:C17)</f>
        <v>149.42857142857142</v>
      </c>
      <c r="T11" s="17">
        <f t="shared" si="3"/>
        <v>27.857142857142858</v>
      </c>
      <c r="U11" s="17">
        <f t="shared" si="3"/>
        <v>19.142857142857146</v>
      </c>
      <c r="V11" s="17">
        <f t="shared" si="3"/>
        <v>34</v>
      </c>
      <c r="W11" s="17">
        <f t="shared" si="3"/>
        <v>5.2857142857142856</v>
      </c>
      <c r="X11" s="17">
        <f t="shared" si="3"/>
        <v>0</v>
      </c>
      <c r="Y11" s="17">
        <f t="shared" si="3"/>
        <v>6.1428571428571423</v>
      </c>
      <c r="Z11" s="17">
        <f t="shared" si="3"/>
        <v>4.1428571428571423</v>
      </c>
      <c r="AA11" s="17">
        <f t="shared" si="3"/>
        <v>6.5714285714285712</v>
      </c>
      <c r="AB11" s="17">
        <f t="shared" si="3"/>
        <v>11.142857142857142</v>
      </c>
      <c r="AC11" s="17">
        <f t="shared" si="3"/>
        <v>722.71428571428567</v>
      </c>
      <c r="AD11" s="17">
        <f t="shared" si="3"/>
        <v>0</v>
      </c>
      <c r="AE11" s="31">
        <f t="shared" si="3"/>
        <v>263.71428571428572</v>
      </c>
      <c r="AF11" s="31">
        <f t="shared" si="3"/>
        <v>986.42857142857133</v>
      </c>
    </row>
    <row r="12" spans="2:32" ht="23.1" customHeight="1" x14ac:dyDescent="0.25">
      <c r="B12" s="23" t="s">
        <v>39</v>
      </c>
      <c r="C12" s="49">
        <f>AVERAGE('29.07 Spear Motors -URA'!C12,'30.07 Spear Motors-URA'!C12,'31.07 Spear Motors-URA'!C12,'02.08 Spear Motors-URA'!C12,'01.08 Spear Motors-URA-24h'!C12,'03.08 Spear Motors-URA-24h'!C12,'04.08 Spear Motors-URA'!C12)</f>
        <v>34.428571428571431</v>
      </c>
      <c r="D12" s="49">
        <f>AVERAGE('29.07 Spear Motors -URA'!D12,'30.07 Spear Motors-URA'!D12,'31.07 Spear Motors-URA'!D12,'02.08 Spear Motors-URA'!D12,'01.08 Spear Motors-URA-24h'!D12,'03.08 Spear Motors-URA-24h'!D12,'04.08 Spear Motors-URA'!D12)</f>
        <v>8.7142857142857135</v>
      </c>
      <c r="E12" s="49">
        <f>AVERAGE('29.07 Spear Motors -URA'!E12,'30.07 Spear Motors-URA'!E12,'31.07 Spear Motors-URA'!E12,'02.08 Spear Motors-URA'!E12,'01.08 Spear Motors-URA-24h'!E12,'03.08 Spear Motors-URA-24h'!E12,'04.08 Spear Motors-URA'!E12)</f>
        <v>4.4285714285714288</v>
      </c>
      <c r="F12" s="49">
        <f>AVERAGE('29.07 Spear Motors -URA'!F12,'30.07 Spear Motors-URA'!F12,'31.07 Spear Motors-URA'!F12,'02.08 Spear Motors-URA'!F12,'01.08 Spear Motors-URA-24h'!F12,'03.08 Spear Motors-URA-24h'!F12,'04.08 Spear Motors-URA'!F12)</f>
        <v>8</v>
      </c>
      <c r="G12" s="49">
        <f>AVERAGE('29.07 Spear Motors -URA'!G12,'30.07 Spear Motors-URA'!G12,'31.07 Spear Motors-URA'!G12,'02.08 Spear Motors-URA'!G12,'01.08 Spear Motors-URA-24h'!G12,'03.08 Spear Motors-URA-24h'!G12,'04.08 Spear Motors-URA'!G12)</f>
        <v>1.8571428571428572</v>
      </c>
      <c r="H12" s="49">
        <f>AVERAGE('29.07 Spear Motors -URA'!H12,'30.07 Spear Motors-URA'!H12,'31.07 Spear Motors-URA'!H12,'02.08 Spear Motors-URA'!H12,'01.08 Spear Motors-URA-24h'!H12,'03.08 Spear Motors-URA-24h'!H12,'04.08 Spear Motors-URA'!H12)</f>
        <v>0.14285714285714285</v>
      </c>
      <c r="I12" s="49">
        <f>AVERAGE('29.07 Spear Motors -URA'!I12,'30.07 Spear Motors-URA'!I12,'31.07 Spear Motors-URA'!I12,'02.08 Spear Motors-URA'!I12,'01.08 Spear Motors-URA-24h'!I12,'03.08 Spear Motors-URA-24h'!I12,'04.08 Spear Motors-URA'!I12)</f>
        <v>0.8571428571428571</v>
      </c>
      <c r="J12" s="49">
        <f>AVERAGE('29.07 Spear Motors -URA'!J12,'30.07 Spear Motors-URA'!J12,'31.07 Spear Motors-URA'!J12,'02.08 Spear Motors-URA'!J12,'01.08 Spear Motors-URA-24h'!J12,'03.08 Spear Motors-URA-24h'!J12,'04.08 Spear Motors-URA'!J12)</f>
        <v>1</v>
      </c>
      <c r="K12" s="49">
        <f>AVERAGE('29.07 Spear Motors -URA'!K12,'30.07 Spear Motors-URA'!K12,'31.07 Spear Motors-URA'!K12,'02.08 Spear Motors-URA'!K12,'01.08 Spear Motors-URA-24h'!K12,'03.08 Spear Motors-URA-24h'!K12,'04.08 Spear Motors-URA'!K12)</f>
        <v>1.1428571428571428</v>
      </c>
      <c r="L12" s="49">
        <f>AVERAGE('29.07 Spear Motors -URA'!L12,'30.07 Spear Motors-URA'!L12,'31.07 Spear Motors-URA'!L12,'02.08 Spear Motors-URA'!L12,'01.08 Spear Motors-URA-24h'!L12,'03.08 Spear Motors-URA-24h'!L12,'04.08 Spear Motors-URA'!L12)</f>
        <v>2.2857142857142856</v>
      </c>
      <c r="M12" s="49">
        <f>AVERAGE('29.07 Spear Motors -URA'!M12,'30.07 Spear Motors-URA'!M12,'31.07 Spear Motors-URA'!M12,'02.08 Spear Motors-URA'!M12,'01.08 Spear Motors-URA-24h'!M12,'03.08 Spear Motors-URA-24h'!M12,'04.08 Spear Motors-URA'!M12)</f>
        <v>166.85714285714286</v>
      </c>
      <c r="N12" s="49">
        <f>AVERAGE('29.07 Spear Motors -URA'!N12,'30.07 Spear Motors-URA'!N12,'31.07 Spear Motors-URA'!N12,'02.08 Spear Motors-URA'!N12,'01.08 Spear Motors-URA-24h'!N12,'03.08 Spear Motors-URA-24h'!N12,'04.08 Spear Motors-URA'!N12)</f>
        <v>0</v>
      </c>
      <c r="O12" s="15">
        <f t="shared" si="0"/>
        <v>62.857142857142861</v>
      </c>
      <c r="P12" s="15">
        <f t="shared" si="1"/>
        <v>229.71428571428572</v>
      </c>
      <c r="R12" s="1" t="s">
        <v>8</v>
      </c>
      <c r="S12" s="17">
        <f t="shared" ref="S12:AF12" si="4">SUM(C18:C21)</f>
        <v>132.71428571428572</v>
      </c>
      <c r="T12" s="17">
        <f t="shared" si="4"/>
        <v>28.714285714285715</v>
      </c>
      <c r="U12" s="17">
        <f t="shared" si="4"/>
        <v>22.857142857142854</v>
      </c>
      <c r="V12" s="17">
        <f t="shared" si="4"/>
        <v>24.857142857142858</v>
      </c>
      <c r="W12" s="17">
        <f t="shared" si="4"/>
        <v>3.5714285714285716</v>
      </c>
      <c r="X12" s="17">
        <f t="shared" si="4"/>
        <v>0</v>
      </c>
      <c r="Y12" s="17">
        <f t="shared" si="4"/>
        <v>7.5714285714285712</v>
      </c>
      <c r="Z12" s="17">
        <f t="shared" si="4"/>
        <v>7.7142857142857144</v>
      </c>
      <c r="AA12" s="17">
        <f t="shared" si="4"/>
        <v>4.8571428571428568</v>
      </c>
      <c r="AB12" s="17">
        <f t="shared" si="4"/>
        <v>10.428571428571429</v>
      </c>
      <c r="AC12" s="17">
        <f t="shared" si="4"/>
        <v>829.71428571428567</v>
      </c>
      <c r="AD12" s="17">
        <f t="shared" si="4"/>
        <v>0</v>
      </c>
      <c r="AE12" s="31">
        <f t="shared" si="4"/>
        <v>243.28571428571431</v>
      </c>
      <c r="AF12" s="31">
        <f t="shared" si="4"/>
        <v>1073</v>
      </c>
    </row>
    <row r="13" spans="2:32" ht="23.1" customHeight="1" x14ac:dyDescent="0.25">
      <c r="B13" s="23" t="s">
        <v>40</v>
      </c>
      <c r="C13" s="49">
        <f>AVERAGE('29.07 Spear Motors -URA'!C13,'30.07 Spear Motors-URA'!C13,'31.07 Spear Motors-URA'!C13,'02.08 Spear Motors-URA'!C13,'01.08 Spear Motors-URA-24h'!C13,'03.08 Spear Motors-URA-24h'!C13,'04.08 Spear Motors-URA'!C13)</f>
        <v>28.857142857142858</v>
      </c>
      <c r="D13" s="49">
        <f>AVERAGE('29.07 Spear Motors -URA'!D13,'30.07 Spear Motors-URA'!D13,'31.07 Spear Motors-URA'!D13,'02.08 Spear Motors-URA'!D13,'01.08 Spear Motors-URA-24h'!D13,'03.08 Spear Motors-URA-24h'!D13,'04.08 Spear Motors-URA'!D13)</f>
        <v>7.2857142857142856</v>
      </c>
      <c r="E13" s="49">
        <f>AVERAGE('29.07 Spear Motors -URA'!E13,'30.07 Spear Motors-URA'!E13,'31.07 Spear Motors-URA'!E13,'02.08 Spear Motors-URA'!E13,'01.08 Spear Motors-URA-24h'!E13,'03.08 Spear Motors-URA-24h'!E13,'04.08 Spear Motors-URA'!E13)</f>
        <v>5.1428571428571432</v>
      </c>
      <c r="F13" s="49">
        <f>AVERAGE('29.07 Spear Motors -URA'!F13,'30.07 Spear Motors-URA'!F13,'31.07 Spear Motors-URA'!F13,'02.08 Spear Motors-URA'!F13,'01.08 Spear Motors-URA-24h'!F13,'03.08 Spear Motors-URA-24h'!F13,'04.08 Spear Motors-URA'!F13)</f>
        <v>4.7142857142857144</v>
      </c>
      <c r="G13" s="49">
        <f>AVERAGE('29.07 Spear Motors -URA'!G13,'30.07 Spear Motors-URA'!G13,'31.07 Spear Motors-URA'!G13,'02.08 Spear Motors-URA'!G13,'01.08 Spear Motors-URA-24h'!G13,'03.08 Spear Motors-URA-24h'!G13,'04.08 Spear Motors-URA'!G13)</f>
        <v>0.5714285714285714</v>
      </c>
      <c r="H13" s="49">
        <f>AVERAGE('29.07 Spear Motors -URA'!H13,'30.07 Spear Motors-URA'!H13,'31.07 Spear Motors-URA'!H13,'02.08 Spear Motors-URA'!H13,'01.08 Spear Motors-URA-24h'!H13,'03.08 Spear Motors-URA-24h'!H13,'04.08 Spear Motors-URA'!H13)</f>
        <v>0</v>
      </c>
      <c r="I13" s="49">
        <f>AVERAGE('29.07 Spear Motors -URA'!I13,'30.07 Spear Motors-URA'!I13,'31.07 Spear Motors-URA'!I13,'02.08 Spear Motors-URA'!I13,'01.08 Spear Motors-URA-24h'!I13,'03.08 Spear Motors-URA-24h'!I13,'04.08 Spear Motors-URA'!I13)</f>
        <v>1.1428571428571428</v>
      </c>
      <c r="J13" s="49">
        <f>AVERAGE('29.07 Spear Motors -URA'!J13,'30.07 Spear Motors-URA'!J13,'31.07 Spear Motors-URA'!J13,'02.08 Spear Motors-URA'!J13,'01.08 Spear Motors-URA-24h'!J13,'03.08 Spear Motors-URA-24h'!J13,'04.08 Spear Motors-URA'!J13)</f>
        <v>1</v>
      </c>
      <c r="K13" s="49">
        <f>AVERAGE('29.07 Spear Motors -URA'!K13,'30.07 Spear Motors-URA'!K13,'31.07 Spear Motors-URA'!K13,'02.08 Spear Motors-URA'!K13,'01.08 Spear Motors-URA-24h'!K13,'03.08 Spear Motors-URA-24h'!K13,'04.08 Spear Motors-URA'!K13)</f>
        <v>0.8571428571428571</v>
      </c>
      <c r="L13" s="49">
        <f>AVERAGE('29.07 Spear Motors -URA'!L13,'30.07 Spear Motors-URA'!L13,'31.07 Spear Motors-URA'!L13,'02.08 Spear Motors-URA'!L13,'01.08 Spear Motors-URA-24h'!L13,'03.08 Spear Motors-URA-24h'!L13,'04.08 Spear Motors-URA'!L13)</f>
        <v>3.1428571428571428</v>
      </c>
      <c r="M13" s="49">
        <f>AVERAGE('29.07 Spear Motors -URA'!M13,'30.07 Spear Motors-URA'!M13,'31.07 Spear Motors-URA'!M13,'02.08 Spear Motors-URA'!M13,'01.08 Spear Motors-URA-24h'!M13,'03.08 Spear Motors-URA-24h'!M13,'04.08 Spear Motors-URA'!M13)</f>
        <v>212.14285714285714</v>
      </c>
      <c r="N13" s="49">
        <f>AVERAGE('29.07 Spear Motors -URA'!N13,'30.07 Spear Motors-URA'!N13,'31.07 Spear Motors-URA'!N13,'02.08 Spear Motors-URA'!N13,'01.08 Spear Motors-URA-24h'!N13,'03.08 Spear Motors-URA-24h'!N13,'04.08 Spear Motors-URA'!N13)</f>
        <v>0</v>
      </c>
      <c r="O13" s="15">
        <f t="shared" si="0"/>
        <v>52.714285714285722</v>
      </c>
      <c r="P13" s="15">
        <f t="shared" si="1"/>
        <v>264.85714285714289</v>
      </c>
      <c r="R13" s="1" t="s">
        <v>9</v>
      </c>
      <c r="S13" s="17">
        <f t="shared" ref="S13:AF13" si="5">SUM(C22:C25)</f>
        <v>121.57142857142858</v>
      </c>
      <c r="T13" s="17">
        <f t="shared" si="5"/>
        <v>30.285714285714288</v>
      </c>
      <c r="U13" s="17">
        <f t="shared" si="5"/>
        <v>24.571428571428573</v>
      </c>
      <c r="V13" s="17">
        <f t="shared" si="5"/>
        <v>23.857142857142861</v>
      </c>
      <c r="W13" s="17">
        <f t="shared" si="5"/>
        <v>4.8571428571428577</v>
      </c>
      <c r="X13" s="17">
        <f t="shared" si="5"/>
        <v>0.2857142857142857</v>
      </c>
      <c r="Y13" s="17">
        <f t="shared" si="5"/>
        <v>10.714285714285714</v>
      </c>
      <c r="Z13" s="17">
        <f t="shared" si="5"/>
        <v>6.8571428571428568</v>
      </c>
      <c r="AA13" s="17">
        <f t="shared" si="5"/>
        <v>7.2857142857142865</v>
      </c>
      <c r="AB13" s="17">
        <f t="shared" si="5"/>
        <v>13.571428571428569</v>
      </c>
      <c r="AC13" s="17">
        <f t="shared" si="5"/>
        <v>645.14285714285711</v>
      </c>
      <c r="AD13" s="17">
        <f t="shared" si="5"/>
        <v>0.14285714285714285</v>
      </c>
      <c r="AE13" s="31">
        <f t="shared" si="5"/>
        <v>244.00000000000003</v>
      </c>
      <c r="AF13" s="31">
        <f t="shared" si="5"/>
        <v>889.14285714285711</v>
      </c>
    </row>
    <row r="14" spans="2:32" ht="23.1" customHeight="1" x14ac:dyDescent="0.25">
      <c r="B14" s="23" t="s">
        <v>41</v>
      </c>
      <c r="C14" s="49">
        <f>AVERAGE('29.07 Spear Motors -URA'!C14,'30.07 Spear Motors-URA'!C14,'31.07 Spear Motors-URA'!C14,'02.08 Spear Motors-URA'!C14,'01.08 Spear Motors-URA-24h'!C14,'03.08 Spear Motors-URA-24h'!C14,'04.08 Spear Motors-URA'!C14)</f>
        <v>39.142857142857146</v>
      </c>
      <c r="D14" s="49">
        <f>AVERAGE('29.07 Spear Motors -URA'!D14,'30.07 Spear Motors-URA'!D14,'31.07 Spear Motors-URA'!D14,'02.08 Spear Motors-URA'!D14,'01.08 Spear Motors-URA-24h'!D14,'03.08 Spear Motors-URA-24h'!D14,'04.08 Spear Motors-URA'!D14)</f>
        <v>7.7142857142857144</v>
      </c>
      <c r="E14" s="49">
        <f>AVERAGE('29.07 Spear Motors -URA'!E14,'30.07 Spear Motors-URA'!E14,'31.07 Spear Motors-URA'!E14,'02.08 Spear Motors-URA'!E14,'01.08 Spear Motors-URA-24h'!E14,'03.08 Spear Motors-URA-24h'!E14,'04.08 Spear Motors-URA'!E14)</f>
        <v>6.1428571428571432</v>
      </c>
      <c r="F14" s="49">
        <f>AVERAGE('29.07 Spear Motors -URA'!F14,'30.07 Spear Motors-URA'!F14,'31.07 Spear Motors-URA'!F14,'02.08 Spear Motors-URA'!F14,'01.08 Spear Motors-URA-24h'!F14,'03.08 Spear Motors-URA-24h'!F14,'04.08 Spear Motors-URA'!F14)</f>
        <v>9</v>
      </c>
      <c r="G14" s="49">
        <f>AVERAGE('29.07 Spear Motors -URA'!G14,'30.07 Spear Motors-URA'!G14,'31.07 Spear Motors-URA'!G14,'02.08 Spear Motors-URA'!G14,'01.08 Spear Motors-URA-24h'!G14,'03.08 Spear Motors-URA-24h'!G14,'04.08 Spear Motors-URA'!G14)</f>
        <v>1.4285714285714286</v>
      </c>
      <c r="H14" s="49">
        <f>AVERAGE('29.07 Spear Motors -URA'!H14,'30.07 Spear Motors-URA'!H14,'31.07 Spear Motors-URA'!H14,'02.08 Spear Motors-URA'!H14,'01.08 Spear Motors-URA-24h'!H14,'03.08 Spear Motors-URA-24h'!H14,'04.08 Spear Motors-URA'!H14)</f>
        <v>0</v>
      </c>
      <c r="I14" s="49">
        <f>AVERAGE('29.07 Spear Motors -URA'!I14,'30.07 Spear Motors-URA'!I14,'31.07 Spear Motors-URA'!I14,'02.08 Spear Motors-URA'!I14,'01.08 Spear Motors-URA-24h'!I14,'03.08 Spear Motors-URA-24h'!I14,'04.08 Spear Motors-URA'!I14)</f>
        <v>1</v>
      </c>
      <c r="J14" s="49">
        <f>AVERAGE('29.07 Spear Motors -URA'!J14,'30.07 Spear Motors-URA'!J14,'31.07 Spear Motors-URA'!J14,'02.08 Spear Motors-URA'!J14,'01.08 Spear Motors-URA-24h'!J14,'03.08 Spear Motors-URA-24h'!J14,'04.08 Spear Motors-URA'!J14)</f>
        <v>0.7142857142857143</v>
      </c>
      <c r="K14" s="49">
        <f>AVERAGE('29.07 Spear Motors -URA'!K14,'30.07 Spear Motors-URA'!K14,'31.07 Spear Motors-URA'!K14,'02.08 Spear Motors-URA'!K14,'01.08 Spear Motors-URA-24h'!K14,'03.08 Spear Motors-URA-24h'!K14,'04.08 Spear Motors-URA'!K14)</f>
        <v>1.1428571428571428</v>
      </c>
      <c r="L14" s="49">
        <f>AVERAGE('29.07 Spear Motors -URA'!L14,'30.07 Spear Motors-URA'!L14,'31.07 Spear Motors-URA'!L14,'02.08 Spear Motors-URA'!L14,'01.08 Spear Motors-URA-24h'!L14,'03.08 Spear Motors-URA-24h'!L14,'04.08 Spear Motors-URA'!L14)</f>
        <v>2.2857142857142856</v>
      </c>
      <c r="M14" s="49">
        <f>AVERAGE('29.07 Spear Motors -URA'!M14,'30.07 Spear Motors-URA'!M14,'31.07 Spear Motors-URA'!M14,'02.08 Spear Motors-URA'!M14,'01.08 Spear Motors-URA-24h'!M14,'03.08 Spear Motors-URA-24h'!M14,'04.08 Spear Motors-URA'!M14)</f>
        <v>186.28571428571428</v>
      </c>
      <c r="N14" s="49">
        <f>AVERAGE('29.07 Spear Motors -URA'!N14,'30.07 Spear Motors-URA'!N14,'31.07 Spear Motors-URA'!N14,'02.08 Spear Motors-URA'!N14,'01.08 Spear Motors-URA-24h'!N14,'03.08 Spear Motors-URA-24h'!N14,'04.08 Spear Motors-URA'!N14)</f>
        <v>0</v>
      </c>
      <c r="O14" s="15">
        <f t="shared" si="0"/>
        <v>68.571428571428584</v>
      </c>
      <c r="P14" s="15">
        <f t="shared" si="1"/>
        <v>254.85714285714286</v>
      </c>
      <c r="R14" s="1" t="s">
        <v>10</v>
      </c>
      <c r="S14" s="17">
        <f t="shared" ref="S14:AF14" si="6">SUM(C26:C29)</f>
        <v>138.28571428571431</v>
      </c>
      <c r="T14" s="17">
        <f t="shared" si="6"/>
        <v>53.142857142857139</v>
      </c>
      <c r="U14" s="17">
        <f t="shared" si="6"/>
        <v>29.571428571428569</v>
      </c>
      <c r="V14" s="17">
        <f t="shared" si="6"/>
        <v>30.571428571428569</v>
      </c>
      <c r="W14" s="17">
        <f t="shared" si="6"/>
        <v>6.4285714285714288</v>
      </c>
      <c r="X14" s="17">
        <f t="shared" si="6"/>
        <v>0.2857142857142857</v>
      </c>
      <c r="Y14" s="17">
        <f t="shared" si="6"/>
        <v>10.142857142857142</v>
      </c>
      <c r="Z14" s="17">
        <f t="shared" si="6"/>
        <v>10.571428571428571</v>
      </c>
      <c r="AA14" s="17">
        <f t="shared" si="6"/>
        <v>11.571428571428573</v>
      </c>
      <c r="AB14" s="17">
        <f t="shared" si="6"/>
        <v>15.571428571428573</v>
      </c>
      <c r="AC14" s="17">
        <f t="shared" si="6"/>
        <v>559.71428571428567</v>
      </c>
      <c r="AD14" s="17">
        <f t="shared" si="6"/>
        <v>0.14285714285714285</v>
      </c>
      <c r="AE14" s="31">
        <f t="shared" si="6"/>
        <v>306.28571428571428</v>
      </c>
      <c r="AF14" s="31">
        <f t="shared" si="6"/>
        <v>866</v>
      </c>
    </row>
    <row r="15" spans="2:32" ht="23.1" customHeight="1" x14ac:dyDescent="0.25">
      <c r="B15" s="23" t="s">
        <v>42</v>
      </c>
      <c r="C15" s="49">
        <f>AVERAGE('29.07 Spear Motors -URA'!C15,'30.07 Spear Motors-URA'!C15,'31.07 Spear Motors-URA'!C15,'02.08 Spear Motors-URA'!C15,'01.08 Spear Motors-URA-24h'!C15,'03.08 Spear Motors-URA-24h'!C15,'04.08 Spear Motors-URA'!C15)</f>
        <v>37.142857142857146</v>
      </c>
      <c r="D15" s="49">
        <f>AVERAGE('29.07 Spear Motors -URA'!D15,'30.07 Spear Motors-URA'!D15,'31.07 Spear Motors-URA'!D15,'02.08 Spear Motors-URA'!D15,'01.08 Spear Motors-URA-24h'!D15,'03.08 Spear Motors-URA-24h'!D15,'04.08 Spear Motors-URA'!D15)</f>
        <v>8.1428571428571423</v>
      </c>
      <c r="E15" s="49">
        <f>AVERAGE('29.07 Spear Motors -URA'!E15,'30.07 Spear Motors-URA'!E15,'31.07 Spear Motors-URA'!E15,'02.08 Spear Motors-URA'!E15,'01.08 Spear Motors-URA-24h'!E15,'03.08 Spear Motors-URA-24h'!E15,'04.08 Spear Motors-URA'!E15)</f>
        <v>4.2857142857142856</v>
      </c>
      <c r="F15" s="49">
        <f>AVERAGE('29.07 Spear Motors -URA'!F15,'30.07 Spear Motors-URA'!F15,'31.07 Spear Motors-URA'!F15,'02.08 Spear Motors-URA'!F15,'01.08 Spear Motors-URA-24h'!F15,'03.08 Spear Motors-URA-24h'!F15,'04.08 Spear Motors-URA'!F15)</f>
        <v>8.8571428571428577</v>
      </c>
      <c r="G15" s="49">
        <f>AVERAGE('29.07 Spear Motors -URA'!G15,'30.07 Spear Motors-URA'!G15,'31.07 Spear Motors-URA'!G15,'02.08 Spear Motors-URA'!G15,'01.08 Spear Motors-URA-24h'!G15,'03.08 Spear Motors-URA-24h'!G15,'04.08 Spear Motors-URA'!G15)</f>
        <v>1.1428571428571428</v>
      </c>
      <c r="H15" s="49">
        <f>AVERAGE('29.07 Spear Motors -URA'!H15,'30.07 Spear Motors-URA'!H15,'31.07 Spear Motors-URA'!H15,'02.08 Spear Motors-URA'!H15,'01.08 Spear Motors-URA-24h'!H15,'03.08 Spear Motors-URA-24h'!H15,'04.08 Spear Motors-URA'!H15)</f>
        <v>0</v>
      </c>
      <c r="I15" s="49">
        <f>AVERAGE('29.07 Spear Motors -URA'!I15,'30.07 Spear Motors-URA'!I15,'31.07 Spear Motors-URA'!I15,'02.08 Spear Motors-URA'!I15,'01.08 Spear Motors-URA-24h'!I15,'03.08 Spear Motors-URA-24h'!I15,'04.08 Spear Motors-URA'!I15)</f>
        <v>1.8571428571428572</v>
      </c>
      <c r="J15" s="49">
        <f>AVERAGE('29.07 Spear Motors -URA'!J15,'30.07 Spear Motors-URA'!J15,'31.07 Spear Motors-URA'!J15,'02.08 Spear Motors-URA'!J15,'01.08 Spear Motors-URA-24h'!J15,'03.08 Spear Motors-URA-24h'!J15,'04.08 Spear Motors-URA'!J15)</f>
        <v>1</v>
      </c>
      <c r="K15" s="49">
        <f>AVERAGE('29.07 Spear Motors -URA'!K15,'30.07 Spear Motors-URA'!K15,'31.07 Spear Motors-URA'!K15,'02.08 Spear Motors-URA'!K15,'01.08 Spear Motors-URA-24h'!K15,'03.08 Spear Motors-URA-24h'!K15,'04.08 Spear Motors-URA'!K15)</f>
        <v>0.8571428571428571</v>
      </c>
      <c r="L15" s="49">
        <f>AVERAGE('29.07 Spear Motors -URA'!L15,'30.07 Spear Motors-URA'!L15,'31.07 Spear Motors-URA'!L15,'02.08 Spear Motors-URA'!L15,'01.08 Spear Motors-URA-24h'!L15,'03.08 Spear Motors-URA-24h'!L15,'04.08 Spear Motors-URA'!L15)</f>
        <v>3.4285714285714284</v>
      </c>
      <c r="M15" s="49">
        <f>AVERAGE('29.07 Spear Motors -URA'!M15,'30.07 Spear Motors-URA'!M15,'31.07 Spear Motors-URA'!M15,'02.08 Spear Motors-URA'!M15,'01.08 Spear Motors-URA-24h'!M15,'03.08 Spear Motors-URA-24h'!M15,'04.08 Spear Motors-URA'!M15)</f>
        <v>183.57142857142858</v>
      </c>
      <c r="N15" s="49">
        <f>AVERAGE('29.07 Spear Motors -URA'!N15,'30.07 Spear Motors-URA'!N15,'31.07 Spear Motors-URA'!N15,'02.08 Spear Motors-URA'!N15,'01.08 Spear Motors-URA-24h'!N15,'03.08 Spear Motors-URA-24h'!N15,'04.08 Spear Motors-URA'!N15)</f>
        <v>0</v>
      </c>
      <c r="O15" s="15">
        <f t="shared" si="0"/>
        <v>66.714285714285708</v>
      </c>
      <c r="P15" s="15">
        <f t="shared" si="1"/>
        <v>250.28571428571428</v>
      </c>
      <c r="R15" s="1" t="s">
        <v>11</v>
      </c>
      <c r="S15" s="17">
        <f t="shared" ref="S15:AF15" si="7">SUM(C30:C33)</f>
        <v>130.14285714285717</v>
      </c>
      <c r="T15" s="17">
        <f t="shared" si="7"/>
        <v>32.571428571428569</v>
      </c>
      <c r="U15" s="17">
        <f t="shared" si="7"/>
        <v>24.571428571428569</v>
      </c>
      <c r="V15" s="17">
        <f t="shared" si="7"/>
        <v>23.285714285714285</v>
      </c>
      <c r="W15" s="17">
        <f t="shared" si="7"/>
        <v>4.1428571428571432</v>
      </c>
      <c r="X15" s="17">
        <f t="shared" si="7"/>
        <v>0.14285714285714285</v>
      </c>
      <c r="Y15" s="17">
        <f t="shared" si="7"/>
        <v>11.428571428571429</v>
      </c>
      <c r="Z15" s="17">
        <f t="shared" si="7"/>
        <v>8.4285714285714288</v>
      </c>
      <c r="AA15" s="17">
        <f t="shared" si="7"/>
        <v>9.5714285714285712</v>
      </c>
      <c r="AB15" s="17">
        <f t="shared" si="7"/>
        <v>19</v>
      </c>
      <c r="AC15" s="17">
        <f t="shared" si="7"/>
        <v>423.42857142857144</v>
      </c>
      <c r="AD15" s="17">
        <f t="shared" si="7"/>
        <v>0</v>
      </c>
      <c r="AE15" s="31">
        <f t="shared" si="7"/>
        <v>263.28571428571433</v>
      </c>
      <c r="AF15" s="31">
        <f t="shared" si="7"/>
        <v>686.71428571428578</v>
      </c>
    </row>
    <row r="16" spans="2:32" ht="23.1" customHeight="1" x14ac:dyDescent="0.25">
      <c r="B16" s="23" t="s">
        <v>43</v>
      </c>
      <c r="C16" s="49">
        <f>AVERAGE('29.07 Spear Motors -URA'!C16,'30.07 Spear Motors-URA'!C16,'31.07 Spear Motors-URA'!C16,'02.08 Spear Motors-URA'!C16,'01.08 Spear Motors-URA-24h'!C16,'03.08 Spear Motors-URA-24h'!C16,'04.08 Spear Motors-URA'!C16)</f>
        <v>36.857142857142854</v>
      </c>
      <c r="D16" s="49">
        <f>AVERAGE('29.07 Spear Motors -URA'!D16,'30.07 Spear Motors-URA'!D16,'31.07 Spear Motors-URA'!D16,'02.08 Spear Motors-URA'!D16,'01.08 Spear Motors-URA-24h'!D16,'03.08 Spear Motors-URA-24h'!D16,'04.08 Spear Motors-URA'!D16)</f>
        <v>6.1428571428571432</v>
      </c>
      <c r="E16" s="49">
        <f>AVERAGE('29.07 Spear Motors -URA'!E16,'30.07 Spear Motors-URA'!E16,'31.07 Spear Motors-URA'!E16,'02.08 Spear Motors-URA'!E16,'01.08 Spear Motors-URA-24h'!E16,'03.08 Spear Motors-URA-24h'!E16,'04.08 Spear Motors-URA'!E16)</f>
        <v>4.2857142857142856</v>
      </c>
      <c r="F16" s="49">
        <f>AVERAGE('29.07 Spear Motors -URA'!F16,'30.07 Spear Motors-URA'!F16,'31.07 Spear Motors-URA'!F16,'02.08 Spear Motors-URA'!F16,'01.08 Spear Motors-URA-24h'!F16,'03.08 Spear Motors-URA-24h'!F16,'04.08 Spear Motors-URA'!F16)</f>
        <v>8.1428571428571423</v>
      </c>
      <c r="G16" s="49">
        <f>AVERAGE('29.07 Spear Motors -URA'!G16,'30.07 Spear Motors-URA'!G16,'31.07 Spear Motors-URA'!G16,'02.08 Spear Motors-URA'!G16,'01.08 Spear Motors-URA-24h'!G16,'03.08 Spear Motors-URA-24h'!G16,'04.08 Spear Motors-URA'!G16)</f>
        <v>1.4285714285714286</v>
      </c>
      <c r="H16" s="49">
        <f>AVERAGE('29.07 Spear Motors -URA'!H16,'30.07 Spear Motors-URA'!H16,'31.07 Spear Motors-URA'!H16,'02.08 Spear Motors-URA'!H16,'01.08 Spear Motors-URA-24h'!H16,'03.08 Spear Motors-URA-24h'!H16,'04.08 Spear Motors-URA'!H16)</f>
        <v>0</v>
      </c>
      <c r="I16" s="49">
        <f>AVERAGE('29.07 Spear Motors -URA'!I16,'30.07 Spear Motors-URA'!I16,'31.07 Spear Motors-URA'!I16,'02.08 Spear Motors-URA'!I16,'01.08 Spear Motors-URA-24h'!I16,'03.08 Spear Motors-URA-24h'!I16,'04.08 Spear Motors-URA'!I16)</f>
        <v>1.4285714285714286</v>
      </c>
      <c r="J16" s="49">
        <f>AVERAGE('29.07 Spear Motors -URA'!J16,'30.07 Spear Motors-URA'!J16,'31.07 Spear Motors-URA'!J16,'02.08 Spear Motors-URA'!J16,'01.08 Spear Motors-URA-24h'!J16,'03.08 Spear Motors-URA-24h'!J16,'04.08 Spear Motors-URA'!J16)</f>
        <v>0.2857142857142857</v>
      </c>
      <c r="K16" s="49">
        <f>AVERAGE('29.07 Spear Motors -URA'!K16,'30.07 Spear Motors-URA'!K16,'31.07 Spear Motors-URA'!K16,'02.08 Spear Motors-URA'!K16,'01.08 Spear Motors-URA-24h'!K16,'03.08 Spear Motors-URA-24h'!K16,'04.08 Spear Motors-URA'!K16)</f>
        <v>1.8571428571428572</v>
      </c>
      <c r="L16" s="49">
        <f>AVERAGE('29.07 Spear Motors -URA'!L16,'30.07 Spear Motors-URA'!L16,'31.07 Spear Motors-URA'!L16,'02.08 Spear Motors-URA'!L16,'01.08 Spear Motors-URA-24h'!L16,'03.08 Spear Motors-URA-24h'!L16,'04.08 Spear Motors-URA'!L16)</f>
        <v>2.2857142857142856</v>
      </c>
      <c r="M16" s="49">
        <f>AVERAGE('29.07 Spear Motors -URA'!M16,'30.07 Spear Motors-URA'!M16,'31.07 Spear Motors-URA'!M16,'02.08 Spear Motors-URA'!M16,'01.08 Spear Motors-URA-24h'!M16,'03.08 Spear Motors-URA-24h'!M16,'04.08 Spear Motors-URA'!M16)</f>
        <v>191.28571428571428</v>
      </c>
      <c r="N16" s="49">
        <f>AVERAGE('29.07 Spear Motors -URA'!N16,'30.07 Spear Motors-URA'!N16,'31.07 Spear Motors-URA'!N16,'02.08 Spear Motors-URA'!N16,'01.08 Spear Motors-URA-24h'!N16,'03.08 Spear Motors-URA-24h'!N16,'04.08 Spear Motors-URA'!N16)</f>
        <v>0</v>
      </c>
      <c r="O16" s="15">
        <f t="shared" si="0"/>
        <v>62.714285714285715</v>
      </c>
      <c r="P16" s="15">
        <f t="shared" si="1"/>
        <v>254</v>
      </c>
      <c r="R16" s="1" t="s">
        <v>12</v>
      </c>
      <c r="S16" s="17">
        <f t="shared" ref="S16:AF16" si="8">SUM(C34:C37)</f>
        <v>130.42857142857142</v>
      </c>
      <c r="T16" s="17">
        <f t="shared" si="8"/>
        <v>32.285714285714285</v>
      </c>
      <c r="U16" s="17">
        <f t="shared" si="8"/>
        <v>24.000000000000004</v>
      </c>
      <c r="V16" s="17">
        <f t="shared" si="8"/>
        <v>20</v>
      </c>
      <c r="W16" s="17">
        <f t="shared" si="8"/>
        <v>3.5714285714285712</v>
      </c>
      <c r="X16" s="17">
        <f t="shared" si="8"/>
        <v>0.42857142857142855</v>
      </c>
      <c r="Y16" s="17">
        <f t="shared" si="8"/>
        <v>10</v>
      </c>
      <c r="Z16" s="17">
        <f t="shared" si="8"/>
        <v>9.1428571428571423</v>
      </c>
      <c r="AA16" s="17">
        <f t="shared" si="8"/>
        <v>7.1428571428571432</v>
      </c>
      <c r="AB16" s="17">
        <f t="shared" si="8"/>
        <v>14.142857142857142</v>
      </c>
      <c r="AC16" s="17">
        <f t="shared" si="8"/>
        <v>386.85714285714283</v>
      </c>
      <c r="AD16" s="17">
        <f t="shared" si="8"/>
        <v>0.14285714285714285</v>
      </c>
      <c r="AE16" s="31">
        <f t="shared" si="8"/>
        <v>251.28571428571428</v>
      </c>
      <c r="AF16" s="31">
        <f t="shared" si="8"/>
        <v>638.14285714285711</v>
      </c>
    </row>
    <row r="17" spans="2:32" ht="23.1" customHeight="1" x14ac:dyDescent="0.25">
      <c r="B17" s="23" t="s">
        <v>44</v>
      </c>
      <c r="C17" s="49">
        <f>AVERAGE('29.07 Spear Motors -URA'!C17,'30.07 Spear Motors-URA'!C17,'31.07 Spear Motors-URA'!C17,'02.08 Spear Motors-URA'!C17,'01.08 Spear Motors-URA-24h'!C17,'03.08 Spear Motors-URA-24h'!C17,'04.08 Spear Motors-URA'!C17)</f>
        <v>36.285714285714285</v>
      </c>
      <c r="D17" s="49">
        <f>AVERAGE('29.07 Spear Motors -URA'!D17,'30.07 Spear Motors-URA'!D17,'31.07 Spear Motors-URA'!D17,'02.08 Spear Motors-URA'!D17,'01.08 Spear Motors-URA-24h'!D17,'03.08 Spear Motors-URA-24h'!D17,'04.08 Spear Motors-URA'!D17)</f>
        <v>5.8571428571428568</v>
      </c>
      <c r="E17" s="49">
        <f>AVERAGE('29.07 Spear Motors -URA'!E17,'30.07 Spear Motors-URA'!E17,'31.07 Spear Motors-URA'!E17,'02.08 Spear Motors-URA'!E17,'01.08 Spear Motors-URA-24h'!E17,'03.08 Spear Motors-URA-24h'!E17,'04.08 Spear Motors-URA'!E17)</f>
        <v>4.4285714285714288</v>
      </c>
      <c r="F17" s="49">
        <f>AVERAGE('29.07 Spear Motors -URA'!F17,'30.07 Spear Motors-URA'!F17,'31.07 Spear Motors-URA'!F17,'02.08 Spear Motors-URA'!F17,'01.08 Spear Motors-URA-24h'!F17,'03.08 Spear Motors-URA-24h'!F17,'04.08 Spear Motors-URA'!F17)</f>
        <v>8</v>
      </c>
      <c r="G17" s="49">
        <f>AVERAGE('29.07 Spear Motors -URA'!G17,'30.07 Spear Motors-URA'!G17,'31.07 Spear Motors-URA'!G17,'02.08 Spear Motors-URA'!G17,'01.08 Spear Motors-URA-24h'!G17,'03.08 Spear Motors-URA-24h'!G17,'04.08 Spear Motors-URA'!G17)</f>
        <v>1.2857142857142858</v>
      </c>
      <c r="H17" s="49">
        <f>AVERAGE('29.07 Spear Motors -URA'!H17,'30.07 Spear Motors-URA'!H17,'31.07 Spear Motors-URA'!H17,'02.08 Spear Motors-URA'!H17,'01.08 Spear Motors-URA-24h'!H17,'03.08 Spear Motors-URA-24h'!H17,'04.08 Spear Motors-URA'!H17)</f>
        <v>0</v>
      </c>
      <c r="I17" s="49">
        <f>AVERAGE('29.07 Spear Motors -URA'!I17,'30.07 Spear Motors-URA'!I17,'31.07 Spear Motors-URA'!I17,'02.08 Spear Motors-URA'!I17,'01.08 Spear Motors-URA-24h'!I17,'03.08 Spear Motors-URA-24h'!I17,'04.08 Spear Motors-URA'!I17)</f>
        <v>1.8571428571428572</v>
      </c>
      <c r="J17" s="49">
        <f>AVERAGE('29.07 Spear Motors -URA'!J17,'30.07 Spear Motors-URA'!J17,'31.07 Spear Motors-URA'!J17,'02.08 Spear Motors-URA'!J17,'01.08 Spear Motors-URA-24h'!J17,'03.08 Spear Motors-URA-24h'!J17,'04.08 Spear Motors-URA'!J17)</f>
        <v>2.1428571428571428</v>
      </c>
      <c r="K17" s="49">
        <f>AVERAGE('29.07 Spear Motors -URA'!K17,'30.07 Spear Motors-URA'!K17,'31.07 Spear Motors-URA'!K17,'02.08 Spear Motors-URA'!K17,'01.08 Spear Motors-URA-24h'!K17,'03.08 Spear Motors-URA-24h'!K17,'04.08 Spear Motors-URA'!K17)</f>
        <v>2.7142857142857144</v>
      </c>
      <c r="L17" s="49">
        <f>AVERAGE('29.07 Spear Motors -URA'!L17,'30.07 Spear Motors-URA'!L17,'31.07 Spear Motors-URA'!L17,'02.08 Spear Motors-URA'!L17,'01.08 Spear Motors-URA-24h'!L17,'03.08 Spear Motors-URA-24h'!L17,'04.08 Spear Motors-URA'!L17)</f>
        <v>3.1428571428571428</v>
      </c>
      <c r="M17" s="49">
        <f>AVERAGE('29.07 Spear Motors -URA'!M17,'30.07 Spear Motors-URA'!M17,'31.07 Spear Motors-URA'!M17,'02.08 Spear Motors-URA'!M17,'01.08 Spear Motors-URA-24h'!M17,'03.08 Spear Motors-URA-24h'!M17,'04.08 Spear Motors-URA'!M17)</f>
        <v>161.57142857142858</v>
      </c>
      <c r="N17" s="49">
        <f>AVERAGE('29.07 Spear Motors -URA'!N17,'30.07 Spear Motors-URA'!N17,'31.07 Spear Motors-URA'!N17,'02.08 Spear Motors-URA'!N17,'01.08 Spear Motors-URA-24h'!N17,'03.08 Spear Motors-URA-24h'!N17,'04.08 Spear Motors-URA'!N17)</f>
        <v>0</v>
      </c>
      <c r="O17" s="15">
        <f t="shared" si="0"/>
        <v>65.714285714285708</v>
      </c>
      <c r="P17" s="15">
        <f t="shared" si="1"/>
        <v>227.28571428571428</v>
      </c>
      <c r="R17" s="1" t="s">
        <v>13</v>
      </c>
      <c r="S17" s="17">
        <f t="shared" ref="S17:AF17" si="9">SUM(C38:C41)</f>
        <v>130.42857142857142</v>
      </c>
      <c r="T17" s="17">
        <f t="shared" si="9"/>
        <v>42.714285714285715</v>
      </c>
      <c r="U17" s="17">
        <f t="shared" si="9"/>
        <v>26.285714285714285</v>
      </c>
      <c r="V17" s="17">
        <f t="shared" si="9"/>
        <v>15.714285714285712</v>
      </c>
      <c r="W17" s="17">
        <f t="shared" si="9"/>
        <v>4.8571428571428568</v>
      </c>
      <c r="X17" s="17">
        <f t="shared" si="9"/>
        <v>0</v>
      </c>
      <c r="Y17" s="17">
        <f t="shared" si="9"/>
        <v>11.142857142857142</v>
      </c>
      <c r="Z17" s="17">
        <f t="shared" si="9"/>
        <v>9.5714285714285712</v>
      </c>
      <c r="AA17" s="17">
        <f t="shared" si="9"/>
        <v>6.8571428571428568</v>
      </c>
      <c r="AB17" s="17">
        <f t="shared" si="9"/>
        <v>11.857142857142858</v>
      </c>
      <c r="AC17" s="17">
        <f t="shared" si="9"/>
        <v>347.28571428571433</v>
      </c>
      <c r="AD17" s="17">
        <f t="shared" si="9"/>
        <v>0</v>
      </c>
      <c r="AE17" s="31">
        <f t="shared" si="9"/>
        <v>259.42857142857144</v>
      </c>
      <c r="AF17" s="31">
        <f t="shared" si="9"/>
        <v>606.71428571428578</v>
      </c>
    </row>
    <row r="18" spans="2:32" ht="23.1" customHeight="1" x14ac:dyDescent="0.25">
      <c r="B18" s="23" t="s">
        <v>45</v>
      </c>
      <c r="C18" s="49">
        <f>AVERAGE('29.07 Spear Motors -URA'!C18,'30.07 Spear Motors-URA'!C18,'31.07 Spear Motors-URA'!C18,'02.08 Spear Motors-URA'!C18,'01.08 Spear Motors-URA-24h'!C18,'03.08 Spear Motors-URA-24h'!C18,'04.08 Spear Motors-URA'!C18)</f>
        <v>35.285714285714285</v>
      </c>
      <c r="D18" s="49">
        <f>AVERAGE('29.07 Spear Motors -URA'!D18,'30.07 Spear Motors-URA'!D18,'31.07 Spear Motors-URA'!D18,'02.08 Spear Motors-URA'!D18,'01.08 Spear Motors-URA-24h'!D18,'03.08 Spear Motors-URA-24h'!D18,'04.08 Spear Motors-URA'!D18)</f>
        <v>6.7142857142857144</v>
      </c>
      <c r="E18" s="49">
        <f>AVERAGE('29.07 Spear Motors -URA'!E18,'30.07 Spear Motors-URA'!E18,'31.07 Spear Motors-URA'!E18,'02.08 Spear Motors-URA'!E18,'01.08 Spear Motors-URA-24h'!E18,'03.08 Spear Motors-URA-24h'!E18,'04.08 Spear Motors-URA'!E18)</f>
        <v>5.2857142857142856</v>
      </c>
      <c r="F18" s="49">
        <f>AVERAGE('29.07 Spear Motors -URA'!F18,'30.07 Spear Motors-URA'!F18,'31.07 Spear Motors-URA'!F18,'02.08 Spear Motors-URA'!F18,'01.08 Spear Motors-URA-24h'!F18,'03.08 Spear Motors-URA-24h'!F18,'04.08 Spear Motors-URA'!F18)</f>
        <v>6.4285714285714288</v>
      </c>
      <c r="G18" s="49">
        <f>AVERAGE('29.07 Spear Motors -URA'!G18,'30.07 Spear Motors-URA'!G18,'31.07 Spear Motors-URA'!G18,'02.08 Spear Motors-URA'!G18,'01.08 Spear Motors-URA-24h'!G18,'03.08 Spear Motors-URA-24h'!G18,'04.08 Spear Motors-URA'!G18)</f>
        <v>1</v>
      </c>
      <c r="H18" s="49">
        <f>AVERAGE('29.07 Spear Motors -URA'!H18,'30.07 Spear Motors-URA'!H18,'31.07 Spear Motors-URA'!H18,'02.08 Spear Motors-URA'!H18,'01.08 Spear Motors-URA-24h'!H18,'03.08 Spear Motors-URA-24h'!H18,'04.08 Spear Motors-URA'!H18)</f>
        <v>0</v>
      </c>
      <c r="I18" s="49">
        <f>AVERAGE('29.07 Spear Motors -URA'!I18,'30.07 Spear Motors-URA'!I18,'31.07 Spear Motors-URA'!I18,'02.08 Spear Motors-URA'!I18,'01.08 Spear Motors-URA-24h'!I18,'03.08 Spear Motors-URA-24h'!I18,'04.08 Spear Motors-URA'!I18)</f>
        <v>1.8571428571428572</v>
      </c>
      <c r="J18" s="49">
        <f>AVERAGE('29.07 Spear Motors -URA'!J18,'30.07 Spear Motors-URA'!J18,'31.07 Spear Motors-URA'!J18,'02.08 Spear Motors-URA'!J18,'01.08 Spear Motors-URA-24h'!J18,'03.08 Spear Motors-URA-24h'!J18,'04.08 Spear Motors-URA'!J18)</f>
        <v>2.8571428571428572</v>
      </c>
      <c r="K18" s="49">
        <f>AVERAGE('29.07 Spear Motors -URA'!K18,'30.07 Spear Motors-URA'!K18,'31.07 Spear Motors-URA'!K18,'02.08 Spear Motors-URA'!K18,'01.08 Spear Motors-URA-24h'!K18,'03.08 Spear Motors-URA-24h'!K18,'04.08 Spear Motors-URA'!K18)</f>
        <v>0.5714285714285714</v>
      </c>
      <c r="L18" s="49">
        <f>AVERAGE('29.07 Spear Motors -URA'!L18,'30.07 Spear Motors-URA'!L18,'31.07 Spear Motors-URA'!L18,'02.08 Spear Motors-URA'!L18,'01.08 Spear Motors-URA-24h'!L18,'03.08 Spear Motors-URA-24h'!L18,'04.08 Spear Motors-URA'!L18)</f>
        <v>1.8571428571428572</v>
      </c>
      <c r="M18" s="49">
        <f>AVERAGE('29.07 Spear Motors -URA'!M18,'30.07 Spear Motors-URA'!M18,'31.07 Spear Motors-URA'!M18,'02.08 Spear Motors-URA'!M18,'01.08 Spear Motors-URA-24h'!M18,'03.08 Spear Motors-URA-24h'!M18,'04.08 Spear Motors-URA'!M18)</f>
        <v>207.57142857142858</v>
      </c>
      <c r="N18" s="49">
        <f>AVERAGE('29.07 Spear Motors -URA'!N18,'30.07 Spear Motors-URA'!N18,'31.07 Spear Motors-URA'!N18,'02.08 Spear Motors-URA'!N18,'01.08 Spear Motors-URA-24h'!N18,'03.08 Spear Motors-URA-24h'!N18,'04.08 Spear Motors-URA'!N18)</f>
        <v>0</v>
      </c>
      <c r="O18" s="15">
        <f t="shared" si="0"/>
        <v>61.857142857142847</v>
      </c>
      <c r="P18" s="15">
        <f t="shared" si="1"/>
        <v>269.42857142857144</v>
      </c>
      <c r="R18" s="1" t="s">
        <v>14</v>
      </c>
      <c r="S18" s="17">
        <f t="shared" ref="S18:AF18" si="10">SUM(C42:C45)</f>
        <v>139.57142857142858</v>
      </c>
      <c r="T18" s="17">
        <f t="shared" si="10"/>
        <v>29.142857142857146</v>
      </c>
      <c r="U18" s="17">
        <f t="shared" si="10"/>
        <v>24.857142857142858</v>
      </c>
      <c r="V18" s="17">
        <f t="shared" si="10"/>
        <v>20.285714285714285</v>
      </c>
      <c r="W18" s="17">
        <f t="shared" si="10"/>
        <v>5.4285714285714288</v>
      </c>
      <c r="X18" s="17">
        <f t="shared" si="10"/>
        <v>0</v>
      </c>
      <c r="Y18" s="17">
        <f t="shared" si="10"/>
        <v>9.8571428571428577</v>
      </c>
      <c r="Z18" s="17">
        <f t="shared" si="10"/>
        <v>9.1428571428571423</v>
      </c>
      <c r="AA18" s="17">
        <f t="shared" si="10"/>
        <v>7.4285714285714279</v>
      </c>
      <c r="AB18" s="17">
        <f t="shared" si="10"/>
        <v>21.857142857142854</v>
      </c>
      <c r="AC18" s="17">
        <f t="shared" si="10"/>
        <v>373.14285714285717</v>
      </c>
      <c r="AD18" s="17">
        <f t="shared" si="10"/>
        <v>0</v>
      </c>
      <c r="AE18" s="31">
        <f t="shared" si="10"/>
        <v>267.57142857142856</v>
      </c>
      <c r="AF18" s="31">
        <f t="shared" si="10"/>
        <v>640.71428571428567</v>
      </c>
    </row>
    <row r="19" spans="2:32" ht="23.1" customHeight="1" x14ac:dyDescent="0.25">
      <c r="B19" s="23" t="s">
        <v>46</v>
      </c>
      <c r="C19" s="49">
        <f>AVERAGE('29.07 Spear Motors -URA'!C19,'30.07 Spear Motors-URA'!C19,'31.07 Spear Motors-URA'!C19,'02.08 Spear Motors-URA'!C19,'01.08 Spear Motors-URA-24h'!C19,'03.08 Spear Motors-URA-24h'!C19,'04.08 Spear Motors-URA'!C19)</f>
        <v>35.571428571428569</v>
      </c>
      <c r="D19" s="49">
        <f>AVERAGE('29.07 Spear Motors -URA'!D19,'30.07 Spear Motors-URA'!D19,'31.07 Spear Motors-URA'!D19,'02.08 Spear Motors-URA'!D19,'01.08 Spear Motors-URA-24h'!D19,'03.08 Spear Motors-URA-24h'!D19,'04.08 Spear Motors-URA'!D19)</f>
        <v>6.4285714285714288</v>
      </c>
      <c r="E19" s="49">
        <f>AVERAGE('29.07 Spear Motors -URA'!E19,'30.07 Spear Motors-URA'!E19,'31.07 Spear Motors-URA'!E19,'02.08 Spear Motors-URA'!E19,'01.08 Spear Motors-URA-24h'!E19,'03.08 Spear Motors-URA-24h'!E19,'04.08 Spear Motors-URA'!E19)</f>
        <v>5.8571428571428568</v>
      </c>
      <c r="F19" s="49">
        <f>AVERAGE('29.07 Spear Motors -URA'!F19,'30.07 Spear Motors-URA'!F19,'31.07 Spear Motors-URA'!F19,'02.08 Spear Motors-URA'!F19,'01.08 Spear Motors-URA-24h'!F19,'03.08 Spear Motors-URA-24h'!F19,'04.08 Spear Motors-URA'!F19)</f>
        <v>6.4285714285714288</v>
      </c>
      <c r="G19" s="49">
        <f>AVERAGE('29.07 Spear Motors -URA'!G19,'30.07 Spear Motors-URA'!G19,'31.07 Spear Motors-URA'!G19,'02.08 Spear Motors-URA'!G19,'01.08 Spear Motors-URA-24h'!G19,'03.08 Spear Motors-URA-24h'!G19,'04.08 Spear Motors-URA'!G19)</f>
        <v>0.42857142857142855</v>
      </c>
      <c r="H19" s="49">
        <f>AVERAGE('29.07 Spear Motors -URA'!H19,'30.07 Spear Motors-URA'!H19,'31.07 Spear Motors-URA'!H19,'02.08 Spear Motors-URA'!H19,'01.08 Spear Motors-URA-24h'!H19,'03.08 Spear Motors-URA-24h'!H19,'04.08 Spear Motors-URA'!H19)</f>
        <v>0</v>
      </c>
      <c r="I19" s="49">
        <f>AVERAGE('29.07 Spear Motors -URA'!I19,'30.07 Spear Motors-URA'!I19,'31.07 Spear Motors-URA'!I19,'02.08 Spear Motors-URA'!I19,'01.08 Spear Motors-URA-24h'!I19,'03.08 Spear Motors-URA-24h'!I19,'04.08 Spear Motors-URA'!I19)</f>
        <v>2</v>
      </c>
      <c r="J19" s="49">
        <f>AVERAGE('29.07 Spear Motors -URA'!J19,'30.07 Spear Motors-URA'!J19,'31.07 Spear Motors-URA'!J19,'02.08 Spear Motors-URA'!J19,'01.08 Spear Motors-URA-24h'!J19,'03.08 Spear Motors-URA-24h'!J19,'04.08 Spear Motors-URA'!J19)</f>
        <v>1.5714285714285714</v>
      </c>
      <c r="K19" s="49">
        <f>AVERAGE('29.07 Spear Motors -URA'!K19,'30.07 Spear Motors-URA'!K19,'31.07 Spear Motors-URA'!K19,'02.08 Spear Motors-URA'!K19,'01.08 Spear Motors-URA-24h'!K19,'03.08 Spear Motors-URA-24h'!K19,'04.08 Spear Motors-URA'!K19)</f>
        <v>1.1428571428571428</v>
      </c>
      <c r="L19" s="49">
        <f>AVERAGE('29.07 Spear Motors -URA'!L19,'30.07 Spear Motors-URA'!L19,'31.07 Spear Motors-URA'!L19,'02.08 Spear Motors-URA'!L19,'01.08 Spear Motors-URA-24h'!L19,'03.08 Spear Motors-URA-24h'!L19,'04.08 Spear Motors-URA'!L19)</f>
        <v>2.1428571428571428</v>
      </c>
      <c r="M19" s="49">
        <f>AVERAGE('29.07 Spear Motors -URA'!M19,'30.07 Spear Motors-URA'!M19,'31.07 Spear Motors-URA'!M19,'02.08 Spear Motors-URA'!M19,'01.08 Spear Motors-URA-24h'!M19,'03.08 Spear Motors-URA-24h'!M19,'04.08 Spear Motors-URA'!M19)</f>
        <v>230</v>
      </c>
      <c r="N19" s="49">
        <f>AVERAGE('29.07 Spear Motors -URA'!N19,'30.07 Spear Motors-URA'!N19,'31.07 Spear Motors-URA'!N19,'02.08 Spear Motors-URA'!N19,'01.08 Spear Motors-URA-24h'!N19,'03.08 Spear Motors-URA-24h'!N19,'04.08 Spear Motors-URA'!N19)</f>
        <v>0</v>
      </c>
      <c r="O19" s="15">
        <f t="shared" si="0"/>
        <v>61.571428571428577</v>
      </c>
      <c r="P19" s="15">
        <f t="shared" si="1"/>
        <v>291.57142857142856</v>
      </c>
      <c r="R19" s="1" t="s">
        <v>15</v>
      </c>
      <c r="S19" s="17">
        <f t="shared" ref="S19:AF19" si="11">SUM(C46:C49)</f>
        <v>133.14285714285717</v>
      </c>
      <c r="T19" s="17">
        <f t="shared" si="11"/>
        <v>32</v>
      </c>
      <c r="U19" s="17">
        <f t="shared" si="11"/>
        <v>27.857142857142858</v>
      </c>
      <c r="V19" s="17">
        <f t="shared" si="11"/>
        <v>22.428571428571431</v>
      </c>
      <c r="W19" s="17">
        <f t="shared" si="11"/>
        <v>4.1428571428571423</v>
      </c>
      <c r="X19" s="17">
        <f t="shared" si="11"/>
        <v>0</v>
      </c>
      <c r="Y19" s="17">
        <f t="shared" si="11"/>
        <v>10.857142857142856</v>
      </c>
      <c r="Z19" s="17">
        <f t="shared" si="11"/>
        <v>9</v>
      </c>
      <c r="AA19" s="17">
        <f t="shared" si="11"/>
        <v>6.1428571428571423</v>
      </c>
      <c r="AB19" s="17">
        <f t="shared" si="11"/>
        <v>17</v>
      </c>
      <c r="AC19" s="17">
        <f t="shared" si="11"/>
        <v>380.57142857142856</v>
      </c>
      <c r="AD19" s="17">
        <f t="shared" si="11"/>
        <v>0</v>
      </c>
      <c r="AE19" s="31">
        <f t="shared" si="11"/>
        <v>262.57142857142861</v>
      </c>
      <c r="AF19" s="31">
        <f t="shared" si="11"/>
        <v>643.14285714285711</v>
      </c>
    </row>
    <row r="20" spans="2:32" ht="23.1" customHeight="1" x14ac:dyDescent="0.25">
      <c r="B20" s="23" t="s">
        <v>47</v>
      </c>
      <c r="C20" s="49">
        <f>AVERAGE('29.07 Spear Motors -URA'!C20,'30.07 Spear Motors-URA'!C20,'31.07 Spear Motors-URA'!C20,'02.08 Spear Motors-URA'!C20,'01.08 Spear Motors-URA-24h'!C20,'03.08 Spear Motors-URA-24h'!C20,'04.08 Spear Motors-URA'!C20)</f>
        <v>32.142857142857146</v>
      </c>
      <c r="D20" s="49">
        <f>AVERAGE('29.07 Spear Motors -URA'!D20,'30.07 Spear Motors-URA'!D20,'31.07 Spear Motors-URA'!D20,'02.08 Spear Motors-URA'!D20,'01.08 Spear Motors-URA-24h'!D20,'03.08 Spear Motors-URA-24h'!D20,'04.08 Spear Motors-URA'!D20)</f>
        <v>6.8571428571428568</v>
      </c>
      <c r="E20" s="49">
        <f>AVERAGE('29.07 Spear Motors -URA'!E20,'30.07 Spear Motors-URA'!E20,'31.07 Spear Motors-URA'!E20,'02.08 Spear Motors-URA'!E20,'01.08 Spear Motors-URA-24h'!E20,'03.08 Spear Motors-URA-24h'!E20,'04.08 Spear Motors-URA'!E20)</f>
        <v>6.4285714285714288</v>
      </c>
      <c r="F20" s="49">
        <f>AVERAGE('29.07 Spear Motors -URA'!F20,'30.07 Spear Motors-URA'!F20,'31.07 Spear Motors-URA'!F20,'02.08 Spear Motors-URA'!F20,'01.08 Spear Motors-URA-24h'!F20,'03.08 Spear Motors-URA-24h'!F20,'04.08 Spear Motors-URA'!F20)</f>
        <v>6.7142857142857144</v>
      </c>
      <c r="G20" s="49">
        <f>AVERAGE('29.07 Spear Motors -URA'!G20,'30.07 Spear Motors-URA'!G20,'31.07 Spear Motors-URA'!G20,'02.08 Spear Motors-URA'!G20,'01.08 Spear Motors-URA-24h'!G20,'03.08 Spear Motors-URA-24h'!G20,'04.08 Spear Motors-URA'!G20)</f>
        <v>1</v>
      </c>
      <c r="H20" s="49">
        <f>AVERAGE('29.07 Spear Motors -URA'!H20,'30.07 Spear Motors-URA'!H20,'31.07 Spear Motors-URA'!H20,'02.08 Spear Motors-URA'!H20,'01.08 Spear Motors-URA-24h'!H20,'03.08 Spear Motors-URA-24h'!H20,'04.08 Spear Motors-URA'!H20)</f>
        <v>0</v>
      </c>
      <c r="I20" s="49">
        <f>AVERAGE('29.07 Spear Motors -URA'!I20,'30.07 Spear Motors-URA'!I20,'31.07 Spear Motors-URA'!I20,'02.08 Spear Motors-URA'!I20,'01.08 Spear Motors-URA-24h'!I20,'03.08 Spear Motors-URA-24h'!I20,'04.08 Spear Motors-URA'!I20)</f>
        <v>1.7142857142857142</v>
      </c>
      <c r="J20" s="49">
        <f>AVERAGE('29.07 Spear Motors -URA'!J20,'30.07 Spear Motors-URA'!J20,'31.07 Spear Motors-URA'!J20,'02.08 Spear Motors-URA'!J20,'01.08 Spear Motors-URA-24h'!J20,'03.08 Spear Motors-URA-24h'!J20,'04.08 Spear Motors-URA'!J20)</f>
        <v>1.7142857142857142</v>
      </c>
      <c r="K20" s="49">
        <f>AVERAGE('29.07 Spear Motors -URA'!K20,'30.07 Spear Motors-URA'!K20,'31.07 Spear Motors-URA'!K20,'02.08 Spear Motors-URA'!K20,'01.08 Spear Motors-URA-24h'!K20,'03.08 Spear Motors-URA-24h'!K20,'04.08 Spear Motors-URA'!K20)</f>
        <v>1.4285714285714286</v>
      </c>
      <c r="L20" s="49">
        <f>AVERAGE('29.07 Spear Motors -URA'!L20,'30.07 Spear Motors-URA'!L20,'31.07 Spear Motors-URA'!L20,'02.08 Spear Motors-URA'!L20,'01.08 Spear Motors-URA-24h'!L20,'03.08 Spear Motors-URA-24h'!L20,'04.08 Spear Motors-URA'!L20)</f>
        <v>3.2857142857142856</v>
      </c>
      <c r="M20" s="49">
        <f>AVERAGE('29.07 Spear Motors -URA'!M20,'30.07 Spear Motors-URA'!M20,'31.07 Spear Motors-URA'!M20,'02.08 Spear Motors-URA'!M20,'01.08 Spear Motors-URA-24h'!M20,'03.08 Spear Motors-URA-24h'!M20,'04.08 Spear Motors-URA'!M20)</f>
        <v>212</v>
      </c>
      <c r="N20" s="49">
        <f>AVERAGE('29.07 Spear Motors -URA'!N20,'30.07 Spear Motors-URA'!N20,'31.07 Spear Motors-URA'!N20,'02.08 Spear Motors-URA'!N20,'01.08 Spear Motors-URA-24h'!N20,'03.08 Spear Motors-URA-24h'!N20,'04.08 Spear Motors-URA'!N20)</f>
        <v>0</v>
      </c>
      <c r="O20" s="15">
        <f t="shared" si="0"/>
        <v>61.285714285714292</v>
      </c>
      <c r="P20" s="15">
        <f t="shared" si="1"/>
        <v>273.28571428571428</v>
      </c>
      <c r="R20" s="1" t="s">
        <v>16</v>
      </c>
      <c r="S20" s="17">
        <f t="shared" ref="S20:AF20" si="12">SUM(C50:C53)</f>
        <v>132.71428571428572</v>
      </c>
      <c r="T20" s="17">
        <f t="shared" si="12"/>
        <v>30.857142857142858</v>
      </c>
      <c r="U20" s="17">
        <f t="shared" si="12"/>
        <v>24.571428571428573</v>
      </c>
      <c r="V20" s="17">
        <f t="shared" si="12"/>
        <v>13.142857142857142</v>
      </c>
      <c r="W20" s="17">
        <f t="shared" si="12"/>
        <v>3.8571428571428577</v>
      </c>
      <c r="X20" s="17">
        <f t="shared" si="12"/>
        <v>0</v>
      </c>
      <c r="Y20" s="17">
        <f t="shared" si="12"/>
        <v>7.2857142857142856</v>
      </c>
      <c r="Z20" s="17">
        <f t="shared" si="12"/>
        <v>7</v>
      </c>
      <c r="AA20" s="17">
        <f t="shared" si="12"/>
        <v>4.8571428571428568</v>
      </c>
      <c r="AB20" s="17">
        <f t="shared" si="12"/>
        <v>15.857142857142858</v>
      </c>
      <c r="AC20" s="17">
        <f t="shared" si="12"/>
        <v>423.42857142857144</v>
      </c>
      <c r="AD20" s="17">
        <f t="shared" si="12"/>
        <v>0</v>
      </c>
      <c r="AE20" s="31">
        <f t="shared" si="12"/>
        <v>240.14285714285717</v>
      </c>
      <c r="AF20" s="31">
        <f t="shared" si="12"/>
        <v>663.57142857142856</v>
      </c>
    </row>
    <row r="21" spans="2:32" ht="23.1" customHeight="1" x14ac:dyDescent="0.25">
      <c r="B21" s="23" t="s">
        <v>48</v>
      </c>
      <c r="C21" s="49">
        <f>AVERAGE('29.07 Spear Motors -URA'!C21,'30.07 Spear Motors-URA'!C21,'31.07 Spear Motors-URA'!C21,'02.08 Spear Motors-URA'!C21,'01.08 Spear Motors-URA-24h'!C21,'03.08 Spear Motors-URA-24h'!C21,'04.08 Spear Motors-URA'!C21)</f>
        <v>29.714285714285715</v>
      </c>
      <c r="D21" s="49">
        <f>AVERAGE('29.07 Spear Motors -URA'!D21,'30.07 Spear Motors-URA'!D21,'31.07 Spear Motors-URA'!D21,'02.08 Spear Motors-URA'!D21,'01.08 Spear Motors-URA-24h'!D21,'03.08 Spear Motors-URA-24h'!D21,'04.08 Spear Motors-URA'!D21)</f>
        <v>8.7142857142857135</v>
      </c>
      <c r="E21" s="49">
        <f>AVERAGE('29.07 Spear Motors -URA'!E21,'30.07 Spear Motors-URA'!E21,'31.07 Spear Motors-URA'!E21,'02.08 Spear Motors-URA'!E21,'01.08 Spear Motors-URA-24h'!E21,'03.08 Spear Motors-URA-24h'!E21,'04.08 Spear Motors-URA'!E21)</f>
        <v>5.2857142857142856</v>
      </c>
      <c r="F21" s="49">
        <f>AVERAGE('29.07 Spear Motors -URA'!F21,'30.07 Spear Motors-URA'!F21,'31.07 Spear Motors-URA'!F21,'02.08 Spear Motors-URA'!F21,'01.08 Spear Motors-URA-24h'!F21,'03.08 Spear Motors-URA-24h'!F21,'04.08 Spear Motors-URA'!F21)</f>
        <v>5.2857142857142856</v>
      </c>
      <c r="G21" s="49">
        <f>AVERAGE('29.07 Spear Motors -URA'!G21,'30.07 Spear Motors-URA'!G21,'31.07 Spear Motors-URA'!G21,'02.08 Spear Motors-URA'!G21,'01.08 Spear Motors-URA-24h'!G21,'03.08 Spear Motors-URA-24h'!G21,'04.08 Spear Motors-URA'!G21)</f>
        <v>1.1428571428571428</v>
      </c>
      <c r="H21" s="49">
        <f>AVERAGE('29.07 Spear Motors -URA'!H21,'30.07 Spear Motors-URA'!H21,'31.07 Spear Motors-URA'!H21,'02.08 Spear Motors-URA'!H21,'01.08 Spear Motors-URA-24h'!H21,'03.08 Spear Motors-URA-24h'!H21,'04.08 Spear Motors-URA'!H21)</f>
        <v>0</v>
      </c>
      <c r="I21" s="49">
        <f>AVERAGE('29.07 Spear Motors -URA'!I21,'30.07 Spear Motors-URA'!I21,'31.07 Spear Motors-URA'!I21,'02.08 Spear Motors-URA'!I21,'01.08 Spear Motors-URA-24h'!I21,'03.08 Spear Motors-URA-24h'!I21,'04.08 Spear Motors-URA'!I21)</f>
        <v>2</v>
      </c>
      <c r="J21" s="49">
        <f>AVERAGE('29.07 Spear Motors -URA'!J21,'30.07 Spear Motors-URA'!J21,'31.07 Spear Motors-URA'!J21,'02.08 Spear Motors-URA'!J21,'01.08 Spear Motors-URA-24h'!J21,'03.08 Spear Motors-URA-24h'!J21,'04.08 Spear Motors-URA'!J21)</f>
        <v>1.5714285714285714</v>
      </c>
      <c r="K21" s="49">
        <f>AVERAGE('29.07 Spear Motors -URA'!K21,'30.07 Spear Motors-URA'!K21,'31.07 Spear Motors-URA'!K21,'02.08 Spear Motors-URA'!K21,'01.08 Spear Motors-URA-24h'!K21,'03.08 Spear Motors-URA-24h'!K21,'04.08 Spear Motors-URA'!K21)</f>
        <v>1.7142857142857142</v>
      </c>
      <c r="L21" s="49">
        <f>AVERAGE('29.07 Spear Motors -URA'!L21,'30.07 Spear Motors-URA'!L21,'31.07 Spear Motors-URA'!L21,'02.08 Spear Motors-URA'!L21,'01.08 Spear Motors-URA-24h'!L21,'03.08 Spear Motors-URA-24h'!L21,'04.08 Spear Motors-URA'!L21)</f>
        <v>3.1428571428571428</v>
      </c>
      <c r="M21" s="49">
        <f>AVERAGE('29.07 Spear Motors -URA'!M21,'30.07 Spear Motors-URA'!M21,'31.07 Spear Motors-URA'!M21,'02.08 Spear Motors-URA'!M21,'01.08 Spear Motors-URA-24h'!M21,'03.08 Spear Motors-URA-24h'!M21,'04.08 Spear Motors-URA'!M21)</f>
        <v>180.14285714285714</v>
      </c>
      <c r="N21" s="49">
        <f>AVERAGE('29.07 Spear Motors -URA'!N21,'30.07 Spear Motors-URA'!N21,'31.07 Spear Motors-URA'!N21,'02.08 Spear Motors-URA'!N21,'01.08 Spear Motors-URA-24h'!N21,'03.08 Spear Motors-URA-24h'!N21,'04.08 Spear Motors-URA'!N21)</f>
        <v>0</v>
      </c>
      <c r="O21" s="15">
        <f t="shared" si="0"/>
        <v>58.571428571428577</v>
      </c>
      <c r="P21" s="15">
        <f t="shared" si="1"/>
        <v>238.71428571428572</v>
      </c>
      <c r="R21" s="36" t="s">
        <v>20</v>
      </c>
      <c r="S21" s="34">
        <f t="shared" ref="S21:AF21" si="13">SUM(C54:C57)</f>
        <v>128.57142857142856</v>
      </c>
      <c r="T21" s="17">
        <f t="shared" si="13"/>
        <v>37.428571428571431</v>
      </c>
      <c r="U21" s="17">
        <f t="shared" si="13"/>
        <v>18.714285714285715</v>
      </c>
      <c r="V21" s="17">
        <f t="shared" si="13"/>
        <v>15</v>
      </c>
      <c r="W21" s="17">
        <f t="shared" si="13"/>
        <v>3.1428571428571432</v>
      </c>
      <c r="X21" s="17">
        <f t="shared" si="13"/>
        <v>0</v>
      </c>
      <c r="Y21" s="17">
        <f t="shared" si="13"/>
        <v>6.2857142857142856</v>
      </c>
      <c r="Z21" s="17">
        <f t="shared" si="13"/>
        <v>6.4285714285714288</v>
      </c>
      <c r="AA21" s="17">
        <f t="shared" si="13"/>
        <v>5</v>
      </c>
      <c r="AB21" s="17">
        <f t="shared" si="13"/>
        <v>11.571428571428571</v>
      </c>
      <c r="AC21" s="17">
        <f t="shared" si="13"/>
        <v>493.71428571428567</v>
      </c>
      <c r="AD21" s="17">
        <f t="shared" si="13"/>
        <v>0</v>
      </c>
      <c r="AE21" s="31">
        <f t="shared" si="13"/>
        <v>232.14285714285714</v>
      </c>
      <c r="AF21" s="31">
        <f t="shared" si="13"/>
        <v>725.85714285714289</v>
      </c>
    </row>
    <row r="22" spans="2:32" ht="23.1" customHeight="1" x14ac:dyDescent="0.25">
      <c r="B22" s="23" t="s">
        <v>49</v>
      </c>
      <c r="C22" s="49">
        <f>AVERAGE('29.07 Spear Motors -URA'!C22,'30.07 Spear Motors-URA'!C22,'31.07 Spear Motors-URA'!C22,'02.08 Spear Motors-URA'!C22,'01.08 Spear Motors-URA-24h'!C22,'03.08 Spear Motors-URA-24h'!C22,'04.08 Spear Motors-URA'!C22)</f>
        <v>30</v>
      </c>
      <c r="D22" s="49">
        <f>AVERAGE('29.07 Spear Motors -URA'!D22,'30.07 Spear Motors-URA'!D22,'31.07 Spear Motors-URA'!D22,'02.08 Spear Motors-URA'!D22,'01.08 Spear Motors-URA-24h'!D22,'03.08 Spear Motors-URA-24h'!D22,'04.08 Spear Motors-URA'!D22)</f>
        <v>8.2857142857142865</v>
      </c>
      <c r="E22" s="49">
        <f>AVERAGE('29.07 Spear Motors -URA'!E22,'30.07 Spear Motors-URA'!E22,'31.07 Spear Motors-URA'!E22,'02.08 Spear Motors-URA'!E22,'01.08 Spear Motors-URA-24h'!E22,'03.08 Spear Motors-URA-24h'!E22,'04.08 Spear Motors-URA'!E22)</f>
        <v>5.4285714285714288</v>
      </c>
      <c r="F22" s="49">
        <f>AVERAGE('29.07 Spear Motors -URA'!F22,'30.07 Spear Motors-URA'!F22,'31.07 Spear Motors-URA'!F22,'02.08 Spear Motors-URA'!F22,'01.08 Spear Motors-URA-24h'!F22,'03.08 Spear Motors-URA-24h'!F22,'04.08 Spear Motors-URA'!F22)</f>
        <v>6</v>
      </c>
      <c r="G22" s="49">
        <f>AVERAGE('29.07 Spear Motors -URA'!G22,'30.07 Spear Motors-URA'!G22,'31.07 Spear Motors-URA'!G22,'02.08 Spear Motors-URA'!G22,'01.08 Spear Motors-URA-24h'!G22,'03.08 Spear Motors-URA-24h'!G22,'04.08 Spear Motors-URA'!G22)</f>
        <v>1.5714285714285714</v>
      </c>
      <c r="H22" s="49">
        <f>AVERAGE('29.07 Spear Motors -URA'!H22,'30.07 Spear Motors-URA'!H22,'31.07 Spear Motors-URA'!H22,'02.08 Spear Motors-URA'!H22,'01.08 Spear Motors-URA-24h'!H22,'03.08 Spear Motors-URA-24h'!H22,'04.08 Spear Motors-URA'!H22)</f>
        <v>0.14285714285714285</v>
      </c>
      <c r="I22" s="49">
        <f>AVERAGE('29.07 Spear Motors -URA'!I22,'30.07 Spear Motors-URA'!I22,'31.07 Spear Motors-URA'!I22,'02.08 Spear Motors-URA'!I22,'01.08 Spear Motors-URA-24h'!I22,'03.08 Spear Motors-URA-24h'!I22,'04.08 Spear Motors-URA'!I22)</f>
        <v>2.7142857142857144</v>
      </c>
      <c r="J22" s="49">
        <f>AVERAGE('29.07 Spear Motors -URA'!J22,'30.07 Spear Motors-URA'!J22,'31.07 Spear Motors-URA'!J22,'02.08 Spear Motors-URA'!J22,'01.08 Spear Motors-URA-24h'!J22,'03.08 Spear Motors-URA-24h'!J22,'04.08 Spear Motors-URA'!J22)</f>
        <v>2.2857142857142856</v>
      </c>
      <c r="K22" s="49">
        <f>AVERAGE('29.07 Spear Motors -URA'!K22,'30.07 Spear Motors-URA'!K22,'31.07 Spear Motors-URA'!K22,'02.08 Spear Motors-URA'!K22,'01.08 Spear Motors-URA-24h'!K22,'03.08 Spear Motors-URA-24h'!K22,'04.08 Spear Motors-URA'!K22)</f>
        <v>2.1428571428571428</v>
      </c>
      <c r="L22" s="49">
        <f>AVERAGE('29.07 Spear Motors -URA'!L22,'30.07 Spear Motors-URA'!L22,'31.07 Spear Motors-URA'!L22,'02.08 Spear Motors-URA'!L22,'01.08 Spear Motors-URA-24h'!L22,'03.08 Spear Motors-URA-24h'!L22,'04.08 Spear Motors-URA'!L22)</f>
        <v>3.8571428571428572</v>
      </c>
      <c r="M22" s="49">
        <f>AVERAGE('29.07 Spear Motors -URA'!M22,'30.07 Spear Motors-URA'!M22,'31.07 Spear Motors-URA'!M22,'02.08 Spear Motors-URA'!M22,'01.08 Spear Motors-URA-24h'!M22,'03.08 Spear Motors-URA-24h'!M22,'04.08 Spear Motors-URA'!M22)</f>
        <v>192.28571428571428</v>
      </c>
      <c r="N22" s="49">
        <f>AVERAGE('29.07 Spear Motors -URA'!N22,'30.07 Spear Motors-URA'!N22,'31.07 Spear Motors-URA'!N22,'02.08 Spear Motors-URA'!N22,'01.08 Spear Motors-URA-24h'!N22,'03.08 Spear Motors-URA-24h'!N22,'04.08 Spear Motors-URA'!N22)</f>
        <v>0</v>
      </c>
      <c r="O22" s="15">
        <f t="shared" si="0"/>
        <v>62.428571428571431</v>
      </c>
      <c r="P22" s="15">
        <f t="shared" si="1"/>
        <v>254.71428571428572</v>
      </c>
      <c r="R22" s="1" t="s">
        <v>146</v>
      </c>
      <c r="S22" s="34">
        <f>SUM(C58:C61)</f>
        <v>148</v>
      </c>
      <c r="T22" s="34">
        <f t="shared" ref="T22:AF22" si="14">SUM(D58:D61)</f>
        <v>30.5</v>
      </c>
      <c r="U22" s="34">
        <f t="shared" si="14"/>
        <v>27.5</v>
      </c>
      <c r="V22" s="34">
        <f t="shared" si="14"/>
        <v>29.5</v>
      </c>
      <c r="W22" s="34">
        <f t="shared" si="14"/>
        <v>5.5</v>
      </c>
      <c r="X22" s="34">
        <f t="shared" si="14"/>
        <v>2</v>
      </c>
      <c r="Y22" s="34">
        <f t="shared" si="14"/>
        <v>12</v>
      </c>
      <c r="Z22" s="34">
        <f t="shared" si="14"/>
        <v>4.5</v>
      </c>
      <c r="AA22" s="34">
        <f t="shared" si="14"/>
        <v>0</v>
      </c>
      <c r="AB22" s="34">
        <f t="shared" si="14"/>
        <v>1</v>
      </c>
      <c r="AC22" s="34">
        <f t="shared" si="14"/>
        <v>724</v>
      </c>
      <c r="AD22" s="34">
        <f t="shared" si="14"/>
        <v>0</v>
      </c>
      <c r="AE22" s="31">
        <f t="shared" si="14"/>
        <v>260.5</v>
      </c>
      <c r="AF22" s="31">
        <f t="shared" si="14"/>
        <v>984.5</v>
      </c>
    </row>
    <row r="23" spans="2:32" ht="23.1" customHeight="1" x14ac:dyDescent="0.25">
      <c r="B23" s="23" t="s">
        <v>50</v>
      </c>
      <c r="C23" s="49">
        <f>AVERAGE('29.07 Spear Motors -URA'!C23,'30.07 Spear Motors-URA'!C23,'31.07 Spear Motors-URA'!C23,'02.08 Spear Motors-URA'!C23,'01.08 Spear Motors-URA-24h'!C23,'03.08 Spear Motors-URA-24h'!C23,'04.08 Spear Motors-URA'!C23)</f>
        <v>28.285714285714285</v>
      </c>
      <c r="D23" s="49">
        <f>AVERAGE('29.07 Spear Motors -URA'!D23,'30.07 Spear Motors-URA'!D23,'31.07 Spear Motors-URA'!D23,'02.08 Spear Motors-URA'!D23,'01.08 Spear Motors-URA-24h'!D23,'03.08 Spear Motors-URA-24h'!D23,'04.08 Spear Motors-URA'!D23)</f>
        <v>6.4285714285714288</v>
      </c>
      <c r="E23" s="49">
        <f>AVERAGE('29.07 Spear Motors -URA'!E23,'30.07 Spear Motors-URA'!E23,'31.07 Spear Motors-URA'!E23,'02.08 Spear Motors-URA'!E23,'01.08 Spear Motors-URA-24h'!E23,'03.08 Spear Motors-URA-24h'!E23,'04.08 Spear Motors-URA'!E23)</f>
        <v>5.2857142857142856</v>
      </c>
      <c r="F23" s="49">
        <f>AVERAGE('29.07 Spear Motors -URA'!F23,'30.07 Spear Motors-URA'!F23,'31.07 Spear Motors-URA'!F23,'02.08 Spear Motors-URA'!F23,'01.08 Spear Motors-URA-24h'!F23,'03.08 Spear Motors-URA-24h'!F23,'04.08 Spear Motors-URA'!F23)</f>
        <v>6</v>
      </c>
      <c r="G23" s="49">
        <f>AVERAGE('29.07 Spear Motors -URA'!G23,'30.07 Spear Motors-URA'!G23,'31.07 Spear Motors-URA'!G23,'02.08 Spear Motors-URA'!G23,'01.08 Spear Motors-URA-24h'!G23,'03.08 Spear Motors-URA-24h'!G23,'04.08 Spear Motors-URA'!G23)</f>
        <v>1.2857142857142858</v>
      </c>
      <c r="H23" s="49">
        <f>AVERAGE('29.07 Spear Motors -URA'!H23,'30.07 Spear Motors-URA'!H23,'31.07 Spear Motors-URA'!H23,'02.08 Spear Motors-URA'!H23,'01.08 Spear Motors-URA-24h'!H23,'03.08 Spear Motors-URA-24h'!H23,'04.08 Spear Motors-URA'!H23)</f>
        <v>0</v>
      </c>
      <c r="I23" s="49">
        <f>AVERAGE('29.07 Spear Motors -URA'!I23,'30.07 Spear Motors-URA'!I23,'31.07 Spear Motors-URA'!I23,'02.08 Spear Motors-URA'!I23,'01.08 Spear Motors-URA-24h'!I23,'03.08 Spear Motors-URA-24h'!I23,'04.08 Spear Motors-URA'!I23)</f>
        <v>3.5714285714285716</v>
      </c>
      <c r="J23" s="49">
        <f>AVERAGE('29.07 Spear Motors -URA'!J23,'30.07 Spear Motors-URA'!J23,'31.07 Spear Motors-URA'!J23,'02.08 Spear Motors-URA'!J23,'01.08 Spear Motors-URA-24h'!J23,'03.08 Spear Motors-URA-24h'!J23,'04.08 Spear Motors-URA'!J23)</f>
        <v>1.7142857142857142</v>
      </c>
      <c r="K23" s="49">
        <f>AVERAGE('29.07 Spear Motors -URA'!K23,'30.07 Spear Motors-URA'!K23,'31.07 Spear Motors-URA'!K23,'02.08 Spear Motors-URA'!K23,'01.08 Spear Motors-URA-24h'!K23,'03.08 Spear Motors-URA-24h'!K23,'04.08 Spear Motors-URA'!K23)</f>
        <v>1.5714285714285714</v>
      </c>
      <c r="L23" s="49">
        <f>AVERAGE('29.07 Spear Motors -URA'!L23,'30.07 Spear Motors-URA'!L23,'31.07 Spear Motors-URA'!L23,'02.08 Spear Motors-URA'!L23,'01.08 Spear Motors-URA-24h'!L23,'03.08 Spear Motors-URA-24h'!L23,'04.08 Spear Motors-URA'!L23)</f>
        <v>3.1428571428571428</v>
      </c>
      <c r="M23" s="49">
        <f>AVERAGE('29.07 Spear Motors -URA'!M23,'30.07 Spear Motors-URA'!M23,'31.07 Spear Motors-URA'!M23,'02.08 Spear Motors-URA'!M23,'01.08 Spear Motors-URA-24h'!M23,'03.08 Spear Motors-URA-24h'!M23,'04.08 Spear Motors-URA'!M23)</f>
        <v>124.14285714285714</v>
      </c>
      <c r="N23" s="49">
        <f>AVERAGE('29.07 Spear Motors -URA'!N23,'30.07 Spear Motors-URA'!N23,'31.07 Spear Motors-URA'!N23,'02.08 Spear Motors-URA'!N23,'01.08 Spear Motors-URA-24h'!N23,'03.08 Spear Motors-URA-24h'!N23,'04.08 Spear Motors-URA'!N23)</f>
        <v>0</v>
      </c>
      <c r="O23" s="15">
        <f t="shared" si="0"/>
        <v>57.285714285714285</v>
      </c>
      <c r="P23" s="15">
        <f t="shared" si="1"/>
        <v>181.42857142857142</v>
      </c>
      <c r="R23" s="1" t="s">
        <v>147</v>
      </c>
      <c r="S23" s="34">
        <f>SUM(C62:C65)</f>
        <v>165.5</v>
      </c>
      <c r="T23" s="34">
        <f t="shared" ref="T23:AF23" si="15">SUM(D62:D65)</f>
        <v>34.5</v>
      </c>
      <c r="U23" s="34">
        <f t="shared" si="15"/>
        <v>23.5</v>
      </c>
      <c r="V23" s="34">
        <f t="shared" si="15"/>
        <v>34.5</v>
      </c>
      <c r="W23" s="34">
        <f t="shared" si="15"/>
        <v>8.5</v>
      </c>
      <c r="X23" s="34">
        <f t="shared" si="15"/>
        <v>0.5</v>
      </c>
      <c r="Y23" s="34">
        <f t="shared" si="15"/>
        <v>9</v>
      </c>
      <c r="Z23" s="34">
        <f t="shared" si="15"/>
        <v>4</v>
      </c>
      <c r="AA23" s="34">
        <f t="shared" si="15"/>
        <v>2.5</v>
      </c>
      <c r="AB23" s="34">
        <f t="shared" si="15"/>
        <v>0</v>
      </c>
      <c r="AC23" s="34">
        <f t="shared" si="15"/>
        <v>734</v>
      </c>
      <c r="AD23" s="34">
        <f t="shared" si="15"/>
        <v>0</v>
      </c>
      <c r="AE23" s="31">
        <f t="shared" si="15"/>
        <v>282.5</v>
      </c>
      <c r="AF23" s="31">
        <f t="shared" si="15"/>
        <v>1016.5</v>
      </c>
    </row>
    <row r="24" spans="2:32" ht="23.1" customHeight="1" x14ac:dyDescent="0.25">
      <c r="B24" s="23" t="s">
        <v>51</v>
      </c>
      <c r="C24" s="49">
        <f>AVERAGE('29.07 Spear Motors -URA'!C24,'30.07 Spear Motors-URA'!C24,'31.07 Spear Motors-URA'!C24,'02.08 Spear Motors-URA'!C24,'01.08 Spear Motors-URA-24h'!C24,'03.08 Spear Motors-URA-24h'!C24,'04.08 Spear Motors-URA'!C24)</f>
        <v>28.142857142857142</v>
      </c>
      <c r="D24" s="49">
        <f>AVERAGE('29.07 Spear Motors -URA'!D24,'30.07 Spear Motors-URA'!D24,'31.07 Spear Motors-URA'!D24,'02.08 Spear Motors-URA'!D24,'01.08 Spear Motors-URA-24h'!D24,'03.08 Spear Motors-URA-24h'!D24,'04.08 Spear Motors-URA'!D24)</f>
        <v>7.4285714285714288</v>
      </c>
      <c r="E24" s="49">
        <f>AVERAGE('29.07 Spear Motors -URA'!E24,'30.07 Spear Motors-URA'!E24,'31.07 Spear Motors-URA'!E24,'02.08 Spear Motors-URA'!E24,'01.08 Spear Motors-URA-24h'!E24,'03.08 Spear Motors-URA-24h'!E24,'04.08 Spear Motors-URA'!E24)</f>
        <v>6.7142857142857144</v>
      </c>
      <c r="F24" s="49">
        <f>AVERAGE('29.07 Spear Motors -URA'!F24,'30.07 Spear Motors-URA'!F24,'31.07 Spear Motors-URA'!F24,'02.08 Spear Motors-URA'!F24,'01.08 Spear Motors-URA-24h'!F24,'03.08 Spear Motors-URA-24h'!F24,'04.08 Spear Motors-URA'!F24)</f>
        <v>5.4285714285714288</v>
      </c>
      <c r="G24" s="49">
        <f>AVERAGE('29.07 Spear Motors -URA'!G24,'30.07 Spear Motors-URA'!G24,'31.07 Spear Motors-URA'!G24,'02.08 Spear Motors-URA'!G24,'01.08 Spear Motors-URA-24h'!G24,'03.08 Spear Motors-URA-24h'!G24,'04.08 Spear Motors-URA'!G24)</f>
        <v>0.14285714285714285</v>
      </c>
      <c r="H24" s="49">
        <f>AVERAGE('29.07 Spear Motors -URA'!H24,'30.07 Spear Motors-URA'!H24,'31.07 Spear Motors-URA'!H24,'02.08 Spear Motors-URA'!H24,'01.08 Spear Motors-URA-24h'!H24,'03.08 Spear Motors-URA-24h'!H24,'04.08 Spear Motors-URA'!H24)</f>
        <v>0</v>
      </c>
      <c r="I24" s="49">
        <f>AVERAGE('29.07 Spear Motors -URA'!I24,'30.07 Spear Motors-URA'!I24,'31.07 Spear Motors-URA'!I24,'02.08 Spear Motors-URA'!I24,'01.08 Spear Motors-URA-24h'!I24,'03.08 Spear Motors-URA-24h'!I24,'04.08 Spear Motors-URA'!I24)</f>
        <v>2.7142857142857144</v>
      </c>
      <c r="J24" s="49">
        <f>AVERAGE('29.07 Spear Motors -URA'!J24,'30.07 Spear Motors-URA'!J24,'31.07 Spear Motors-URA'!J24,'02.08 Spear Motors-URA'!J24,'01.08 Spear Motors-URA-24h'!J24,'03.08 Spear Motors-URA-24h'!J24,'04.08 Spear Motors-URA'!J24)</f>
        <v>2.1428571428571428</v>
      </c>
      <c r="K24" s="49">
        <f>AVERAGE('29.07 Spear Motors -URA'!K24,'30.07 Spear Motors-URA'!K24,'31.07 Spear Motors-URA'!K24,'02.08 Spear Motors-URA'!K24,'01.08 Spear Motors-URA-24h'!K24,'03.08 Spear Motors-URA-24h'!K24,'04.08 Spear Motors-URA'!K24)</f>
        <v>1.7142857142857142</v>
      </c>
      <c r="L24" s="49">
        <f>AVERAGE('29.07 Spear Motors -URA'!L24,'30.07 Spear Motors-URA'!L24,'31.07 Spear Motors-URA'!L24,'02.08 Spear Motors-URA'!L24,'01.08 Spear Motors-URA-24h'!L24,'03.08 Spear Motors-URA-24h'!L24,'04.08 Spear Motors-URA'!L24)</f>
        <v>3.2857142857142856</v>
      </c>
      <c r="M24" s="49">
        <f>AVERAGE('29.07 Spear Motors -URA'!M24,'30.07 Spear Motors-URA'!M24,'31.07 Spear Motors-URA'!M24,'02.08 Spear Motors-URA'!M24,'01.08 Spear Motors-URA-24h'!M24,'03.08 Spear Motors-URA-24h'!M24,'04.08 Spear Motors-URA'!M24)</f>
        <v>169.71428571428572</v>
      </c>
      <c r="N24" s="49">
        <f>AVERAGE('29.07 Spear Motors -URA'!N24,'30.07 Spear Motors-URA'!N24,'31.07 Spear Motors-URA'!N24,'02.08 Spear Motors-URA'!N24,'01.08 Spear Motors-URA-24h'!N24,'03.08 Spear Motors-URA-24h'!N24,'04.08 Spear Motors-URA'!N24)</f>
        <v>0</v>
      </c>
      <c r="O24" s="15">
        <f t="shared" si="0"/>
        <v>57.714285714285722</v>
      </c>
      <c r="P24" s="15">
        <f t="shared" si="1"/>
        <v>227.42857142857144</v>
      </c>
      <c r="R24" s="1" t="s">
        <v>148</v>
      </c>
      <c r="S24" s="34">
        <f>SUM(C66:C69)</f>
        <v>164</v>
      </c>
      <c r="T24" s="34">
        <f t="shared" ref="T24:AF24" si="16">SUM(D66:D69)</f>
        <v>35.5</v>
      </c>
      <c r="U24" s="34">
        <f t="shared" si="16"/>
        <v>25</v>
      </c>
      <c r="V24" s="34">
        <f t="shared" si="16"/>
        <v>30.5</v>
      </c>
      <c r="W24" s="34">
        <f t="shared" si="16"/>
        <v>7</v>
      </c>
      <c r="X24" s="34">
        <f t="shared" si="16"/>
        <v>0</v>
      </c>
      <c r="Y24" s="34">
        <f t="shared" si="16"/>
        <v>11.5</v>
      </c>
      <c r="Z24" s="34">
        <f t="shared" si="16"/>
        <v>5</v>
      </c>
      <c r="AA24" s="34">
        <f t="shared" si="16"/>
        <v>1</v>
      </c>
      <c r="AB24" s="34">
        <f t="shared" si="16"/>
        <v>6.5</v>
      </c>
      <c r="AC24" s="34">
        <f t="shared" si="16"/>
        <v>421</v>
      </c>
      <c r="AD24" s="34">
        <f t="shared" si="16"/>
        <v>0</v>
      </c>
      <c r="AE24" s="31">
        <f t="shared" si="16"/>
        <v>286</v>
      </c>
      <c r="AF24" s="31">
        <f t="shared" si="16"/>
        <v>707</v>
      </c>
    </row>
    <row r="25" spans="2:32" ht="23.1" customHeight="1" x14ac:dyDescent="0.25">
      <c r="B25" s="23" t="s">
        <v>52</v>
      </c>
      <c r="C25" s="49">
        <f>AVERAGE('29.07 Spear Motors -URA'!C25,'30.07 Spear Motors-URA'!C25,'31.07 Spear Motors-URA'!C25,'02.08 Spear Motors-URA'!C25,'01.08 Spear Motors-URA-24h'!C25,'03.08 Spear Motors-URA-24h'!C25,'04.08 Spear Motors-URA'!C25)</f>
        <v>35.142857142857146</v>
      </c>
      <c r="D25" s="49">
        <f>AVERAGE('29.07 Spear Motors -URA'!D25,'30.07 Spear Motors-URA'!D25,'31.07 Spear Motors-URA'!D25,'02.08 Spear Motors-URA'!D25,'01.08 Spear Motors-URA-24h'!D25,'03.08 Spear Motors-URA-24h'!D25,'04.08 Spear Motors-URA'!D25)</f>
        <v>8.1428571428571423</v>
      </c>
      <c r="E25" s="49">
        <f>AVERAGE('29.07 Spear Motors -URA'!E25,'30.07 Spear Motors-URA'!E25,'31.07 Spear Motors-URA'!E25,'02.08 Spear Motors-URA'!E25,'01.08 Spear Motors-URA-24h'!E25,'03.08 Spear Motors-URA-24h'!E25,'04.08 Spear Motors-URA'!E25)</f>
        <v>7.1428571428571432</v>
      </c>
      <c r="F25" s="49">
        <f>AVERAGE('29.07 Spear Motors -URA'!F25,'30.07 Spear Motors-URA'!F25,'31.07 Spear Motors-URA'!F25,'02.08 Spear Motors-URA'!F25,'01.08 Spear Motors-URA-24h'!F25,'03.08 Spear Motors-URA-24h'!F25,'04.08 Spear Motors-URA'!F25)</f>
        <v>6.4285714285714288</v>
      </c>
      <c r="G25" s="49">
        <f>AVERAGE('29.07 Spear Motors -URA'!G25,'30.07 Spear Motors-URA'!G25,'31.07 Spear Motors-URA'!G25,'02.08 Spear Motors-URA'!G25,'01.08 Spear Motors-URA-24h'!G25,'03.08 Spear Motors-URA-24h'!G25,'04.08 Spear Motors-URA'!G25)</f>
        <v>1.8571428571428572</v>
      </c>
      <c r="H25" s="49">
        <f>AVERAGE('29.07 Spear Motors -URA'!H25,'30.07 Spear Motors-URA'!H25,'31.07 Spear Motors-URA'!H25,'02.08 Spear Motors-URA'!H25,'01.08 Spear Motors-URA-24h'!H25,'03.08 Spear Motors-URA-24h'!H25,'04.08 Spear Motors-URA'!H25)</f>
        <v>0.14285714285714285</v>
      </c>
      <c r="I25" s="49">
        <f>AVERAGE('29.07 Spear Motors -URA'!I25,'30.07 Spear Motors-URA'!I25,'31.07 Spear Motors-URA'!I25,'02.08 Spear Motors-URA'!I25,'01.08 Spear Motors-URA-24h'!I25,'03.08 Spear Motors-URA-24h'!I25,'04.08 Spear Motors-URA'!I25)</f>
        <v>1.7142857142857142</v>
      </c>
      <c r="J25" s="49">
        <f>AVERAGE('29.07 Spear Motors -URA'!J25,'30.07 Spear Motors-URA'!J25,'31.07 Spear Motors-URA'!J25,'02.08 Spear Motors-URA'!J25,'01.08 Spear Motors-URA-24h'!J25,'03.08 Spear Motors-URA-24h'!J25,'04.08 Spear Motors-URA'!J25)</f>
        <v>0.7142857142857143</v>
      </c>
      <c r="K25" s="49">
        <f>AVERAGE('29.07 Spear Motors -URA'!K25,'30.07 Spear Motors-URA'!K25,'31.07 Spear Motors-URA'!K25,'02.08 Spear Motors-URA'!K25,'01.08 Spear Motors-URA-24h'!K25,'03.08 Spear Motors-URA-24h'!K25,'04.08 Spear Motors-URA'!K25)</f>
        <v>1.8571428571428572</v>
      </c>
      <c r="L25" s="49">
        <f>AVERAGE('29.07 Spear Motors -URA'!L25,'30.07 Spear Motors-URA'!L25,'31.07 Spear Motors-URA'!L25,'02.08 Spear Motors-URA'!L25,'01.08 Spear Motors-URA-24h'!L25,'03.08 Spear Motors-URA-24h'!L25,'04.08 Spear Motors-URA'!L25)</f>
        <v>3.2857142857142856</v>
      </c>
      <c r="M25" s="49">
        <f>AVERAGE('29.07 Spear Motors -URA'!M25,'30.07 Spear Motors-URA'!M25,'31.07 Spear Motors-URA'!M25,'02.08 Spear Motors-URA'!M25,'01.08 Spear Motors-URA-24h'!M25,'03.08 Spear Motors-URA-24h'!M25,'04.08 Spear Motors-URA'!M25)</f>
        <v>159</v>
      </c>
      <c r="N25" s="49">
        <f>AVERAGE('29.07 Spear Motors -URA'!N25,'30.07 Spear Motors-URA'!N25,'31.07 Spear Motors-URA'!N25,'02.08 Spear Motors-URA'!N25,'01.08 Spear Motors-URA-24h'!N25,'03.08 Spear Motors-URA-24h'!N25,'04.08 Spear Motors-URA'!N25)</f>
        <v>0.14285714285714285</v>
      </c>
      <c r="O25" s="15">
        <f t="shared" si="0"/>
        <v>66.571428571428584</v>
      </c>
      <c r="P25" s="15">
        <f t="shared" si="1"/>
        <v>225.57142857142858</v>
      </c>
      <c r="R25" s="1" t="s">
        <v>149</v>
      </c>
      <c r="S25" s="34">
        <f>SUM(C70:C73)</f>
        <v>111</v>
      </c>
      <c r="T25" s="34">
        <f t="shared" ref="T25:AF25" si="17">SUM(D70:D73)</f>
        <v>24.5</v>
      </c>
      <c r="U25" s="34">
        <f t="shared" si="17"/>
        <v>13</v>
      </c>
      <c r="V25" s="34">
        <f t="shared" si="17"/>
        <v>18</v>
      </c>
      <c r="W25" s="34">
        <f t="shared" si="17"/>
        <v>4.5</v>
      </c>
      <c r="X25" s="34">
        <f t="shared" si="17"/>
        <v>0</v>
      </c>
      <c r="Y25" s="34">
        <f t="shared" si="17"/>
        <v>3</v>
      </c>
      <c r="Z25" s="34">
        <f t="shared" si="17"/>
        <v>3.5</v>
      </c>
      <c r="AA25" s="34">
        <f t="shared" si="17"/>
        <v>1</v>
      </c>
      <c r="AB25" s="34">
        <f t="shared" si="17"/>
        <v>3.5</v>
      </c>
      <c r="AC25" s="34">
        <f t="shared" si="17"/>
        <v>338</v>
      </c>
      <c r="AD25" s="34">
        <f t="shared" si="17"/>
        <v>0</v>
      </c>
      <c r="AE25" s="31">
        <f t="shared" si="17"/>
        <v>182</v>
      </c>
      <c r="AF25" s="31">
        <f t="shared" si="17"/>
        <v>520</v>
      </c>
    </row>
    <row r="26" spans="2:32" ht="23.1" customHeight="1" x14ac:dyDescent="0.25">
      <c r="B26" s="23" t="s">
        <v>53</v>
      </c>
      <c r="C26" s="49">
        <f>AVERAGE('29.07 Spear Motors -URA'!C26,'30.07 Spear Motors-URA'!C26,'31.07 Spear Motors-URA'!C26,'02.08 Spear Motors-URA'!C26,'01.08 Spear Motors-URA-24h'!C26,'03.08 Spear Motors-URA-24h'!C26,'04.08 Spear Motors-URA'!C26)</f>
        <v>32.142857142857146</v>
      </c>
      <c r="D26" s="49">
        <f>AVERAGE('29.07 Spear Motors -URA'!D26,'30.07 Spear Motors-URA'!D26,'31.07 Spear Motors-URA'!D26,'02.08 Spear Motors-URA'!D26,'01.08 Spear Motors-URA-24h'!D26,'03.08 Spear Motors-URA-24h'!D26,'04.08 Spear Motors-URA'!D26)</f>
        <v>6.8571428571428568</v>
      </c>
      <c r="E26" s="49">
        <f>AVERAGE('29.07 Spear Motors -URA'!E26,'30.07 Spear Motors-URA'!E26,'31.07 Spear Motors-URA'!E26,'02.08 Spear Motors-URA'!E26,'01.08 Spear Motors-URA-24h'!E26,'03.08 Spear Motors-URA-24h'!E26,'04.08 Spear Motors-URA'!E26)</f>
        <v>9.8571428571428577</v>
      </c>
      <c r="F26" s="49">
        <f>AVERAGE('29.07 Spear Motors -URA'!F26,'30.07 Spear Motors-URA'!F26,'31.07 Spear Motors-URA'!F26,'02.08 Spear Motors-URA'!F26,'01.08 Spear Motors-URA-24h'!F26,'03.08 Spear Motors-URA-24h'!F26,'04.08 Spear Motors-URA'!F26)</f>
        <v>11</v>
      </c>
      <c r="G26" s="49">
        <f>AVERAGE('29.07 Spear Motors -URA'!G26,'30.07 Spear Motors-URA'!G26,'31.07 Spear Motors-URA'!G26,'02.08 Spear Motors-URA'!G26,'01.08 Spear Motors-URA-24h'!G26,'03.08 Spear Motors-URA-24h'!G26,'04.08 Spear Motors-URA'!G26)</f>
        <v>0.7142857142857143</v>
      </c>
      <c r="H26" s="49">
        <f>AVERAGE('29.07 Spear Motors -URA'!H26,'30.07 Spear Motors-URA'!H26,'31.07 Spear Motors-URA'!H26,'02.08 Spear Motors-URA'!H26,'01.08 Spear Motors-URA-24h'!H26,'03.08 Spear Motors-URA-24h'!H26,'04.08 Spear Motors-URA'!H26)</f>
        <v>0</v>
      </c>
      <c r="I26" s="49">
        <f>AVERAGE('29.07 Spear Motors -URA'!I26,'30.07 Spear Motors-URA'!I26,'31.07 Spear Motors-URA'!I26,'02.08 Spear Motors-URA'!I26,'01.08 Spear Motors-URA-24h'!I26,'03.08 Spear Motors-URA-24h'!I26,'04.08 Spear Motors-URA'!I26)</f>
        <v>3.1428571428571428</v>
      </c>
      <c r="J26" s="49">
        <f>AVERAGE('29.07 Spear Motors -URA'!J26,'30.07 Spear Motors-URA'!J26,'31.07 Spear Motors-URA'!J26,'02.08 Spear Motors-URA'!J26,'01.08 Spear Motors-URA-24h'!J26,'03.08 Spear Motors-URA-24h'!J26,'04.08 Spear Motors-URA'!J26)</f>
        <v>3</v>
      </c>
      <c r="K26" s="49">
        <f>AVERAGE('29.07 Spear Motors -URA'!K26,'30.07 Spear Motors-URA'!K26,'31.07 Spear Motors-URA'!K26,'02.08 Spear Motors-URA'!K26,'01.08 Spear Motors-URA-24h'!K26,'03.08 Spear Motors-URA-24h'!K26,'04.08 Spear Motors-URA'!K26)</f>
        <v>2.8571428571428572</v>
      </c>
      <c r="L26" s="49">
        <f>AVERAGE('29.07 Spear Motors -URA'!L26,'30.07 Spear Motors-URA'!L26,'31.07 Spear Motors-URA'!L26,'02.08 Spear Motors-URA'!L26,'01.08 Spear Motors-URA-24h'!L26,'03.08 Spear Motors-URA-24h'!L26,'04.08 Spear Motors-URA'!L26)</f>
        <v>3.7142857142857144</v>
      </c>
      <c r="M26" s="49">
        <f>AVERAGE('29.07 Spear Motors -URA'!M26,'30.07 Spear Motors-URA'!M26,'31.07 Spear Motors-URA'!M26,'02.08 Spear Motors-URA'!M26,'01.08 Spear Motors-URA-24h'!M26,'03.08 Spear Motors-URA-24h'!M26,'04.08 Spear Motors-URA'!M26)</f>
        <v>154</v>
      </c>
      <c r="N26" s="49">
        <f>AVERAGE('29.07 Spear Motors -URA'!N26,'30.07 Spear Motors-URA'!N26,'31.07 Spear Motors-URA'!N26,'02.08 Spear Motors-URA'!N26,'01.08 Spear Motors-URA-24h'!N26,'03.08 Spear Motors-URA-24h'!N26,'04.08 Spear Motors-URA'!N26)</f>
        <v>0.14285714285714285</v>
      </c>
      <c r="O26" s="15">
        <f t="shared" si="0"/>
        <v>73.428571428571431</v>
      </c>
      <c r="P26" s="15">
        <f t="shared" si="1"/>
        <v>227.42857142857142</v>
      </c>
      <c r="R26" s="1" t="s">
        <v>150</v>
      </c>
      <c r="S26" s="34">
        <f>SUM(C74:C77)</f>
        <v>79</v>
      </c>
      <c r="T26" s="34">
        <f t="shared" ref="T26:AF26" si="18">SUM(D74:D77)</f>
        <v>20.5</v>
      </c>
      <c r="U26" s="34">
        <f t="shared" si="18"/>
        <v>8</v>
      </c>
      <c r="V26" s="34">
        <f t="shared" si="18"/>
        <v>7</v>
      </c>
      <c r="W26" s="34">
        <f t="shared" si="18"/>
        <v>1</v>
      </c>
      <c r="X26" s="34">
        <f t="shared" si="18"/>
        <v>0</v>
      </c>
      <c r="Y26" s="34">
        <f t="shared" si="18"/>
        <v>3</v>
      </c>
      <c r="Z26" s="34">
        <f t="shared" si="18"/>
        <v>1.5</v>
      </c>
      <c r="AA26" s="34">
        <f t="shared" si="18"/>
        <v>2.5</v>
      </c>
      <c r="AB26" s="34">
        <f t="shared" si="18"/>
        <v>1.5</v>
      </c>
      <c r="AC26" s="34">
        <f t="shared" si="18"/>
        <v>204</v>
      </c>
      <c r="AD26" s="34">
        <f t="shared" si="18"/>
        <v>0</v>
      </c>
      <c r="AE26" s="31">
        <f t="shared" si="18"/>
        <v>124</v>
      </c>
      <c r="AF26" s="31">
        <f t="shared" si="18"/>
        <v>328</v>
      </c>
    </row>
    <row r="27" spans="2:32" ht="23.1" customHeight="1" x14ac:dyDescent="0.25">
      <c r="B27" s="23" t="s">
        <v>54</v>
      </c>
      <c r="C27" s="49">
        <f>AVERAGE('29.07 Spear Motors -URA'!C27,'30.07 Spear Motors-URA'!C27,'31.07 Spear Motors-URA'!C27,'02.08 Spear Motors-URA'!C27,'01.08 Spear Motors-URA-24h'!C27,'03.08 Spear Motors-URA-24h'!C27,'04.08 Spear Motors-URA'!C27)</f>
        <v>32.428571428571431</v>
      </c>
      <c r="D27" s="49">
        <f>AVERAGE('29.07 Spear Motors -URA'!D27,'30.07 Spear Motors-URA'!D27,'31.07 Spear Motors-URA'!D27,'02.08 Spear Motors-URA'!D27,'01.08 Spear Motors-URA-24h'!D27,'03.08 Spear Motors-URA-24h'!D27,'04.08 Spear Motors-URA'!D27)</f>
        <v>29</v>
      </c>
      <c r="E27" s="49">
        <f>AVERAGE('29.07 Spear Motors -URA'!E27,'30.07 Spear Motors-URA'!E27,'31.07 Spear Motors-URA'!E27,'02.08 Spear Motors-URA'!E27,'01.08 Spear Motors-URA-24h'!E27,'03.08 Spear Motors-URA-24h'!E27,'04.08 Spear Motors-URA'!E27)</f>
        <v>7.1428571428571432</v>
      </c>
      <c r="F27" s="49">
        <f>AVERAGE('29.07 Spear Motors -URA'!F27,'30.07 Spear Motors-URA'!F27,'31.07 Spear Motors-URA'!F27,'02.08 Spear Motors-URA'!F27,'01.08 Spear Motors-URA-24h'!F27,'03.08 Spear Motors-URA-24h'!F27,'04.08 Spear Motors-URA'!F27)</f>
        <v>6.5714285714285712</v>
      </c>
      <c r="G27" s="49">
        <f>AVERAGE('29.07 Spear Motors -URA'!G27,'30.07 Spear Motors-URA'!G27,'31.07 Spear Motors-URA'!G27,'02.08 Spear Motors-URA'!G27,'01.08 Spear Motors-URA-24h'!G27,'03.08 Spear Motors-URA-24h'!G27,'04.08 Spear Motors-URA'!G27)</f>
        <v>2.7142857142857144</v>
      </c>
      <c r="H27" s="49">
        <f>AVERAGE('29.07 Spear Motors -URA'!H27,'30.07 Spear Motors-URA'!H27,'31.07 Spear Motors-URA'!H27,'02.08 Spear Motors-URA'!H27,'01.08 Spear Motors-URA-24h'!H27,'03.08 Spear Motors-URA-24h'!H27,'04.08 Spear Motors-URA'!H27)</f>
        <v>0.14285714285714285</v>
      </c>
      <c r="I27" s="49">
        <f>AVERAGE('29.07 Spear Motors -URA'!I27,'30.07 Spear Motors-URA'!I27,'31.07 Spear Motors-URA'!I27,'02.08 Spear Motors-URA'!I27,'01.08 Spear Motors-URA-24h'!I27,'03.08 Spear Motors-URA-24h'!I27,'04.08 Spear Motors-URA'!I27)</f>
        <v>2.1428571428571428</v>
      </c>
      <c r="J27" s="49">
        <f>AVERAGE('29.07 Spear Motors -URA'!J27,'30.07 Spear Motors-URA'!J27,'31.07 Spear Motors-URA'!J27,'02.08 Spear Motors-URA'!J27,'01.08 Spear Motors-URA-24h'!J27,'03.08 Spear Motors-URA-24h'!J27,'04.08 Spear Motors-URA'!J27)</f>
        <v>3</v>
      </c>
      <c r="K27" s="49">
        <f>AVERAGE('29.07 Spear Motors -URA'!K27,'30.07 Spear Motors-URA'!K27,'31.07 Spear Motors-URA'!K27,'02.08 Spear Motors-URA'!K27,'01.08 Spear Motors-URA-24h'!K27,'03.08 Spear Motors-URA-24h'!K27,'04.08 Spear Motors-URA'!K27)</f>
        <v>2.8571428571428572</v>
      </c>
      <c r="L27" s="49">
        <f>AVERAGE('29.07 Spear Motors -URA'!L27,'30.07 Spear Motors-URA'!L27,'31.07 Spear Motors-URA'!L27,'02.08 Spear Motors-URA'!L27,'01.08 Spear Motors-URA-24h'!L27,'03.08 Spear Motors-URA-24h'!L27,'04.08 Spear Motors-URA'!L27)</f>
        <v>3.2857142857142856</v>
      </c>
      <c r="M27" s="49">
        <f>AVERAGE('29.07 Spear Motors -URA'!M27,'30.07 Spear Motors-URA'!M27,'31.07 Spear Motors-URA'!M27,'02.08 Spear Motors-URA'!M27,'01.08 Spear Motors-URA-24h'!M27,'03.08 Spear Motors-URA-24h'!M27,'04.08 Spear Motors-URA'!M27)</f>
        <v>145.71428571428572</v>
      </c>
      <c r="N27" s="49">
        <f>AVERAGE('29.07 Spear Motors -URA'!N27,'30.07 Spear Motors-URA'!N27,'31.07 Spear Motors-URA'!N27,'02.08 Spear Motors-URA'!N27,'01.08 Spear Motors-URA-24h'!N27,'03.08 Spear Motors-URA-24h'!N27,'04.08 Spear Motors-URA'!N27)</f>
        <v>0</v>
      </c>
      <c r="O27" s="15">
        <f t="shared" si="0"/>
        <v>89.285714285714278</v>
      </c>
      <c r="P27" s="15">
        <f t="shared" si="1"/>
        <v>235</v>
      </c>
      <c r="R27" s="1" t="s">
        <v>151</v>
      </c>
      <c r="S27" s="34">
        <f>SUM(C78:C81)</f>
        <v>32.5</v>
      </c>
      <c r="T27" s="34">
        <f t="shared" ref="T27:AF27" si="19">SUM(D78:D81)</f>
        <v>10</v>
      </c>
      <c r="U27" s="34">
        <f t="shared" si="19"/>
        <v>8</v>
      </c>
      <c r="V27" s="34">
        <f t="shared" si="19"/>
        <v>7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3</v>
      </c>
      <c r="AA27" s="34">
        <f t="shared" si="19"/>
        <v>1.5</v>
      </c>
      <c r="AB27" s="34">
        <f t="shared" si="19"/>
        <v>1.5</v>
      </c>
      <c r="AC27" s="34">
        <f t="shared" si="19"/>
        <v>142.5</v>
      </c>
      <c r="AD27" s="34">
        <f t="shared" si="19"/>
        <v>0</v>
      </c>
      <c r="AE27" s="31">
        <f t="shared" si="19"/>
        <v>66.5</v>
      </c>
      <c r="AF27" s="31">
        <f t="shared" si="19"/>
        <v>209</v>
      </c>
    </row>
    <row r="28" spans="2:32" ht="23.1" customHeight="1" x14ac:dyDescent="0.25">
      <c r="B28" s="23" t="s">
        <v>55</v>
      </c>
      <c r="C28" s="49">
        <f>AVERAGE('29.07 Spear Motors -URA'!C28,'30.07 Spear Motors-URA'!C28,'31.07 Spear Motors-URA'!C28,'02.08 Spear Motors-URA'!C28,'01.08 Spear Motors-URA-24h'!C28,'03.08 Spear Motors-URA-24h'!C28,'04.08 Spear Motors-URA'!C28)</f>
        <v>35.571428571428569</v>
      </c>
      <c r="D28" s="49">
        <f>AVERAGE('29.07 Spear Motors -URA'!D28,'30.07 Spear Motors-URA'!D28,'31.07 Spear Motors-URA'!D28,'02.08 Spear Motors-URA'!D28,'01.08 Spear Motors-URA-24h'!D28,'03.08 Spear Motors-URA-24h'!D28,'04.08 Spear Motors-URA'!D28)</f>
        <v>5.8571428571428568</v>
      </c>
      <c r="E28" s="49">
        <f>AVERAGE('29.07 Spear Motors -URA'!E28,'30.07 Spear Motors-URA'!E28,'31.07 Spear Motors-URA'!E28,'02.08 Spear Motors-URA'!E28,'01.08 Spear Motors-URA-24h'!E28,'03.08 Spear Motors-URA-24h'!E28,'04.08 Spear Motors-URA'!E28)</f>
        <v>6</v>
      </c>
      <c r="F28" s="49">
        <f>AVERAGE('29.07 Spear Motors -URA'!F28,'30.07 Spear Motors-URA'!F28,'31.07 Spear Motors-URA'!F28,'02.08 Spear Motors-URA'!F28,'01.08 Spear Motors-URA-24h'!F28,'03.08 Spear Motors-URA-24h'!F28,'04.08 Spear Motors-URA'!F28)</f>
        <v>5.4285714285714288</v>
      </c>
      <c r="G28" s="49">
        <f>AVERAGE('29.07 Spear Motors -URA'!G28,'30.07 Spear Motors-URA'!G28,'31.07 Spear Motors-URA'!G28,'02.08 Spear Motors-URA'!G28,'01.08 Spear Motors-URA-24h'!G28,'03.08 Spear Motors-URA-24h'!G28,'04.08 Spear Motors-URA'!G28)</f>
        <v>0.7142857142857143</v>
      </c>
      <c r="H28" s="49">
        <f>AVERAGE('29.07 Spear Motors -URA'!H28,'30.07 Spear Motors-URA'!H28,'31.07 Spear Motors-URA'!H28,'02.08 Spear Motors-URA'!H28,'01.08 Spear Motors-URA-24h'!H28,'03.08 Spear Motors-URA-24h'!H28,'04.08 Spear Motors-URA'!H28)</f>
        <v>0.14285714285714285</v>
      </c>
      <c r="I28" s="49">
        <f>AVERAGE('29.07 Spear Motors -URA'!I28,'30.07 Spear Motors-URA'!I28,'31.07 Spear Motors-URA'!I28,'02.08 Spear Motors-URA'!I28,'01.08 Spear Motors-URA-24h'!I28,'03.08 Spear Motors-URA-24h'!I28,'04.08 Spear Motors-URA'!I28)</f>
        <v>2.7142857142857144</v>
      </c>
      <c r="J28" s="49">
        <f>AVERAGE('29.07 Spear Motors -URA'!J28,'30.07 Spear Motors-URA'!J28,'31.07 Spear Motors-URA'!J28,'02.08 Spear Motors-URA'!J28,'01.08 Spear Motors-URA-24h'!J28,'03.08 Spear Motors-URA-24h'!J28,'04.08 Spear Motors-URA'!J28)</f>
        <v>2.4285714285714284</v>
      </c>
      <c r="K28" s="49">
        <f>AVERAGE('29.07 Spear Motors -URA'!K28,'30.07 Spear Motors-URA'!K28,'31.07 Spear Motors-URA'!K28,'02.08 Spear Motors-URA'!K28,'01.08 Spear Motors-URA-24h'!K28,'03.08 Spear Motors-URA-24h'!K28,'04.08 Spear Motors-URA'!K28)</f>
        <v>2.5714285714285716</v>
      </c>
      <c r="L28" s="49">
        <f>AVERAGE('29.07 Spear Motors -URA'!L28,'30.07 Spear Motors-URA'!L28,'31.07 Spear Motors-URA'!L28,'02.08 Spear Motors-URA'!L28,'01.08 Spear Motors-URA-24h'!L28,'03.08 Spear Motors-URA-24h'!L28,'04.08 Spear Motors-URA'!L28)</f>
        <v>3.8571428571428572</v>
      </c>
      <c r="M28" s="49">
        <f>AVERAGE('29.07 Spear Motors -URA'!M28,'30.07 Spear Motors-URA'!M28,'31.07 Spear Motors-URA'!M28,'02.08 Spear Motors-URA'!M28,'01.08 Spear Motors-URA-24h'!M28,'03.08 Spear Motors-URA-24h'!M28,'04.08 Spear Motors-URA'!M28)</f>
        <v>139.28571428571428</v>
      </c>
      <c r="N28" s="49">
        <f>AVERAGE('29.07 Spear Motors -URA'!N28,'30.07 Spear Motors-URA'!N28,'31.07 Spear Motors-URA'!N28,'02.08 Spear Motors-URA'!N28,'01.08 Spear Motors-URA-24h'!N28,'03.08 Spear Motors-URA-24h'!N28,'04.08 Spear Motors-URA'!N28)</f>
        <v>0</v>
      </c>
      <c r="O28" s="15">
        <f t="shared" si="0"/>
        <v>65.285714285714292</v>
      </c>
      <c r="P28" s="15">
        <f t="shared" si="1"/>
        <v>204.57142857142856</v>
      </c>
      <c r="R28" s="1" t="s">
        <v>152</v>
      </c>
      <c r="S28" s="34">
        <f>SUM(C82:C85)</f>
        <v>32</v>
      </c>
      <c r="T28" s="34">
        <f t="shared" ref="T28:AF28" si="20">SUM(D82:D85)</f>
        <v>3.5</v>
      </c>
      <c r="U28" s="34">
        <f t="shared" si="20"/>
        <v>2.5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3.5</v>
      </c>
      <c r="Z28" s="34">
        <f t="shared" si="20"/>
        <v>2</v>
      </c>
      <c r="AA28" s="34">
        <f t="shared" si="20"/>
        <v>1.5</v>
      </c>
      <c r="AB28" s="34">
        <f t="shared" si="20"/>
        <v>2.5</v>
      </c>
      <c r="AC28" s="34">
        <f t="shared" si="20"/>
        <v>73</v>
      </c>
      <c r="AD28" s="34">
        <f t="shared" si="20"/>
        <v>0</v>
      </c>
      <c r="AE28" s="31">
        <f t="shared" si="20"/>
        <v>49.5</v>
      </c>
      <c r="AF28" s="31">
        <f t="shared" si="20"/>
        <v>122.5</v>
      </c>
    </row>
    <row r="29" spans="2:32" ht="23.1" customHeight="1" x14ac:dyDescent="0.25">
      <c r="B29" s="23" t="s">
        <v>56</v>
      </c>
      <c r="C29" s="49">
        <f>AVERAGE('29.07 Spear Motors -URA'!C29,'30.07 Spear Motors-URA'!C29,'31.07 Spear Motors-URA'!C29,'02.08 Spear Motors-URA'!C29,'01.08 Spear Motors-URA-24h'!C29,'03.08 Spear Motors-URA-24h'!C29,'04.08 Spear Motors-URA'!C29)</f>
        <v>38.142857142857146</v>
      </c>
      <c r="D29" s="49">
        <f>AVERAGE('29.07 Spear Motors -URA'!D29,'30.07 Spear Motors-URA'!D29,'31.07 Spear Motors-URA'!D29,'02.08 Spear Motors-URA'!D29,'01.08 Spear Motors-URA-24h'!D29,'03.08 Spear Motors-URA-24h'!D29,'04.08 Spear Motors-URA'!D29)</f>
        <v>11.428571428571429</v>
      </c>
      <c r="E29" s="49">
        <f>AVERAGE('29.07 Spear Motors -URA'!E29,'30.07 Spear Motors-URA'!E29,'31.07 Spear Motors-URA'!E29,'02.08 Spear Motors-URA'!E29,'01.08 Spear Motors-URA-24h'!E29,'03.08 Spear Motors-URA-24h'!E29,'04.08 Spear Motors-URA'!E29)</f>
        <v>6.5714285714285712</v>
      </c>
      <c r="F29" s="49">
        <f>AVERAGE('29.07 Spear Motors -URA'!F29,'30.07 Spear Motors-URA'!F29,'31.07 Spear Motors-URA'!F29,'02.08 Spear Motors-URA'!F29,'01.08 Spear Motors-URA-24h'!F29,'03.08 Spear Motors-URA-24h'!F29,'04.08 Spear Motors-URA'!F29)</f>
        <v>7.5714285714285712</v>
      </c>
      <c r="G29" s="49">
        <f>AVERAGE('29.07 Spear Motors -URA'!G29,'30.07 Spear Motors-URA'!G29,'31.07 Spear Motors-URA'!G29,'02.08 Spear Motors-URA'!G29,'01.08 Spear Motors-URA-24h'!G29,'03.08 Spear Motors-URA-24h'!G29,'04.08 Spear Motors-URA'!G29)</f>
        <v>2.2857142857142856</v>
      </c>
      <c r="H29" s="49">
        <f>AVERAGE('29.07 Spear Motors -URA'!H29,'30.07 Spear Motors-URA'!H29,'31.07 Spear Motors-URA'!H29,'02.08 Spear Motors-URA'!H29,'01.08 Spear Motors-URA-24h'!H29,'03.08 Spear Motors-URA-24h'!H29,'04.08 Spear Motors-URA'!H29)</f>
        <v>0</v>
      </c>
      <c r="I29" s="49">
        <f>AVERAGE('29.07 Spear Motors -URA'!I29,'30.07 Spear Motors-URA'!I29,'31.07 Spear Motors-URA'!I29,'02.08 Spear Motors-URA'!I29,'01.08 Spear Motors-URA-24h'!I29,'03.08 Spear Motors-URA-24h'!I29,'04.08 Spear Motors-URA'!I29)</f>
        <v>2.1428571428571428</v>
      </c>
      <c r="J29" s="49">
        <f>AVERAGE('29.07 Spear Motors -URA'!J29,'30.07 Spear Motors-URA'!J29,'31.07 Spear Motors-URA'!J29,'02.08 Spear Motors-URA'!J29,'01.08 Spear Motors-URA-24h'!J29,'03.08 Spear Motors-URA-24h'!J29,'04.08 Spear Motors-URA'!J29)</f>
        <v>2.1428571428571428</v>
      </c>
      <c r="K29" s="49">
        <f>AVERAGE('29.07 Spear Motors -URA'!K29,'30.07 Spear Motors-URA'!K29,'31.07 Spear Motors-URA'!K29,'02.08 Spear Motors-URA'!K29,'01.08 Spear Motors-URA-24h'!K29,'03.08 Spear Motors-URA-24h'!K29,'04.08 Spear Motors-URA'!K29)</f>
        <v>3.2857142857142856</v>
      </c>
      <c r="L29" s="49">
        <f>AVERAGE('29.07 Spear Motors -URA'!L29,'30.07 Spear Motors-URA'!L29,'31.07 Spear Motors-URA'!L29,'02.08 Spear Motors-URA'!L29,'01.08 Spear Motors-URA-24h'!L29,'03.08 Spear Motors-URA-24h'!L29,'04.08 Spear Motors-URA'!L29)</f>
        <v>4.7142857142857144</v>
      </c>
      <c r="M29" s="49">
        <f>AVERAGE('29.07 Spear Motors -URA'!M29,'30.07 Spear Motors-URA'!M29,'31.07 Spear Motors-URA'!M29,'02.08 Spear Motors-URA'!M29,'01.08 Spear Motors-URA-24h'!M29,'03.08 Spear Motors-URA-24h'!M29,'04.08 Spear Motors-URA'!M29)</f>
        <v>120.71428571428571</v>
      </c>
      <c r="N29" s="49">
        <f>AVERAGE('29.07 Spear Motors -URA'!N29,'30.07 Spear Motors-URA'!N29,'31.07 Spear Motors-URA'!N29,'02.08 Spear Motors-URA'!N29,'01.08 Spear Motors-URA-24h'!N29,'03.08 Spear Motors-URA-24h'!N29,'04.08 Spear Motors-URA'!N29)</f>
        <v>0</v>
      </c>
      <c r="O29" s="15">
        <f t="shared" si="0"/>
        <v>78.285714285714278</v>
      </c>
      <c r="P29" s="15">
        <f t="shared" si="1"/>
        <v>199</v>
      </c>
      <c r="R29" s="1" t="s">
        <v>153</v>
      </c>
      <c r="S29" s="34">
        <f>SUM(C86:C89)</f>
        <v>26.5</v>
      </c>
      <c r="T29" s="34">
        <f t="shared" ref="T29:AF29" si="21">SUM(D86:D89)</f>
        <v>2.5</v>
      </c>
      <c r="U29" s="34">
        <f t="shared" si="21"/>
        <v>2</v>
      </c>
      <c r="V29" s="34">
        <f t="shared" si="21"/>
        <v>4</v>
      </c>
      <c r="W29" s="34">
        <f t="shared" si="21"/>
        <v>0</v>
      </c>
      <c r="X29" s="34">
        <f t="shared" si="21"/>
        <v>0</v>
      </c>
      <c r="Y29" s="34">
        <f t="shared" si="21"/>
        <v>1.5</v>
      </c>
      <c r="Z29" s="34">
        <f t="shared" si="21"/>
        <v>1</v>
      </c>
      <c r="AA29" s="34">
        <f t="shared" si="21"/>
        <v>1.5</v>
      </c>
      <c r="AB29" s="34">
        <f t="shared" si="21"/>
        <v>1</v>
      </c>
      <c r="AC29" s="34">
        <f t="shared" si="21"/>
        <v>44.5</v>
      </c>
      <c r="AD29" s="34">
        <f t="shared" si="21"/>
        <v>0</v>
      </c>
      <c r="AE29" s="31">
        <f t="shared" si="21"/>
        <v>40</v>
      </c>
      <c r="AF29" s="31">
        <f t="shared" si="21"/>
        <v>84.5</v>
      </c>
    </row>
    <row r="30" spans="2:32" ht="23.1" customHeight="1" x14ac:dyDescent="0.25">
      <c r="B30" s="23" t="s">
        <v>57</v>
      </c>
      <c r="C30" s="49">
        <f>AVERAGE('29.07 Spear Motors -URA'!C30,'30.07 Spear Motors-URA'!C30,'31.07 Spear Motors-URA'!C30,'02.08 Spear Motors-URA'!C30,'01.08 Spear Motors-URA-24h'!C30,'03.08 Spear Motors-URA-24h'!C30,'04.08 Spear Motors-URA'!C30)</f>
        <v>30.571428571428573</v>
      </c>
      <c r="D30" s="49">
        <f>AVERAGE('29.07 Spear Motors -URA'!D30,'30.07 Spear Motors-URA'!D30,'31.07 Spear Motors-URA'!D30,'02.08 Spear Motors-URA'!D30,'01.08 Spear Motors-URA-24h'!D30,'03.08 Spear Motors-URA-24h'!D30,'04.08 Spear Motors-URA'!D30)</f>
        <v>9.2857142857142865</v>
      </c>
      <c r="E30" s="49">
        <f>AVERAGE('29.07 Spear Motors -URA'!E30,'30.07 Spear Motors-URA'!E30,'31.07 Spear Motors-URA'!E30,'02.08 Spear Motors-URA'!E30,'01.08 Spear Motors-URA-24h'!E30,'03.08 Spear Motors-URA-24h'!E30,'04.08 Spear Motors-URA'!E30)</f>
        <v>7.1428571428571432</v>
      </c>
      <c r="F30" s="49">
        <f>AVERAGE('29.07 Spear Motors -URA'!F30,'30.07 Spear Motors-URA'!F30,'31.07 Spear Motors-URA'!F30,'02.08 Spear Motors-URA'!F30,'01.08 Spear Motors-URA-24h'!F30,'03.08 Spear Motors-URA-24h'!F30,'04.08 Spear Motors-URA'!F30)</f>
        <v>8.1428571428571423</v>
      </c>
      <c r="G30" s="49">
        <f>AVERAGE('29.07 Spear Motors -URA'!G30,'30.07 Spear Motors-URA'!G30,'31.07 Spear Motors-URA'!G30,'02.08 Spear Motors-URA'!G30,'01.08 Spear Motors-URA-24h'!G30,'03.08 Spear Motors-URA-24h'!G30,'04.08 Spear Motors-URA'!G30)</f>
        <v>0.2857142857142857</v>
      </c>
      <c r="H30" s="49">
        <f>AVERAGE('29.07 Spear Motors -URA'!H30,'30.07 Spear Motors-URA'!H30,'31.07 Spear Motors-URA'!H30,'02.08 Spear Motors-URA'!H30,'01.08 Spear Motors-URA-24h'!H30,'03.08 Spear Motors-URA-24h'!H30,'04.08 Spear Motors-URA'!H30)</f>
        <v>0</v>
      </c>
      <c r="I30" s="49">
        <f>AVERAGE('29.07 Spear Motors -URA'!I30,'30.07 Spear Motors-URA'!I30,'31.07 Spear Motors-URA'!I30,'02.08 Spear Motors-URA'!I30,'01.08 Spear Motors-URA-24h'!I30,'03.08 Spear Motors-URA-24h'!I30,'04.08 Spear Motors-URA'!I30)</f>
        <v>5.2857142857142856</v>
      </c>
      <c r="J30" s="49">
        <f>AVERAGE('29.07 Spear Motors -URA'!J30,'30.07 Spear Motors-URA'!J30,'31.07 Spear Motors-URA'!J30,'02.08 Spear Motors-URA'!J30,'01.08 Spear Motors-URA-24h'!J30,'03.08 Spear Motors-URA-24h'!J30,'04.08 Spear Motors-URA'!J30)</f>
        <v>1.2857142857142858</v>
      </c>
      <c r="K30" s="49">
        <f>AVERAGE('29.07 Spear Motors -URA'!K30,'30.07 Spear Motors-URA'!K30,'31.07 Spear Motors-URA'!K30,'02.08 Spear Motors-URA'!K30,'01.08 Spear Motors-URA-24h'!K30,'03.08 Spear Motors-URA-24h'!K30,'04.08 Spear Motors-URA'!K30)</f>
        <v>2.4285714285714284</v>
      </c>
      <c r="L30" s="49">
        <f>AVERAGE('29.07 Spear Motors -URA'!L30,'30.07 Spear Motors-URA'!L30,'31.07 Spear Motors-URA'!L30,'02.08 Spear Motors-URA'!L30,'01.08 Spear Motors-URA-24h'!L30,'03.08 Spear Motors-URA-24h'!L30,'04.08 Spear Motors-URA'!L30)</f>
        <v>5.1428571428571432</v>
      </c>
      <c r="M30" s="49">
        <f>AVERAGE('29.07 Spear Motors -URA'!M30,'30.07 Spear Motors-URA'!M30,'31.07 Spear Motors-URA'!M30,'02.08 Spear Motors-URA'!M30,'01.08 Spear Motors-URA-24h'!M30,'03.08 Spear Motors-URA-24h'!M30,'04.08 Spear Motors-URA'!M30)</f>
        <v>110.14285714285714</v>
      </c>
      <c r="N30" s="49">
        <f>AVERAGE('29.07 Spear Motors -URA'!N30,'30.07 Spear Motors-URA'!N30,'31.07 Spear Motors-URA'!N30,'02.08 Spear Motors-URA'!N30,'01.08 Spear Motors-URA-24h'!N30,'03.08 Spear Motors-URA-24h'!N30,'04.08 Spear Motors-URA'!N30)</f>
        <v>0</v>
      </c>
      <c r="O30" s="15">
        <f t="shared" si="0"/>
        <v>69.571428571428569</v>
      </c>
      <c r="P30" s="15">
        <f t="shared" si="1"/>
        <v>179.71428571428572</v>
      </c>
      <c r="R30" s="1" t="s">
        <v>154</v>
      </c>
      <c r="S30" s="34">
        <f>SUM(C90:C93)</f>
        <v>13.5</v>
      </c>
      <c r="T30" s="34">
        <f t="shared" ref="T30:AF30" si="22">SUM(D90:D93)</f>
        <v>2</v>
      </c>
      <c r="U30" s="34">
        <f t="shared" si="22"/>
        <v>1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2.5</v>
      </c>
      <c r="AA30" s="34">
        <f t="shared" si="22"/>
        <v>1.5</v>
      </c>
      <c r="AB30" s="34">
        <f t="shared" si="22"/>
        <v>2.5</v>
      </c>
      <c r="AC30" s="34">
        <f t="shared" si="22"/>
        <v>35.5</v>
      </c>
      <c r="AD30" s="34">
        <f t="shared" si="22"/>
        <v>0</v>
      </c>
      <c r="AE30" s="31">
        <f t="shared" si="22"/>
        <v>24.5</v>
      </c>
      <c r="AF30" s="31">
        <f t="shared" si="22"/>
        <v>60</v>
      </c>
    </row>
    <row r="31" spans="2:32" ht="23.1" customHeight="1" x14ac:dyDescent="0.25">
      <c r="B31" s="24" t="s">
        <v>58</v>
      </c>
      <c r="C31" s="49">
        <f>AVERAGE('29.07 Spear Motors -URA'!C31,'30.07 Spear Motors-URA'!C31,'31.07 Spear Motors-URA'!C31,'02.08 Spear Motors-URA'!C31,'01.08 Spear Motors-URA-24h'!C31,'03.08 Spear Motors-URA-24h'!C31,'04.08 Spear Motors-URA'!C31)</f>
        <v>31</v>
      </c>
      <c r="D31" s="49">
        <f>AVERAGE('29.07 Spear Motors -URA'!D31,'30.07 Spear Motors-URA'!D31,'31.07 Spear Motors-URA'!D31,'02.08 Spear Motors-URA'!D31,'01.08 Spear Motors-URA-24h'!D31,'03.08 Spear Motors-URA-24h'!D31,'04.08 Spear Motors-URA'!D31)</f>
        <v>6.1428571428571432</v>
      </c>
      <c r="E31" s="49">
        <f>AVERAGE('29.07 Spear Motors -URA'!E31,'30.07 Spear Motors-URA'!E31,'31.07 Spear Motors-URA'!E31,'02.08 Spear Motors-URA'!E31,'01.08 Spear Motors-URA-24h'!E31,'03.08 Spear Motors-URA-24h'!E31,'04.08 Spear Motors-URA'!E31)</f>
        <v>6.2857142857142856</v>
      </c>
      <c r="F31" s="49">
        <f>AVERAGE('29.07 Spear Motors -URA'!F31,'30.07 Spear Motors-URA'!F31,'31.07 Spear Motors-URA'!F31,'02.08 Spear Motors-URA'!F31,'01.08 Spear Motors-URA-24h'!F31,'03.08 Spear Motors-URA-24h'!F31,'04.08 Spear Motors-URA'!F31)</f>
        <v>5.8571428571428568</v>
      </c>
      <c r="G31" s="49">
        <f>AVERAGE('29.07 Spear Motors -URA'!G31,'30.07 Spear Motors-URA'!G31,'31.07 Spear Motors-URA'!G31,'02.08 Spear Motors-URA'!G31,'01.08 Spear Motors-URA-24h'!G31,'03.08 Spear Motors-URA-24h'!G31,'04.08 Spear Motors-URA'!G31)</f>
        <v>1.5714285714285714</v>
      </c>
      <c r="H31" s="49">
        <f>AVERAGE('29.07 Spear Motors -URA'!H31,'30.07 Spear Motors-URA'!H31,'31.07 Spear Motors-URA'!H31,'02.08 Spear Motors-URA'!H31,'01.08 Spear Motors-URA-24h'!H31,'03.08 Spear Motors-URA-24h'!H31,'04.08 Spear Motors-URA'!H31)</f>
        <v>0.14285714285714285</v>
      </c>
      <c r="I31" s="49">
        <f>AVERAGE('29.07 Spear Motors -URA'!I31,'30.07 Spear Motors-URA'!I31,'31.07 Spear Motors-URA'!I31,'02.08 Spear Motors-URA'!I31,'01.08 Spear Motors-URA-24h'!I31,'03.08 Spear Motors-URA-24h'!I31,'04.08 Spear Motors-URA'!I31)</f>
        <v>3.2857142857142856</v>
      </c>
      <c r="J31" s="49">
        <f>AVERAGE('29.07 Spear Motors -URA'!J31,'30.07 Spear Motors-URA'!J31,'31.07 Spear Motors-URA'!J31,'02.08 Spear Motors-URA'!J31,'01.08 Spear Motors-URA-24h'!J31,'03.08 Spear Motors-URA-24h'!J31,'04.08 Spear Motors-URA'!J31)</f>
        <v>1.8571428571428572</v>
      </c>
      <c r="K31" s="49">
        <f>AVERAGE('29.07 Spear Motors -URA'!K31,'30.07 Spear Motors-URA'!K31,'31.07 Spear Motors-URA'!K31,'02.08 Spear Motors-URA'!K31,'01.08 Spear Motors-URA-24h'!K31,'03.08 Spear Motors-URA-24h'!K31,'04.08 Spear Motors-URA'!K31)</f>
        <v>2.7142857142857144</v>
      </c>
      <c r="L31" s="49">
        <f>AVERAGE('29.07 Spear Motors -URA'!L31,'30.07 Spear Motors-URA'!L31,'31.07 Spear Motors-URA'!L31,'02.08 Spear Motors-URA'!L31,'01.08 Spear Motors-URA-24h'!L31,'03.08 Spear Motors-URA-24h'!L31,'04.08 Spear Motors-URA'!L31)</f>
        <v>6</v>
      </c>
      <c r="M31" s="49">
        <f>AVERAGE('29.07 Spear Motors -URA'!M31,'30.07 Spear Motors-URA'!M31,'31.07 Spear Motors-URA'!M31,'02.08 Spear Motors-URA'!M31,'01.08 Spear Motors-URA-24h'!M31,'03.08 Spear Motors-URA-24h'!M31,'04.08 Spear Motors-URA'!M31)</f>
        <v>126</v>
      </c>
      <c r="N31" s="49">
        <f>AVERAGE('29.07 Spear Motors -URA'!N31,'30.07 Spear Motors-URA'!N31,'31.07 Spear Motors-URA'!N31,'02.08 Spear Motors-URA'!N31,'01.08 Spear Motors-URA-24h'!N31,'03.08 Spear Motors-URA-24h'!N31,'04.08 Spear Motors-URA'!N31)</f>
        <v>0</v>
      </c>
      <c r="O31" s="15">
        <f t="shared" si="0"/>
        <v>64.857142857142861</v>
      </c>
      <c r="P31" s="15">
        <f t="shared" si="1"/>
        <v>190.85714285714286</v>
      </c>
      <c r="R31" s="1" t="s">
        <v>155</v>
      </c>
      <c r="S31" s="34">
        <f>SUM(C94:C97)</f>
        <v>15</v>
      </c>
      <c r="T31" s="34">
        <f t="shared" ref="T31:AF31" si="23">SUM(D94:D97)</f>
        <v>2</v>
      </c>
      <c r="U31" s="34">
        <f t="shared" si="23"/>
        <v>1.5</v>
      </c>
      <c r="V31" s="34">
        <f t="shared" si="23"/>
        <v>1.5</v>
      </c>
      <c r="W31" s="34">
        <f t="shared" si="23"/>
        <v>0.5</v>
      </c>
      <c r="X31" s="34">
        <f t="shared" si="23"/>
        <v>0</v>
      </c>
      <c r="Y31" s="34">
        <f t="shared" si="23"/>
        <v>2</v>
      </c>
      <c r="Z31" s="34">
        <f t="shared" si="23"/>
        <v>1</v>
      </c>
      <c r="AA31" s="34">
        <f t="shared" si="23"/>
        <v>0.5</v>
      </c>
      <c r="AB31" s="34">
        <f t="shared" si="23"/>
        <v>1.5</v>
      </c>
      <c r="AC31" s="34">
        <f t="shared" si="23"/>
        <v>66.5</v>
      </c>
      <c r="AD31" s="34">
        <f t="shared" si="23"/>
        <v>0</v>
      </c>
      <c r="AE31" s="31">
        <f t="shared" si="23"/>
        <v>25.5</v>
      </c>
      <c r="AF31" s="31">
        <f t="shared" si="23"/>
        <v>92</v>
      </c>
    </row>
    <row r="32" spans="2:32" ht="23.1" customHeight="1" x14ac:dyDescent="0.25">
      <c r="B32" s="24" t="s">
        <v>59</v>
      </c>
      <c r="C32" s="49">
        <f>AVERAGE('29.07 Spear Motors -URA'!C32,'30.07 Spear Motors-URA'!C32,'31.07 Spear Motors-URA'!C32,'02.08 Spear Motors-URA'!C32,'01.08 Spear Motors-URA-24h'!C32,'03.08 Spear Motors-URA-24h'!C32,'04.08 Spear Motors-URA'!C32)</f>
        <v>33.142857142857146</v>
      </c>
      <c r="D32" s="49">
        <f>AVERAGE('29.07 Spear Motors -URA'!D32,'30.07 Spear Motors-URA'!D32,'31.07 Spear Motors-URA'!D32,'02.08 Spear Motors-URA'!D32,'01.08 Spear Motors-URA-24h'!D32,'03.08 Spear Motors-URA-24h'!D32,'04.08 Spear Motors-URA'!D32)</f>
        <v>8.1428571428571423</v>
      </c>
      <c r="E32" s="49">
        <f>AVERAGE('29.07 Spear Motors -URA'!E32,'30.07 Spear Motors-URA'!E32,'31.07 Spear Motors-URA'!E32,'02.08 Spear Motors-URA'!E32,'01.08 Spear Motors-URA-24h'!E32,'03.08 Spear Motors-URA-24h'!E32,'04.08 Spear Motors-URA'!E32)</f>
        <v>4.8571428571428568</v>
      </c>
      <c r="F32" s="49">
        <f>AVERAGE('29.07 Spear Motors -URA'!F32,'30.07 Spear Motors-URA'!F32,'31.07 Spear Motors-URA'!F32,'02.08 Spear Motors-URA'!F32,'01.08 Spear Motors-URA-24h'!F32,'03.08 Spear Motors-URA-24h'!F32,'04.08 Spear Motors-URA'!F32)</f>
        <v>5</v>
      </c>
      <c r="G32" s="49">
        <f>AVERAGE('29.07 Spear Motors -URA'!G32,'30.07 Spear Motors-URA'!G32,'31.07 Spear Motors-URA'!G32,'02.08 Spear Motors-URA'!G32,'01.08 Spear Motors-URA-24h'!G32,'03.08 Spear Motors-URA-24h'!G32,'04.08 Spear Motors-URA'!G32)</f>
        <v>0.5714285714285714</v>
      </c>
      <c r="H32" s="49">
        <f>AVERAGE('29.07 Spear Motors -URA'!H32,'30.07 Spear Motors-URA'!H32,'31.07 Spear Motors-URA'!H32,'02.08 Spear Motors-URA'!H32,'01.08 Spear Motors-URA-24h'!H32,'03.08 Spear Motors-URA-24h'!H32,'04.08 Spear Motors-URA'!H32)</f>
        <v>0</v>
      </c>
      <c r="I32" s="49">
        <f>AVERAGE('29.07 Spear Motors -URA'!I32,'30.07 Spear Motors-URA'!I32,'31.07 Spear Motors-URA'!I32,'02.08 Spear Motors-URA'!I32,'01.08 Spear Motors-URA-24h'!I32,'03.08 Spear Motors-URA-24h'!I32,'04.08 Spear Motors-URA'!I32)</f>
        <v>1.4285714285714286</v>
      </c>
      <c r="J32" s="49">
        <f>AVERAGE('29.07 Spear Motors -URA'!J32,'30.07 Spear Motors-URA'!J32,'31.07 Spear Motors-URA'!J32,'02.08 Spear Motors-URA'!J32,'01.08 Spear Motors-URA-24h'!J32,'03.08 Spear Motors-URA-24h'!J32,'04.08 Spear Motors-URA'!J32)</f>
        <v>2.1428571428571428</v>
      </c>
      <c r="K32" s="49">
        <f>AVERAGE('29.07 Spear Motors -URA'!K32,'30.07 Spear Motors-URA'!K32,'31.07 Spear Motors-URA'!K32,'02.08 Spear Motors-URA'!K32,'01.08 Spear Motors-URA-24h'!K32,'03.08 Spear Motors-URA-24h'!K32,'04.08 Spear Motors-URA'!K32)</f>
        <v>2</v>
      </c>
      <c r="L32" s="49">
        <f>AVERAGE('29.07 Spear Motors -URA'!L32,'30.07 Spear Motors-URA'!L32,'31.07 Spear Motors-URA'!L32,'02.08 Spear Motors-URA'!L32,'01.08 Spear Motors-URA-24h'!L32,'03.08 Spear Motors-URA-24h'!L32,'04.08 Spear Motors-URA'!L32)</f>
        <v>3.4285714285714284</v>
      </c>
      <c r="M32" s="49">
        <f>AVERAGE('29.07 Spear Motors -URA'!M32,'30.07 Spear Motors-URA'!M32,'31.07 Spear Motors-URA'!M32,'02.08 Spear Motors-URA'!M32,'01.08 Spear Motors-URA-24h'!M32,'03.08 Spear Motors-URA-24h'!M32,'04.08 Spear Motors-URA'!M32)</f>
        <v>91.285714285714292</v>
      </c>
      <c r="N32" s="49">
        <f>AVERAGE('29.07 Spear Motors -URA'!N32,'30.07 Spear Motors-URA'!N32,'31.07 Spear Motors-URA'!N32,'02.08 Spear Motors-URA'!N32,'01.08 Spear Motors-URA-24h'!N32,'03.08 Spear Motors-URA-24h'!N32,'04.08 Spear Motors-URA'!N32)</f>
        <v>0</v>
      </c>
      <c r="O32" s="15">
        <f t="shared" si="0"/>
        <v>60.714285714285722</v>
      </c>
      <c r="P32" s="15">
        <f t="shared" si="1"/>
        <v>152</v>
      </c>
      <c r="R32" s="1" t="s">
        <v>156</v>
      </c>
      <c r="S32" s="34">
        <f>SUM(C98:C101)</f>
        <v>12.5</v>
      </c>
      <c r="T32" s="34">
        <f t="shared" ref="T32:AF32" si="24">SUM(D98:D101)</f>
        <v>2</v>
      </c>
      <c r="U32" s="34">
        <f t="shared" si="24"/>
        <v>2</v>
      </c>
      <c r="V32" s="34">
        <f t="shared" si="24"/>
        <v>7.5</v>
      </c>
      <c r="W32" s="34">
        <f t="shared" si="24"/>
        <v>0</v>
      </c>
      <c r="X32" s="34">
        <f t="shared" si="24"/>
        <v>0</v>
      </c>
      <c r="Y32" s="34">
        <f t="shared" si="24"/>
        <v>5</v>
      </c>
      <c r="Z32" s="34">
        <f t="shared" si="24"/>
        <v>3.5</v>
      </c>
      <c r="AA32" s="34">
        <f t="shared" si="24"/>
        <v>3</v>
      </c>
      <c r="AB32" s="34">
        <f t="shared" si="24"/>
        <v>5</v>
      </c>
      <c r="AC32" s="34">
        <f t="shared" si="24"/>
        <v>142</v>
      </c>
      <c r="AD32" s="34">
        <f t="shared" si="24"/>
        <v>0</v>
      </c>
      <c r="AE32" s="31">
        <f t="shared" si="24"/>
        <v>40.5</v>
      </c>
      <c r="AF32" s="31">
        <f t="shared" si="24"/>
        <v>182.5</v>
      </c>
    </row>
    <row r="33" spans="2:32" ht="23.1" customHeight="1" x14ac:dyDescent="0.25">
      <c r="B33" s="23" t="s">
        <v>60</v>
      </c>
      <c r="C33" s="49">
        <f>AVERAGE('29.07 Spear Motors -URA'!C33,'30.07 Spear Motors-URA'!C33,'31.07 Spear Motors-URA'!C33,'02.08 Spear Motors-URA'!C33,'01.08 Spear Motors-URA-24h'!C33,'03.08 Spear Motors-URA-24h'!C33,'04.08 Spear Motors-URA'!C33)</f>
        <v>35.428571428571431</v>
      </c>
      <c r="D33" s="49">
        <f>AVERAGE('29.07 Spear Motors -URA'!D33,'30.07 Spear Motors-URA'!D33,'31.07 Spear Motors-URA'!D33,'02.08 Spear Motors-URA'!D33,'01.08 Spear Motors-URA-24h'!D33,'03.08 Spear Motors-URA-24h'!D33,'04.08 Spear Motors-URA'!D33)</f>
        <v>9</v>
      </c>
      <c r="E33" s="49">
        <f>AVERAGE('29.07 Spear Motors -URA'!E33,'30.07 Spear Motors-URA'!E33,'31.07 Spear Motors-URA'!E33,'02.08 Spear Motors-URA'!E33,'01.08 Spear Motors-URA-24h'!E33,'03.08 Spear Motors-URA-24h'!E33,'04.08 Spear Motors-URA'!E33)</f>
        <v>6.2857142857142856</v>
      </c>
      <c r="F33" s="49">
        <f>AVERAGE('29.07 Spear Motors -URA'!F33,'30.07 Spear Motors-URA'!F33,'31.07 Spear Motors-URA'!F33,'02.08 Spear Motors-URA'!F33,'01.08 Spear Motors-URA-24h'!F33,'03.08 Spear Motors-URA-24h'!F33,'04.08 Spear Motors-URA'!F33)</f>
        <v>4.2857142857142856</v>
      </c>
      <c r="G33" s="49">
        <f>AVERAGE('29.07 Spear Motors -URA'!G33,'30.07 Spear Motors-URA'!G33,'31.07 Spear Motors-URA'!G33,'02.08 Spear Motors-URA'!G33,'01.08 Spear Motors-URA-24h'!G33,'03.08 Spear Motors-URA-24h'!G33,'04.08 Spear Motors-URA'!G33)</f>
        <v>1.7142857142857142</v>
      </c>
      <c r="H33" s="49">
        <f>AVERAGE('29.07 Spear Motors -URA'!H33,'30.07 Spear Motors-URA'!H33,'31.07 Spear Motors-URA'!H33,'02.08 Spear Motors-URA'!H33,'01.08 Spear Motors-URA-24h'!H33,'03.08 Spear Motors-URA-24h'!H33,'04.08 Spear Motors-URA'!H33)</f>
        <v>0</v>
      </c>
      <c r="I33" s="49">
        <f>AVERAGE('29.07 Spear Motors -URA'!I33,'30.07 Spear Motors-URA'!I33,'31.07 Spear Motors-URA'!I33,'02.08 Spear Motors-URA'!I33,'01.08 Spear Motors-URA-24h'!I33,'03.08 Spear Motors-URA-24h'!I33,'04.08 Spear Motors-URA'!I33)</f>
        <v>1.4285714285714286</v>
      </c>
      <c r="J33" s="49">
        <f>AVERAGE('29.07 Spear Motors -URA'!J33,'30.07 Spear Motors-URA'!J33,'31.07 Spear Motors-URA'!J33,'02.08 Spear Motors-URA'!J33,'01.08 Spear Motors-URA-24h'!J33,'03.08 Spear Motors-URA-24h'!J33,'04.08 Spear Motors-URA'!J33)</f>
        <v>3.1428571428571428</v>
      </c>
      <c r="K33" s="49">
        <f>AVERAGE('29.07 Spear Motors -URA'!K33,'30.07 Spear Motors-URA'!K33,'31.07 Spear Motors-URA'!K33,'02.08 Spear Motors-URA'!K33,'01.08 Spear Motors-URA-24h'!K33,'03.08 Spear Motors-URA-24h'!K33,'04.08 Spear Motors-URA'!K33)</f>
        <v>2.4285714285714284</v>
      </c>
      <c r="L33" s="49">
        <f>AVERAGE('29.07 Spear Motors -URA'!L33,'30.07 Spear Motors-URA'!L33,'31.07 Spear Motors-URA'!L33,'02.08 Spear Motors-URA'!L33,'01.08 Spear Motors-URA-24h'!L33,'03.08 Spear Motors-URA-24h'!L33,'04.08 Spear Motors-URA'!L33)</f>
        <v>4.4285714285714288</v>
      </c>
      <c r="M33" s="49">
        <f>AVERAGE('29.07 Spear Motors -URA'!M33,'30.07 Spear Motors-URA'!M33,'31.07 Spear Motors-URA'!M33,'02.08 Spear Motors-URA'!M33,'01.08 Spear Motors-URA-24h'!M33,'03.08 Spear Motors-URA-24h'!M33,'04.08 Spear Motors-URA'!M33)</f>
        <v>96</v>
      </c>
      <c r="N33" s="49">
        <f>AVERAGE('29.07 Spear Motors -URA'!N33,'30.07 Spear Motors-URA'!N33,'31.07 Spear Motors-URA'!N33,'02.08 Spear Motors-URA'!N33,'01.08 Spear Motors-URA-24h'!N33,'03.08 Spear Motors-URA-24h'!N33,'04.08 Spear Motors-URA'!N33)</f>
        <v>0</v>
      </c>
      <c r="O33" s="15">
        <f t="shared" si="0"/>
        <v>68.142857142857153</v>
      </c>
      <c r="P33" s="15">
        <f t="shared" si="1"/>
        <v>164.14285714285717</v>
      </c>
      <c r="R33" s="1" t="s">
        <v>157</v>
      </c>
      <c r="S33" s="34">
        <f>SUM(C102:C105)</f>
        <v>78</v>
      </c>
      <c r="T33" s="34">
        <f t="shared" ref="T33:AF33" si="25">SUM(D102:D105)</f>
        <v>15.5</v>
      </c>
      <c r="U33" s="34">
        <f t="shared" si="25"/>
        <v>11.5</v>
      </c>
      <c r="V33" s="34">
        <f t="shared" si="25"/>
        <v>43.5</v>
      </c>
      <c r="W33" s="34">
        <f t="shared" si="25"/>
        <v>2.5</v>
      </c>
      <c r="X33" s="34">
        <f t="shared" si="25"/>
        <v>0</v>
      </c>
      <c r="Y33" s="34">
        <f t="shared" si="25"/>
        <v>3</v>
      </c>
      <c r="Z33" s="34">
        <f t="shared" si="25"/>
        <v>4</v>
      </c>
      <c r="AA33" s="34">
        <f t="shared" si="25"/>
        <v>1.5</v>
      </c>
      <c r="AB33" s="34">
        <f t="shared" si="25"/>
        <v>9.5</v>
      </c>
      <c r="AC33" s="34">
        <f t="shared" si="25"/>
        <v>331.5</v>
      </c>
      <c r="AD33" s="34">
        <f t="shared" si="25"/>
        <v>0</v>
      </c>
      <c r="AE33" s="31">
        <f t="shared" si="25"/>
        <v>169</v>
      </c>
      <c r="AF33" s="31">
        <f t="shared" si="25"/>
        <v>500.5</v>
      </c>
    </row>
    <row r="34" spans="2:32" ht="23.1" customHeight="1" x14ac:dyDescent="0.25">
      <c r="B34" s="24" t="s">
        <v>61</v>
      </c>
      <c r="C34" s="49">
        <f>AVERAGE('29.07 Spear Motors -URA'!C34,'30.07 Spear Motors-URA'!C34,'31.07 Spear Motors-URA'!C34,'02.08 Spear Motors-URA'!C34,'01.08 Spear Motors-URA-24h'!C34,'03.08 Spear Motors-URA-24h'!C34,'04.08 Spear Motors-URA'!C34)</f>
        <v>33.571428571428569</v>
      </c>
      <c r="D34" s="49">
        <f>AVERAGE('29.07 Spear Motors -URA'!D34,'30.07 Spear Motors-URA'!D34,'31.07 Spear Motors-URA'!D34,'02.08 Spear Motors-URA'!D34,'01.08 Spear Motors-URA-24h'!D34,'03.08 Spear Motors-URA-24h'!D34,'04.08 Spear Motors-URA'!D34)</f>
        <v>6.5714285714285712</v>
      </c>
      <c r="E34" s="49">
        <f>AVERAGE('29.07 Spear Motors -URA'!E34,'30.07 Spear Motors-URA'!E34,'31.07 Spear Motors-URA'!E34,'02.08 Spear Motors-URA'!E34,'01.08 Spear Motors-URA-24h'!E34,'03.08 Spear Motors-URA-24h'!E34,'04.08 Spear Motors-URA'!E34)</f>
        <v>5.7142857142857144</v>
      </c>
      <c r="F34" s="49">
        <f>AVERAGE('29.07 Spear Motors -URA'!F34,'30.07 Spear Motors-URA'!F34,'31.07 Spear Motors-URA'!F34,'02.08 Spear Motors-URA'!F34,'01.08 Spear Motors-URA-24h'!F34,'03.08 Spear Motors-URA-24h'!F34,'04.08 Spear Motors-URA'!F34)</f>
        <v>4</v>
      </c>
      <c r="G34" s="49">
        <f>AVERAGE('29.07 Spear Motors -URA'!G34,'30.07 Spear Motors-URA'!G34,'31.07 Spear Motors-URA'!G34,'02.08 Spear Motors-URA'!G34,'01.08 Spear Motors-URA-24h'!G34,'03.08 Spear Motors-URA-24h'!G34,'04.08 Spear Motors-URA'!G34)</f>
        <v>0.2857142857142857</v>
      </c>
      <c r="H34" s="49">
        <f>AVERAGE('29.07 Spear Motors -URA'!H34,'30.07 Spear Motors-URA'!H34,'31.07 Spear Motors-URA'!H34,'02.08 Spear Motors-URA'!H34,'01.08 Spear Motors-URA-24h'!H34,'03.08 Spear Motors-URA-24h'!H34,'04.08 Spear Motors-URA'!H34)</f>
        <v>0.14285714285714285</v>
      </c>
      <c r="I34" s="49">
        <f>AVERAGE('29.07 Spear Motors -URA'!I34,'30.07 Spear Motors-URA'!I34,'31.07 Spear Motors-URA'!I34,'02.08 Spear Motors-URA'!I34,'01.08 Spear Motors-URA-24h'!I34,'03.08 Spear Motors-URA-24h'!I34,'04.08 Spear Motors-URA'!I34)</f>
        <v>3.1428571428571428</v>
      </c>
      <c r="J34" s="49">
        <f>AVERAGE('29.07 Spear Motors -URA'!J34,'30.07 Spear Motors-URA'!J34,'31.07 Spear Motors-URA'!J34,'02.08 Spear Motors-URA'!J34,'01.08 Spear Motors-URA-24h'!J34,'03.08 Spear Motors-URA-24h'!J34,'04.08 Spear Motors-URA'!J34)</f>
        <v>1.8571428571428572</v>
      </c>
      <c r="K34" s="49">
        <f>AVERAGE('29.07 Spear Motors -URA'!K34,'30.07 Spear Motors-URA'!K34,'31.07 Spear Motors-URA'!K34,'02.08 Spear Motors-URA'!K34,'01.08 Spear Motors-URA-24h'!K34,'03.08 Spear Motors-URA-24h'!K34,'04.08 Spear Motors-URA'!K34)</f>
        <v>1.5714285714285714</v>
      </c>
      <c r="L34" s="49">
        <f>AVERAGE('29.07 Spear Motors -URA'!L34,'30.07 Spear Motors-URA'!L34,'31.07 Spear Motors-URA'!L34,'02.08 Spear Motors-URA'!L34,'01.08 Spear Motors-URA-24h'!L34,'03.08 Spear Motors-URA-24h'!L34,'04.08 Spear Motors-URA'!L34)</f>
        <v>4.1428571428571432</v>
      </c>
      <c r="M34" s="49">
        <f>AVERAGE('29.07 Spear Motors -URA'!M34,'30.07 Spear Motors-URA'!M34,'31.07 Spear Motors-URA'!M34,'02.08 Spear Motors-URA'!M34,'01.08 Spear Motors-URA-24h'!M34,'03.08 Spear Motors-URA-24h'!M34,'04.08 Spear Motors-URA'!M34)</f>
        <v>101.14285714285714</v>
      </c>
      <c r="N34" s="49">
        <f>AVERAGE('29.07 Spear Motors -URA'!N34,'30.07 Spear Motors-URA'!N34,'31.07 Spear Motors-URA'!N34,'02.08 Spear Motors-URA'!N34,'01.08 Spear Motors-URA-24h'!N34,'03.08 Spear Motors-URA-24h'!N34,'04.08 Spear Motors-URA'!N34)</f>
        <v>0</v>
      </c>
      <c r="O34" s="15">
        <f t="shared" si="0"/>
        <v>61</v>
      </c>
      <c r="P34" s="15">
        <f t="shared" si="1"/>
        <v>162.14285714285714</v>
      </c>
      <c r="R34" s="38" t="s">
        <v>90</v>
      </c>
      <c r="S34" s="39">
        <f t="shared" ref="S34:AF34" si="26">MAX(S10:S12)</f>
        <v>149.42857142857142</v>
      </c>
      <c r="T34" s="39">
        <f t="shared" si="26"/>
        <v>35.857142857142854</v>
      </c>
      <c r="U34" s="39">
        <f t="shared" si="26"/>
        <v>23.142857142857142</v>
      </c>
      <c r="V34" s="39">
        <f t="shared" si="26"/>
        <v>34</v>
      </c>
      <c r="W34" s="39">
        <f t="shared" si="26"/>
        <v>5.7142857142857135</v>
      </c>
      <c r="X34" s="39">
        <f t="shared" si="26"/>
        <v>0.42857142857142855</v>
      </c>
      <c r="Y34" s="39">
        <f t="shared" si="26"/>
        <v>7.5714285714285712</v>
      </c>
      <c r="Z34" s="39">
        <f t="shared" si="26"/>
        <v>7.7142857142857144</v>
      </c>
      <c r="AA34" s="39">
        <f t="shared" si="26"/>
        <v>6.5714285714285712</v>
      </c>
      <c r="AB34" s="39">
        <f t="shared" si="26"/>
        <v>11.142857142857142</v>
      </c>
      <c r="AC34" s="39">
        <f t="shared" si="26"/>
        <v>829.71428571428567</v>
      </c>
      <c r="AD34" s="39">
        <f t="shared" si="26"/>
        <v>0</v>
      </c>
      <c r="AE34" s="40">
        <f t="shared" si="26"/>
        <v>263.71428571428572</v>
      </c>
      <c r="AF34" s="40">
        <f t="shared" si="26"/>
        <v>1073</v>
      </c>
    </row>
    <row r="35" spans="2:32" ht="23.1" customHeight="1" x14ac:dyDescent="0.25">
      <c r="B35" s="24" t="s">
        <v>62</v>
      </c>
      <c r="C35" s="49">
        <f>AVERAGE('29.07 Spear Motors -URA'!C35,'30.07 Spear Motors-URA'!C35,'31.07 Spear Motors-URA'!C35,'02.08 Spear Motors-URA'!C35,'01.08 Spear Motors-URA-24h'!C35,'03.08 Spear Motors-URA-24h'!C35,'04.08 Spear Motors-URA'!C35)</f>
        <v>31.714285714285715</v>
      </c>
      <c r="D35" s="49">
        <f>AVERAGE('29.07 Spear Motors -URA'!D35,'30.07 Spear Motors-URA'!D35,'31.07 Spear Motors-URA'!D35,'02.08 Spear Motors-URA'!D35,'01.08 Spear Motors-URA-24h'!D35,'03.08 Spear Motors-URA-24h'!D35,'04.08 Spear Motors-URA'!D35)</f>
        <v>7.4285714285714288</v>
      </c>
      <c r="E35" s="49">
        <f>AVERAGE('29.07 Spear Motors -URA'!E35,'30.07 Spear Motors-URA'!E35,'31.07 Spear Motors-URA'!E35,'02.08 Spear Motors-URA'!E35,'01.08 Spear Motors-URA-24h'!E35,'03.08 Spear Motors-URA-24h'!E35,'04.08 Spear Motors-URA'!E35)</f>
        <v>6</v>
      </c>
      <c r="F35" s="49">
        <f>AVERAGE('29.07 Spear Motors -URA'!F35,'30.07 Spear Motors-URA'!F35,'31.07 Spear Motors-URA'!F35,'02.08 Spear Motors-URA'!F35,'01.08 Spear Motors-URA-24h'!F35,'03.08 Spear Motors-URA-24h'!F35,'04.08 Spear Motors-URA'!F35)</f>
        <v>5.2857142857142856</v>
      </c>
      <c r="G35" s="49">
        <f>AVERAGE('29.07 Spear Motors -URA'!G35,'30.07 Spear Motors-URA'!G35,'31.07 Spear Motors-URA'!G35,'02.08 Spear Motors-URA'!G35,'01.08 Spear Motors-URA-24h'!G35,'03.08 Spear Motors-URA-24h'!G35,'04.08 Spear Motors-URA'!G35)</f>
        <v>1</v>
      </c>
      <c r="H35" s="49">
        <f>AVERAGE('29.07 Spear Motors -URA'!H35,'30.07 Spear Motors-URA'!H35,'31.07 Spear Motors-URA'!H35,'02.08 Spear Motors-URA'!H35,'01.08 Spear Motors-URA-24h'!H35,'03.08 Spear Motors-URA-24h'!H35,'04.08 Spear Motors-URA'!H35)</f>
        <v>0</v>
      </c>
      <c r="I35" s="49">
        <f>AVERAGE('29.07 Spear Motors -URA'!I35,'30.07 Spear Motors-URA'!I35,'31.07 Spear Motors-URA'!I35,'02.08 Spear Motors-URA'!I35,'01.08 Spear Motors-URA-24h'!I35,'03.08 Spear Motors-URA-24h'!I35,'04.08 Spear Motors-URA'!I35)</f>
        <v>3.8571428571428572</v>
      </c>
      <c r="J35" s="49">
        <f>AVERAGE('29.07 Spear Motors -URA'!J35,'30.07 Spear Motors-URA'!J35,'31.07 Spear Motors-URA'!J35,'02.08 Spear Motors-URA'!J35,'01.08 Spear Motors-URA-24h'!J35,'03.08 Spear Motors-URA-24h'!J35,'04.08 Spear Motors-URA'!J35)</f>
        <v>2.2857142857142856</v>
      </c>
      <c r="K35" s="49">
        <f>AVERAGE('29.07 Spear Motors -URA'!K35,'30.07 Spear Motors-URA'!K35,'31.07 Spear Motors-URA'!K35,'02.08 Spear Motors-URA'!K35,'01.08 Spear Motors-URA-24h'!K35,'03.08 Spear Motors-URA-24h'!K35,'04.08 Spear Motors-URA'!K35)</f>
        <v>1.8571428571428572</v>
      </c>
      <c r="L35" s="49">
        <f>AVERAGE('29.07 Spear Motors -URA'!L35,'30.07 Spear Motors-URA'!L35,'31.07 Spear Motors-URA'!L35,'02.08 Spear Motors-URA'!L35,'01.08 Spear Motors-URA-24h'!L35,'03.08 Spear Motors-URA-24h'!L35,'04.08 Spear Motors-URA'!L35)</f>
        <v>2.7142857142857144</v>
      </c>
      <c r="M35" s="49">
        <f>AVERAGE('29.07 Spear Motors -URA'!M35,'30.07 Spear Motors-URA'!M35,'31.07 Spear Motors-URA'!M35,'02.08 Spear Motors-URA'!M35,'01.08 Spear Motors-URA-24h'!M35,'03.08 Spear Motors-URA-24h'!M35,'04.08 Spear Motors-URA'!M35)</f>
        <v>99.714285714285708</v>
      </c>
      <c r="N35" s="49">
        <f>AVERAGE('29.07 Spear Motors -URA'!N35,'30.07 Spear Motors-URA'!N35,'31.07 Spear Motors-URA'!N35,'02.08 Spear Motors-URA'!N35,'01.08 Spear Motors-URA-24h'!N35,'03.08 Spear Motors-URA-24h'!N35,'04.08 Spear Motors-URA'!N35)</f>
        <v>0.14285714285714285</v>
      </c>
      <c r="O35" s="15">
        <f t="shared" si="0"/>
        <v>62.285714285714285</v>
      </c>
      <c r="P35" s="15">
        <f t="shared" si="1"/>
        <v>161.99999999999997</v>
      </c>
      <c r="R35" s="38" t="s">
        <v>91</v>
      </c>
      <c r="S35" s="39">
        <f t="shared" ref="S35:AF35" si="27">MAX(S13:S18)</f>
        <v>139.57142857142858</v>
      </c>
      <c r="T35" s="39">
        <f t="shared" si="27"/>
        <v>53.142857142857139</v>
      </c>
      <c r="U35" s="39">
        <f t="shared" si="27"/>
        <v>29.571428571428569</v>
      </c>
      <c r="V35" s="39">
        <f t="shared" si="27"/>
        <v>30.571428571428569</v>
      </c>
      <c r="W35" s="39">
        <f t="shared" si="27"/>
        <v>6.4285714285714288</v>
      </c>
      <c r="X35" s="39">
        <f t="shared" si="27"/>
        <v>0.42857142857142855</v>
      </c>
      <c r="Y35" s="39">
        <f t="shared" si="27"/>
        <v>11.428571428571429</v>
      </c>
      <c r="Z35" s="39">
        <f t="shared" si="27"/>
        <v>10.571428571428571</v>
      </c>
      <c r="AA35" s="39">
        <f t="shared" si="27"/>
        <v>11.571428571428573</v>
      </c>
      <c r="AB35" s="39">
        <f t="shared" si="27"/>
        <v>21.857142857142854</v>
      </c>
      <c r="AC35" s="39">
        <f t="shared" si="27"/>
        <v>645.14285714285711</v>
      </c>
      <c r="AD35" s="39">
        <f t="shared" si="27"/>
        <v>0.14285714285714285</v>
      </c>
      <c r="AE35" s="40">
        <f t="shared" si="27"/>
        <v>306.28571428571428</v>
      </c>
      <c r="AF35" s="40">
        <f t="shared" si="27"/>
        <v>889.14285714285711</v>
      </c>
    </row>
    <row r="36" spans="2:32" ht="23.1" customHeight="1" x14ac:dyDescent="0.25">
      <c r="B36" s="24" t="s">
        <v>63</v>
      </c>
      <c r="C36" s="49">
        <f>AVERAGE('29.07 Spear Motors -URA'!C36,'30.07 Spear Motors-URA'!C36,'31.07 Spear Motors-URA'!C36,'02.08 Spear Motors-URA'!C36,'01.08 Spear Motors-URA-24h'!C36,'03.08 Spear Motors-URA-24h'!C36,'04.08 Spear Motors-URA'!C36)</f>
        <v>34</v>
      </c>
      <c r="D36" s="49">
        <f>AVERAGE('29.07 Spear Motors -URA'!D36,'30.07 Spear Motors-URA'!D36,'31.07 Spear Motors-URA'!D36,'02.08 Spear Motors-URA'!D36,'01.08 Spear Motors-URA-24h'!D36,'03.08 Spear Motors-URA-24h'!D36,'04.08 Spear Motors-URA'!D36)</f>
        <v>8</v>
      </c>
      <c r="E36" s="49">
        <f>AVERAGE('29.07 Spear Motors -URA'!E36,'30.07 Spear Motors-URA'!E36,'31.07 Spear Motors-URA'!E36,'02.08 Spear Motors-URA'!E36,'01.08 Spear Motors-URA-24h'!E36,'03.08 Spear Motors-URA-24h'!E36,'04.08 Spear Motors-URA'!E36)</f>
        <v>6.4285714285714288</v>
      </c>
      <c r="F36" s="49">
        <f>AVERAGE('29.07 Spear Motors -URA'!F36,'30.07 Spear Motors-URA'!F36,'31.07 Spear Motors-URA'!F36,'02.08 Spear Motors-URA'!F36,'01.08 Spear Motors-URA-24h'!F36,'03.08 Spear Motors-URA-24h'!F36,'04.08 Spear Motors-URA'!F36)</f>
        <v>5.4285714285714288</v>
      </c>
      <c r="G36" s="49">
        <f>AVERAGE('29.07 Spear Motors -URA'!G36,'30.07 Spear Motors-URA'!G36,'31.07 Spear Motors-URA'!G36,'02.08 Spear Motors-URA'!G36,'01.08 Spear Motors-URA-24h'!G36,'03.08 Spear Motors-URA-24h'!G36,'04.08 Spear Motors-URA'!G36)</f>
        <v>0.8571428571428571</v>
      </c>
      <c r="H36" s="49">
        <f>AVERAGE('29.07 Spear Motors -URA'!H36,'30.07 Spear Motors-URA'!H36,'31.07 Spear Motors-URA'!H36,'02.08 Spear Motors-URA'!H36,'01.08 Spear Motors-URA-24h'!H36,'03.08 Spear Motors-URA-24h'!H36,'04.08 Spear Motors-URA'!H36)</f>
        <v>0</v>
      </c>
      <c r="I36" s="49">
        <f>AVERAGE('29.07 Spear Motors -URA'!I36,'30.07 Spear Motors-URA'!I36,'31.07 Spear Motors-URA'!I36,'02.08 Spear Motors-URA'!I36,'01.08 Spear Motors-URA-24h'!I36,'03.08 Spear Motors-URA-24h'!I36,'04.08 Spear Motors-URA'!I36)</f>
        <v>1.4285714285714286</v>
      </c>
      <c r="J36" s="49">
        <f>AVERAGE('29.07 Spear Motors -URA'!J36,'30.07 Spear Motors-URA'!J36,'31.07 Spear Motors-URA'!J36,'02.08 Spear Motors-URA'!J36,'01.08 Spear Motors-URA-24h'!J36,'03.08 Spear Motors-URA-24h'!J36,'04.08 Spear Motors-URA'!J36)</f>
        <v>2.2857142857142856</v>
      </c>
      <c r="K36" s="49">
        <f>AVERAGE('29.07 Spear Motors -URA'!K36,'30.07 Spear Motors-URA'!K36,'31.07 Spear Motors-URA'!K36,'02.08 Spear Motors-URA'!K36,'01.08 Spear Motors-URA-24h'!K36,'03.08 Spear Motors-URA-24h'!K36,'04.08 Spear Motors-URA'!K36)</f>
        <v>1.7142857142857142</v>
      </c>
      <c r="L36" s="49">
        <f>AVERAGE('29.07 Spear Motors -URA'!L36,'30.07 Spear Motors-URA'!L36,'31.07 Spear Motors-URA'!L36,'02.08 Spear Motors-URA'!L36,'01.08 Spear Motors-URA-24h'!L36,'03.08 Spear Motors-URA-24h'!L36,'04.08 Spear Motors-URA'!L36)</f>
        <v>3.1428571428571428</v>
      </c>
      <c r="M36" s="49">
        <f>AVERAGE('29.07 Spear Motors -URA'!M36,'30.07 Spear Motors-URA'!M36,'31.07 Spear Motors-URA'!M36,'02.08 Spear Motors-URA'!M36,'01.08 Spear Motors-URA-24h'!M36,'03.08 Spear Motors-URA-24h'!M36,'04.08 Spear Motors-URA'!M36)</f>
        <v>89.428571428571431</v>
      </c>
      <c r="N36" s="49">
        <f>AVERAGE('29.07 Spear Motors -URA'!N36,'30.07 Spear Motors-URA'!N36,'31.07 Spear Motors-URA'!N36,'02.08 Spear Motors-URA'!N36,'01.08 Spear Motors-URA-24h'!N36,'03.08 Spear Motors-URA-24h'!N36,'04.08 Spear Motors-URA'!N36)</f>
        <v>0</v>
      </c>
      <c r="O36" s="15">
        <f t="shared" si="0"/>
        <v>63.285714285714292</v>
      </c>
      <c r="P36" s="15">
        <f t="shared" si="1"/>
        <v>152.71428571428572</v>
      </c>
      <c r="R36" s="38" t="s">
        <v>92</v>
      </c>
      <c r="S36" s="39">
        <f t="shared" ref="S36:AF36" si="28">MAX(S19:S21)</f>
        <v>133.14285714285717</v>
      </c>
      <c r="T36" s="39">
        <f t="shared" si="28"/>
        <v>37.428571428571431</v>
      </c>
      <c r="U36" s="39">
        <f t="shared" si="28"/>
        <v>27.857142857142858</v>
      </c>
      <c r="V36" s="39">
        <f t="shared" si="28"/>
        <v>22.428571428571431</v>
      </c>
      <c r="W36" s="39">
        <f t="shared" si="28"/>
        <v>4.1428571428571423</v>
      </c>
      <c r="X36" s="39">
        <f t="shared" si="28"/>
        <v>0</v>
      </c>
      <c r="Y36" s="39">
        <f t="shared" si="28"/>
        <v>10.857142857142856</v>
      </c>
      <c r="Z36" s="39">
        <f t="shared" si="28"/>
        <v>9</v>
      </c>
      <c r="AA36" s="39">
        <f t="shared" si="28"/>
        <v>6.1428571428571423</v>
      </c>
      <c r="AB36" s="39">
        <f t="shared" si="28"/>
        <v>17</v>
      </c>
      <c r="AC36" s="39">
        <f t="shared" si="28"/>
        <v>493.71428571428567</v>
      </c>
      <c r="AD36" s="39">
        <f t="shared" si="28"/>
        <v>0</v>
      </c>
      <c r="AE36" s="40">
        <f t="shared" si="28"/>
        <v>262.57142857142861</v>
      </c>
      <c r="AF36" s="40">
        <f t="shared" si="28"/>
        <v>725.85714285714289</v>
      </c>
    </row>
    <row r="37" spans="2:32" ht="23.1" customHeight="1" x14ac:dyDescent="0.25">
      <c r="B37" s="23" t="s">
        <v>64</v>
      </c>
      <c r="C37" s="49">
        <f>AVERAGE('29.07 Spear Motors -URA'!C37,'30.07 Spear Motors-URA'!C37,'31.07 Spear Motors-URA'!C37,'02.08 Spear Motors-URA'!C37,'01.08 Spear Motors-URA-24h'!C37,'03.08 Spear Motors-URA-24h'!C37,'04.08 Spear Motors-URA'!C37)</f>
        <v>31.142857142857142</v>
      </c>
      <c r="D37" s="49">
        <f>AVERAGE('29.07 Spear Motors -URA'!D37,'30.07 Spear Motors-URA'!D37,'31.07 Spear Motors-URA'!D37,'02.08 Spear Motors-URA'!D37,'01.08 Spear Motors-URA-24h'!D37,'03.08 Spear Motors-URA-24h'!D37,'04.08 Spear Motors-URA'!D37)</f>
        <v>10.285714285714286</v>
      </c>
      <c r="E37" s="49">
        <f>AVERAGE('29.07 Spear Motors -URA'!E37,'30.07 Spear Motors-URA'!E37,'31.07 Spear Motors-URA'!E37,'02.08 Spear Motors-URA'!E37,'01.08 Spear Motors-URA-24h'!E37,'03.08 Spear Motors-URA-24h'!E37,'04.08 Spear Motors-URA'!E37)</f>
        <v>5.8571428571428568</v>
      </c>
      <c r="F37" s="49">
        <f>AVERAGE('29.07 Spear Motors -URA'!F37,'30.07 Spear Motors-URA'!F37,'31.07 Spear Motors-URA'!F37,'02.08 Spear Motors-URA'!F37,'01.08 Spear Motors-URA-24h'!F37,'03.08 Spear Motors-URA-24h'!F37,'04.08 Spear Motors-URA'!F37)</f>
        <v>5.2857142857142856</v>
      </c>
      <c r="G37" s="49">
        <f>AVERAGE('29.07 Spear Motors -URA'!G37,'30.07 Spear Motors-URA'!G37,'31.07 Spear Motors-URA'!G37,'02.08 Spear Motors-URA'!G37,'01.08 Spear Motors-URA-24h'!G37,'03.08 Spear Motors-URA-24h'!G37,'04.08 Spear Motors-URA'!G37)</f>
        <v>1.4285714285714286</v>
      </c>
      <c r="H37" s="49">
        <f>AVERAGE('29.07 Spear Motors -URA'!H37,'30.07 Spear Motors-URA'!H37,'31.07 Spear Motors-URA'!H37,'02.08 Spear Motors-URA'!H37,'01.08 Spear Motors-URA-24h'!H37,'03.08 Spear Motors-URA-24h'!H37,'04.08 Spear Motors-URA'!H37)</f>
        <v>0.2857142857142857</v>
      </c>
      <c r="I37" s="49">
        <f>AVERAGE('29.07 Spear Motors -URA'!I37,'30.07 Spear Motors-URA'!I37,'31.07 Spear Motors-URA'!I37,'02.08 Spear Motors-URA'!I37,'01.08 Spear Motors-URA-24h'!I37,'03.08 Spear Motors-URA-24h'!I37,'04.08 Spear Motors-URA'!I37)</f>
        <v>1.5714285714285714</v>
      </c>
      <c r="J37" s="49">
        <f>AVERAGE('29.07 Spear Motors -URA'!J37,'30.07 Spear Motors-URA'!J37,'31.07 Spear Motors-URA'!J37,'02.08 Spear Motors-URA'!J37,'01.08 Spear Motors-URA-24h'!J37,'03.08 Spear Motors-URA-24h'!J37,'04.08 Spear Motors-URA'!J37)</f>
        <v>2.7142857142857144</v>
      </c>
      <c r="K37" s="49">
        <f>AVERAGE('29.07 Spear Motors -URA'!K37,'30.07 Spear Motors-URA'!K37,'31.07 Spear Motors-URA'!K37,'02.08 Spear Motors-URA'!K37,'01.08 Spear Motors-URA-24h'!K37,'03.08 Spear Motors-URA-24h'!K37,'04.08 Spear Motors-URA'!K37)</f>
        <v>2</v>
      </c>
      <c r="L37" s="49">
        <f>AVERAGE('29.07 Spear Motors -URA'!L37,'30.07 Spear Motors-URA'!L37,'31.07 Spear Motors-URA'!L37,'02.08 Spear Motors-URA'!L37,'01.08 Spear Motors-URA-24h'!L37,'03.08 Spear Motors-URA-24h'!L37,'04.08 Spear Motors-URA'!L37)</f>
        <v>4.1428571428571432</v>
      </c>
      <c r="M37" s="49">
        <f>AVERAGE('29.07 Spear Motors -URA'!M37,'30.07 Spear Motors-URA'!M37,'31.07 Spear Motors-URA'!M37,'02.08 Spear Motors-URA'!M37,'01.08 Spear Motors-URA-24h'!M37,'03.08 Spear Motors-URA-24h'!M37,'04.08 Spear Motors-URA'!M37)</f>
        <v>96.571428571428569</v>
      </c>
      <c r="N37" s="49">
        <f>AVERAGE('29.07 Spear Motors -URA'!N37,'30.07 Spear Motors-URA'!N37,'31.07 Spear Motors-URA'!N37,'02.08 Spear Motors-URA'!N37,'01.08 Spear Motors-URA-24h'!N37,'03.08 Spear Motors-URA-24h'!N37,'04.08 Spear Motors-URA'!N37)</f>
        <v>0</v>
      </c>
      <c r="O37" s="15">
        <f t="shared" si="0"/>
        <v>64.714285714285708</v>
      </c>
      <c r="P37" s="15">
        <f t="shared" si="1"/>
        <v>161.28571428571428</v>
      </c>
      <c r="R37" s="37" t="s">
        <v>85</v>
      </c>
      <c r="S37" s="35">
        <f t="shared" ref="S37:AF37" si="29">SUM(S10:S12)</f>
        <v>401.57142857142856</v>
      </c>
      <c r="T37" s="16">
        <f t="shared" si="29"/>
        <v>92.428571428571416</v>
      </c>
      <c r="U37" s="16">
        <f t="shared" si="29"/>
        <v>65.142857142857139</v>
      </c>
      <c r="V37" s="16">
        <f t="shared" si="29"/>
        <v>83.857142857142861</v>
      </c>
      <c r="W37" s="16">
        <f t="shared" si="29"/>
        <v>14.571428571428571</v>
      </c>
      <c r="X37" s="16">
        <f t="shared" si="29"/>
        <v>0.42857142857142855</v>
      </c>
      <c r="Y37" s="16">
        <f t="shared" si="29"/>
        <v>17.428571428571431</v>
      </c>
      <c r="Z37" s="16">
        <f t="shared" si="29"/>
        <v>16</v>
      </c>
      <c r="AA37" s="16">
        <f t="shared" si="29"/>
        <v>16.857142857142858</v>
      </c>
      <c r="AB37" s="16">
        <f t="shared" si="29"/>
        <v>31.857142857142861</v>
      </c>
      <c r="AC37" s="16">
        <f t="shared" si="29"/>
        <v>2196.8571428571427</v>
      </c>
      <c r="AD37" s="16">
        <f t="shared" si="29"/>
        <v>0</v>
      </c>
      <c r="AE37" s="32">
        <f t="shared" si="29"/>
        <v>740.14285714285722</v>
      </c>
      <c r="AF37" s="32">
        <f t="shared" si="29"/>
        <v>2937</v>
      </c>
    </row>
    <row r="38" spans="2:32" ht="23.1" customHeight="1" x14ac:dyDescent="0.25">
      <c r="B38" s="24" t="s">
        <v>65</v>
      </c>
      <c r="C38" s="49">
        <f>AVERAGE('29.07 Spear Motors -URA'!C38,'30.07 Spear Motors-URA'!C38,'31.07 Spear Motors-URA'!C38,'02.08 Spear Motors-URA'!C38,'01.08 Spear Motors-URA-24h'!C38,'03.08 Spear Motors-URA-24h'!C38,'04.08 Spear Motors-URA'!C38)</f>
        <v>31.428571428571427</v>
      </c>
      <c r="D38" s="49">
        <f>AVERAGE('29.07 Spear Motors -URA'!D38,'30.07 Spear Motors-URA'!D38,'31.07 Spear Motors-URA'!D38,'02.08 Spear Motors-URA'!D38,'01.08 Spear Motors-URA-24h'!D38,'03.08 Spear Motors-URA-24h'!D38,'04.08 Spear Motors-URA'!D38)</f>
        <v>12.571428571428571</v>
      </c>
      <c r="E38" s="49">
        <f>AVERAGE('29.07 Spear Motors -URA'!E38,'30.07 Spear Motors-URA'!E38,'31.07 Spear Motors-URA'!E38,'02.08 Spear Motors-URA'!E38,'01.08 Spear Motors-URA-24h'!E38,'03.08 Spear Motors-URA-24h'!E38,'04.08 Spear Motors-URA'!E38)</f>
        <v>6.4285714285714288</v>
      </c>
      <c r="F38" s="49">
        <f>AVERAGE('29.07 Spear Motors -URA'!F38,'30.07 Spear Motors-URA'!F38,'31.07 Spear Motors-URA'!F38,'02.08 Spear Motors-URA'!F38,'01.08 Spear Motors-URA-24h'!F38,'03.08 Spear Motors-URA-24h'!F38,'04.08 Spear Motors-URA'!F38)</f>
        <v>4.8571428571428568</v>
      </c>
      <c r="G38" s="49">
        <f>AVERAGE('29.07 Spear Motors -URA'!G38,'30.07 Spear Motors-URA'!G38,'31.07 Spear Motors-URA'!G38,'02.08 Spear Motors-URA'!G38,'01.08 Spear Motors-URA-24h'!G38,'03.08 Spear Motors-URA-24h'!G38,'04.08 Spear Motors-URA'!G38)</f>
        <v>1.2857142857142858</v>
      </c>
      <c r="H38" s="49">
        <f>AVERAGE('29.07 Spear Motors -URA'!H38,'30.07 Spear Motors-URA'!H38,'31.07 Spear Motors-URA'!H38,'02.08 Spear Motors-URA'!H38,'01.08 Spear Motors-URA-24h'!H38,'03.08 Spear Motors-URA-24h'!H38,'04.08 Spear Motors-URA'!H38)</f>
        <v>0</v>
      </c>
      <c r="I38" s="49">
        <f>AVERAGE('29.07 Spear Motors -URA'!I38,'30.07 Spear Motors-URA'!I38,'31.07 Spear Motors-URA'!I38,'02.08 Spear Motors-URA'!I38,'01.08 Spear Motors-URA-24h'!I38,'03.08 Spear Motors-URA-24h'!I38,'04.08 Spear Motors-URA'!I38)</f>
        <v>3.5714285714285716</v>
      </c>
      <c r="J38" s="49">
        <f>AVERAGE('29.07 Spear Motors -URA'!J38,'30.07 Spear Motors-URA'!J38,'31.07 Spear Motors-URA'!J38,'02.08 Spear Motors-URA'!J38,'01.08 Spear Motors-URA-24h'!J38,'03.08 Spear Motors-URA-24h'!J38,'04.08 Spear Motors-URA'!J38)</f>
        <v>3.1428571428571428</v>
      </c>
      <c r="K38" s="49">
        <f>AVERAGE('29.07 Spear Motors -URA'!K38,'30.07 Spear Motors-URA'!K38,'31.07 Spear Motors-URA'!K38,'02.08 Spear Motors-URA'!K38,'01.08 Spear Motors-URA-24h'!K38,'03.08 Spear Motors-URA-24h'!K38,'04.08 Spear Motors-URA'!K38)</f>
        <v>2.2857142857142856</v>
      </c>
      <c r="L38" s="49">
        <f>AVERAGE('29.07 Spear Motors -URA'!L38,'30.07 Spear Motors-URA'!L38,'31.07 Spear Motors-URA'!L38,'02.08 Spear Motors-URA'!L38,'01.08 Spear Motors-URA-24h'!L38,'03.08 Spear Motors-URA-24h'!L38,'04.08 Spear Motors-URA'!L38)</f>
        <v>3.5714285714285716</v>
      </c>
      <c r="M38" s="49">
        <f>AVERAGE('29.07 Spear Motors -URA'!M38,'30.07 Spear Motors-URA'!M38,'31.07 Spear Motors-URA'!M38,'02.08 Spear Motors-URA'!M38,'01.08 Spear Motors-URA-24h'!M38,'03.08 Spear Motors-URA-24h'!M38,'04.08 Spear Motors-URA'!M38)</f>
        <v>84.142857142857139</v>
      </c>
      <c r="N38" s="49">
        <f>AVERAGE('29.07 Spear Motors -URA'!N38,'30.07 Spear Motors-URA'!N38,'31.07 Spear Motors-URA'!N38,'02.08 Spear Motors-URA'!N38,'01.08 Spear Motors-URA-24h'!N38,'03.08 Spear Motors-URA-24h'!N38,'04.08 Spear Motors-URA'!N38)</f>
        <v>0</v>
      </c>
      <c r="O38" s="15">
        <f t="shared" si="0"/>
        <v>69.142857142857139</v>
      </c>
      <c r="P38" s="15">
        <f t="shared" si="1"/>
        <v>153.28571428571428</v>
      </c>
      <c r="R38" s="28" t="s">
        <v>86</v>
      </c>
      <c r="S38" s="16">
        <f t="shared" ref="S38:AF38" si="30">SUM(S13:S18)</f>
        <v>790.42857142857144</v>
      </c>
      <c r="T38" s="16">
        <f t="shared" si="30"/>
        <v>220.14285714285714</v>
      </c>
      <c r="U38" s="16">
        <f t="shared" si="30"/>
        <v>153.85714285714286</v>
      </c>
      <c r="V38" s="16">
        <f t="shared" si="30"/>
        <v>133.71428571428572</v>
      </c>
      <c r="W38" s="16">
        <f t="shared" si="30"/>
        <v>29.285714285714285</v>
      </c>
      <c r="X38" s="16">
        <f t="shared" si="30"/>
        <v>1.1428571428571428</v>
      </c>
      <c r="Y38" s="16">
        <f t="shared" si="30"/>
        <v>63.285714285714292</v>
      </c>
      <c r="Z38" s="16">
        <f t="shared" si="30"/>
        <v>53.714285714285708</v>
      </c>
      <c r="AA38" s="16">
        <f t="shared" si="30"/>
        <v>49.857142857142861</v>
      </c>
      <c r="AB38" s="16">
        <f t="shared" si="30"/>
        <v>96</v>
      </c>
      <c r="AC38" s="16">
        <f t="shared" si="30"/>
        <v>2735.5714285714289</v>
      </c>
      <c r="AD38" s="16">
        <f t="shared" si="30"/>
        <v>0.42857142857142855</v>
      </c>
      <c r="AE38" s="32">
        <f t="shared" si="30"/>
        <v>1591.8571428571427</v>
      </c>
      <c r="AF38" s="32">
        <f t="shared" si="30"/>
        <v>4327.4285714285716</v>
      </c>
    </row>
    <row r="39" spans="2:32" ht="23.1" customHeight="1" x14ac:dyDescent="0.25">
      <c r="B39" s="24" t="s">
        <v>66</v>
      </c>
      <c r="C39" s="49">
        <f>AVERAGE('29.07 Spear Motors -URA'!C39,'30.07 Spear Motors-URA'!C39,'31.07 Spear Motors-URA'!C39,'02.08 Spear Motors-URA'!C39,'01.08 Spear Motors-URA-24h'!C39,'03.08 Spear Motors-URA-24h'!C39,'04.08 Spear Motors-URA'!C39)</f>
        <v>31.571428571428573</v>
      </c>
      <c r="D39" s="49">
        <f>AVERAGE('29.07 Spear Motors -URA'!D39,'30.07 Spear Motors-URA'!D39,'31.07 Spear Motors-URA'!D39,'02.08 Spear Motors-URA'!D39,'01.08 Spear Motors-URA-24h'!D39,'03.08 Spear Motors-URA-24h'!D39,'04.08 Spear Motors-URA'!D39)</f>
        <v>7.2857142857142856</v>
      </c>
      <c r="E39" s="49">
        <f>AVERAGE('29.07 Spear Motors -URA'!E39,'30.07 Spear Motors-URA'!E39,'31.07 Spear Motors-URA'!E39,'02.08 Spear Motors-URA'!E39,'01.08 Spear Motors-URA-24h'!E39,'03.08 Spear Motors-URA-24h'!E39,'04.08 Spear Motors-URA'!E39)</f>
        <v>6.7142857142857144</v>
      </c>
      <c r="F39" s="49">
        <f>AVERAGE('29.07 Spear Motors -URA'!F39,'30.07 Spear Motors-URA'!F39,'31.07 Spear Motors-URA'!F39,'02.08 Spear Motors-URA'!F39,'01.08 Spear Motors-URA-24h'!F39,'03.08 Spear Motors-URA-24h'!F39,'04.08 Spear Motors-URA'!F39)</f>
        <v>4.5714285714285712</v>
      </c>
      <c r="G39" s="49">
        <f>AVERAGE('29.07 Spear Motors -URA'!G39,'30.07 Spear Motors-URA'!G39,'31.07 Spear Motors-URA'!G39,'02.08 Spear Motors-URA'!G39,'01.08 Spear Motors-URA-24h'!G39,'03.08 Spear Motors-URA-24h'!G39,'04.08 Spear Motors-URA'!G39)</f>
        <v>1.2857142857142858</v>
      </c>
      <c r="H39" s="49">
        <f>AVERAGE('29.07 Spear Motors -URA'!H39,'30.07 Spear Motors-URA'!H39,'31.07 Spear Motors-URA'!H39,'02.08 Spear Motors-URA'!H39,'01.08 Spear Motors-URA-24h'!H39,'03.08 Spear Motors-URA-24h'!H39,'04.08 Spear Motors-URA'!H39)</f>
        <v>0</v>
      </c>
      <c r="I39" s="49">
        <f>AVERAGE('29.07 Spear Motors -URA'!I39,'30.07 Spear Motors-URA'!I39,'31.07 Spear Motors-URA'!I39,'02.08 Spear Motors-URA'!I39,'01.08 Spear Motors-URA-24h'!I39,'03.08 Spear Motors-URA-24h'!I39,'04.08 Spear Motors-URA'!I39)</f>
        <v>3.8571428571428572</v>
      </c>
      <c r="J39" s="49">
        <f>AVERAGE('29.07 Spear Motors -URA'!J39,'30.07 Spear Motors-URA'!J39,'31.07 Spear Motors-URA'!J39,'02.08 Spear Motors-URA'!J39,'01.08 Spear Motors-URA-24h'!J39,'03.08 Spear Motors-URA-24h'!J39,'04.08 Spear Motors-URA'!J39)</f>
        <v>2.8571428571428572</v>
      </c>
      <c r="K39" s="49">
        <f>AVERAGE('29.07 Spear Motors -URA'!K39,'30.07 Spear Motors-URA'!K39,'31.07 Spear Motors-URA'!K39,'02.08 Spear Motors-URA'!K39,'01.08 Spear Motors-URA-24h'!K39,'03.08 Spear Motors-URA-24h'!K39,'04.08 Spear Motors-URA'!K39)</f>
        <v>1.5714285714285714</v>
      </c>
      <c r="L39" s="49">
        <f>AVERAGE('29.07 Spear Motors -URA'!L39,'30.07 Spear Motors-URA'!L39,'31.07 Spear Motors-URA'!L39,'02.08 Spear Motors-URA'!L39,'01.08 Spear Motors-URA-24h'!L39,'03.08 Spear Motors-URA-24h'!L39,'04.08 Spear Motors-URA'!L39)</f>
        <v>2.1428571428571428</v>
      </c>
      <c r="M39" s="49">
        <f>AVERAGE('29.07 Spear Motors -URA'!M39,'30.07 Spear Motors-URA'!M39,'31.07 Spear Motors-URA'!M39,'02.08 Spear Motors-URA'!M39,'01.08 Spear Motors-URA-24h'!M39,'03.08 Spear Motors-URA-24h'!M39,'04.08 Spear Motors-URA'!M39)</f>
        <v>95.285714285714292</v>
      </c>
      <c r="N39" s="49">
        <f>AVERAGE('29.07 Spear Motors -URA'!N39,'30.07 Spear Motors-URA'!N39,'31.07 Spear Motors-URA'!N39,'02.08 Spear Motors-URA'!N39,'01.08 Spear Motors-URA-24h'!N39,'03.08 Spear Motors-URA-24h'!N39,'04.08 Spear Motors-URA'!N39)</f>
        <v>0</v>
      </c>
      <c r="O39" s="15">
        <f t="shared" si="0"/>
        <v>61.857142857142854</v>
      </c>
      <c r="P39" s="15">
        <f t="shared" si="1"/>
        <v>157.14285714285714</v>
      </c>
      <c r="R39" s="29" t="s">
        <v>87</v>
      </c>
      <c r="S39" s="16">
        <f t="shared" ref="S39:AF39" si="31">SUM(S19:S21)</f>
        <v>394.42857142857144</v>
      </c>
      <c r="T39" s="16">
        <f t="shared" si="31"/>
        <v>100.28571428571429</v>
      </c>
      <c r="U39" s="16">
        <f t="shared" si="31"/>
        <v>71.142857142857139</v>
      </c>
      <c r="V39" s="16">
        <f t="shared" si="31"/>
        <v>50.571428571428569</v>
      </c>
      <c r="W39" s="16">
        <f t="shared" si="31"/>
        <v>11.142857142857142</v>
      </c>
      <c r="X39" s="16">
        <f t="shared" si="31"/>
        <v>0</v>
      </c>
      <c r="Y39" s="16">
        <f t="shared" si="31"/>
        <v>24.428571428571427</v>
      </c>
      <c r="Z39" s="16">
        <f t="shared" si="31"/>
        <v>22.428571428571431</v>
      </c>
      <c r="AA39" s="16">
        <f t="shared" si="31"/>
        <v>16</v>
      </c>
      <c r="AB39" s="16">
        <f t="shared" si="31"/>
        <v>44.428571428571431</v>
      </c>
      <c r="AC39" s="16">
        <f t="shared" si="31"/>
        <v>1297.7142857142858</v>
      </c>
      <c r="AD39" s="16">
        <f t="shared" si="31"/>
        <v>0</v>
      </c>
      <c r="AE39" s="32">
        <f t="shared" si="31"/>
        <v>734.85714285714289</v>
      </c>
      <c r="AF39" s="32">
        <f t="shared" si="31"/>
        <v>2032.5714285714287</v>
      </c>
    </row>
    <row r="40" spans="2:32" ht="23.1" customHeight="1" x14ac:dyDescent="0.25">
      <c r="B40" s="24" t="s">
        <v>67</v>
      </c>
      <c r="C40" s="49">
        <f>AVERAGE('29.07 Spear Motors -URA'!C40,'30.07 Spear Motors-URA'!C40,'31.07 Spear Motors-URA'!C40,'02.08 Spear Motors-URA'!C40,'01.08 Spear Motors-URA-24h'!C40,'03.08 Spear Motors-URA-24h'!C40,'04.08 Spear Motors-URA'!C40)</f>
        <v>33.285714285714285</v>
      </c>
      <c r="D40" s="49">
        <f>AVERAGE('29.07 Spear Motors -URA'!D40,'30.07 Spear Motors-URA'!D40,'31.07 Spear Motors-URA'!D40,'02.08 Spear Motors-URA'!D40,'01.08 Spear Motors-URA-24h'!D40,'03.08 Spear Motors-URA-24h'!D40,'04.08 Spear Motors-URA'!D40)</f>
        <v>15.857142857142858</v>
      </c>
      <c r="E40" s="49">
        <f>AVERAGE('29.07 Spear Motors -URA'!E40,'30.07 Spear Motors-URA'!E40,'31.07 Spear Motors-URA'!E40,'02.08 Spear Motors-URA'!E40,'01.08 Spear Motors-URA-24h'!E40,'03.08 Spear Motors-URA-24h'!E40,'04.08 Spear Motors-URA'!E40)</f>
        <v>7.1428571428571432</v>
      </c>
      <c r="F40" s="49">
        <f>AVERAGE('29.07 Spear Motors -URA'!F40,'30.07 Spear Motors-URA'!F40,'31.07 Spear Motors-URA'!F40,'02.08 Spear Motors-URA'!F40,'01.08 Spear Motors-URA-24h'!F40,'03.08 Spear Motors-URA-24h'!F40,'04.08 Spear Motors-URA'!F40)</f>
        <v>2.1428571428571428</v>
      </c>
      <c r="G40" s="49">
        <f>AVERAGE('29.07 Spear Motors -URA'!G40,'30.07 Spear Motors-URA'!G40,'31.07 Spear Motors-URA'!G40,'02.08 Spear Motors-URA'!G40,'01.08 Spear Motors-URA-24h'!G40,'03.08 Spear Motors-URA-24h'!G40,'04.08 Spear Motors-URA'!G40)</f>
        <v>1.7142857142857142</v>
      </c>
      <c r="H40" s="49">
        <f>AVERAGE('29.07 Spear Motors -URA'!H40,'30.07 Spear Motors-URA'!H40,'31.07 Spear Motors-URA'!H40,'02.08 Spear Motors-URA'!H40,'01.08 Spear Motors-URA-24h'!H40,'03.08 Spear Motors-URA-24h'!H40,'04.08 Spear Motors-URA'!H40)</f>
        <v>0</v>
      </c>
      <c r="I40" s="49">
        <f>AVERAGE('29.07 Spear Motors -URA'!I40,'30.07 Spear Motors-URA'!I40,'31.07 Spear Motors-URA'!I40,'02.08 Spear Motors-URA'!I40,'01.08 Spear Motors-URA-24h'!I40,'03.08 Spear Motors-URA-24h'!I40,'04.08 Spear Motors-URA'!I40)</f>
        <v>1.5714285714285714</v>
      </c>
      <c r="J40" s="49">
        <f>AVERAGE('29.07 Spear Motors -URA'!J40,'30.07 Spear Motors-URA'!J40,'31.07 Spear Motors-URA'!J40,'02.08 Spear Motors-URA'!J40,'01.08 Spear Motors-URA-24h'!J40,'03.08 Spear Motors-URA-24h'!J40,'04.08 Spear Motors-URA'!J40)</f>
        <v>1.5714285714285714</v>
      </c>
      <c r="K40" s="49">
        <f>AVERAGE('29.07 Spear Motors -URA'!K40,'30.07 Spear Motors-URA'!K40,'31.07 Spear Motors-URA'!K40,'02.08 Spear Motors-URA'!K40,'01.08 Spear Motors-URA-24h'!K40,'03.08 Spear Motors-URA-24h'!K40,'04.08 Spear Motors-URA'!K40)</f>
        <v>1.2857142857142858</v>
      </c>
      <c r="L40" s="49">
        <f>AVERAGE('29.07 Spear Motors -URA'!L40,'30.07 Spear Motors-URA'!L40,'31.07 Spear Motors-URA'!L40,'02.08 Spear Motors-URA'!L40,'01.08 Spear Motors-URA-24h'!L40,'03.08 Spear Motors-URA-24h'!L40,'04.08 Spear Motors-URA'!L40)</f>
        <v>2.2857142857142856</v>
      </c>
      <c r="M40" s="49">
        <f>AVERAGE('29.07 Spear Motors -URA'!M40,'30.07 Spear Motors-URA'!M40,'31.07 Spear Motors-URA'!M40,'02.08 Spear Motors-URA'!M40,'01.08 Spear Motors-URA-24h'!M40,'03.08 Spear Motors-URA-24h'!M40,'04.08 Spear Motors-URA'!M40)</f>
        <v>82.714285714285708</v>
      </c>
      <c r="N40" s="49">
        <f>AVERAGE('29.07 Spear Motors -URA'!N40,'30.07 Spear Motors-URA'!N40,'31.07 Spear Motors-URA'!N40,'02.08 Spear Motors-URA'!N40,'01.08 Spear Motors-URA-24h'!N40,'03.08 Spear Motors-URA-24h'!N40,'04.08 Spear Motors-URA'!N40)</f>
        <v>0</v>
      </c>
      <c r="O40" s="15">
        <f t="shared" si="0"/>
        <v>66.857142857142861</v>
      </c>
      <c r="P40" s="15">
        <f t="shared" si="1"/>
        <v>149.57142857142856</v>
      </c>
      <c r="R40" s="5" t="s">
        <v>17</v>
      </c>
      <c r="S40" s="16">
        <f t="shared" ref="S40:AF40" si="32">SUM(S10:S21)</f>
        <v>1586.4285714285716</v>
      </c>
      <c r="T40" s="16">
        <f t="shared" si="32"/>
        <v>412.85714285714283</v>
      </c>
      <c r="U40" s="16">
        <f t="shared" si="32"/>
        <v>290.14285714285711</v>
      </c>
      <c r="V40" s="16">
        <f t="shared" si="32"/>
        <v>268.14285714285711</v>
      </c>
      <c r="W40" s="16">
        <f t="shared" si="32"/>
        <v>55.000000000000007</v>
      </c>
      <c r="X40" s="16">
        <f t="shared" si="32"/>
        <v>1.5714285714285714</v>
      </c>
      <c r="Y40" s="16">
        <f t="shared" si="32"/>
        <v>105.14285714285717</v>
      </c>
      <c r="Z40" s="16">
        <f t="shared" si="32"/>
        <v>92.142857142857139</v>
      </c>
      <c r="AA40" s="16">
        <f t="shared" si="32"/>
        <v>82.714285714285722</v>
      </c>
      <c r="AB40" s="16">
        <f t="shared" si="32"/>
        <v>172.28571428571431</v>
      </c>
      <c r="AC40" s="16">
        <f t="shared" si="32"/>
        <v>6230.1428571428569</v>
      </c>
      <c r="AD40" s="16">
        <f t="shared" si="32"/>
        <v>0.42857142857142855</v>
      </c>
      <c r="AE40" s="32">
        <f t="shared" si="32"/>
        <v>3066.8571428571431</v>
      </c>
      <c r="AF40" s="32">
        <f t="shared" si="32"/>
        <v>9297</v>
      </c>
    </row>
    <row r="41" spans="2:32" ht="23.1" customHeight="1" x14ac:dyDescent="0.25">
      <c r="B41" s="23" t="s">
        <v>68</v>
      </c>
      <c r="C41" s="49">
        <f>AVERAGE('29.07 Spear Motors -URA'!C41,'30.07 Spear Motors-URA'!C41,'31.07 Spear Motors-URA'!C41,'02.08 Spear Motors-URA'!C41,'01.08 Spear Motors-URA-24h'!C41,'03.08 Spear Motors-URA-24h'!C41,'04.08 Spear Motors-URA'!C41)</f>
        <v>34.142857142857146</v>
      </c>
      <c r="D41" s="49">
        <f>AVERAGE('29.07 Spear Motors -URA'!D41,'30.07 Spear Motors-URA'!D41,'31.07 Spear Motors-URA'!D41,'02.08 Spear Motors-URA'!D41,'01.08 Spear Motors-URA-24h'!D41,'03.08 Spear Motors-URA-24h'!D41,'04.08 Spear Motors-URA'!D41)</f>
        <v>7</v>
      </c>
      <c r="E41" s="49">
        <f>AVERAGE('29.07 Spear Motors -URA'!E41,'30.07 Spear Motors-URA'!E41,'31.07 Spear Motors-URA'!E41,'02.08 Spear Motors-URA'!E41,'01.08 Spear Motors-URA-24h'!E41,'03.08 Spear Motors-URA-24h'!E41,'04.08 Spear Motors-URA'!E41)</f>
        <v>6</v>
      </c>
      <c r="F41" s="49">
        <f>AVERAGE('29.07 Spear Motors -URA'!F41,'30.07 Spear Motors-URA'!F41,'31.07 Spear Motors-URA'!F41,'02.08 Spear Motors-URA'!F41,'01.08 Spear Motors-URA-24h'!F41,'03.08 Spear Motors-URA-24h'!F41,'04.08 Spear Motors-URA'!F41)</f>
        <v>4.1428571428571432</v>
      </c>
      <c r="G41" s="49">
        <f>AVERAGE('29.07 Spear Motors -URA'!G41,'30.07 Spear Motors-URA'!G41,'31.07 Spear Motors-URA'!G41,'02.08 Spear Motors-URA'!G41,'01.08 Spear Motors-URA-24h'!G41,'03.08 Spear Motors-URA-24h'!G41,'04.08 Spear Motors-URA'!G41)</f>
        <v>0.5714285714285714</v>
      </c>
      <c r="H41" s="49">
        <f>AVERAGE('29.07 Spear Motors -URA'!H41,'30.07 Spear Motors-URA'!H41,'31.07 Spear Motors-URA'!H41,'02.08 Spear Motors-URA'!H41,'01.08 Spear Motors-URA-24h'!H41,'03.08 Spear Motors-URA-24h'!H41,'04.08 Spear Motors-URA'!H41)</f>
        <v>0</v>
      </c>
      <c r="I41" s="49">
        <f>AVERAGE('29.07 Spear Motors -URA'!I41,'30.07 Spear Motors-URA'!I41,'31.07 Spear Motors-URA'!I41,'02.08 Spear Motors-URA'!I41,'01.08 Spear Motors-URA-24h'!I41,'03.08 Spear Motors-URA-24h'!I41,'04.08 Spear Motors-URA'!I41)</f>
        <v>2.1428571428571428</v>
      </c>
      <c r="J41" s="49">
        <f>AVERAGE('29.07 Spear Motors -URA'!J41,'30.07 Spear Motors-URA'!J41,'31.07 Spear Motors-URA'!J41,'02.08 Spear Motors-URA'!J41,'01.08 Spear Motors-URA-24h'!J41,'03.08 Spear Motors-URA-24h'!J41,'04.08 Spear Motors-URA'!J41)</f>
        <v>2</v>
      </c>
      <c r="K41" s="49">
        <f>AVERAGE('29.07 Spear Motors -URA'!K41,'30.07 Spear Motors-URA'!K41,'31.07 Spear Motors-URA'!K41,'02.08 Spear Motors-URA'!K41,'01.08 Spear Motors-URA-24h'!K41,'03.08 Spear Motors-URA-24h'!K41,'04.08 Spear Motors-URA'!K41)</f>
        <v>1.7142857142857142</v>
      </c>
      <c r="L41" s="49">
        <f>AVERAGE('29.07 Spear Motors -URA'!L41,'30.07 Spear Motors-URA'!L41,'31.07 Spear Motors-URA'!L41,'02.08 Spear Motors-URA'!L41,'01.08 Spear Motors-URA-24h'!L41,'03.08 Spear Motors-URA-24h'!L41,'04.08 Spear Motors-URA'!L41)</f>
        <v>3.8571428571428572</v>
      </c>
      <c r="M41" s="49">
        <f>AVERAGE('29.07 Spear Motors -URA'!M41,'30.07 Spear Motors-URA'!M41,'31.07 Spear Motors-URA'!M41,'02.08 Spear Motors-URA'!M41,'01.08 Spear Motors-URA-24h'!M41,'03.08 Spear Motors-URA-24h'!M41,'04.08 Spear Motors-URA'!M41)</f>
        <v>85.142857142857139</v>
      </c>
      <c r="N41" s="49">
        <f>AVERAGE('29.07 Spear Motors -URA'!N41,'30.07 Spear Motors-URA'!N41,'31.07 Spear Motors-URA'!N41,'02.08 Spear Motors-URA'!N41,'01.08 Spear Motors-URA-24h'!N41,'03.08 Spear Motors-URA-24h'!N41,'04.08 Spear Motors-URA'!N41)</f>
        <v>0</v>
      </c>
      <c r="O41" s="15">
        <f t="shared" si="0"/>
        <v>61.571428571428577</v>
      </c>
      <c r="P41" s="15">
        <f t="shared" si="1"/>
        <v>146.71428571428572</v>
      </c>
      <c r="R41" s="5" t="s">
        <v>193</v>
      </c>
      <c r="S41" s="16">
        <f>SUM(S10:S33)</f>
        <v>2463.9285714285716</v>
      </c>
      <c r="T41" s="16">
        <f t="shared" ref="T41:AD41" si="33">SUM(T10:T33)</f>
        <v>595.85714285714289</v>
      </c>
      <c r="U41" s="16">
        <f t="shared" si="33"/>
        <v>415.64285714285711</v>
      </c>
      <c r="V41" s="16">
        <f t="shared" si="33"/>
        <v>453.64285714285711</v>
      </c>
      <c r="W41" s="16">
        <f t="shared" si="33"/>
        <v>84.5</v>
      </c>
      <c r="X41" s="16">
        <f t="shared" si="33"/>
        <v>4.0714285714285712</v>
      </c>
      <c r="Y41" s="16">
        <f t="shared" si="33"/>
        <v>162.64285714285717</v>
      </c>
      <c r="Z41" s="16">
        <f t="shared" si="33"/>
        <v>127.64285714285714</v>
      </c>
      <c r="AA41" s="16">
        <f t="shared" si="33"/>
        <v>100.71428571428572</v>
      </c>
      <c r="AB41" s="16">
        <f t="shared" si="33"/>
        <v>208.28571428571431</v>
      </c>
      <c r="AC41" s="16">
        <f t="shared" si="33"/>
        <v>9486.6428571428569</v>
      </c>
      <c r="AD41" s="16">
        <f t="shared" si="33"/>
        <v>0.42857142857142855</v>
      </c>
      <c r="AE41" s="32">
        <f>SUM(AE10:AE33)</f>
        <v>4617.3571428571431</v>
      </c>
      <c r="AF41" s="32">
        <f>SUM(AF10:AF33)</f>
        <v>14104</v>
      </c>
    </row>
    <row r="42" spans="2:32" ht="23.1" customHeight="1" x14ac:dyDescent="0.25">
      <c r="B42" s="24" t="s">
        <v>69</v>
      </c>
      <c r="C42" s="49">
        <f>AVERAGE('29.07 Spear Motors -URA'!C42,'30.07 Spear Motors-URA'!C42,'31.07 Spear Motors-URA'!C42,'02.08 Spear Motors-URA'!C42,'01.08 Spear Motors-URA-24h'!C42,'03.08 Spear Motors-URA-24h'!C42,'04.08 Spear Motors-URA'!C42)</f>
        <v>37.857142857142854</v>
      </c>
      <c r="D42" s="49">
        <f>AVERAGE('29.07 Spear Motors -URA'!D42,'30.07 Spear Motors-URA'!D42,'31.07 Spear Motors-URA'!D42,'02.08 Spear Motors-URA'!D42,'01.08 Spear Motors-URA-24h'!D42,'03.08 Spear Motors-URA-24h'!D42,'04.08 Spear Motors-URA'!D42)</f>
        <v>7.7142857142857144</v>
      </c>
      <c r="E42" s="49">
        <f>AVERAGE('29.07 Spear Motors -URA'!E42,'30.07 Spear Motors-URA'!E42,'31.07 Spear Motors-URA'!E42,'02.08 Spear Motors-URA'!E42,'01.08 Spear Motors-URA-24h'!E42,'03.08 Spear Motors-URA-24h'!E42,'04.08 Spear Motors-URA'!E42)</f>
        <v>5.8571428571428568</v>
      </c>
      <c r="F42" s="49">
        <f>AVERAGE('29.07 Spear Motors -URA'!F42,'30.07 Spear Motors-URA'!F42,'31.07 Spear Motors-URA'!F42,'02.08 Spear Motors-URA'!F42,'01.08 Spear Motors-URA-24h'!F42,'03.08 Spear Motors-URA-24h'!F42,'04.08 Spear Motors-URA'!F42)</f>
        <v>5.8571428571428568</v>
      </c>
      <c r="G42" s="49">
        <f>AVERAGE('29.07 Spear Motors -URA'!G42,'30.07 Spear Motors-URA'!G42,'31.07 Spear Motors-URA'!G42,'02.08 Spear Motors-URA'!G42,'01.08 Spear Motors-URA-24h'!G42,'03.08 Spear Motors-URA-24h'!G42,'04.08 Spear Motors-URA'!G42)</f>
        <v>1.2857142857142858</v>
      </c>
      <c r="H42" s="49">
        <f>AVERAGE('29.07 Spear Motors -URA'!H42,'30.07 Spear Motors-URA'!H42,'31.07 Spear Motors-URA'!H42,'02.08 Spear Motors-URA'!H42,'01.08 Spear Motors-URA-24h'!H42,'03.08 Spear Motors-URA-24h'!H42,'04.08 Spear Motors-URA'!H42)</f>
        <v>0</v>
      </c>
      <c r="I42" s="49">
        <f>AVERAGE('29.07 Spear Motors -URA'!I42,'30.07 Spear Motors-URA'!I42,'31.07 Spear Motors-URA'!I42,'02.08 Spear Motors-URA'!I42,'01.08 Spear Motors-URA-24h'!I42,'03.08 Spear Motors-URA-24h'!I42,'04.08 Spear Motors-URA'!I42)</f>
        <v>2.5714285714285716</v>
      </c>
      <c r="J42" s="49">
        <f>AVERAGE('29.07 Spear Motors -URA'!J42,'30.07 Spear Motors-URA'!J42,'31.07 Spear Motors-URA'!J42,'02.08 Spear Motors-URA'!J42,'01.08 Spear Motors-URA-24h'!J42,'03.08 Spear Motors-URA-24h'!J42,'04.08 Spear Motors-URA'!J42)</f>
        <v>2.4285714285714284</v>
      </c>
      <c r="K42" s="49">
        <f>AVERAGE('29.07 Spear Motors -URA'!K42,'30.07 Spear Motors-URA'!K42,'31.07 Spear Motors-URA'!K42,'02.08 Spear Motors-URA'!K42,'01.08 Spear Motors-URA-24h'!K42,'03.08 Spear Motors-URA-24h'!K42,'04.08 Spear Motors-URA'!K42)</f>
        <v>2.2857142857142856</v>
      </c>
      <c r="L42" s="49">
        <f>AVERAGE('29.07 Spear Motors -URA'!L42,'30.07 Spear Motors-URA'!L42,'31.07 Spear Motors-URA'!L42,'02.08 Spear Motors-URA'!L42,'01.08 Spear Motors-URA-24h'!L42,'03.08 Spear Motors-URA-24h'!L42,'04.08 Spear Motors-URA'!L42)</f>
        <v>6.4285714285714288</v>
      </c>
      <c r="M42" s="49">
        <f>AVERAGE('29.07 Spear Motors -URA'!M42,'30.07 Spear Motors-URA'!M42,'31.07 Spear Motors-URA'!M42,'02.08 Spear Motors-URA'!M42,'01.08 Spear Motors-URA-24h'!M42,'03.08 Spear Motors-URA-24h'!M42,'04.08 Spear Motors-URA'!M42)</f>
        <v>100.85714285714286</v>
      </c>
      <c r="N42" s="49">
        <f>AVERAGE('29.07 Spear Motors -URA'!N42,'30.07 Spear Motors-URA'!N42,'31.07 Spear Motors-URA'!N42,'02.08 Spear Motors-URA'!N42,'01.08 Spear Motors-URA-24h'!N42,'03.08 Spear Motors-URA-24h'!N42,'04.08 Spear Motors-URA'!N42)</f>
        <v>0</v>
      </c>
      <c r="O42" s="15">
        <f t="shared" si="0"/>
        <v>72.285714285714278</v>
      </c>
      <c r="P42" s="15">
        <f t="shared" si="1"/>
        <v>173.14285714285714</v>
      </c>
      <c r="R42" s="5" t="s">
        <v>160</v>
      </c>
      <c r="S42" s="48">
        <f>S41/S40</f>
        <v>1.5531292210715892</v>
      </c>
      <c r="T42" s="48">
        <f t="shared" ref="T42:AF42" si="34">T41/T40</f>
        <v>1.4432525951557096</v>
      </c>
      <c r="U42" s="48">
        <f t="shared" si="34"/>
        <v>1.4325455440669621</v>
      </c>
      <c r="V42" s="48">
        <f t="shared" si="34"/>
        <v>1.6917954182205648</v>
      </c>
      <c r="W42" s="48">
        <f t="shared" si="34"/>
        <v>1.5363636363636362</v>
      </c>
      <c r="X42" s="48">
        <f t="shared" si="34"/>
        <v>2.5909090909090908</v>
      </c>
      <c r="Y42" s="48">
        <f t="shared" si="34"/>
        <v>1.5468749999999998</v>
      </c>
      <c r="Z42" s="48">
        <f t="shared" si="34"/>
        <v>1.3852713178294573</v>
      </c>
      <c r="AA42" s="48">
        <f t="shared" si="34"/>
        <v>1.2176165803108807</v>
      </c>
      <c r="AB42" s="48">
        <f t="shared" si="34"/>
        <v>1.208955223880597</v>
      </c>
      <c r="AC42" s="48">
        <f t="shared" si="34"/>
        <v>1.5227006947788402</v>
      </c>
      <c r="AD42" s="48">
        <f t="shared" si="34"/>
        <v>1</v>
      </c>
      <c r="AE42" s="53">
        <f t="shared" si="34"/>
        <v>1.5055664244456866</v>
      </c>
      <c r="AF42" s="53">
        <f t="shared" si="34"/>
        <v>1.5170485102721307</v>
      </c>
    </row>
    <row r="43" spans="2:32" ht="23.1" customHeight="1" x14ac:dyDescent="0.25">
      <c r="B43" s="23" t="s">
        <v>70</v>
      </c>
      <c r="C43" s="49">
        <f>AVERAGE('29.07 Spear Motors -URA'!C43,'30.07 Spear Motors-URA'!C43,'31.07 Spear Motors-URA'!C43,'02.08 Spear Motors-URA'!C43,'01.08 Spear Motors-URA-24h'!C43,'03.08 Spear Motors-URA-24h'!C43,'04.08 Spear Motors-URA'!C43)</f>
        <v>29.571428571428573</v>
      </c>
      <c r="D43" s="49">
        <f>AVERAGE('29.07 Spear Motors -URA'!D43,'30.07 Spear Motors-URA'!D43,'31.07 Spear Motors-URA'!D43,'02.08 Spear Motors-URA'!D43,'01.08 Spear Motors-URA-24h'!D43,'03.08 Spear Motors-URA-24h'!D43,'04.08 Spear Motors-URA'!D43)</f>
        <v>7.5714285714285712</v>
      </c>
      <c r="E43" s="49">
        <f>AVERAGE('29.07 Spear Motors -URA'!E43,'30.07 Spear Motors-URA'!E43,'31.07 Spear Motors-URA'!E43,'02.08 Spear Motors-URA'!E43,'01.08 Spear Motors-URA-24h'!E43,'03.08 Spear Motors-URA-24h'!E43,'04.08 Spear Motors-URA'!E43)</f>
        <v>7.2857142857142856</v>
      </c>
      <c r="F43" s="49">
        <f>AVERAGE('29.07 Spear Motors -URA'!F43,'30.07 Spear Motors-URA'!F43,'31.07 Spear Motors-URA'!F43,'02.08 Spear Motors-URA'!F43,'01.08 Spear Motors-URA-24h'!F43,'03.08 Spear Motors-URA-24h'!F43,'04.08 Spear Motors-URA'!F43)</f>
        <v>4</v>
      </c>
      <c r="G43" s="49">
        <f>AVERAGE('29.07 Spear Motors -URA'!G43,'30.07 Spear Motors-URA'!G43,'31.07 Spear Motors-URA'!G43,'02.08 Spear Motors-URA'!G43,'01.08 Spear Motors-URA-24h'!G43,'03.08 Spear Motors-URA-24h'!G43,'04.08 Spear Motors-URA'!G43)</f>
        <v>0.5714285714285714</v>
      </c>
      <c r="H43" s="49">
        <f>AVERAGE('29.07 Spear Motors -URA'!H43,'30.07 Spear Motors-URA'!H43,'31.07 Spear Motors-URA'!H43,'02.08 Spear Motors-URA'!H43,'01.08 Spear Motors-URA-24h'!H43,'03.08 Spear Motors-URA-24h'!H43,'04.08 Spear Motors-URA'!H43)</f>
        <v>0</v>
      </c>
      <c r="I43" s="49">
        <f>AVERAGE('29.07 Spear Motors -URA'!I43,'30.07 Spear Motors-URA'!I43,'31.07 Spear Motors-URA'!I43,'02.08 Spear Motors-URA'!I43,'01.08 Spear Motors-URA-24h'!I43,'03.08 Spear Motors-URA-24h'!I43,'04.08 Spear Motors-URA'!I43)</f>
        <v>2.5714285714285716</v>
      </c>
      <c r="J43" s="49">
        <f>AVERAGE('29.07 Spear Motors -URA'!J43,'30.07 Spear Motors-URA'!J43,'31.07 Spear Motors-URA'!J43,'02.08 Spear Motors-URA'!J43,'01.08 Spear Motors-URA-24h'!J43,'03.08 Spear Motors-URA-24h'!J43,'04.08 Spear Motors-URA'!J43)</f>
        <v>1.8571428571428572</v>
      </c>
      <c r="K43" s="49">
        <f>AVERAGE('29.07 Spear Motors -URA'!K43,'30.07 Spear Motors-URA'!K43,'31.07 Spear Motors-URA'!K43,'02.08 Spear Motors-URA'!K43,'01.08 Spear Motors-URA-24h'!K43,'03.08 Spear Motors-URA-24h'!K43,'04.08 Spear Motors-URA'!K43)</f>
        <v>1.2857142857142858</v>
      </c>
      <c r="L43" s="49">
        <f>AVERAGE('29.07 Spear Motors -URA'!L43,'30.07 Spear Motors-URA'!L43,'31.07 Spear Motors-URA'!L43,'02.08 Spear Motors-URA'!L43,'01.08 Spear Motors-URA-24h'!L43,'03.08 Spear Motors-URA-24h'!L43,'04.08 Spear Motors-URA'!L43)</f>
        <v>5.7142857142857144</v>
      </c>
      <c r="M43" s="49">
        <f>AVERAGE('29.07 Spear Motors -URA'!M43,'30.07 Spear Motors-URA'!M43,'31.07 Spear Motors-URA'!M43,'02.08 Spear Motors-URA'!M43,'01.08 Spear Motors-URA-24h'!M43,'03.08 Spear Motors-URA-24h'!M43,'04.08 Spear Motors-URA'!M43)</f>
        <v>97.428571428571431</v>
      </c>
      <c r="N43" s="49">
        <f>AVERAGE('29.07 Spear Motors -URA'!N43,'30.07 Spear Motors-URA'!N43,'31.07 Spear Motors-URA'!N43,'02.08 Spear Motors-URA'!N43,'01.08 Spear Motors-URA-24h'!N43,'03.08 Spear Motors-URA-24h'!N43,'04.08 Spear Motors-URA'!N43)</f>
        <v>0</v>
      </c>
      <c r="O43" s="15">
        <f t="shared" si="0"/>
        <v>60.428571428571423</v>
      </c>
      <c r="P43" s="15">
        <f t="shared" si="1"/>
        <v>157.85714285714286</v>
      </c>
    </row>
    <row r="44" spans="2:32" ht="23.1" customHeight="1" x14ac:dyDescent="0.25">
      <c r="B44" s="25" t="s">
        <v>71</v>
      </c>
      <c r="C44" s="49">
        <f>AVERAGE('29.07 Spear Motors -URA'!C44,'30.07 Spear Motors-URA'!C44,'31.07 Spear Motors-URA'!C44,'02.08 Spear Motors-URA'!C44,'01.08 Spear Motors-URA-24h'!C44,'03.08 Spear Motors-URA-24h'!C44,'04.08 Spear Motors-URA'!C44)</f>
        <v>34.285714285714285</v>
      </c>
      <c r="D44" s="49">
        <f>AVERAGE('29.07 Spear Motors -URA'!D44,'30.07 Spear Motors-URA'!D44,'31.07 Spear Motors-URA'!D44,'02.08 Spear Motors-URA'!D44,'01.08 Spear Motors-URA-24h'!D44,'03.08 Spear Motors-URA-24h'!D44,'04.08 Spear Motors-URA'!D44)</f>
        <v>5.4285714285714288</v>
      </c>
      <c r="E44" s="49">
        <f>AVERAGE('29.07 Spear Motors -URA'!E44,'30.07 Spear Motors-URA'!E44,'31.07 Spear Motors-URA'!E44,'02.08 Spear Motors-URA'!E44,'01.08 Spear Motors-URA-24h'!E44,'03.08 Spear Motors-URA-24h'!E44,'04.08 Spear Motors-URA'!E44)</f>
        <v>6</v>
      </c>
      <c r="F44" s="49">
        <f>AVERAGE('29.07 Spear Motors -URA'!F44,'30.07 Spear Motors-URA'!F44,'31.07 Spear Motors-URA'!F44,'02.08 Spear Motors-URA'!F44,'01.08 Spear Motors-URA-24h'!F44,'03.08 Spear Motors-URA-24h'!F44,'04.08 Spear Motors-URA'!F44)</f>
        <v>4.5714285714285712</v>
      </c>
      <c r="G44" s="49">
        <f>AVERAGE('29.07 Spear Motors -URA'!G44,'30.07 Spear Motors-URA'!G44,'31.07 Spear Motors-URA'!G44,'02.08 Spear Motors-URA'!G44,'01.08 Spear Motors-URA-24h'!G44,'03.08 Spear Motors-URA-24h'!G44,'04.08 Spear Motors-URA'!G44)</f>
        <v>1.8571428571428572</v>
      </c>
      <c r="H44" s="49">
        <f>AVERAGE('29.07 Spear Motors -URA'!H44,'30.07 Spear Motors-URA'!H44,'31.07 Spear Motors-URA'!H44,'02.08 Spear Motors-URA'!H44,'01.08 Spear Motors-URA-24h'!H44,'03.08 Spear Motors-URA-24h'!H44,'04.08 Spear Motors-URA'!H44)</f>
        <v>0</v>
      </c>
      <c r="I44" s="49">
        <f>AVERAGE('29.07 Spear Motors -URA'!I44,'30.07 Spear Motors-URA'!I44,'31.07 Spear Motors-URA'!I44,'02.08 Spear Motors-URA'!I44,'01.08 Spear Motors-URA-24h'!I44,'03.08 Spear Motors-URA-24h'!I44,'04.08 Spear Motors-URA'!I44)</f>
        <v>2.1428571428571428</v>
      </c>
      <c r="J44" s="49">
        <f>AVERAGE('29.07 Spear Motors -URA'!J44,'30.07 Spear Motors-URA'!J44,'31.07 Spear Motors-URA'!J44,'02.08 Spear Motors-URA'!J44,'01.08 Spear Motors-URA-24h'!J44,'03.08 Spear Motors-URA-24h'!J44,'04.08 Spear Motors-URA'!J44)</f>
        <v>2.1428571428571428</v>
      </c>
      <c r="K44" s="49">
        <f>AVERAGE('29.07 Spear Motors -URA'!K44,'30.07 Spear Motors-URA'!K44,'31.07 Spear Motors-URA'!K44,'02.08 Spear Motors-URA'!K44,'01.08 Spear Motors-URA-24h'!K44,'03.08 Spear Motors-URA-24h'!K44,'04.08 Spear Motors-URA'!K44)</f>
        <v>2.1428571428571428</v>
      </c>
      <c r="L44" s="49">
        <f>AVERAGE('29.07 Spear Motors -URA'!L44,'30.07 Spear Motors-URA'!L44,'31.07 Spear Motors-URA'!L44,'02.08 Spear Motors-URA'!L44,'01.08 Spear Motors-URA-24h'!L44,'03.08 Spear Motors-URA-24h'!L44,'04.08 Spear Motors-URA'!L44)</f>
        <v>5.4285714285714288</v>
      </c>
      <c r="M44" s="49">
        <f>AVERAGE('29.07 Spear Motors -URA'!M44,'30.07 Spear Motors-URA'!M44,'31.07 Spear Motors-URA'!M44,'02.08 Spear Motors-URA'!M44,'01.08 Spear Motors-URA-24h'!M44,'03.08 Spear Motors-URA-24h'!M44,'04.08 Spear Motors-URA'!M44)</f>
        <v>84.142857142857139</v>
      </c>
      <c r="N44" s="49">
        <f>AVERAGE('29.07 Spear Motors -URA'!N44,'30.07 Spear Motors-URA'!N44,'31.07 Spear Motors-URA'!N44,'02.08 Spear Motors-URA'!N44,'01.08 Spear Motors-URA-24h'!N44,'03.08 Spear Motors-URA-24h'!N44,'04.08 Spear Motors-URA'!N44)</f>
        <v>0</v>
      </c>
      <c r="O44" s="15">
        <f t="shared" si="0"/>
        <v>64</v>
      </c>
      <c r="P44" s="15">
        <f t="shared" si="1"/>
        <v>148.14285714285714</v>
      </c>
    </row>
    <row r="45" spans="2:32" ht="23.1" customHeight="1" x14ac:dyDescent="0.25">
      <c r="B45" s="23" t="s">
        <v>72</v>
      </c>
      <c r="C45" s="49">
        <f>AVERAGE('29.07 Spear Motors -URA'!C45,'30.07 Spear Motors-URA'!C45,'31.07 Spear Motors-URA'!C45,'02.08 Spear Motors-URA'!C45,'01.08 Spear Motors-URA-24h'!C45,'03.08 Spear Motors-URA-24h'!C45,'04.08 Spear Motors-URA'!C45)</f>
        <v>37.857142857142854</v>
      </c>
      <c r="D45" s="49">
        <f>AVERAGE('29.07 Spear Motors -URA'!D45,'30.07 Spear Motors-URA'!D45,'31.07 Spear Motors-URA'!D45,'02.08 Spear Motors-URA'!D45,'01.08 Spear Motors-URA-24h'!D45,'03.08 Spear Motors-URA-24h'!D45,'04.08 Spear Motors-URA'!D45)</f>
        <v>8.4285714285714288</v>
      </c>
      <c r="E45" s="49">
        <f>AVERAGE('29.07 Spear Motors -URA'!E45,'30.07 Spear Motors-URA'!E45,'31.07 Spear Motors-URA'!E45,'02.08 Spear Motors-URA'!E45,'01.08 Spear Motors-URA-24h'!E45,'03.08 Spear Motors-URA-24h'!E45,'04.08 Spear Motors-URA'!E45)</f>
        <v>5.7142857142857144</v>
      </c>
      <c r="F45" s="49">
        <f>AVERAGE('29.07 Spear Motors -URA'!F45,'30.07 Spear Motors-URA'!F45,'31.07 Spear Motors-URA'!F45,'02.08 Spear Motors-URA'!F45,'01.08 Spear Motors-URA-24h'!F45,'03.08 Spear Motors-URA-24h'!F45,'04.08 Spear Motors-URA'!F45)</f>
        <v>5.8571428571428568</v>
      </c>
      <c r="G45" s="49">
        <f>AVERAGE('29.07 Spear Motors -URA'!G45,'30.07 Spear Motors-URA'!G45,'31.07 Spear Motors-URA'!G45,'02.08 Spear Motors-URA'!G45,'01.08 Spear Motors-URA-24h'!G45,'03.08 Spear Motors-URA-24h'!G45,'04.08 Spear Motors-URA'!G45)</f>
        <v>1.7142857142857142</v>
      </c>
      <c r="H45" s="49">
        <f>AVERAGE('29.07 Spear Motors -URA'!H45,'30.07 Spear Motors-URA'!H45,'31.07 Spear Motors-URA'!H45,'02.08 Spear Motors-URA'!H45,'01.08 Spear Motors-URA-24h'!H45,'03.08 Spear Motors-URA-24h'!H45,'04.08 Spear Motors-URA'!H45)</f>
        <v>0</v>
      </c>
      <c r="I45" s="49">
        <f>AVERAGE('29.07 Spear Motors -URA'!I45,'30.07 Spear Motors-URA'!I45,'31.07 Spear Motors-URA'!I45,'02.08 Spear Motors-URA'!I45,'01.08 Spear Motors-URA-24h'!I45,'03.08 Spear Motors-URA-24h'!I45,'04.08 Spear Motors-URA'!I45)</f>
        <v>2.5714285714285716</v>
      </c>
      <c r="J45" s="49">
        <f>AVERAGE('29.07 Spear Motors -URA'!J45,'30.07 Spear Motors-URA'!J45,'31.07 Spear Motors-URA'!J45,'02.08 Spear Motors-URA'!J45,'01.08 Spear Motors-URA-24h'!J45,'03.08 Spear Motors-URA-24h'!J45,'04.08 Spear Motors-URA'!J45)</f>
        <v>2.7142857142857144</v>
      </c>
      <c r="K45" s="49">
        <f>AVERAGE('29.07 Spear Motors -URA'!K45,'30.07 Spear Motors-URA'!K45,'31.07 Spear Motors-URA'!K45,'02.08 Spear Motors-URA'!K45,'01.08 Spear Motors-URA-24h'!K45,'03.08 Spear Motors-URA-24h'!K45,'04.08 Spear Motors-URA'!K45)</f>
        <v>1.7142857142857142</v>
      </c>
      <c r="L45" s="49">
        <f>AVERAGE('29.07 Spear Motors -URA'!L45,'30.07 Spear Motors-URA'!L45,'31.07 Spear Motors-URA'!L45,'02.08 Spear Motors-URA'!L45,'01.08 Spear Motors-URA-24h'!L45,'03.08 Spear Motors-URA-24h'!L45,'04.08 Spear Motors-URA'!L45)</f>
        <v>4.2857142857142856</v>
      </c>
      <c r="M45" s="49">
        <f>AVERAGE('29.07 Spear Motors -URA'!M45,'30.07 Spear Motors-URA'!M45,'31.07 Spear Motors-URA'!M45,'02.08 Spear Motors-URA'!M45,'01.08 Spear Motors-URA-24h'!M45,'03.08 Spear Motors-URA-24h'!M45,'04.08 Spear Motors-URA'!M45)</f>
        <v>90.714285714285708</v>
      </c>
      <c r="N45" s="49">
        <f>AVERAGE('29.07 Spear Motors -URA'!N45,'30.07 Spear Motors-URA'!N45,'31.07 Spear Motors-URA'!N45,'02.08 Spear Motors-URA'!N45,'01.08 Spear Motors-URA-24h'!N45,'03.08 Spear Motors-URA-24h'!N45,'04.08 Spear Motors-URA'!N45)</f>
        <v>0</v>
      </c>
      <c r="O45" s="15">
        <f t="shared" si="0"/>
        <v>70.857142857142847</v>
      </c>
      <c r="P45" s="15">
        <f t="shared" si="1"/>
        <v>161.57142857142856</v>
      </c>
    </row>
    <row r="46" spans="2:32" ht="23.1" customHeight="1" x14ac:dyDescent="0.25">
      <c r="B46" s="24" t="s">
        <v>73</v>
      </c>
      <c r="C46" s="49">
        <f>AVERAGE('29.07 Spear Motors -URA'!C46,'30.07 Spear Motors-URA'!C46,'31.07 Spear Motors-URA'!C46,'02.08 Spear Motors-URA'!C46,'01.08 Spear Motors-URA-24h'!C46,'03.08 Spear Motors-URA-24h'!C46,'04.08 Spear Motors-URA'!C46)</f>
        <v>33.142857142857146</v>
      </c>
      <c r="D46" s="49">
        <f>AVERAGE('29.07 Spear Motors -URA'!D46,'30.07 Spear Motors-URA'!D46,'31.07 Spear Motors-URA'!D46,'02.08 Spear Motors-URA'!D46,'01.08 Spear Motors-URA-24h'!D46,'03.08 Spear Motors-URA-24h'!D46,'04.08 Spear Motors-URA'!D46)</f>
        <v>6.7142857142857144</v>
      </c>
      <c r="E46" s="49">
        <f>AVERAGE('29.07 Spear Motors -URA'!E46,'30.07 Spear Motors-URA'!E46,'31.07 Spear Motors-URA'!E46,'02.08 Spear Motors-URA'!E46,'01.08 Spear Motors-URA-24h'!E46,'03.08 Spear Motors-URA-24h'!E46,'04.08 Spear Motors-URA'!E46)</f>
        <v>7.1428571428571432</v>
      </c>
      <c r="F46" s="49">
        <f>AVERAGE('29.07 Spear Motors -URA'!F46,'30.07 Spear Motors-URA'!F46,'31.07 Spear Motors-URA'!F46,'02.08 Spear Motors-URA'!F46,'01.08 Spear Motors-URA-24h'!F46,'03.08 Spear Motors-URA-24h'!F46,'04.08 Spear Motors-URA'!F46)</f>
        <v>6.2857142857142856</v>
      </c>
      <c r="G46" s="49">
        <f>AVERAGE('29.07 Spear Motors -URA'!G46,'30.07 Spear Motors-URA'!G46,'31.07 Spear Motors-URA'!G46,'02.08 Spear Motors-URA'!G46,'01.08 Spear Motors-URA-24h'!G46,'03.08 Spear Motors-URA-24h'!G46,'04.08 Spear Motors-URA'!G46)</f>
        <v>1.4285714285714286</v>
      </c>
      <c r="H46" s="49">
        <f>AVERAGE('29.07 Spear Motors -URA'!H46,'30.07 Spear Motors-URA'!H46,'31.07 Spear Motors-URA'!H46,'02.08 Spear Motors-URA'!H46,'01.08 Spear Motors-URA-24h'!H46,'03.08 Spear Motors-URA-24h'!H46,'04.08 Spear Motors-URA'!H46)</f>
        <v>0</v>
      </c>
      <c r="I46" s="49">
        <f>AVERAGE('29.07 Spear Motors -URA'!I46,'30.07 Spear Motors-URA'!I46,'31.07 Spear Motors-URA'!I46,'02.08 Spear Motors-URA'!I46,'01.08 Spear Motors-URA-24h'!I46,'03.08 Spear Motors-URA-24h'!I46,'04.08 Spear Motors-URA'!I46)</f>
        <v>3</v>
      </c>
      <c r="J46" s="49">
        <f>AVERAGE('29.07 Spear Motors -URA'!J46,'30.07 Spear Motors-URA'!J46,'31.07 Spear Motors-URA'!J46,'02.08 Spear Motors-URA'!J46,'01.08 Spear Motors-URA-24h'!J46,'03.08 Spear Motors-URA-24h'!J46,'04.08 Spear Motors-URA'!J46)</f>
        <v>2.4285714285714284</v>
      </c>
      <c r="K46" s="49">
        <f>AVERAGE('29.07 Spear Motors -URA'!K46,'30.07 Spear Motors-URA'!K46,'31.07 Spear Motors-URA'!K46,'02.08 Spear Motors-URA'!K46,'01.08 Spear Motors-URA-24h'!K46,'03.08 Spear Motors-URA-24h'!K46,'04.08 Spear Motors-URA'!K46)</f>
        <v>2</v>
      </c>
      <c r="L46" s="49">
        <f>AVERAGE('29.07 Spear Motors -URA'!L46,'30.07 Spear Motors-URA'!L46,'31.07 Spear Motors-URA'!L46,'02.08 Spear Motors-URA'!L46,'01.08 Spear Motors-URA-24h'!L46,'03.08 Spear Motors-URA-24h'!L46,'04.08 Spear Motors-URA'!L46)</f>
        <v>3.4285714285714284</v>
      </c>
      <c r="M46" s="49">
        <f>AVERAGE('29.07 Spear Motors -URA'!M46,'30.07 Spear Motors-URA'!M46,'31.07 Spear Motors-URA'!M46,'02.08 Spear Motors-URA'!M46,'01.08 Spear Motors-URA-24h'!M46,'03.08 Spear Motors-URA-24h'!M46,'04.08 Spear Motors-URA'!M46)</f>
        <v>77.714285714285708</v>
      </c>
      <c r="N46" s="49">
        <f>AVERAGE('29.07 Spear Motors -URA'!N46,'30.07 Spear Motors-URA'!N46,'31.07 Spear Motors-URA'!N46,'02.08 Spear Motors-URA'!N46,'01.08 Spear Motors-URA-24h'!N46,'03.08 Spear Motors-URA-24h'!N46,'04.08 Spear Motors-URA'!N46)</f>
        <v>0</v>
      </c>
      <c r="O46" s="15">
        <f t="shared" si="0"/>
        <v>65.571428571428584</v>
      </c>
      <c r="P46" s="15">
        <f t="shared" si="1"/>
        <v>143.28571428571428</v>
      </c>
    </row>
    <row r="47" spans="2:32" ht="23.1" customHeight="1" x14ac:dyDescent="0.25">
      <c r="B47" s="24" t="s">
        <v>74</v>
      </c>
      <c r="C47" s="49">
        <f>AVERAGE('29.07 Spear Motors -URA'!C47,'30.07 Spear Motors-URA'!C47,'31.07 Spear Motors-URA'!C47,'02.08 Spear Motors-URA'!C47,'01.08 Spear Motors-URA-24h'!C47,'03.08 Spear Motors-URA-24h'!C47,'04.08 Spear Motors-URA'!C47)</f>
        <v>36.285714285714285</v>
      </c>
      <c r="D47" s="49">
        <f>AVERAGE('29.07 Spear Motors -URA'!D47,'30.07 Spear Motors-URA'!D47,'31.07 Spear Motors-URA'!D47,'02.08 Spear Motors-URA'!D47,'01.08 Spear Motors-URA-24h'!D47,'03.08 Spear Motors-URA-24h'!D47,'04.08 Spear Motors-URA'!D47)</f>
        <v>7.4285714285714288</v>
      </c>
      <c r="E47" s="49">
        <f>AVERAGE('29.07 Spear Motors -URA'!E47,'30.07 Spear Motors-URA'!E47,'31.07 Spear Motors-URA'!E47,'02.08 Spear Motors-URA'!E47,'01.08 Spear Motors-URA-24h'!E47,'03.08 Spear Motors-URA-24h'!E47,'04.08 Spear Motors-URA'!E47)</f>
        <v>7.7142857142857144</v>
      </c>
      <c r="F47" s="49">
        <f>AVERAGE('29.07 Spear Motors -URA'!F47,'30.07 Spear Motors-URA'!F47,'31.07 Spear Motors-URA'!F47,'02.08 Spear Motors-URA'!F47,'01.08 Spear Motors-URA-24h'!F47,'03.08 Spear Motors-URA-24h'!F47,'04.08 Spear Motors-URA'!F47)</f>
        <v>4.2857142857142856</v>
      </c>
      <c r="G47" s="49">
        <f>AVERAGE('29.07 Spear Motors -URA'!G47,'30.07 Spear Motors-URA'!G47,'31.07 Spear Motors-URA'!G47,'02.08 Spear Motors-URA'!G47,'01.08 Spear Motors-URA-24h'!G47,'03.08 Spear Motors-URA-24h'!G47,'04.08 Spear Motors-URA'!G47)</f>
        <v>1.4285714285714286</v>
      </c>
      <c r="H47" s="49">
        <f>AVERAGE('29.07 Spear Motors -URA'!H47,'30.07 Spear Motors-URA'!H47,'31.07 Spear Motors-URA'!H47,'02.08 Spear Motors-URA'!H47,'01.08 Spear Motors-URA-24h'!H47,'03.08 Spear Motors-URA-24h'!H47,'04.08 Spear Motors-URA'!H47)</f>
        <v>0</v>
      </c>
      <c r="I47" s="49">
        <f>AVERAGE('29.07 Spear Motors -URA'!I47,'30.07 Spear Motors-URA'!I47,'31.07 Spear Motors-URA'!I47,'02.08 Spear Motors-URA'!I47,'01.08 Spear Motors-URA-24h'!I47,'03.08 Spear Motors-URA-24h'!I47,'04.08 Spear Motors-URA'!I47)</f>
        <v>4.2857142857142856</v>
      </c>
      <c r="J47" s="49">
        <f>AVERAGE('29.07 Spear Motors -URA'!J47,'30.07 Spear Motors-URA'!J47,'31.07 Spear Motors-URA'!J47,'02.08 Spear Motors-URA'!J47,'01.08 Spear Motors-URA-24h'!J47,'03.08 Spear Motors-URA-24h'!J47,'04.08 Spear Motors-URA'!J47)</f>
        <v>2.1428571428571428</v>
      </c>
      <c r="K47" s="49">
        <f>AVERAGE('29.07 Spear Motors -URA'!K47,'30.07 Spear Motors-URA'!K47,'31.07 Spear Motors-URA'!K47,'02.08 Spear Motors-URA'!K47,'01.08 Spear Motors-URA-24h'!K47,'03.08 Spear Motors-URA-24h'!K47,'04.08 Spear Motors-URA'!K47)</f>
        <v>2</v>
      </c>
      <c r="L47" s="49">
        <f>AVERAGE('29.07 Spear Motors -URA'!L47,'30.07 Spear Motors-URA'!L47,'31.07 Spear Motors-URA'!L47,'02.08 Spear Motors-URA'!L47,'01.08 Spear Motors-URA-24h'!L47,'03.08 Spear Motors-URA-24h'!L47,'04.08 Spear Motors-URA'!L47)</f>
        <v>6.1428571428571432</v>
      </c>
      <c r="M47" s="49">
        <f>AVERAGE('29.07 Spear Motors -URA'!M47,'30.07 Spear Motors-URA'!M47,'31.07 Spear Motors-URA'!M47,'02.08 Spear Motors-URA'!M47,'01.08 Spear Motors-URA-24h'!M47,'03.08 Spear Motors-URA-24h'!M47,'04.08 Spear Motors-URA'!M47)</f>
        <v>104.85714285714286</v>
      </c>
      <c r="N47" s="49">
        <f>AVERAGE('29.07 Spear Motors -URA'!N47,'30.07 Spear Motors-URA'!N47,'31.07 Spear Motors-URA'!N47,'02.08 Spear Motors-URA'!N47,'01.08 Spear Motors-URA-24h'!N47,'03.08 Spear Motors-URA-24h'!N47,'04.08 Spear Motors-URA'!N47)</f>
        <v>0</v>
      </c>
      <c r="O47" s="15">
        <f t="shared" si="0"/>
        <v>71.714285714285722</v>
      </c>
      <c r="P47" s="15">
        <f t="shared" si="1"/>
        <v>176.57142857142858</v>
      </c>
    </row>
    <row r="48" spans="2:32" ht="23.1" customHeight="1" x14ac:dyDescent="0.25">
      <c r="B48" s="24" t="s">
        <v>75</v>
      </c>
      <c r="C48" s="49">
        <f>AVERAGE('29.07 Spear Motors -URA'!C48,'30.07 Spear Motors-URA'!C48,'31.07 Spear Motors-URA'!C48,'02.08 Spear Motors-URA'!C48,'01.08 Spear Motors-URA-24h'!C48,'03.08 Spear Motors-URA-24h'!C48,'04.08 Spear Motors-URA'!C48)</f>
        <v>32.142857142857146</v>
      </c>
      <c r="D48" s="49">
        <f>AVERAGE('29.07 Spear Motors -URA'!D48,'30.07 Spear Motors-URA'!D48,'31.07 Spear Motors-URA'!D48,'02.08 Spear Motors-URA'!D48,'01.08 Spear Motors-URA-24h'!D48,'03.08 Spear Motors-URA-24h'!D48,'04.08 Spear Motors-URA'!D48)</f>
        <v>9.1428571428571423</v>
      </c>
      <c r="E48" s="49">
        <f>AVERAGE('29.07 Spear Motors -URA'!E48,'30.07 Spear Motors-URA'!E48,'31.07 Spear Motors-URA'!E48,'02.08 Spear Motors-URA'!E48,'01.08 Spear Motors-URA-24h'!E48,'03.08 Spear Motors-URA-24h'!E48,'04.08 Spear Motors-URA'!E48)</f>
        <v>8.1428571428571423</v>
      </c>
      <c r="F48" s="49">
        <f>AVERAGE('29.07 Spear Motors -URA'!F48,'30.07 Spear Motors-URA'!F48,'31.07 Spear Motors-URA'!F48,'02.08 Spear Motors-URA'!F48,'01.08 Spear Motors-URA-24h'!F48,'03.08 Spear Motors-URA-24h'!F48,'04.08 Spear Motors-URA'!F48)</f>
        <v>4.1428571428571432</v>
      </c>
      <c r="G48" s="49">
        <f>AVERAGE('29.07 Spear Motors -URA'!G48,'30.07 Spear Motors-URA'!G48,'31.07 Spear Motors-URA'!G48,'02.08 Spear Motors-URA'!G48,'01.08 Spear Motors-URA-24h'!G48,'03.08 Spear Motors-URA-24h'!G48,'04.08 Spear Motors-URA'!G48)</f>
        <v>0.42857142857142855</v>
      </c>
      <c r="H48" s="49">
        <f>AVERAGE('29.07 Spear Motors -URA'!H48,'30.07 Spear Motors-URA'!H48,'31.07 Spear Motors-URA'!H48,'02.08 Spear Motors-URA'!H48,'01.08 Spear Motors-URA-24h'!H48,'03.08 Spear Motors-URA-24h'!H48,'04.08 Spear Motors-URA'!H48)</f>
        <v>0</v>
      </c>
      <c r="I48" s="49">
        <f>AVERAGE('29.07 Spear Motors -URA'!I48,'30.07 Spear Motors-URA'!I48,'31.07 Spear Motors-URA'!I48,'02.08 Spear Motors-URA'!I48,'01.08 Spear Motors-URA-24h'!I48,'03.08 Spear Motors-URA-24h'!I48,'04.08 Spear Motors-URA'!I48)</f>
        <v>2</v>
      </c>
      <c r="J48" s="49">
        <f>AVERAGE('29.07 Spear Motors -URA'!J48,'30.07 Spear Motors-URA'!J48,'31.07 Spear Motors-URA'!J48,'02.08 Spear Motors-URA'!J48,'01.08 Spear Motors-URA-24h'!J48,'03.08 Spear Motors-URA-24h'!J48,'04.08 Spear Motors-URA'!J48)</f>
        <v>2.7142857142857144</v>
      </c>
      <c r="K48" s="49">
        <f>AVERAGE('29.07 Spear Motors -URA'!K48,'30.07 Spear Motors-URA'!K48,'31.07 Spear Motors-URA'!K48,'02.08 Spear Motors-URA'!K48,'01.08 Spear Motors-URA-24h'!K48,'03.08 Spear Motors-URA-24h'!K48,'04.08 Spear Motors-URA'!K48)</f>
        <v>1.1428571428571428</v>
      </c>
      <c r="L48" s="49">
        <f>AVERAGE('29.07 Spear Motors -URA'!L48,'30.07 Spear Motors-URA'!L48,'31.07 Spear Motors-URA'!L48,'02.08 Spear Motors-URA'!L48,'01.08 Spear Motors-URA-24h'!L48,'03.08 Spear Motors-URA-24h'!L48,'04.08 Spear Motors-URA'!L48)</f>
        <v>3.7142857142857144</v>
      </c>
      <c r="M48" s="49">
        <f>AVERAGE('29.07 Spear Motors -URA'!M48,'30.07 Spear Motors-URA'!M48,'31.07 Spear Motors-URA'!M48,'02.08 Spear Motors-URA'!M48,'01.08 Spear Motors-URA-24h'!M48,'03.08 Spear Motors-URA-24h'!M48,'04.08 Spear Motors-URA'!M48)</f>
        <v>103.14285714285714</v>
      </c>
      <c r="N48" s="49">
        <f>AVERAGE('29.07 Spear Motors -URA'!N48,'30.07 Spear Motors-URA'!N48,'31.07 Spear Motors-URA'!N48,'02.08 Spear Motors-URA'!N48,'01.08 Spear Motors-URA-24h'!N48,'03.08 Spear Motors-URA-24h'!N48,'04.08 Spear Motors-URA'!N48)</f>
        <v>0</v>
      </c>
      <c r="O48" s="15">
        <f t="shared" si="0"/>
        <v>63.571428571428584</v>
      </c>
      <c r="P48" s="15">
        <f t="shared" si="1"/>
        <v>166.71428571428572</v>
      </c>
    </row>
    <row r="49" spans="2:20" ht="23.1" customHeight="1" x14ac:dyDescent="0.25">
      <c r="B49" s="23" t="s">
        <v>76</v>
      </c>
      <c r="C49" s="49">
        <f>AVERAGE('29.07 Spear Motors -URA'!C49,'30.07 Spear Motors-URA'!C49,'31.07 Spear Motors-URA'!C49,'02.08 Spear Motors-URA'!C49,'01.08 Spear Motors-URA-24h'!C49,'03.08 Spear Motors-URA-24h'!C49,'04.08 Spear Motors-URA'!C49)</f>
        <v>31.571428571428573</v>
      </c>
      <c r="D49" s="49">
        <f>AVERAGE('29.07 Spear Motors -URA'!D49,'30.07 Spear Motors-URA'!D49,'31.07 Spear Motors-URA'!D49,'02.08 Spear Motors-URA'!D49,'01.08 Spear Motors-URA-24h'!D49,'03.08 Spear Motors-URA-24h'!D49,'04.08 Spear Motors-URA'!D49)</f>
        <v>8.7142857142857135</v>
      </c>
      <c r="E49" s="49">
        <f>AVERAGE('29.07 Spear Motors -URA'!E49,'30.07 Spear Motors-URA'!E49,'31.07 Spear Motors-URA'!E49,'02.08 Spear Motors-URA'!E49,'01.08 Spear Motors-URA-24h'!E49,'03.08 Spear Motors-URA-24h'!E49,'04.08 Spear Motors-URA'!E49)</f>
        <v>4.8571428571428568</v>
      </c>
      <c r="F49" s="49">
        <f>AVERAGE('29.07 Spear Motors -URA'!F49,'30.07 Spear Motors-URA'!F49,'31.07 Spear Motors-URA'!F49,'02.08 Spear Motors-URA'!F49,'01.08 Spear Motors-URA-24h'!F49,'03.08 Spear Motors-URA-24h'!F49,'04.08 Spear Motors-URA'!F49)</f>
        <v>7.7142857142857144</v>
      </c>
      <c r="G49" s="49">
        <f>AVERAGE('29.07 Spear Motors -URA'!G49,'30.07 Spear Motors-URA'!G49,'31.07 Spear Motors-URA'!G49,'02.08 Spear Motors-URA'!G49,'01.08 Spear Motors-URA-24h'!G49,'03.08 Spear Motors-URA-24h'!G49,'04.08 Spear Motors-URA'!G49)</f>
        <v>0.8571428571428571</v>
      </c>
      <c r="H49" s="49">
        <f>AVERAGE('29.07 Spear Motors -URA'!H49,'30.07 Spear Motors-URA'!H49,'31.07 Spear Motors-URA'!H49,'02.08 Spear Motors-URA'!H49,'01.08 Spear Motors-URA-24h'!H49,'03.08 Spear Motors-URA-24h'!H49,'04.08 Spear Motors-URA'!H49)</f>
        <v>0</v>
      </c>
      <c r="I49" s="49">
        <f>AVERAGE('29.07 Spear Motors -URA'!I49,'30.07 Spear Motors-URA'!I49,'31.07 Spear Motors-URA'!I49,'02.08 Spear Motors-URA'!I49,'01.08 Spear Motors-URA-24h'!I49,'03.08 Spear Motors-URA-24h'!I49,'04.08 Spear Motors-URA'!I49)</f>
        <v>1.5714285714285714</v>
      </c>
      <c r="J49" s="49">
        <f>AVERAGE('29.07 Spear Motors -URA'!J49,'30.07 Spear Motors-URA'!J49,'31.07 Spear Motors-URA'!J49,'02.08 Spear Motors-URA'!J49,'01.08 Spear Motors-URA-24h'!J49,'03.08 Spear Motors-URA-24h'!J49,'04.08 Spear Motors-URA'!J49)</f>
        <v>1.7142857142857142</v>
      </c>
      <c r="K49" s="49">
        <f>AVERAGE('29.07 Spear Motors -URA'!K49,'30.07 Spear Motors-URA'!K49,'31.07 Spear Motors-URA'!K49,'02.08 Spear Motors-URA'!K49,'01.08 Spear Motors-URA-24h'!K49,'03.08 Spear Motors-URA-24h'!K49,'04.08 Spear Motors-URA'!K49)</f>
        <v>1</v>
      </c>
      <c r="L49" s="49">
        <f>AVERAGE('29.07 Spear Motors -URA'!L49,'30.07 Spear Motors-URA'!L49,'31.07 Spear Motors-URA'!L49,'02.08 Spear Motors-URA'!L49,'01.08 Spear Motors-URA-24h'!L49,'03.08 Spear Motors-URA-24h'!L49,'04.08 Spear Motors-URA'!L49)</f>
        <v>3.7142857142857144</v>
      </c>
      <c r="M49" s="49">
        <f>AVERAGE('29.07 Spear Motors -URA'!M49,'30.07 Spear Motors-URA'!M49,'31.07 Spear Motors-URA'!M49,'02.08 Spear Motors-URA'!M49,'01.08 Spear Motors-URA-24h'!M49,'03.08 Spear Motors-URA-24h'!M49,'04.08 Spear Motors-URA'!M49)</f>
        <v>94.857142857142861</v>
      </c>
      <c r="N49" s="49">
        <f>AVERAGE('29.07 Spear Motors -URA'!N49,'30.07 Spear Motors-URA'!N49,'31.07 Spear Motors-URA'!N49,'02.08 Spear Motors-URA'!N49,'01.08 Spear Motors-URA-24h'!N49,'03.08 Spear Motors-URA-24h'!N49,'04.08 Spear Motors-URA'!N49)</f>
        <v>0</v>
      </c>
      <c r="O49" s="15">
        <f t="shared" si="0"/>
        <v>61.714285714285708</v>
      </c>
      <c r="P49" s="15">
        <f t="shared" si="1"/>
        <v>156.57142857142856</v>
      </c>
    </row>
    <row r="50" spans="2:20" ht="23.1" customHeight="1" x14ac:dyDescent="0.25">
      <c r="B50" s="24" t="s">
        <v>77</v>
      </c>
      <c r="C50" s="49">
        <f>AVERAGE('29.07 Spear Motors -URA'!C50,'30.07 Spear Motors-URA'!C50,'31.07 Spear Motors-URA'!C50,'02.08 Spear Motors-URA'!C50,'01.08 Spear Motors-URA-24h'!C50,'03.08 Spear Motors-URA-24h'!C50,'04.08 Spear Motors-URA'!C50)</f>
        <v>35.857142857142854</v>
      </c>
      <c r="D50" s="49">
        <f>AVERAGE('29.07 Spear Motors -URA'!D50,'30.07 Spear Motors-URA'!D50,'31.07 Spear Motors-URA'!D50,'02.08 Spear Motors-URA'!D50,'01.08 Spear Motors-URA-24h'!D50,'03.08 Spear Motors-URA-24h'!D50,'04.08 Spear Motors-URA'!D50)</f>
        <v>8</v>
      </c>
      <c r="E50" s="49">
        <f>AVERAGE('29.07 Spear Motors -URA'!E50,'30.07 Spear Motors-URA'!E50,'31.07 Spear Motors-URA'!E50,'02.08 Spear Motors-URA'!E50,'01.08 Spear Motors-URA-24h'!E50,'03.08 Spear Motors-URA-24h'!E50,'04.08 Spear Motors-URA'!E50)</f>
        <v>6.4285714285714288</v>
      </c>
      <c r="F50" s="49">
        <f>AVERAGE('29.07 Spear Motors -URA'!F50,'30.07 Spear Motors-URA'!F50,'31.07 Spear Motors-URA'!F50,'02.08 Spear Motors-URA'!F50,'01.08 Spear Motors-URA-24h'!F50,'03.08 Spear Motors-URA-24h'!F50,'04.08 Spear Motors-URA'!F50)</f>
        <v>5</v>
      </c>
      <c r="G50" s="49">
        <f>AVERAGE('29.07 Spear Motors -URA'!G50,'30.07 Spear Motors-URA'!G50,'31.07 Spear Motors-URA'!G50,'02.08 Spear Motors-URA'!G50,'01.08 Spear Motors-URA-24h'!G50,'03.08 Spear Motors-URA-24h'!G50,'04.08 Spear Motors-URA'!G50)</f>
        <v>1.2857142857142858</v>
      </c>
      <c r="H50" s="49">
        <f>AVERAGE('29.07 Spear Motors -URA'!H50,'30.07 Spear Motors-URA'!H50,'31.07 Spear Motors-URA'!H50,'02.08 Spear Motors-URA'!H50,'01.08 Spear Motors-URA-24h'!H50,'03.08 Spear Motors-URA-24h'!H50,'04.08 Spear Motors-URA'!H50)</f>
        <v>0</v>
      </c>
      <c r="I50" s="49">
        <f>AVERAGE('29.07 Spear Motors -URA'!I50,'30.07 Spear Motors-URA'!I50,'31.07 Spear Motors-URA'!I50,'02.08 Spear Motors-URA'!I50,'01.08 Spear Motors-URA-24h'!I50,'03.08 Spear Motors-URA-24h'!I50,'04.08 Spear Motors-URA'!I50)</f>
        <v>2.1428571428571428</v>
      </c>
      <c r="J50" s="49">
        <f>AVERAGE('29.07 Spear Motors -URA'!J50,'30.07 Spear Motors-URA'!J50,'31.07 Spear Motors-URA'!J50,'02.08 Spear Motors-URA'!J50,'01.08 Spear Motors-URA-24h'!J50,'03.08 Spear Motors-URA-24h'!J50,'04.08 Spear Motors-URA'!J50)</f>
        <v>1.4285714285714286</v>
      </c>
      <c r="K50" s="49">
        <f>AVERAGE('29.07 Spear Motors -URA'!K50,'30.07 Spear Motors-URA'!K50,'31.07 Spear Motors-URA'!K50,'02.08 Spear Motors-URA'!K50,'01.08 Spear Motors-URA-24h'!K50,'03.08 Spear Motors-URA-24h'!K50,'04.08 Spear Motors-URA'!K50)</f>
        <v>1.1428571428571428</v>
      </c>
      <c r="L50" s="49">
        <f>AVERAGE('29.07 Spear Motors -URA'!L50,'30.07 Spear Motors-URA'!L50,'31.07 Spear Motors-URA'!L50,'02.08 Spear Motors-URA'!L50,'01.08 Spear Motors-URA-24h'!L50,'03.08 Spear Motors-URA-24h'!L50,'04.08 Spear Motors-URA'!L50)</f>
        <v>3.7142857142857144</v>
      </c>
      <c r="M50" s="49">
        <f>AVERAGE('29.07 Spear Motors -URA'!M50,'30.07 Spear Motors-URA'!M50,'31.07 Spear Motors-URA'!M50,'02.08 Spear Motors-URA'!M50,'01.08 Spear Motors-URA-24h'!M50,'03.08 Spear Motors-URA-24h'!M50,'04.08 Spear Motors-URA'!M50)</f>
        <v>97.714285714285708</v>
      </c>
      <c r="N50" s="49">
        <f>AVERAGE('29.07 Spear Motors -URA'!N50,'30.07 Spear Motors-URA'!N50,'31.07 Spear Motors-URA'!N50,'02.08 Spear Motors-URA'!N50,'01.08 Spear Motors-URA-24h'!N50,'03.08 Spear Motors-URA-24h'!N50,'04.08 Spear Motors-URA'!N50)</f>
        <v>0</v>
      </c>
      <c r="O50" s="15">
        <f t="shared" si="0"/>
        <v>65</v>
      </c>
      <c r="P50" s="15">
        <f t="shared" si="1"/>
        <v>162.71428571428572</v>
      </c>
    </row>
    <row r="51" spans="2:20" ht="23.1" customHeight="1" x14ac:dyDescent="0.25">
      <c r="B51" s="24" t="s">
        <v>78</v>
      </c>
      <c r="C51" s="49">
        <f>AVERAGE('29.07 Spear Motors -URA'!C51,'30.07 Spear Motors-URA'!C51,'31.07 Spear Motors-URA'!C51,'02.08 Spear Motors-URA'!C51,'01.08 Spear Motors-URA-24h'!C51,'03.08 Spear Motors-URA-24h'!C51,'04.08 Spear Motors-URA'!C51)</f>
        <v>31.714285714285715</v>
      </c>
      <c r="D51" s="49">
        <f>AVERAGE('29.07 Spear Motors -URA'!D51,'30.07 Spear Motors-URA'!D51,'31.07 Spear Motors-URA'!D51,'02.08 Spear Motors-URA'!D51,'01.08 Spear Motors-URA-24h'!D51,'03.08 Spear Motors-URA-24h'!D51,'04.08 Spear Motors-URA'!D51)</f>
        <v>8.8571428571428577</v>
      </c>
      <c r="E51" s="49">
        <f>AVERAGE('29.07 Spear Motors -URA'!E51,'30.07 Spear Motors-URA'!E51,'31.07 Spear Motors-URA'!E51,'02.08 Spear Motors-URA'!E51,'01.08 Spear Motors-URA-24h'!E51,'03.08 Spear Motors-URA-24h'!E51,'04.08 Spear Motors-URA'!E51)</f>
        <v>5.4285714285714288</v>
      </c>
      <c r="F51" s="49">
        <f>AVERAGE('29.07 Spear Motors -URA'!F51,'30.07 Spear Motors-URA'!F51,'31.07 Spear Motors-URA'!F51,'02.08 Spear Motors-URA'!F51,'01.08 Spear Motors-URA-24h'!F51,'03.08 Spear Motors-URA-24h'!F51,'04.08 Spear Motors-URA'!F51)</f>
        <v>1.2857142857142858</v>
      </c>
      <c r="G51" s="49">
        <f>AVERAGE('29.07 Spear Motors -URA'!G51,'30.07 Spear Motors-URA'!G51,'31.07 Spear Motors-URA'!G51,'02.08 Spear Motors-URA'!G51,'01.08 Spear Motors-URA-24h'!G51,'03.08 Spear Motors-URA-24h'!G51,'04.08 Spear Motors-URA'!G51)</f>
        <v>0.14285714285714285</v>
      </c>
      <c r="H51" s="49">
        <f>AVERAGE('29.07 Spear Motors -URA'!H51,'30.07 Spear Motors-URA'!H51,'31.07 Spear Motors-URA'!H51,'02.08 Spear Motors-URA'!H51,'01.08 Spear Motors-URA-24h'!H51,'03.08 Spear Motors-URA-24h'!H51,'04.08 Spear Motors-URA'!H51)</f>
        <v>0</v>
      </c>
      <c r="I51" s="49">
        <f>AVERAGE('29.07 Spear Motors -URA'!I51,'30.07 Spear Motors-URA'!I51,'31.07 Spear Motors-URA'!I51,'02.08 Spear Motors-URA'!I51,'01.08 Spear Motors-URA-24h'!I51,'03.08 Spear Motors-URA-24h'!I51,'04.08 Spear Motors-URA'!I51)</f>
        <v>2.4285714285714284</v>
      </c>
      <c r="J51" s="49">
        <f>AVERAGE('29.07 Spear Motors -URA'!J51,'30.07 Spear Motors-URA'!J51,'31.07 Spear Motors-URA'!J51,'02.08 Spear Motors-URA'!J51,'01.08 Spear Motors-URA-24h'!J51,'03.08 Spear Motors-URA-24h'!J51,'04.08 Spear Motors-URA'!J51)</f>
        <v>1.7142857142857142</v>
      </c>
      <c r="K51" s="49">
        <f>AVERAGE('29.07 Spear Motors -URA'!K51,'30.07 Spear Motors-URA'!K51,'31.07 Spear Motors-URA'!K51,'02.08 Spear Motors-URA'!K51,'01.08 Spear Motors-URA-24h'!K51,'03.08 Spear Motors-URA-24h'!K51,'04.08 Spear Motors-URA'!K51)</f>
        <v>1.5714285714285714</v>
      </c>
      <c r="L51" s="49">
        <f>AVERAGE('29.07 Spear Motors -URA'!L51,'30.07 Spear Motors-URA'!L51,'31.07 Spear Motors-URA'!L51,'02.08 Spear Motors-URA'!L51,'01.08 Spear Motors-URA-24h'!L51,'03.08 Spear Motors-URA-24h'!L51,'04.08 Spear Motors-URA'!L51)</f>
        <v>5.1428571428571432</v>
      </c>
      <c r="M51" s="49">
        <f>AVERAGE('29.07 Spear Motors -URA'!M51,'30.07 Spear Motors-URA'!M51,'31.07 Spear Motors-URA'!M51,'02.08 Spear Motors-URA'!M51,'01.08 Spear Motors-URA-24h'!M51,'03.08 Spear Motors-URA-24h'!M51,'04.08 Spear Motors-URA'!M51)</f>
        <v>85.142857142857139</v>
      </c>
      <c r="N51" s="49">
        <f>AVERAGE('29.07 Spear Motors -URA'!N51,'30.07 Spear Motors-URA'!N51,'31.07 Spear Motors-URA'!N51,'02.08 Spear Motors-URA'!N51,'01.08 Spear Motors-URA-24h'!N51,'03.08 Spear Motors-URA-24h'!N51,'04.08 Spear Motors-URA'!N51)</f>
        <v>0</v>
      </c>
      <c r="O51" s="15">
        <f t="shared" si="0"/>
        <v>58.285714285714292</v>
      </c>
      <c r="P51" s="15">
        <f t="shared" si="1"/>
        <v>143.42857142857144</v>
      </c>
      <c r="R51" s="8"/>
      <c r="T51"/>
    </row>
    <row r="52" spans="2:20" ht="23.1" customHeight="1" x14ac:dyDescent="0.25">
      <c r="B52" s="24" t="s">
        <v>79</v>
      </c>
      <c r="C52" s="49">
        <f>AVERAGE('29.07 Spear Motors -URA'!C52,'30.07 Spear Motors-URA'!C52,'31.07 Spear Motors-URA'!C52,'02.08 Spear Motors-URA'!C52,'01.08 Spear Motors-URA-24h'!C52,'03.08 Spear Motors-URA-24h'!C52,'04.08 Spear Motors-URA'!C52)</f>
        <v>35.285714285714285</v>
      </c>
      <c r="D52" s="49">
        <f>AVERAGE('29.07 Spear Motors -URA'!D52,'30.07 Spear Motors-URA'!D52,'31.07 Spear Motors-URA'!D52,'02.08 Spear Motors-URA'!D52,'01.08 Spear Motors-URA-24h'!D52,'03.08 Spear Motors-URA-24h'!D52,'04.08 Spear Motors-URA'!D52)</f>
        <v>7</v>
      </c>
      <c r="E52" s="49">
        <f>AVERAGE('29.07 Spear Motors -URA'!E52,'30.07 Spear Motors-URA'!E52,'31.07 Spear Motors-URA'!E52,'02.08 Spear Motors-URA'!E52,'01.08 Spear Motors-URA-24h'!E52,'03.08 Spear Motors-URA-24h'!E52,'04.08 Spear Motors-URA'!E52)</f>
        <v>6</v>
      </c>
      <c r="F52" s="49">
        <f>AVERAGE('29.07 Spear Motors -URA'!F52,'30.07 Spear Motors-URA'!F52,'31.07 Spear Motors-URA'!F52,'02.08 Spear Motors-URA'!F52,'01.08 Spear Motors-URA-24h'!F52,'03.08 Spear Motors-URA-24h'!F52,'04.08 Spear Motors-URA'!F52)</f>
        <v>4</v>
      </c>
      <c r="G52" s="49">
        <f>AVERAGE('29.07 Spear Motors -URA'!G52,'30.07 Spear Motors-URA'!G52,'31.07 Spear Motors-URA'!G52,'02.08 Spear Motors-URA'!G52,'01.08 Spear Motors-URA-24h'!G52,'03.08 Spear Motors-URA-24h'!G52,'04.08 Spear Motors-URA'!G52)</f>
        <v>1</v>
      </c>
      <c r="H52" s="49">
        <f>AVERAGE('29.07 Spear Motors -URA'!H52,'30.07 Spear Motors-URA'!H52,'31.07 Spear Motors-URA'!H52,'02.08 Spear Motors-URA'!H52,'01.08 Spear Motors-URA-24h'!H52,'03.08 Spear Motors-URA-24h'!H52,'04.08 Spear Motors-URA'!H52)</f>
        <v>0</v>
      </c>
      <c r="I52" s="49">
        <f>AVERAGE('29.07 Spear Motors -URA'!I52,'30.07 Spear Motors-URA'!I52,'31.07 Spear Motors-URA'!I52,'02.08 Spear Motors-URA'!I52,'01.08 Spear Motors-URA-24h'!I52,'03.08 Spear Motors-URA-24h'!I52,'04.08 Spear Motors-URA'!I52)</f>
        <v>1.4285714285714286</v>
      </c>
      <c r="J52" s="49">
        <f>AVERAGE('29.07 Spear Motors -URA'!J52,'30.07 Spear Motors-URA'!J52,'31.07 Spear Motors-URA'!J52,'02.08 Spear Motors-URA'!J52,'01.08 Spear Motors-URA-24h'!J52,'03.08 Spear Motors-URA-24h'!J52,'04.08 Spear Motors-URA'!J52)</f>
        <v>1.7142857142857142</v>
      </c>
      <c r="K52" s="49">
        <f>AVERAGE('29.07 Spear Motors -URA'!K52,'30.07 Spear Motors-URA'!K52,'31.07 Spear Motors-URA'!K52,'02.08 Spear Motors-URA'!K52,'01.08 Spear Motors-URA-24h'!K52,'03.08 Spear Motors-URA-24h'!K52,'04.08 Spear Motors-URA'!K52)</f>
        <v>1.2857142857142858</v>
      </c>
      <c r="L52" s="49">
        <f>AVERAGE('29.07 Spear Motors -URA'!L52,'30.07 Spear Motors-URA'!L52,'31.07 Spear Motors-URA'!L52,'02.08 Spear Motors-URA'!L52,'01.08 Spear Motors-URA-24h'!L52,'03.08 Spear Motors-URA-24h'!L52,'04.08 Spear Motors-URA'!L52)</f>
        <v>3.7142857142857144</v>
      </c>
      <c r="M52" s="49">
        <f>AVERAGE('29.07 Spear Motors -URA'!M52,'30.07 Spear Motors-URA'!M52,'31.07 Spear Motors-URA'!M52,'02.08 Spear Motors-URA'!M52,'01.08 Spear Motors-URA-24h'!M52,'03.08 Spear Motors-URA-24h'!M52,'04.08 Spear Motors-URA'!M52)</f>
        <v>114.42857142857143</v>
      </c>
      <c r="N52" s="49">
        <f>AVERAGE('29.07 Spear Motors -URA'!N52,'30.07 Spear Motors-URA'!N52,'31.07 Spear Motors-URA'!N52,'02.08 Spear Motors-URA'!N52,'01.08 Spear Motors-URA-24h'!N52,'03.08 Spear Motors-URA-24h'!N52,'04.08 Spear Motors-URA'!N52)</f>
        <v>0</v>
      </c>
      <c r="O52" s="15">
        <f t="shared" si="0"/>
        <v>61.428571428571431</v>
      </c>
      <c r="P52" s="15">
        <f t="shared" si="1"/>
        <v>175.85714285714286</v>
      </c>
      <c r="R52" s="8"/>
      <c r="T52"/>
    </row>
    <row r="53" spans="2:20" ht="23.1" customHeight="1" x14ac:dyDescent="0.25">
      <c r="B53" s="23" t="s">
        <v>80</v>
      </c>
      <c r="C53" s="49">
        <f>AVERAGE('29.07 Spear Motors -URA'!C53,'30.07 Spear Motors-URA'!C53,'31.07 Spear Motors-URA'!C53,'02.08 Spear Motors-URA'!C53,'01.08 Spear Motors-URA-24h'!C53,'03.08 Spear Motors-URA-24h'!C53,'04.08 Spear Motors-URA'!C53)</f>
        <v>29.857142857142858</v>
      </c>
      <c r="D53" s="49">
        <f>AVERAGE('29.07 Spear Motors -URA'!D53,'30.07 Spear Motors-URA'!D53,'31.07 Spear Motors-URA'!D53,'02.08 Spear Motors-URA'!D53,'01.08 Spear Motors-URA-24h'!D53,'03.08 Spear Motors-URA-24h'!D53,'04.08 Spear Motors-URA'!D53)</f>
        <v>7</v>
      </c>
      <c r="E53" s="49">
        <f>AVERAGE('29.07 Spear Motors -URA'!E53,'30.07 Spear Motors-URA'!E53,'31.07 Spear Motors-URA'!E53,'02.08 Spear Motors-URA'!E53,'01.08 Spear Motors-URA-24h'!E53,'03.08 Spear Motors-URA-24h'!E53,'04.08 Spear Motors-URA'!E53)</f>
        <v>6.7142857142857144</v>
      </c>
      <c r="F53" s="49">
        <f>AVERAGE('29.07 Spear Motors -URA'!F53,'30.07 Spear Motors-URA'!F53,'31.07 Spear Motors-URA'!F53,'02.08 Spear Motors-URA'!F53,'01.08 Spear Motors-URA-24h'!F53,'03.08 Spear Motors-URA-24h'!F53,'04.08 Spear Motors-URA'!F53)</f>
        <v>2.8571428571428572</v>
      </c>
      <c r="G53" s="49">
        <f>AVERAGE('29.07 Spear Motors -URA'!G53,'30.07 Spear Motors-URA'!G53,'31.07 Spear Motors-URA'!G53,'02.08 Spear Motors-URA'!G53,'01.08 Spear Motors-URA-24h'!G53,'03.08 Spear Motors-URA-24h'!G53,'04.08 Spear Motors-URA'!G53)</f>
        <v>1.4285714285714286</v>
      </c>
      <c r="H53" s="49">
        <f>AVERAGE('29.07 Spear Motors -URA'!H53,'30.07 Spear Motors-URA'!H53,'31.07 Spear Motors-URA'!H53,'02.08 Spear Motors-URA'!H53,'01.08 Spear Motors-URA-24h'!H53,'03.08 Spear Motors-URA-24h'!H53,'04.08 Spear Motors-URA'!H53)</f>
        <v>0</v>
      </c>
      <c r="I53" s="49">
        <f>AVERAGE('29.07 Spear Motors -URA'!I53,'30.07 Spear Motors-URA'!I53,'31.07 Spear Motors-URA'!I53,'02.08 Spear Motors-URA'!I53,'01.08 Spear Motors-URA-24h'!I53,'03.08 Spear Motors-URA-24h'!I53,'04.08 Spear Motors-URA'!I53)</f>
        <v>1.2857142857142858</v>
      </c>
      <c r="J53" s="49">
        <f>AVERAGE('29.07 Spear Motors -URA'!J53,'30.07 Spear Motors-URA'!J53,'31.07 Spear Motors-URA'!J53,'02.08 Spear Motors-URA'!J53,'01.08 Spear Motors-URA-24h'!J53,'03.08 Spear Motors-URA-24h'!J53,'04.08 Spear Motors-URA'!J53)</f>
        <v>2.1428571428571428</v>
      </c>
      <c r="K53" s="49">
        <f>AVERAGE('29.07 Spear Motors -URA'!K53,'30.07 Spear Motors-URA'!K53,'31.07 Spear Motors-URA'!K53,'02.08 Spear Motors-URA'!K53,'01.08 Spear Motors-URA-24h'!K53,'03.08 Spear Motors-URA-24h'!K53,'04.08 Spear Motors-URA'!K53)</f>
        <v>0.8571428571428571</v>
      </c>
      <c r="L53" s="49">
        <f>AVERAGE('29.07 Spear Motors -URA'!L53,'30.07 Spear Motors-URA'!L53,'31.07 Spear Motors-URA'!L53,'02.08 Spear Motors-URA'!L53,'01.08 Spear Motors-URA-24h'!L53,'03.08 Spear Motors-URA-24h'!L53,'04.08 Spear Motors-URA'!L53)</f>
        <v>3.2857142857142856</v>
      </c>
      <c r="M53" s="49">
        <f>AVERAGE('29.07 Spear Motors -URA'!M53,'30.07 Spear Motors-URA'!M53,'31.07 Spear Motors-URA'!M53,'02.08 Spear Motors-URA'!M53,'01.08 Spear Motors-URA-24h'!M53,'03.08 Spear Motors-URA-24h'!M53,'04.08 Spear Motors-URA'!M53)</f>
        <v>126.14285714285714</v>
      </c>
      <c r="N53" s="49">
        <f>AVERAGE('29.07 Spear Motors -URA'!N53,'30.07 Spear Motors-URA'!N53,'31.07 Spear Motors-URA'!N53,'02.08 Spear Motors-URA'!N53,'01.08 Spear Motors-URA-24h'!N53,'03.08 Spear Motors-URA-24h'!N53,'04.08 Spear Motors-URA'!N53)</f>
        <v>0</v>
      </c>
      <c r="O53" s="15">
        <f t="shared" si="0"/>
        <v>55.428571428571431</v>
      </c>
      <c r="P53" s="15">
        <f t="shared" si="1"/>
        <v>181.57142857142856</v>
      </c>
      <c r="R53" s="8"/>
      <c r="T53"/>
    </row>
    <row r="54" spans="2:20" ht="23.1" customHeight="1" x14ac:dyDescent="0.25">
      <c r="B54" s="23" t="s">
        <v>81</v>
      </c>
      <c r="C54" s="49">
        <f>AVERAGE('29.07 Spear Motors -URA'!C54,'30.07 Spear Motors-URA'!C54,'31.07 Spear Motors-URA'!C54,'02.08 Spear Motors-URA'!C54,'01.08 Spear Motors-URA-24h'!C54,'03.08 Spear Motors-URA-24h'!C54,'04.08 Spear Motors-URA'!C54)</f>
        <v>32.285714285714285</v>
      </c>
      <c r="D54" s="49">
        <f>AVERAGE('29.07 Spear Motors -URA'!D54,'30.07 Spear Motors-URA'!D54,'31.07 Spear Motors-URA'!D54,'02.08 Spear Motors-URA'!D54,'01.08 Spear Motors-URA-24h'!D54,'03.08 Spear Motors-URA-24h'!D54,'04.08 Spear Motors-URA'!D54)</f>
        <v>9</v>
      </c>
      <c r="E54" s="49">
        <f>AVERAGE('29.07 Spear Motors -URA'!E54,'30.07 Spear Motors-URA'!E54,'31.07 Spear Motors-URA'!E54,'02.08 Spear Motors-URA'!E54,'01.08 Spear Motors-URA-24h'!E54,'03.08 Spear Motors-URA-24h'!E54,'04.08 Spear Motors-URA'!E54)</f>
        <v>5.1428571428571432</v>
      </c>
      <c r="F54" s="49">
        <f>AVERAGE('29.07 Spear Motors -URA'!F54,'30.07 Spear Motors-URA'!F54,'31.07 Spear Motors-URA'!F54,'02.08 Spear Motors-URA'!F54,'01.08 Spear Motors-URA-24h'!F54,'03.08 Spear Motors-URA-24h'!F54,'04.08 Spear Motors-URA'!F54)</f>
        <v>3.8571428571428572</v>
      </c>
      <c r="G54" s="49">
        <f>AVERAGE('29.07 Spear Motors -URA'!G54,'30.07 Spear Motors-URA'!G54,'31.07 Spear Motors-URA'!G54,'02.08 Spear Motors-URA'!G54,'01.08 Spear Motors-URA-24h'!G54,'03.08 Spear Motors-URA-24h'!G54,'04.08 Spear Motors-URA'!G54)</f>
        <v>0.14285714285714285</v>
      </c>
      <c r="H54" s="49">
        <f>AVERAGE('29.07 Spear Motors -URA'!H54,'30.07 Spear Motors-URA'!H54,'31.07 Spear Motors-URA'!H54,'02.08 Spear Motors-URA'!H54,'01.08 Spear Motors-URA-24h'!H54,'03.08 Spear Motors-URA-24h'!H54,'04.08 Spear Motors-URA'!H54)</f>
        <v>0</v>
      </c>
      <c r="I54" s="49">
        <f>AVERAGE('29.07 Spear Motors -URA'!I54,'30.07 Spear Motors-URA'!I54,'31.07 Spear Motors-URA'!I54,'02.08 Spear Motors-URA'!I54,'01.08 Spear Motors-URA-24h'!I54,'03.08 Spear Motors-URA-24h'!I54,'04.08 Spear Motors-URA'!I54)</f>
        <v>2.4285714285714284</v>
      </c>
      <c r="J54" s="49">
        <f>AVERAGE('29.07 Spear Motors -URA'!J54,'30.07 Spear Motors-URA'!J54,'31.07 Spear Motors-URA'!J54,'02.08 Spear Motors-URA'!J54,'01.08 Spear Motors-URA-24h'!J54,'03.08 Spear Motors-URA-24h'!J54,'04.08 Spear Motors-URA'!J54)</f>
        <v>1.8571428571428572</v>
      </c>
      <c r="K54" s="49">
        <f>AVERAGE('29.07 Spear Motors -URA'!K54,'30.07 Spear Motors-URA'!K54,'31.07 Spear Motors-URA'!K54,'02.08 Spear Motors-URA'!K54,'01.08 Spear Motors-URA-24h'!K54,'03.08 Spear Motors-URA-24h'!K54,'04.08 Spear Motors-URA'!K54)</f>
        <v>1.4285714285714286</v>
      </c>
      <c r="L54" s="49">
        <f>AVERAGE('29.07 Spear Motors -URA'!L54,'30.07 Spear Motors-URA'!L54,'31.07 Spear Motors-URA'!L54,'02.08 Spear Motors-URA'!L54,'01.08 Spear Motors-URA-24h'!L54,'03.08 Spear Motors-URA-24h'!L54,'04.08 Spear Motors-URA'!L54)</f>
        <v>3.7142857142857144</v>
      </c>
      <c r="M54" s="49">
        <f>AVERAGE('29.07 Spear Motors -URA'!M54,'30.07 Spear Motors-URA'!M54,'31.07 Spear Motors-URA'!M54,'02.08 Spear Motors-URA'!M54,'01.08 Spear Motors-URA-24h'!M54,'03.08 Spear Motors-URA-24h'!M54,'04.08 Spear Motors-URA'!M54)</f>
        <v>125.14285714285714</v>
      </c>
      <c r="N54" s="49">
        <f>AVERAGE('29.07 Spear Motors -URA'!N54,'30.07 Spear Motors-URA'!N54,'31.07 Spear Motors-URA'!N54,'02.08 Spear Motors-URA'!N54,'01.08 Spear Motors-URA-24h'!N54,'03.08 Spear Motors-URA-24h'!N54,'04.08 Spear Motors-URA'!N54)</f>
        <v>0</v>
      </c>
      <c r="O54" s="15">
        <f t="shared" si="0"/>
        <v>59.857142857142861</v>
      </c>
      <c r="P54" s="15">
        <f t="shared" si="1"/>
        <v>185</v>
      </c>
      <c r="R54" s="8"/>
      <c r="T54"/>
    </row>
    <row r="55" spans="2:20" ht="23.1" customHeight="1" x14ac:dyDescent="0.25">
      <c r="B55" s="23" t="s">
        <v>82</v>
      </c>
      <c r="C55" s="49">
        <f>AVERAGE('29.07 Spear Motors -URA'!C55,'30.07 Spear Motors-URA'!C55,'31.07 Spear Motors-URA'!C55,'02.08 Spear Motors-URA'!C55,'01.08 Spear Motors-URA-24h'!C55,'03.08 Spear Motors-URA-24h'!C55,'04.08 Spear Motors-URA'!C55)</f>
        <v>33.285714285714285</v>
      </c>
      <c r="D55" s="49">
        <f>AVERAGE('29.07 Spear Motors -URA'!D55,'30.07 Spear Motors-URA'!D55,'31.07 Spear Motors-URA'!D55,'02.08 Spear Motors-URA'!D55,'01.08 Spear Motors-URA-24h'!D55,'03.08 Spear Motors-URA-24h'!D55,'04.08 Spear Motors-URA'!D55)</f>
        <v>9.2857142857142865</v>
      </c>
      <c r="E55" s="49">
        <f>AVERAGE('29.07 Spear Motors -URA'!E55,'30.07 Spear Motors-URA'!E55,'31.07 Spear Motors-URA'!E55,'02.08 Spear Motors-URA'!E55,'01.08 Spear Motors-URA-24h'!E55,'03.08 Spear Motors-URA-24h'!E55,'04.08 Spear Motors-URA'!E55)</f>
        <v>5.2857142857142856</v>
      </c>
      <c r="F55" s="49">
        <f>AVERAGE('29.07 Spear Motors -URA'!F55,'30.07 Spear Motors-URA'!F55,'31.07 Spear Motors-URA'!F55,'02.08 Spear Motors-URA'!F55,'01.08 Spear Motors-URA-24h'!F55,'03.08 Spear Motors-URA-24h'!F55,'04.08 Spear Motors-URA'!F55)</f>
        <v>3</v>
      </c>
      <c r="G55" s="49">
        <f>AVERAGE('29.07 Spear Motors -URA'!G55,'30.07 Spear Motors-URA'!G55,'31.07 Spear Motors-URA'!G55,'02.08 Spear Motors-URA'!G55,'01.08 Spear Motors-URA-24h'!G55,'03.08 Spear Motors-URA-24h'!G55,'04.08 Spear Motors-URA'!G55)</f>
        <v>1</v>
      </c>
      <c r="H55" s="49">
        <f>AVERAGE('29.07 Spear Motors -URA'!H55,'30.07 Spear Motors-URA'!H55,'31.07 Spear Motors-URA'!H55,'02.08 Spear Motors-URA'!H55,'01.08 Spear Motors-URA-24h'!H55,'03.08 Spear Motors-URA-24h'!H55,'04.08 Spear Motors-URA'!H55)</f>
        <v>0</v>
      </c>
      <c r="I55" s="49">
        <f>AVERAGE('29.07 Spear Motors -URA'!I55,'30.07 Spear Motors-URA'!I55,'31.07 Spear Motors-URA'!I55,'02.08 Spear Motors-URA'!I55,'01.08 Spear Motors-URA-24h'!I55,'03.08 Spear Motors-URA-24h'!I55,'04.08 Spear Motors-URA'!I55)</f>
        <v>2.5714285714285716</v>
      </c>
      <c r="J55" s="49">
        <f>AVERAGE('29.07 Spear Motors -URA'!J55,'30.07 Spear Motors-URA'!J55,'31.07 Spear Motors-URA'!J55,'02.08 Spear Motors-URA'!J55,'01.08 Spear Motors-URA-24h'!J55,'03.08 Spear Motors-URA-24h'!J55,'04.08 Spear Motors-URA'!J55)</f>
        <v>1.7142857142857142</v>
      </c>
      <c r="K55" s="49">
        <f>AVERAGE('29.07 Spear Motors -URA'!K55,'30.07 Spear Motors-URA'!K55,'31.07 Spear Motors-URA'!K55,'02.08 Spear Motors-URA'!K55,'01.08 Spear Motors-URA-24h'!K55,'03.08 Spear Motors-URA-24h'!K55,'04.08 Spear Motors-URA'!K55)</f>
        <v>0.8571428571428571</v>
      </c>
      <c r="L55" s="49">
        <f>AVERAGE('29.07 Spear Motors -URA'!L55,'30.07 Spear Motors-URA'!L55,'31.07 Spear Motors-URA'!L55,'02.08 Spear Motors-URA'!L55,'01.08 Spear Motors-URA-24h'!L55,'03.08 Spear Motors-URA-24h'!L55,'04.08 Spear Motors-URA'!L55)</f>
        <v>3.4285714285714284</v>
      </c>
      <c r="M55" s="49">
        <f>AVERAGE('29.07 Spear Motors -URA'!M55,'30.07 Spear Motors-URA'!M55,'31.07 Spear Motors-URA'!M55,'02.08 Spear Motors-URA'!M55,'01.08 Spear Motors-URA-24h'!M55,'03.08 Spear Motors-URA-24h'!M55,'04.08 Spear Motors-URA'!M55)</f>
        <v>112.42857142857143</v>
      </c>
      <c r="N55" s="49">
        <f>AVERAGE('29.07 Spear Motors -URA'!N55,'30.07 Spear Motors-URA'!N55,'31.07 Spear Motors-URA'!N55,'02.08 Spear Motors-URA'!N55,'01.08 Spear Motors-URA-24h'!N55,'03.08 Spear Motors-URA-24h'!N55,'04.08 Spear Motors-URA'!N55)</f>
        <v>0</v>
      </c>
      <c r="O55" s="15">
        <f t="shared" si="0"/>
        <v>60.428571428571423</v>
      </c>
      <c r="P55" s="15">
        <f t="shared" si="1"/>
        <v>172.85714285714286</v>
      </c>
      <c r="R55" s="8"/>
      <c r="T55"/>
    </row>
    <row r="56" spans="2:20" ht="23.1" customHeight="1" x14ac:dyDescent="0.25">
      <c r="B56" s="23" t="s">
        <v>83</v>
      </c>
      <c r="C56" s="49">
        <f>AVERAGE('29.07 Spear Motors -URA'!C56,'30.07 Spear Motors-URA'!C56,'31.07 Spear Motors-URA'!C56,'02.08 Spear Motors-URA'!C56,'01.08 Spear Motors-URA-24h'!C56,'03.08 Spear Motors-URA-24h'!C56,'04.08 Spear Motors-URA'!C56)</f>
        <v>31.571428571428573</v>
      </c>
      <c r="D56" s="49">
        <f>AVERAGE('29.07 Spear Motors -URA'!D56,'30.07 Spear Motors-URA'!D56,'31.07 Spear Motors-URA'!D56,'02.08 Spear Motors-URA'!D56,'01.08 Spear Motors-URA-24h'!D56,'03.08 Spear Motors-URA-24h'!D56,'04.08 Spear Motors-URA'!D56)</f>
        <v>10.857142857142858</v>
      </c>
      <c r="E56" s="49">
        <f>AVERAGE('29.07 Spear Motors -URA'!E56,'30.07 Spear Motors-URA'!E56,'31.07 Spear Motors-URA'!E56,'02.08 Spear Motors-URA'!E56,'01.08 Spear Motors-URA-24h'!E56,'03.08 Spear Motors-URA-24h'!E56,'04.08 Spear Motors-URA'!E56)</f>
        <v>3.7142857142857144</v>
      </c>
      <c r="F56" s="49">
        <f>AVERAGE('29.07 Spear Motors -URA'!F56,'30.07 Spear Motors-URA'!F56,'31.07 Spear Motors-URA'!F56,'02.08 Spear Motors-URA'!F56,'01.08 Spear Motors-URA-24h'!F56,'03.08 Spear Motors-URA-24h'!F56,'04.08 Spear Motors-URA'!F56)</f>
        <v>3.5714285714285716</v>
      </c>
      <c r="G56" s="49">
        <f>AVERAGE('29.07 Spear Motors -URA'!G56,'30.07 Spear Motors-URA'!G56,'31.07 Spear Motors-URA'!G56,'02.08 Spear Motors-URA'!G56,'01.08 Spear Motors-URA-24h'!G56,'03.08 Spear Motors-URA-24h'!G56,'04.08 Spear Motors-URA'!G56)</f>
        <v>1.2857142857142858</v>
      </c>
      <c r="H56" s="49">
        <f>AVERAGE('29.07 Spear Motors -URA'!H56,'30.07 Spear Motors-URA'!H56,'31.07 Spear Motors-URA'!H56,'02.08 Spear Motors-URA'!H56,'01.08 Spear Motors-URA-24h'!H56,'03.08 Spear Motors-URA-24h'!H56,'04.08 Spear Motors-URA'!H56)</f>
        <v>0</v>
      </c>
      <c r="I56" s="49">
        <f>AVERAGE('29.07 Spear Motors -URA'!I56,'30.07 Spear Motors-URA'!I56,'31.07 Spear Motors-URA'!I56,'02.08 Spear Motors-URA'!I56,'01.08 Spear Motors-URA-24h'!I56,'03.08 Spear Motors-URA-24h'!I56,'04.08 Spear Motors-URA'!I56)</f>
        <v>0.42857142857142855</v>
      </c>
      <c r="J56" s="49">
        <f>AVERAGE('29.07 Spear Motors -URA'!J56,'30.07 Spear Motors-URA'!J56,'31.07 Spear Motors-URA'!J56,'02.08 Spear Motors-URA'!J56,'01.08 Spear Motors-URA-24h'!J56,'03.08 Spear Motors-URA-24h'!J56,'04.08 Spear Motors-URA'!J56)</f>
        <v>1.4285714285714286</v>
      </c>
      <c r="K56" s="49">
        <f>AVERAGE('29.07 Spear Motors -URA'!K56,'30.07 Spear Motors-URA'!K56,'31.07 Spear Motors-URA'!K56,'02.08 Spear Motors-URA'!K56,'01.08 Spear Motors-URA-24h'!K56,'03.08 Spear Motors-URA-24h'!K56,'04.08 Spear Motors-URA'!K56)</f>
        <v>1.7142857142857142</v>
      </c>
      <c r="L56" s="49">
        <f>AVERAGE('29.07 Spear Motors -URA'!L56,'30.07 Spear Motors-URA'!L56,'31.07 Spear Motors-URA'!L56,'02.08 Spear Motors-URA'!L56,'01.08 Spear Motors-URA-24h'!L56,'03.08 Spear Motors-URA-24h'!L56,'04.08 Spear Motors-URA'!L56)</f>
        <v>2</v>
      </c>
      <c r="M56" s="49">
        <f>AVERAGE('29.07 Spear Motors -URA'!M56,'30.07 Spear Motors-URA'!M56,'31.07 Spear Motors-URA'!M56,'02.08 Spear Motors-URA'!M56,'01.08 Spear Motors-URA-24h'!M56,'03.08 Spear Motors-URA-24h'!M56,'04.08 Spear Motors-URA'!M56)</f>
        <v>125.14285714285714</v>
      </c>
      <c r="N56" s="49">
        <f>AVERAGE('29.07 Spear Motors -URA'!N56,'30.07 Spear Motors-URA'!N56,'31.07 Spear Motors-URA'!N56,'02.08 Spear Motors-URA'!N56,'01.08 Spear Motors-URA-24h'!N56,'03.08 Spear Motors-URA-24h'!N56,'04.08 Spear Motors-URA'!N56)</f>
        <v>0</v>
      </c>
      <c r="O56" s="15">
        <f t="shared" si="0"/>
        <v>56.571428571428577</v>
      </c>
      <c r="P56" s="15">
        <f t="shared" si="1"/>
        <v>181.71428571428572</v>
      </c>
      <c r="R56" s="8"/>
      <c r="T56"/>
    </row>
    <row r="57" spans="2:20" ht="23.1" customHeight="1" x14ac:dyDescent="0.25">
      <c r="B57" s="23" t="s">
        <v>84</v>
      </c>
      <c r="C57" s="49">
        <f>AVERAGE('29.07 Spear Motors -URA'!C57,'30.07 Spear Motors-URA'!C57,'31.07 Spear Motors-URA'!C57,'02.08 Spear Motors-URA'!C57,'01.08 Spear Motors-URA-24h'!C57,'03.08 Spear Motors-URA-24h'!C57,'04.08 Spear Motors-URA'!C57)</f>
        <v>31.428571428571427</v>
      </c>
      <c r="D57" s="49">
        <f>AVERAGE('29.07 Spear Motors -URA'!D57,'30.07 Spear Motors-URA'!D57,'31.07 Spear Motors-URA'!D57,'02.08 Spear Motors-URA'!D57,'01.08 Spear Motors-URA-24h'!D57,'03.08 Spear Motors-URA-24h'!D57,'04.08 Spear Motors-URA'!D57)</f>
        <v>8.2857142857142865</v>
      </c>
      <c r="E57" s="49">
        <f>AVERAGE('29.07 Spear Motors -URA'!E57,'30.07 Spear Motors-URA'!E57,'31.07 Spear Motors-URA'!E57,'02.08 Spear Motors-URA'!E57,'01.08 Spear Motors-URA-24h'!E57,'03.08 Spear Motors-URA-24h'!E57,'04.08 Spear Motors-URA'!E57)</f>
        <v>4.5714285714285712</v>
      </c>
      <c r="F57" s="49">
        <f>AVERAGE('29.07 Spear Motors -URA'!F57,'30.07 Spear Motors-URA'!F57,'31.07 Spear Motors-URA'!F57,'02.08 Spear Motors-URA'!F57,'01.08 Spear Motors-URA-24h'!F57,'03.08 Spear Motors-URA-24h'!F57,'04.08 Spear Motors-URA'!F57)</f>
        <v>4.5714285714285712</v>
      </c>
      <c r="G57" s="49">
        <f>AVERAGE('29.07 Spear Motors -URA'!G57,'30.07 Spear Motors-URA'!G57,'31.07 Spear Motors-URA'!G57,'02.08 Spear Motors-URA'!G57,'01.08 Spear Motors-URA-24h'!G57,'03.08 Spear Motors-URA-24h'!G57,'04.08 Spear Motors-URA'!G57)</f>
        <v>0.7142857142857143</v>
      </c>
      <c r="H57" s="49">
        <f>AVERAGE('29.07 Spear Motors -URA'!H57,'30.07 Spear Motors-URA'!H57,'31.07 Spear Motors-URA'!H57,'02.08 Spear Motors-URA'!H57,'01.08 Spear Motors-URA-24h'!H57,'03.08 Spear Motors-URA-24h'!H57,'04.08 Spear Motors-URA'!H57)</f>
        <v>0</v>
      </c>
      <c r="I57" s="49">
        <f>AVERAGE('29.07 Spear Motors -URA'!I57,'30.07 Spear Motors-URA'!I57,'31.07 Spear Motors-URA'!I57,'02.08 Spear Motors-URA'!I57,'01.08 Spear Motors-URA-24h'!I57,'03.08 Spear Motors-URA-24h'!I57,'04.08 Spear Motors-URA'!I57)</f>
        <v>0.8571428571428571</v>
      </c>
      <c r="J57" s="49">
        <f>AVERAGE('29.07 Spear Motors -URA'!J57,'30.07 Spear Motors-URA'!J57,'31.07 Spear Motors-URA'!J57,'02.08 Spear Motors-URA'!J57,'01.08 Spear Motors-URA-24h'!J57,'03.08 Spear Motors-URA-24h'!J57,'04.08 Spear Motors-URA'!J57)</f>
        <v>1.4285714285714286</v>
      </c>
      <c r="K57" s="49">
        <f>AVERAGE('29.07 Spear Motors -URA'!K57,'30.07 Spear Motors-URA'!K57,'31.07 Spear Motors-URA'!K57,'02.08 Spear Motors-URA'!K57,'01.08 Spear Motors-URA-24h'!K57,'03.08 Spear Motors-URA-24h'!K57,'04.08 Spear Motors-URA'!K57)</f>
        <v>1</v>
      </c>
      <c r="L57" s="49">
        <f>AVERAGE('29.07 Spear Motors -URA'!L57,'30.07 Spear Motors-URA'!L57,'31.07 Spear Motors-URA'!L57,'02.08 Spear Motors-URA'!L57,'01.08 Spear Motors-URA-24h'!L57,'03.08 Spear Motors-URA-24h'!L57,'04.08 Spear Motors-URA'!L57)</f>
        <v>2.4285714285714284</v>
      </c>
      <c r="M57" s="49">
        <f>AVERAGE('29.07 Spear Motors -URA'!M57,'30.07 Spear Motors-URA'!M57,'31.07 Spear Motors-URA'!M57,'02.08 Spear Motors-URA'!M57,'01.08 Spear Motors-URA-24h'!M57,'03.08 Spear Motors-URA-24h'!M57,'04.08 Spear Motors-URA'!M57)</f>
        <v>131</v>
      </c>
      <c r="N57" s="49">
        <f>AVERAGE('29.07 Spear Motors -URA'!N57,'30.07 Spear Motors-URA'!N57,'31.07 Spear Motors-URA'!N57,'02.08 Spear Motors-URA'!N57,'01.08 Spear Motors-URA-24h'!N57,'03.08 Spear Motors-URA-24h'!N57,'04.08 Spear Motors-URA'!N57)</f>
        <v>0</v>
      </c>
      <c r="O57" s="15">
        <f t="shared" si="0"/>
        <v>55.285714285714285</v>
      </c>
      <c r="P57" s="15">
        <f t="shared" si="1"/>
        <v>186.28571428571428</v>
      </c>
      <c r="R57" s="8"/>
      <c r="T57"/>
    </row>
    <row r="58" spans="2:20" ht="23.1" customHeight="1" x14ac:dyDescent="0.25">
      <c r="B58" s="23" t="s">
        <v>99</v>
      </c>
      <c r="C58" s="49">
        <f>AVERAGE('01.08 Spear Motors-URA-24h'!C58,'03.08 Spear Motors-URA-24h'!C58)</f>
        <v>28</v>
      </c>
      <c r="D58" s="49">
        <f>AVERAGE('01.08 Spear Motors-URA-24h'!D58,'03.08 Spear Motors-URA-24h'!D58)</f>
        <v>8</v>
      </c>
      <c r="E58" s="49">
        <f>AVERAGE('01.08 Spear Motors-URA-24h'!E58,'03.08 Spear Motors-URA-24h'!E58)</f>
        <v>10</v>
      </c>
      <c r="F58" s="49">
        <f>AVERAGE('01.08 Spear Motors-URA-24h'!F58,'03.08 Spear Motors-URA-24h'!F58)</f>
        <v>6</v>
      </c>
      <c r="G58" s="49">
        <f>AVERAGE('01.08 Spear Motors-URA-24h'!G58,'03.08 Spear Motors-URA-24h'!G58)</f>
        <v>1</v>
      </c>
      <c r="H58" s="49">
        <f>AVERAGE('01.08 Spear Motors-URA-24h'!H58,'03.08 Spear Motors-URA-24h'!H58)</f>
        <v>1.5</v>
      </c>
      <c r="I58" s="49">
        <f>AVERAGE('01.08 Spear Motors-URA-24h'!I58,'03.08 Spear Motors-URA-24h'!I58)</f>
        <v>0.5</v>
      </c>
      <c r="J58" s="49">
        <f>AVERAGE('01.08 Spear Motors-URA-24h'!J58,'03.08 Spear Motors-URA-24h'!J58)</f>
        <v>2</v>
      </c>
      <c r="K58" s="49">
        <f>AVERAGE('01.08 Spear Motors-URA-24h'!K58,'03.08 Spear Motors-URA-24h'!K58)</f>
        <v>0</v>
      </c>
      <c r="L58" s="49">
        <f>AVERAGE('01.08 Spear Motors-URA-24h'!L58,'03.08 Spear Motors-URA-24h'!L58)</f>
        <v>0</v>
      </c>
      <c r="M58" s="49">
        <f>AVERAGE('01.08 Spear Motors-URA-24h'!M58,'03.08 Spear Motors-URA-24h'!M58)</f>
        <v>102.5</v>
      </c>
      <c r="N58" s="49">
        <f>AVERAGE('01.08 Spear Motors-URA-24h'!N58,'03.08 Spear Motors-URA-24h'!N58)</f>
        <v>0</v>
      </c>
      <c r="O58" s="15">
        <f t="shared" si="0"/>
        <v>57</v>
      </c>
      <c r="P58" s="15">
        <f t="shared" si="1"/>
        <v>159.5</v>
      </c>
      <c r="R58" s="8"/>
      <c r="T58"/>
    </row>
    <row r="59" spans="2:20" ht="23.1" customHeight="1" x14ac:dyDescent="0.25">
      <c r="B59" s="23" t="s">
        <v>100</v>
      </c>
      <c r="C59" s="49">
        <f>AVERAGE('01.08 Spear Motors-URA-24h'!C59,'03.08 Spear Motors-URA-24h'!C59)</f>
        <v>42</v>
      </c>
      <c r="D59" s="49">
        <f>AVERAGE('01.08 Spear Motors-URA-24h'!D59,'03.08 Spear Motors-URA-24h'!D59)</f>
        <v>9</v>
      </c>
      <c r="E59" s="49">
        <f>AVERAGE('01.08 Spear Motors-URA-24h'!E59,'03.08 Spear Motors-URA-24h'!E59)</f>
        <v>4.5</v>
      </c>
      <c r="F59" s="49">
        <f>AVERAGE('01.08 Spear Motors-URA-24h'!F59,'03.08 Spear Motors-URA-24h'!F59)</f>
        <v>10</v>
      </c>
      <c r="G59" s="49">
        <f>AVERAGE('01.08 Spear Motors-URA-24h'!G59,'03.08 Spear Motors-URA-24h'!G59)</f>
        <v>1.5</v>
      </c>
      <c r="H59" s="49">
        <f>AVERAGE('01.08 Spear Motors-URA-24h'!H59,'03.08 Spear Motors-URA-24h'!H59)</f>
        <v>0.5</v>
      </c>
      <c r="I59" s="49">
        <f>AVERAGE('01.08 Spear Motors-URA-24h'!I59,'03.08 Spear Motors-URA-24h'!I59)</f>
        <v>1.5</v>
      </c>
      <c r="J59" s="49">
        <f>AVERAGE('01.08 Spear Motors-URA-24h'!J59,'03.08 Spear Motors-URA-24h'!J59)</f>
        <v>0.5</v>
      </c>
      <c r="K59" s="49">
        <f>AVERAGE('01.08 Spear Motors-URA-24h'!K59,'03.08 Spear Motors-URA-24h'!K59)</f>
        <v>0</v>
      </c>
      <c r="L59" s="49">
        <f>AVERAGE('01.08 Spear Motors-URA-24h'!L59,'03.08 Spear Motors-URA-24h'!L59)</f>
        <v>0</v>
      </c>
      <c r="M59" s="49">
        <f>AVERAGE('01.08 Spear Motors-URA-24h'!M59,'03.08 Spear Motors-URA-24h'!M59)</f>
        <v>149</v>
      </c>
      <c r="N59" s="49">
        <f>AVERAGE('01.08 Spear Motors-URA-24h'!N59,'03.08 Spear Motors-URA-24h'!N59)</f>
        <v>0</v>
      </c>
      <c r="O59" s="15">
        <f t="shared" si="0"/>
        <v>69.5</v>
      </c>
      <c r="P59" s="15">
        <f t="shared" si="1"/>
        <v>218.5</v>
      </c>
      <c r="R59" s="8"/>
      <c r="T59"/>
    </row>
    <row r="60" spans="2:20" ht="23.1" customHeight="1" x14ac:dyDescent="0.25">
      <c r="B60" s="23" t="s">
        <v>101</v>
      </c>
      <c r="C60" s="49">
        <f>AVERAGE('01.08 Spear Motors-URA-24h'!C60,'03.08 Spear Motors-URA-24h'!C60)</f>
        <v>40.5</v>
      </c>
      <c r="D60" s="49">
        <f>AVERAGE('01.08 Spear Motors-URA-24h'!D60,'03.08 Spear Motors-URA-24h'!D60)</f>
        <v>6.5</v>
      </c>
      <c r="E60" s="49">
        <f>AVERAGE('01.08 Spear Motors-URA-24h'!E60,'03.08 Spear Motors-URA-24h'!E60)</f>
        <v>5</v>
      </c>
      <c r="F60" s="49">
        <f>AVERAGE('01.08 Spear Motors-URA-24h'!F60,'03.08 Spear Motors-URA-24h'!F60)</f>
        <v>5.5</v>
      </c>
      <c r="G60" s="49">
        <f>AVERAGE('01.08 Spear Motors-URA-24h'!G60,'03.08 Spear Motors-URA-24h'!G60)</f>
        <v>1</v>
      </c>
      <c r="H60" s="49">
        <f>AVERAGE('01.08 Spear Motors-URA-24h'!H60,'03.08 Spear Motors-URA-24h'!H60)</f>
        <v>0</v>
      </c>
      <c r="I60" s="49">
        <f>AVERAGE('01.08 Spear Motors-URA-24h'!I60,'03.08 Spear Motors-URA-24h'!I60)</f>
        <v>1.5</v>
      </c>
      <c r="J60" s="49">
        <f>AVERAGE('01.08 Spear Motors-URA-24h'!J60,'03.08 Spear Motors-URA-24h'!J60)</f>
        <v>0.5</v>
      </c>
      <c r="K60" s="49">
        <f>AVERAGE('01.08 Spear Motors-URA-24h'!K60,'03.08 Spear Motors-URA-24h'!K60)</f>
        <v>0</v>
      </c>
      <c r="L60" s="49">
        <f>AVERAGE('01.08 Spear Motors-URA-24h'!L60,'03.08 Spear Motors-URA-24h'!L60)</f>
        <v>0</v>
      </c>
      <c r="M60" s="49">
        <f>AVERAGE('01.08 Spear Motors-URA-24h'!M60,'03.08 Spear Motors-URA-24h'!M60)</f>
        <v>240</v>
      </c>
      <c r="N60" s="49">
        <f>AVERAGE('01.08 Spear Motors-URA-24h'!N60,'03.08 Spear Motors-URA-24h'!N60)</f>
        <v>0</v>
      </c>
      <c r="O60" s="15">
        <f t="shared" si="0"/>
        <v>60.5</v>
      </c>
      <c r="P60" s="15">
        <f t="shared" si="1"/>
        <v>300.5</v>
      </c>
      <c r="R60" s="8"/>
      <c r="T60"/>
    </row>
    <row r="61" spans="2:20" ht="23.1" customHeight="1" x14ac:dyDescent="0.25">
      <c r="B61" s="23" t="s">
        <v>102</v>
      </c>
      <c r="C61" s="49">
        <f>AVERAGE('01.08 Spear Motors-URA-24h'!C61,'03.08 Spear Motors-URA-24h'!C61)</f>
        <v>37.5</v>
      </c>
      <c r="D61" s="49">
        <f>AVERAGE('01.08 Spear Motors-URA-24h'!D61,'03.08 Spear Motors-URA-24h'!D61)</f>
        <v>7</v>
      </c>
      <c r="E61" s="49">
        <f>AVERAGE('01.08 Spear Motors-URA-24h'!E61,'03.08 Spear Motors-URA-24h'!E61)</f>
        <v>8</v>
      </c>
      <c r="F61" s="49">
        <f>AVERAGE('01.08 Spear Motors-URA-24h'!F61,'03.08 Spear Motors-URA-24h'!F61)</f>
        <v>8</v>
      </c>
      <c r="G61" s="49">
        <f>AVERAGE('01.08 Spear Motors-URA-24h'!G61,'03.08 Spear Motors-URA-24h'!G61)</f>
        <v>2</v>
      </c>
      <c r="H61" s="49">
        <f>AVERAGE('01.08 Spear Motors-URA-24h'!H61,'03.08 Spear Motors-URA-24h'!H61)</f>
        <v>0</v>
      </c>
      <c r="I61" s="49">
        <f>AVERAGE('01.08 Spear Motors-URA-24h'!I61,'03.08 Spear Motors-URA-24h'!I61)</f>
        <v>8.5</v>
      </c>
      <c r="J61" s="49">
        <f>AVERAGE('01.08 Spear Motors-URA-24h'!J61,'03.08 Spear Motors-URA-24h'!J61)</f>
        <v>1.5</v>
      </c>
      <c r="K61" s="49">
        <f>AVERAGE('01.08 Spear Motors-URA-24h'!K61,'03.08 Spear Motors-URA-24h'!K61)</f>
        <v>0</v>
      </c>
      <c r="L61" s="49">
        <f>AVERAGE('01.08 Spear Motors-URA-24h'!L61,'03.08 Spear Motors-URA-24h'!L61)</f>
        <v>1</v>
      </c>
      <c r="M61" s="49">
        <f>AVERAGE('01.08 Spear Motors-URA-24h'!M61,'03.08 Spear Motors-URA-24h'!M61)</f>
        <v>232.5</v>
      </c>
      <c r="N61" s="49">
        <f>AVERAGE('01.08 Spear Motors-URA-24h'!N61,'03.08 Spear Motors-URA-24h'!N61)</f>
        <v>0</v>
      </c>
      <c r="O61" s="15">
        <f t="shared" si="0"/>
        <v>73.5</v>
      </c>
      <c r="P61" s="15">
        <f t="shared" si="1"/>
        <v>306</v>
      </c>
      <c r="R61" s="8"/>
      <c r="T61"/>
    </row>
    <row r="62" spans="2:20" ht="23.1" customHeight="1" x14ac:dyDescent="0.25">
      <c r="B62" s="23" t="s">
        <v>107</v>
      </c>
      <c r="C62" s="49">
        <f>AVERAGE('01.08 Spear Motors-URA-24h'!C62,'03.08 Spear Motors-URA-24h'!C62)</f>
        <v>35</v>
      </c>
      <c r="D62" s="49">
        <f>AVERAGE('01.08 Spear Motors-URA-24h'!D62,'03.08 Spear Motors-URA-24h'!D62)</f>
        <v>8.5</v>
      </c>
      <c r="E62" s="49">
        <f>AVERAGE('01.08 Spear Motors-URA-24h'!E62,'03.08 Spear Motors-URA-24h'!E62)</f>
        <v>5</v>
      </c>
      <c r="F62" s="49">
        <f>AVERAGE('01.08 Spear Motors-URA-24h'!F62,'03.08 Spear Motors-URA-24h'!F62)</f>
        <v>8.5</v>
      </c>
      <c r="G62" s="49">
        <f>AVERAGE('01.08 Spear Motors-URA-24h'!G62,'03.08 Spear Motors-URA-24h'!G62)</f>
        <v>2.5</v>
      </c>
      <c r="H62" s="49">
        <f>AVERAGE('01.08 Spear Motors-URA-24h'!H62,'03.08 Spear Motors-URA-24h'!H62)</f>
        <v>0</v>
      </c>
      <c r="I62" s="49">
        <f>AVERAGE('01.08 Spear Motors-URA-24h'!I62,'03.08 Spear Motors-URA-24h'!I62)</f>
        <v>2.5</v>
      </c>
      <c r="J62" s="49">
        <f>AVERAGE('01.08 Spear Motors-URA-24h'!J62,'03.08 Spear Motors-URA-24h'!J62)</f>
        <v>2</v>
      </c>
      <c r="K62" s="49">
        <f>AVERAGE('01.08 Spear Motors-URA-24h'!K62,'03.08 Spear Motors-URA-24h'!K62)</f>
        <v>1.5</v>
      </c>
      <c r="L62" s="49">
        <f>AVERAGE('01.08 Spear Motors-URA-24h'!L62,'03.08 Spear Motors-URA-24h'!L62)</f>
        <v>0</v>
      </c>
      <c r="M62" s="49">
        <f>AVERAGE('01.08 Spear Motors-URA-24h'!M62,'03.08 Spear Motors-URA-24h'!M62)</f>
        <v>127.5</v>
      </c>
      <c r="N62" s="49">
        <f>AVERAGE('01.08 Spear Motors-URA-24h'!N62,'03.08 Spear Motors-URA-24h'!N62)</f>
        <v>0</v>
      </c>
      <c r="O62" s="15">
        <f t="shared" si="0"/>
        <v>65.5</v>
      </c>
      <c r="P62" s="15">
        <f t="shared" si="1"/>
        <v>193</v>
      </c>
      <c r="R62" s="8"/>
      <c r="T62"/>
    </row>
    <row r="63" spans="2:20" ht="23.1" customHeight="1" x14ac:dyDescent="0.25">
      <c r="B63" s="23" t="s">
        <v>108</v>
      </c>
      <c r="C63" s="49">
        <f>AVERAGE('01.08 Spear Motors-URA-24h'!C63,'03.08 Spear Motors-URA-24h'!C63)</f>
        <v>46.5</v>
      </c>
      <c r="D63" s="49">
        <f>AVERAGE('01.08 Spear Motors-URA-24h'!D63,'03.08 Spear Motors-URA-24h'!D63)</f>
        <v>9</v>
      </c>
      <c r="E63" s="49">
        <f>AVERAGE('01.08 Spear Motors-URA-24h'!E63,'03.08 Spear Motors-URA-24h'!E63)</f>
        <v>7.5</v>
      </c>
      <c r="F63" s="49">
        <f>AVERAGE('01.08 Spear Motors-URA-24h'!F63,'03.08 Spear Motors-URA-24h'!F63)</f>
        <v>9.5</v>
      </c>
      <c r="G63" s="49">
        <f>AVERAGE('01.08 Spear Motors-URA-24h'!G63,'03.08 Spear Motors-URA-24h'!G63)</f>
        <v>2.5</v>
      </c>
      <c r="H63" s="49">
        <f>AVERAGE('01.08 Spear Motors-URA-24h'!H63,'03.08 Spear Motors-URA-24h'!H63)</f>
        <v>0</v>
      </c>
      <c r="I63" s="49">
        <f>AVERAGE('01.08 Spear Motors-URA-24h'!I63,'03.08 Spear Motors-URA-24h'!I63)</f>
        <v>4</v>
      </c>
      <c r="J63" s="49">
        <f>AVERAGE('01.08 Spear Motors-URA-24h'!J63,'03.08 Spear Motors-URA-24h'!J63)</f>
        <v>1</v>
      </c>
      <c r="K63" s="49">
        <f>AVERAGE('01.08 Spear Motors-URA-24h'!K63,'03.08 Spear Motors-URA-24h'!K63)</f>
        <v>0</v>
      </c>
      <c r="L63" s="49">
        <f>AVERAGE('01.08 Spear Motors-URA-24h'!L63,'03.08 Spear Motors-URA-24h'!L63)</f>
        <v>0</v>
      </c>
      <c r="M63" s="49">
        <f>AVERAGE('01.08 Spear Motors-URA-24h'!M63,'03.08 Spear Motors-URA-24h'!M63)</f>
        <v>261.5</v>
      </c>
      <c r="N63" s="49">
        <f>AVERAGE('01.08 Spear Motors-URA-24h'!N63,'03.08 Spear Motors-URA-24h'!N63)</f>
        <v>0</v>
      </c>
      <c r="O63" s="15">
        <f t="shared" si="0"/>
        <v>80</v>
      </c>
      <c r="P63" s="15">
        <f t="shared" si="1"/>
        <v>341.5</v>
      </c>
      <c r="R63" s="8"/>
      <c r="T63"/>
    </row>
    <row r="64" spans="2:20" ht="23.1" customHeight="1" x14ac:dyDescent="0.25">
      <c r="B64" s="23" t="s">
        <v>109</v>
      </c>
      <c r="C64" s="49">
        <f>AVERAGE('01.08 Spear Motors-URA-24h'!C64,'03.08 Spear Motors-URA-24h'!C64)</f>
        <v>43.5</v>
      </c>
      <c r="D64" s="49">
        <f>AVERAGE('01.08 Spear Motors-URA-24h'!D64,'03.08 Spear Motors-URA-24h'!D64)</f>
        <v>7</v>
      </c>
      <c r="E64" s="49">
        <f>AVERAGE('01.08 Spear Motors-URA-24h'!E64,'03.08 Spear Motors-URA-24h'!E64)</f>
        <v>1.5</v>
      </c>
      <c r="F64" s="49">
        <f>AVERAGE('01.08 Spear Motors-URA-24h'!F64,'03.08 Spear Motors-URA-24h'!F64)</f>
        <v>8.5</v>
      </c>
      <c r="G64" s="49">
        <f>AVERAGE('01.08 Spear Motors-URA-24h'!G64,'03.08 Spear Motors-URA-24h'!G64)</f>
        <v>1</v>
      </c>
      <c r="H64" s="49">
        <f>AVERAGE('01.08 Spear Motors-URA-24h'!H64,'03.08 Spear Motors-URA-24h'!H64)</f>
        <v>0</v>
      </c>
      <c r="I64" s="49">
        <f>AVERAGE('01.08 Spear Motors-URA-24h'!I64,'03.08 Spear Motors-URA-24h'!I64)</f>
        <v>0.5</v>
      </c>
      <c r="J64" s="49">
        <f>AVERAGE('01.08 Spear Motors-URA-24h'!J64,'03.08 Spear Motors-URA-24h'!J64)</f>
        <v>0</v>
      </c>
      <c r="K64" s="49">
        <f>AVERAGE('01.08 Spear Motors-URA-24h'!K64,'03.08 Spear Motors-URA-24h'!K64)</f>
        <v>0</v>
      </c>
      <c r="L64" s="49">
        <f>AVERAGE('01.08 Spear Motors-URA-24h'!L64,'03.08 Spear Motors-URA-24h'!L64)</f>
        <v>0</v>
      </c>
      <c r="M64" s="49">
        <f>AVERAGE('01.08 Spear Motors-URA-24h'!M64,'03.08 Spear Motors-URA-24h'!M64)</f>
        <v>167.5</v>
      </c>
      <c r="N64" s="49">
        <f>AVERAGE('01.08 Spear Motors-URA-24h'!N64,'03.08 Spear Motors-URA-24h'!N64)</f>
        <v>0</v>
      </c>
      <c r="O64" s="15">
        <f t="shared" si="0"/>
        <v>62</v>
      </c>
      <c r="P64" s="15">
        <f t="shared" si="1"/>
        <v>229.5</v>
      </c>
      <c r="R64" s="8"/>
      <c r="T64"/>
    </row>
    <row r="65" spans="2:20" ht="23.1" customHeight="1" x14ac:dyDescent="0.25">
      <c r="B65" s="23" t="s">
        <v>158</v>
      </c>
      <c r="C65" s="49">
        <f>AVERAGE('01.08 Spear Motors-URA-24h'!C65,'03.08 Spear Motors-URA-24h'!C65)</f>
        <v>40.5</v>
      </c>
      <c r="D65" s="49">
        <f>AVERAGE('01.08 Spear Motors-URA-24h'!D65,'03.08 Spear Motors-URA-24h'!D65)</f>
        <v>10</v>
      </c>
      <c r="E65" s="49">
        <f>AVERAGE('01.08 Spear Motors-URA-24h'!E65,'03.08 Spear Motors-URA-24h'!E65)</f>
        <v>9.5</v>
      </c>
      <c r="F65" s="49">
        <f>AVERAGE('01.08 Spear Motors-URA-24h'!F65,'03.08 Spear Motors-URA-24h'!F65)</f>
        <v>8</v>
      </c>
      <c r="G65" s="49">
        <f>AVERAGE('01.08 Spear Motors-URA-24h'!G65,'03.08 Spear Motors-URA-24h'!G65)</f>
        <v>2.5</v>
      </c>
      <c r="H65" s="49">
        <f>AVERAGE('01.08 Spear Motors-URA-24h'!H65,'03.08 Spear Motors-URA-24h'!H65)</f>
        <v>0.5</v>
      </c>
      <c r="I65" s="49">
        <f>AVERAGE('01.08 Spear Motors-URA-24h'!I65,'03.08 Spear Motors-URA-24h'!I65)</f>
        <v>2</v>
      </c>
      <c r="J65" s="49">
        <f>AVERAGE('01.08 Spear Motors-URA-24h'!J65,'03.08 Spear Motors-URA-24h'!J65)</f>
        <v>1</v>
      </c>
      <c r="K65" s="49">
        <f>AVERAGE('01.08 Spear Motors-URA-24h'!K65,'03.08 Spear Motors-URA-24h'!K65)</f>
        <v>1</v>
      </c>
      <c r="L65" s="49">
        <f>AVERAGE('01.08 Spear Motors-URA-24h'!L65,'03.08 Spear Motors-URA-24h'!L65)</f>
        <v>0</v>
      </c>
      <c r="M65" s="49">
        <f>AVERAGE('01.08 Spear Motors-URA-24h'!M65,'03.08 Spear Motors-URA-24h'!M65)</f>
        <v>177.5</v>
      </c>
      <c r="N65" s="49">
        <f>AVERAGE('01.08 Spear Motors-URA-24h'!N65,'03.08 Spear Motors-URA-24h'!N65)</f>
        <v>0</v>
      </c>
      <c r="O65" s="15">
        <f t="shared" si="0"/>
        <v>75</v>
      </c>
      <c r="P65" s="15">
        <f t="shared" si="1"/>
        <v>252.5</v>
      </c>
      <c r="R65" s="8"/>
      <c r="T65"/>
    </row>
    <row r="66" spans="2:20" ht="23.1" customHeight="1" x14ac:dyDescent="0.25">
      <c r="B66" s="23" t="s">
        <v>103</v>
      </c>
      <c r="C66" s="49">
        <f>AVERAGE('01.08 Spear Motors-URA-24h'!C66,'03.08 Spear Motors-URA-24h'!C66)</f>
        <v>40</v>
      </c>
      <c r="D66" s="49">
        <f>AVERAGE('01.08 Spear Motors-URA-24h'!D66,'03.08 Spear Motors-URA-24h'!D66)</f>
        <v>11.5</v>
      </c>
      <c r="E66" s="49">
        <f>AVERAGE('01.08 Spear Motors-URA-24h'!E66,'03.08 Spear Motors-URA-24h'!E66)</f>
        <v>8</v>
      </c>
      <c r="F66" s="49">
        <f>AVERAGE('01.08 Spear Motors-URA-24h'!F66,'03.08 Spear Motors-URA-24h'!F66)</f>
        <v>8.5</v>
      </c>
      <c r="G66" s="49">
        <f>AVERAGE('01.08 Spear Motors-URA-24h'!G66,'03.08 Spear Motors-URA-24h'!G66)</f>
        <v>2</v>
      </c>
      <c r="H66" s="49">
        <f>AVERAGE('01.08 Spear Motors-URA-24h'!H66,'03.08 Spear Motors-URA-24h'!H66)</f>
        <v>0</v>
      </c>
      <c r="I66" s="49">
        <f>AVERAGE('01.08 Spear Motors-URA-24h'!I66,'03.08 Spear Motors-URA-24h'!I66)</f>
        <v>2</v>
      </c>
      <c r="J66" s="49">
        <f>AVERAGE('01.08 Spear Motors-URA-24h'!J66,'03.08 Spear Motors-URA-24h'!J66)</f>
        <v>2</v>
      </c>
      <c r="K66" s="49">
        <f>AVERAGE('01.08 Spear Motors-URA-24h'!K66,'03.08 Spear Motors-URA-24h'!K66)</f>
        <v>0.5</v>
      </c>
      <c r="L66" s="49">
        <f>AVERAGE('01.08 Spear Motors-URA-24h'!L66,'03.08 Spear Motors-URA-24h'!L66)</f>
        <v>2</v>
      </c>
      <c r="M66" s="49">
        <f>AVERAGE('01.08 Spear Motors-URA-24h'!M66,'03.08 Spear Motors-URA-24h'!M66)</f>
        <v>95</v>
      </c>
      <c r="N66" s="49">
        <f>AVERAGE('01.08 Spear Motors-URA-24h'!N66,'03.08 Spear Motors-URA-24h'!N66)</f>
        <v>0</v>
      </c>
      <c r="O66" s="15">
        <f t="shared" si="0"/>
        <v>76.5</v>
      </c>
      <c r="P66" s="15">
        <f t="shared" si="1"/>
        <v>171.5</v>
      </c>
      <c r="R66" s="8"/>
      <c r="T66"/>
    </row>
    <row r="67" spans="2:20" ht="23.1" customHeight="1" x14ac:dyDescent="0.25">
      <c r="B67" s="23" t="s">
        <v>104</v>
      </c>
      <c r="C67" s="49">
        <f>AVERAGE('01.08 Spear Motors-URA-24h'!C67,'03.08 Spear Motors-URA-24h'!C67)</f>
        <v>37.5</v>
      </c>
      <c r="D67" s="49">
        <f>AVERAGE('01.08 Spear Motors-URA-24h'!D67,'03.08 Spear Motors-URA-24h'!D67)</f>
        <v>9</v>
      </c>
      <c r="E67" s="49">
        <f>AVERAGE('01.08 Spear Motors-URA-24h'!E67,'03.08 Spear Motors-URA-24h'!E67)</f>
        <v>5.5</v>
      </c>
      <c r="F67" s="49">
        <f>AVERAGE('01.08 Spear Motors-URA-24h'!F67,'03.08 Spear Motors-URA-24h'!F67)</f>
        <v>10.5</v>
      </c>
      <c r="G67" s="49">
        <f>AVERAGE('01.08 Spear Motors-URA-24h'!G67,'03.08 Spear Motors-URA-24h'!G67)</f>
        <v>3.5</v>
      </c>
      <c r="H67" s="49">
        <f>AVERAGE('01.08 Spear Motors-URA-24h'!H67,'03.08 Spear Motors-URA-24h'!H67)</f>
        <v>0</v>
      </c>
      <c r="I67" s="49">
        <f>AVERAGE('01.08 Spear Motors-URA-24h'!I67,'03.08 Spear Motors-URA-24h'!I67)</f>
        <v>5.5</v>
      </c>
      <c r="J67" s="49">
        <f>AVERAGE('01.08 Spear Motors-URA-24h'!J67,'03.08 Spear Motors-URA-24h'!J67)</f>
        <v>1</v>
      </c>
      <c r="K67" s="49">
        <f>AVERAGE('01.08 Spear Motors-URA-24h'!K67,'03.08 Spear Motors-URA-24h'!K67)</f>
        <v>0</v>
      </c>
      <c r="L67" s="49">
        <f>AVERAGE('01.08 Spear Motors-URA-24h'!L67,'03.08 Spear Motors-URA-24h'!L67)</f>
        <v>1.5</v>
      </c>
      <c r="M67" s="49">
        <f>AVERAGE('01.08 Spear Motors-URA-24h'!M67,'03.08 Spear Motors-URA-24h'!M67)</f>
        <v>106.5</v>
      </c>
      <c r="N67" s="49">
        <f>AVERAGE('01.08 Spear Motors-URA-24h'!N67,'03.08 Spear Motors-URA-24h'!N67)</f>
        <v>0</v>
      </c>
      <c r="O67" s="15">
        <f t="shared" si="0"/>
        <v>74</v>
      </c>
      <c r="P67" s="15">
        <f t="shared" si="1"/>
        <v>180.5</v>
      </c>
      <c r="R67" s="8"/>
      <c r="T67"/>
    </row>
    <row r="68" spans="2:20" ht="23.1" customHeight="1" x14ac:dyDescent="0.25">
      <c r="B68" s="23" t="s">
        <v>105</v>
      </c>
      <c r="C68" s="49">
        <f>AVERAGE('01.08 Spear Motors-URA-24h'!C68,'03.08 Spear Motors-URA-24h'!C68)</f>
        <v>44.5</v>
      </c>
      <c r="D68" s="49">
        <f>AVERAGE('01.08 Spear Motors-URA-24h'!D68,'03.08 Spear Motors-URA-24h'!D68)</f>
        <v>6</v>
      </c>
      <c r="E68" s="49">
        <f>AVERAGE('01.08 Spear Motors-URA-24h'!E68,'03.08 Spear Motors-URA-24h'!E68)</f>
        <v>8</v>
      </c>
      <c r="F68" s="49">
        <f>AVERAGE('01.08 Spear Motors-URA-24h'!F68,'03.08 Spear Motors-URA-24h'!F68)</f>
        <v>8.5</v>
      </c>
      <c r="G68" s="49">
        <f>AVERAGE('01.08 Spear Motors-URA-24h'!G68,'03.08 Spear Motors-URA-24h'!G68)</f>
        <v>1</v>
      </c>
      <c r="H68" s="49">
        <f>AVERAGE('01.08 Spear Motors-URA-24h'!H68,'03.08 Spear Motors-URA-24h'!H68)</f>
        <v>0</v>
      </c>
      <c r="I68" s="49">
        <f>AVERAGE('01.08 Spear Motors-URA-24h'!I68,'03.08 Spear Motors-URA-24h'!I68)</f>
        <v>3</v>
      </c>
      <c r="J68" s="49">
        <f>AVERAGE('01.08 Spear Motors-URA-24h'!J68,'03.08 Spear Motors-URA-24h'!J68)</f>
        <v>0.5</v>
      </c>
      <c r="K68" s="49">
        <f>AVERAGE('01.08 Spear Motors-URA-24h'!K68,'03.08 Spear Motors-URA-24h'!K68)</f>
        <v>0</v>
      </c>
      <c r="L68" s="49">
        <f>AVERAGE('01.08 Spear Motors-URA-24h'!L68,'03.08 Spear Motors-URA-24h'!L68)</f>
        <v>1.5</v>
      </c>
      <c r="M68" s="49">
        <f>AVERAGE('01.08 Spear Motors-URA-24h'!M68,'03.08 Spear Motors-URA-24h'!M68)</f>
        <v>98.5</v>
      </c>
      <c r="N68" s="49">
        <f>AVERAGE('01.08 Spear Motors-URA-24h'!N68,'03.08 Spear Motors-URA-24h'!N68)</f>
        <v>0</v>
      </c>
      <c r="O68" s="15">
        <f t="shared" si="0"/>
        <v>73</v>
      </c>
      <c r="P68" s="15">
        <f t="shared" si="1"/>
        <v>171.5</v>
      </c>
      <c r="R68" s="8"/>
      <c r="T68"/>
    </row>
    <row r="69" spans="2:20" ht="23.1" customHeight="1" x14ac:dyDescent="0.25">
      <c r="B69" s="23" t="s">
        <v>106</v>
      </c>
      <c r="C69" s="49">
        <f>AVERAGE('01.08 Spear Motors-URA-24h'!C69,'03.08 Spear Motors-URA-24h'!C69)</f>
        <v>42</v>
      </c>
      <c r="D69" s="49">
        <f>AVERAGE('01.08 Spear Motors-URA-24h'!D69,'03.08 Spear Motors-URA-24h'!D69)</f>
        <v>9</v>
      </c>
      <c r="E69" s="49">
        <f>AVERAGE('01.08 Spear Motors-URA-24h'!E69,'03.08 Spear Motors-URA-24h'!E69)</f>
        <v>3.5</v>
      </c>
      <c r="F69" s="49">
        <f>AVERAGE('01.08 Spear Motors-URA-24h'!F69,'03.08 Spear Motors-URA-24h'!F69)</f>
        <v>3</v>
      </c>
      <c r="G69" s="49">
        <f>AVERAGE('01.08 Spear Motors-URA-24h'!G69,'03.08 Spear Motors-URA-24h'!G69)</f>
        <v>0.5</v>
      </c>
      <c r="H69" s="49">
        <f>AVERAGE('01.08 Spear Motors-URA-24h'!H69,'03.08 Spear Motors-URA-24h'!H69)</f>
        <v>0</v>
      </c>
      <c r="I69" s="49">
        <f>AVERAGE('01.08 Spear Motors-URA-24h'!I69,'03.08 Spear Motors-URA-24h'!I69)</f>
        <v>1</v>
      </c>
      <c r="J69" s="49">
        <f>AVERAGE('01.08 Spear Motors-URA-24h'!J69,'03.08 Spear Motors-URA-24h'!J69)</f>
        <v>1.5</v>
      </c>
      <c r="K69" s="49">
        <f>AVERAGE('01.08 Spear Motors-URA-24h'!K69,'03.08 Spear Motors-URA-24h'!K69)</f>
        <v>0.5</v>
      </c>
      <c r="L69" s="49">
        <f>AVERAGE('01.08 Spear Motors-URA-24h'!L69,'03.08 Spear Motors-URA-24h'!L69)</f>
        <v>1.5</v>
      </c>
      <c r="M69" s="49">
        <f>AVERAGE('01.08 Spear Motors-URA-24h'!M69,'03.08 Spear Motors-URA-24h'!M69)</f>
        <v>121</v>
      </c>
      <c r="N69" s="49">
        <f>AVERAGE('01.08 Spear Motors-URA-24h'!N69,'03.08 Spear Motors-URA-24h'!N69)</f>
        <v>0</v>
      </c>
      <c r="O69" s="15">
        <f t="shared" si="0"/>
        <v>62.5</v>
      </c>
      <c r="P69" s="15">
        <f t="shared" si="1"/>
        <v>183.5</v>
      </c>
      <c r="R69" s="8"/>
      <c r="T69"/>
    </row>
    <row r="70" spans="2:20" ht="23.1" customHeight="1" x14ac:dyDescent="0.25">
      <c r="B70" s="23" t="s">
        <v>110</v>
      </c>
      <c r="C70" s="49">
        <f>AVERAGE('01.08 Spear Motors-URA-24h'!C70,'03.08 Spear Motors-URA-24h'!C70)</f>
        <v>34.5</v>
      </c>
      <c r="D70" s="49">
        <f>AVERAGE('01.08 Spear Motors-URA-24h'!D70,'03.08 Spear Motors-URA-24h'!D70)</f>
        <v>4.5</v>
      </c>
      <c r="E70" s="49">
        <f>AVERAGE('01.08 Spear Motors-URA-24h'!E70,'03.08 Spear Motors-URA-24h'!E70)</f>
        <v>4</v>
      </c>
      <c r="F70" s="49">
        <f>AVERAGE('01.08 Spear Motors-URA-24h'!F70,'03.08 Spear Motors-URA-24h'!F70)</f>
        <v>7.5</v>
      </c>
      <c r="G70" s="49">
        <f>AVERAGE('01.08 Spear Motors-URA-24h'!G70,'03.08 Spear Motors-URA-24h'!G70)</f>
        <v>0.5</v>
      </c>
      <c r="H70" s="49">
        <f>AVERAGE('01.08 Spear Motors-URA-24h'!H70,'03.08 Spear Motors-URA-24h'!H70)</f>
        <v>0</v>
      </c>
      <c r="I70" s="49">
        <f>AVERAGE('01.08 Spear Motors-URA-24h'!I70,'03.08 Spear Motors-URA-24h'!I70)</f>
        <v>0</v>
      </c>
      <c r="J70" s="49">
        <f>AVERAGE('01.08 Spear Motors-URA-24h'!J70,'03.08 Spear Motors-URA-24h'!J70)</f>
        <v>0</v>
      </c>
      <c r="K70" s="49">
        <f>AVERAGE('01.08 Spear Motors-URA-24h'!K70,'03.08 Spear Motors-URA-24h'!K70)</f>
        <v>0.5</v>
      </c>
      <c r="L70" s="49">
        <f>AVERAGE('01.08 Spear Motors-URA-24h'!L70,'03.08 Spear Motors-URA-24h'!L70)</f>
        <v>0.5</v>
      </c>
      <c r="M70" s="49">
        <f>AVERAGE('01.08 Spear Motors-URA-24h'!M70,'03.08 Spear Motors-URA-24h'!M70)</f>
        <v>85</v>
      </c>
      <c r="N70" s="49">
        <f>AVERAGE('01.08 Spear Motors-URA-24h'!N70,'03.08 Spear Motors-URA-24h'!N70)</f>
        <v>0</v>
      </c>
      <c r="O70" s="15">
        <f t="shared" si="0"/>
        <v>52</v>
      </c>
      <c r="P70" s="15">
        <f t="shared" si="1"/>
        <v>137</v>
      </c>
      <c r="R70" s="8"/>
      <c r="T70"/>
    </row>
    <row r="71" spans="2:20" ht="23.1" customHeight="1" x14ac:dyDescent="0.25">
      <c r="B71" s="23" t="s">
        <v>111</v>
      </c>
      <c r="C71" s="49">
        <f>AVERAGE('01.08 Spear Motors-URA-24h'!C71,'03.08 Spear Motors-URA-24h'!C71)</f>
        <v>30</v>
      </c>
      <c r="D71" s="49">
        <f>AVERAGE('01.08 Spear Motors-URA-24h'!D71,'03.08 Spear Motors-URA-24h'!D71)</f>
        <v>8</v>
      </c>
      <c r="E71" s="49">
        <f>AVERAGE('01.08 Spear Motors-URA-24h'!E71,'03.08 Spear Motors-URA-24h'!E71)</f>
        <v>4.5</v>
      </c>
      <c r="F71" s="49">
        <f>AVERAGE('01.08 Spear Motors-URA-24h'!F71,'03.08 Spear Motors-URA-24h'!F71)</f>
        <v>6</v>
      </c>
      <c r="G71" s="49">
        <f>AVERAGE('01.08 Spear Motors-URA-24h'!G71,'03.08 Spear Motors-URA-24h'!G71)</f>
        <v>2</v>
      </c>
      <c r="H71" s="49">
        <f>AVERAGE('01.08 Spear Motors-URA-24h'!H71,'03.08 Spear Motors-URA-24h'!H71)</f>
        <v>0</v>
      </c>
      <c r="I71" s="49">
        <f>AVERAGE('01.08 Spear Motors-URA-24h'!I71,'03.08 Spear Motors-URA-24h'!I71)</f>
        <v>1</v>
      </c>
      <c r="J71" s="49">
        <f>AVERAGE('01.08 Spear Motors-URA-24h'!J71,'03.08 Spear Motors-URA-24h'!J71)</f>
        <v>2.5</v>
      </c>
      <c r="K71" s="49">
        <f>AVERAGE('01.08 Spear Motors-URA-24h'!K71,'03.08 Spear Motors-URA-24h'!K71)</f>
        <v>0</v>
      </c>
      <c r="L71" s="49">
        <f>AVERAGE('01.08 Spear Motors-URA-24h'!L71,'03.08 Spear Motors-URA-24h'!L71)</f>
        <v>2.5</v>
      </c>
      <c r="M71" s="49">
        <f>AVERAGE('01.08 Spear Motors-URA-24h'!M71,'03.08 Spear Motors-URA-24h'!M71)</f>
        <v>143</v>
      </c>
      <c r="N71" s="49">
        <f>AVERAGE('01.08 Spear Motors-URA-24h'!N71,'03.08 Spear Motors-URA-24h'!N71)</f>
        <v>0</v>
      </c>
      <c r="O71" s="15">
        <f t="shared" si="0"/>
        <v>56.5</v>
      </c>
      <c r="P71" s="15">
        <f t="shared" si="1"/>
        <v>199.5</v>
      </c>
      <c r="R71" s="8"/>
      <c r="T71"/>
    </row>
    <row r="72" spans="2:20" ht="23.1" customHeight="1" x14ac:dyDescent="0.25">
      <c r="B72" s="23" t="s">
        <v>112</v>
      </c>
      <c r="C72" s="49">
        <f>AVERAGE('01.08 Spear Motors-URA-24h'!C72,'03.08 Spear Motors-URA-24h'!C72)</f>
        <v>26.5</v>
      </c>
      <c r="D72" s="49">
        <f>AVERAGE('01.08 Spear Motors-URA-24h'!D72,'03.08 Spear Motors-URA-24h'!D72)</f>
        <v>7.5</v>
      </c>
      <c r="E72" s="49">
        <f>AVERAGE('01.08 Spear Motors-URA-24h'!E72,'03.08 Spear Motors-URA-24h'!E72)</f>
        <v>3</v>
      </c>
      <c r="F72" s="49">
        <f>AVERAGE('01.08 Spear Motors-URA-24h'!F72,'03.08 Spear Motors-URA-24h'!F72)</f>
        <v>1.5</v>
      </c>
      <c r="G72" s="49">
        <f>AVERAGE('01.08 Spear Motors-URA-24h'!G72,'03.08 Spear Motors-URA-24h'!G72)</f>
        <v>1</v>
      </c>
      <c r="H72" s="49">
        <f>AVERAGE('01.08 Spear Motors-URA-24h'!H72,'03.08 Spear Motors-URA-24h'!H72)</f>
        <v>0</v>
      </c>
      <c r="I72" s="49">
        <f>AVERAGE('01.08 Spear Motors-URA-24h'!I72,'03.08 Spear Motors-URA-24h'!I72)</f>
        <v>0.5</v>
      </c>
      <c r="J72" s="49">
        <f>AVERAGE('01.08 Spear Motors-URA-24h'!J72,'03.08 Spear Motors-URA-24h'!J72)</f>
        <v>0</v>
      </c>
      <c r="K72" s="49">
        <f>AVERAGE('01.08 Spear Motors-URA-24h'!K72,'03.08 Spear Motors-URA-24h'!K72)</f>
        <v>0</v>
      </c>
      <c r="L72" s="49">
        <f>AVERAGE('01.08 Spear Motors-URA-24h'!L72,'03.08 Spear Motors-URA-24h'!L72)</f>
        <v>0</v>
      </c>
      <c r="M72" s="49">
        <f>AVERAGE('01.08 Spear Motors-URA-24h'!M72,'03.08 Spear Motors-URA-24h'!M72)</f>
        <v>62.5</v>
      </c>
      <c r="N72" s="49">
        <f>AVERAGE('01.08 Spear Motors-URA-24h'!N72,'03.08 Spear Motors-URA-24h'!N72)</f>
        <v>0</v>
      </c>
      <c r="O72" s="15">
        <f t="shared" si="0"/>
        <v>40</v>
      </c>
      <c r="P72" s="15">
        <f t="shared" si="1"/>
        <v>102.5</v>
      </c>
      <c r="R72" s="8"/>
      <c r="T72"/>
    </row>
    <row r="73" spans="2:20" ht="23.1" customHeight="1" x14ac:dyDescent="0.25">
      <c r="B73" s="23" t="s">
        <v>113</v>
      </c>
      <c r="C73" s="49">
        <f>AVERAGE('01.08 Spear Motors-URA-24h'!C73,'03.08 Spear Motors-URA-24h'!C73)</f>
        <v>20</v>
      </c>
      <c r="D73" s="49">
        <f>AVERAGE('01.08 Spear Motors-URA-24h'!D73,'03.08 Spear Motors-URA-24h'!D73)</f>
        <v>4.5</v>
      </c>
      <c r="E73" s="49">
        <f>AVERAGE('01.08 Spear Motors-URA-24h'!E73,'03.08 Spear Motors-URA-24h'!E73)</f>
        <v>1.5</v>
      </c>
      <c r="F73" s="49">
        <f>AVERAGE('01.08 Spear Motors-URA-24h'!F73,'03.08 Spear Motors-URA-24h'!F73)</f>
        <v>3</v>
      </c>
      <c r="G73" s="49">
        <f>AVERAGE('01.08 Spear Motors-URA-24h'!G73,'03.08 Spear Motors-URA-24h'!G73)</f>
        <v>1</v>
      </c>
      <c r="H73" s="49">
        <f>AVERAGE('01.08 Spear Motors-URA-24h'!H73,'03.08 Spear Motors-URA-24h'!H73)</f>
        <v>0</v>
      </c>
      <c r="I73" s="49">
        <f>AVERAGE('01.08 Spear Motors-URA-24h'!I73,'03.08 Spear Motors-URA-24h'!I73)</f>
        <v>1.5</v>
      </c>
      <c r="J73" s="49">
        <f>AVERAGE('01.08 Spear Motors-URA-24h'!J73,'03.08 Spear Motors-URA-24h'!J73)</f>
        <v>1</v>
      </c>
      <c r="K73" s="49">
        <f>AVERAGE('01.08 Spear Motors-URA-24h'!K73,'03.08 Spear Motors-URA-24h'!K73)</f>
        <v>0.5</v>
      </c>
      <c r="L73" s="49">
        <f>AVERAGE('01.08 Spear Motors-URA-24h'!L73,'03.08 Spear Motors-URA-24h'!L73)</f>
        <v>0.5</v>
      </c>
      <c r="M73" s="49">
        <f>AVERAGE('01.08 Spear Motors-URA-24h'!M73,'03.08 Spear Motors-URA-24h'!M73)</f>
        <v>47.5</v>
      </c>
      <c r="N73" s="49">
        <f>AVERAGE('01.08 Spear Motors-URA-24h'!N73,'03.08 Spear Motors-URA-24h'!N73)</f>
        <v>0</v>
      </c>
      <c r="O73" s="15">
        <f t="shared" si="0"/>
        <v>33.5</v>
      </c>
      <c r="P73" s="15">
        <f t="shared" si="1"/>
        <v>81</v>
      </c>
      <c r="R73" s="8"/>
      <c r="T73"/>
    </row>
    <row r="74" spans="2:20" ht="23.1" customHeight="1" x14ac:dyDescent="0.25">
      <c r="B74" s="23" t="s">
        <v>114</v>
      </c>
      <c r="C74" s="49">
        <f>AVERAGE('01.08 Spear Motors-URA-24h'!C74,'03.08 Spear Motors-URA-24h'!C74)</f>
        <v>23.5</v>
      </c>
      <c r="D74" s="49">
        <f>AVERAGE('01.08 Spear Motors-URA-24h'!D74,'03.08 Spear Motors-URA-24h'!D74)</f>
        <v>6.5</v>
      </c>
      <c r="E74" s="49">
        <f>AVERAGE('01.08 Spear Motors-URA-24h'!E74,'03.08 Spear Motors-URA-24h'!E74)</f>
        <v>0.5</v>
      </c>
      <c r="F74" s="49">
        <f>AVERAGE('01.08 Spear Motors-URA-24h'!F74,'03.08 Spear Motors-URA-24h'!F74)</f>
        <v>3</v>
      </c>
      <c r="G74" s="49">
        <f>AVERAGE('01.08 Spear Motors-URA-24h'!G74,'03.08 Spear Motors-URA-24h'!G74)</f>
        <v>1</v>
      </c>
      <c r="H74" s="49">
        <f>AVERAGE('01.08 Spear Motors-URA-24h'!H74,'03.08 Spear Motors-URA-24h'!H74)</f>
        <v>0</v>
      </c>
      <c r="I74" s="49">
        <f>AVERAGE('01.08 Spear Motors-URA-24h'!I74,'03.08 Spear Motors-URA-24h'!I74)</f>
        <v>0</v>
      </c>
      <c r="J74" s="49">
        <f>AVERAGE('01.08 Spear Motors-URA-24h'!J74,'03.08 Spear Motors-URA-24h'!J74)</f>
        <v>1</v>
      </c>
      <c r="K74" s="49">
        <f>AVERAGE('01.08 Spear Motors-URA-24h'!K74,'03.08 Spear Motors-URA-24h'!K74)</f>
        <v>0</v>
      </c>
      <c r="L74" s="49">
        <f>AVERAGE('01.08 Spear Motors-URA-24h'!L74,'03.08 Spear Motors-URA-24h'!L74)</f>
        <v>1</v>
      </c>
      <c r="M74" s="49">
        <f>AVERAGE('01.08 Spear Motors-URA-24h'!M74,'03.08 Spear Motors-URA-24h'!M74)</f>
        <v>53.5</v>
      </c>
      <c r="N74" s="49">
        <f>AVERAGE('01.08 Spear Motors-URA-24h'!N74,'03.08 Spear Motors-URA-24h'!N74)</f>
        <v>0</v>
      </c>
      <c r="O74" s="15">
        <f t="shared" ref="O74:O105" si="35">SUM(C74:L74,N74)</f>
        <v>36.5</v>
      </c>
      <c r="P74" s="15">
        <f t="shared" ref="P74:P105" si="36">SUM(C74:N74)</f>
        <v>90</v>
      </c>
      <c r="R74" s="8"/>
      <c r="T74"/>
    </row>
    <row r="75" spans="2:20" ht="23.1" customHeight="1" x14ac:dyDescent="0.25">
      <c r="B75" s="23" t="s">
        <v>115</v>
      </c>
      <c r="C75" s="49">
        <f>AVERAGE('01.08 Spear Motors-URA-24h'!C75,'03.08 Spear Motors-URA-24h'!C75)</f>
        <v>22.5</v>
      </c>
      <c r="D75" s="49">
        <f>AVERAGE('01.08 Spear Motors-URA-24h'!D75,'03.08 Spear Motors-URA-24h'!D75)</f>
        <v>7.5</v>
      </c>
      <c r="E75" s="49">
        <f>AVERAGE('01.08 Spear Motors-URA-24h'!E75,'03.08 Spear Motors-URA-24h'!E75)</f>
        <v>4</v>
      </c>
      <c r="F75" s="49">
        <f>AVERAGE('01.08 Spear Motors-URA-24h'!F75,'03.08 Spear Motors-URA-24h'!F75)</f>
        <v>1.5</v>
      </c>
      <c r="G75" s="49">
        <f>AVERAGE('01.08 Spear Motors-URA-24h'!G75,'03.08 Spear Motors-URA-24h'!G75)</f>
        <v>0</v>
      </c>
      <c r="H75" s="49">
        <f>AVERAGE('01.08 Spear Motors-URA-24h'!H75,'03.08 Spear Motors-URA-24h'!H75)</f>
        <v>0</v>
      </c>
      <c r="I75" s="49">
        <f>AVERAGE('01.08 Spear Motors-URA-24h'!I75,'03.08 Spear Motors-URA-24h'!I75)</f>
        <v>2.5</v>
      </c>
      <c r="J75" s="49">
        <f>AVERAGE('01.08 Spear Motors-URA-24h'!J75,'03.08 Spear Motors-URA-24h'!J75)</f>
        <v>0</v>
      </c>
      <c r="K75" s="49">
        <f>AVERAGE('01.08 Spear Motors-URA-24h'!K75,'03.08 Spear Motors-URA-24h'!K75)</f>
        <v>0.5</v>
      </c>
      <c r="L75" s="49">
        <f>AVERAGE('01.08 Spear Motors-URA-24h'!L75,'03.08 Spear Motors-URA-24h'!L75)</f>
        <v>0</v>
      </c>
      <c r="M75" s="49">
        <f>AVERAGE('01.08 Spear Motors-URA-24h'!M75,'03.08 Spear Motors-URA-24h'!M75)</f>
        <v>60.5</v>
      </c>
      <c r="N75" s="49">
        <f>AVERAGE('01.08 Spear Motors-URA-24h'!N75,'03.08 Spear Motors-URA-24h'!N75)</f>
        <v>0</v>
      </c>
      <c r="O75" s="15">
        <f t="shared" si="35"/>
        <v>38.5</v>
      </c>
      <c r="P75" s="15">
        <f t="shared" si="36"/>
        <v>99</v>
      </c>
      <c r="R75" s="8"/>
      <c r="T75"/>
    </row>
    <row r="76" spans="2:20" ht="23.1" customHeight="1" x14ac:dyDescent="0.25">
      <c r="B76" s="23" t="s">
        <v>116</v>
      </c>
      <c r="C76" s="49">
        <f>AVERAGE('01.08 Spear Motors-URA-24h'!C76,'03.08 Spear Motors-URA-24h'!C76)</f>
        <v>17.5</v>
      </c>
      <c r="D76" s="49">
        <f>AVERAGE('01.08 Spear Motors-URA-24h'!D76,'03.08 Spear Motors-URA-24h'!D76)</f>
        <v>3</v>
      </c>
      <c r="E76" s="49">
        <f>AVERAGE('01.08 Spear Motors-URA-24h'!E76,'03.08 Spear Motors-URA-24h'!E76)</f>
        <v>1.5</v>
      </c>
      <c r="F76" s="49">
        <f>AVERAGE('01.08 Spear Motors-URA-24h'!F76,'03.08 Spear Motors-URA-24h'!F76)</f>
        <v>2.5</v>
      </c>
      <c r="G76" s="49">
        <f>AVERAGE('01.08 Spear Motors-URA-24h'!G76,'03.08 Spear Motors-URA-24h'!G76)</f>
        <v>0</v>
      </c>
      <c r="H76" s="49">
        <f>AVERAGE('01.08 Spear Motors-URA-24h'!H76,'03.08 Spear Motors-URA-24h'!H76)</f>
        <v>0</v>
      </c>
      <c r="I76" s="49">
        <f>AVERAGE('01.08 Spear Motors-URA-24h'!I76,'03.08 Spear Motors-URA-24h'!I76)</f>
        <v>0</v>
      </c>
      <c r="J76" s="49">
        <f>AVERAGE('01.08 Spear Motors-URA-24h'!J76,'03.08 Spear Motors-URA-24h'!J76)</f>
        <v>0</v>
      </c>
      <c r="K76" s="49">
        <f>AVERAGE('01.08 Spear Motors-URA-24h'!K76,'03.08 Spear Motors-URA-24h'!K76)</f>
        <v>2</v>
      </c>
      <c r="L76" s="49">
        <f>AVERAGE('01.08 Spear Motors-URA-24h'!L76,'03.08 Spear Motors-URA-24h'!L76)</f>
        <v>0.5</v>
      </c>
      <c r="M76" s="49">
        <f>AVERAGE('01.08 Spear Motors-URA-24h'!M76,'03.08 Spear Motors-URA-24h'!M76)</f>
        <v>46</v>
      </c>
      <c r="N76" s="49">
        <f>AVERAGE('01.08 Spear Motors-URA-24h'!N76,'03.08 Spear Motors-URA-24h'!N76)</f>
        <v>0</v>
      </c>
      <c r="O76" s="15">
        <f t="shared" si="35"/>
        <v>27</v>
      </c>
      <c r="P76" s="15">
        <f t="shared" si="36"/>
        <v>73</v>
      </c>
      <c r="R76" s="8"/>
      <c r="T76"/>
    </row>
    <row r="77" spans="2:20" ht="23.1" customHeight="1" x14ac:dyDescent="0.25">
      <c r="B77" s="23" t="s">
        <v>117</v>
      </c>
      <c r="C77" s="49">
        <f>AVERAGE('01.08 Spear Motors-URA-24h'!C77,'03.08 Spear Motors-URA-24h'!C77)</f>
        <v>15.5</v>
      </c>
      <c r="D77" s="49">
        <f>AVERAGE('01.08 Spear Motors-URA-24h'!D77,'03.08 Spear Motors-URA-24h'!D77)</f>
        <v>3.5</v>
      </c>
      <c r="E77" s="49">
        <f>AVERAGE('01.08 Spear Motors-URA-24h'!E77,'03.08 Spear Motors-URA-24h'!E77)</f>
        <v>2</v>
      </c>
      <c r="F77" s="49">
        <f>AVERAGE('01.08 Spear Motors-URA-24h'!F77,'03.08 Spear Motors-URA-24h'!F77)</f>
        <v>0</v>
      </c>
      <c r="G77" s="49">
        <f>AVERAGE('01.08 Spear Motors-URA-24h'!G77,'03.08 Spear Motors-URA-24h'!G77)</f>
        <v>0</v>
      </c>
      <c r="H77" s="49">
        <f>AVERAGE('01.08 Spear Motors-URA-24h'!H77,'03.08 Spear Motors-URA-24h'!H77)</f>
        <v>0</v>
      </c>
      <c r="I77" s="49">
        <f>AVERAGE('01.08 Spear Motors-URA-24h'!I77,'03.08 Spear Motors-URA-24h'!I77)</f>
        <v>0.5</v>
      </c>
      <c r="J77" s="49">
        <f>AVERAGE('01.08 Spear Motors-URA-24h'!J77,'03.08 Spear Motors-URA-24h'!J77)</f>
        <v>0.5</v>
      </c>
      <c r="K77" s="49">
        <f>AVERAGE('01.08 Spear Motors-URA-24h'!K77,'03.08 Spear Motors-URA-24h'!K77)</f>
        <v>0</v>
      </c>
      <c r="L77" s="49">
        <f>AVERAGE('01.08 Spear Motors-URA-24h'!L77,'03.08 Spear Motors-URA-24h'!L77)</f>
        <v>0</v>
      </c>
      <c r="M77" s="49">
        <f>AVERAGE('01.08 Spear Motors-URA-24h'!M77,'03.08 Spear Motors-URA-24h'!M77)</f>
        <v>44</v>
      </c>
      <c r="N77" s="49">
        <f>AVERAGE('01.08 Spear Motors-URA-24h'!N77,'03.08 Spear Motors-URA-24h'!N77)</f>
        <v>0</v>
      </c>
      <c r="O77" s="15">
        <f t="shared" si="35"/>
        <v>22</v>
      </c>
      <c r="P77" s="15">
        <f t="shared" si="36"/>
        <v>66</v>
      </c>
      <c r="R77" s="8"/>
      <c r="T77"/>
    </row>
    <row r="78" spans="2:20" ht="23.1" customHeight="1" x14ac:dyDescent="0.25">
      <c r="B78" s="24" t="s">
        <v>118</v>
      </c>
      <c r="C78" s="49">
        <f>AVERAGE('01.08 Spear Motors-URA-24h'!C78,'03.08 Spear Motors-URA-24h'!C78)</f>
        <v>7.5</v>
      </c>
      <c r="D78" s="49">
        <f>AVERAGE('01.08 Spear Motors-URA-24h'!D78,'03.08 Spear Motors-URA-24h'!D78)</f>
        <v>3</v>
      </c>
      <c r="E78" s="49">
        <f>AVERAGE('01.08 Spear Motors-URA-24h'!E78,'03.08 Spear Motors-URA-24h'!E78)</f>
        <v>1.5</v>
      </c>
      <c r="F78" s="49">
        <f>AVERAGE('01.08 Spear Motors-URA-24h'!F78,'03.08 Spear Motors-URA-24h'!F78)</f>
        <v>3.5</v>
      </c>
      <c r="G78" s="49">
        <f>AVERAGE('01.08 Spear Motors-URA-24h'!G78,'03.08 Spear Motors-URA-24h'!G78)</f>
        <v>0</v>
      </c>
      <c r="H78" s="49">
        <f>AVERAGE('01.08 Spear Motors-URA-24h'!H78,'03.08 Spear Motors-URA-24h'!H78)</f>
        <v>0</v>
      </c>
      <c r="I78" s="49">
        <f>AVERAGE('01.08 Spear Motors-URA-24h'!I78,'03.08 Spear Motors-URA-24h'!I78)</f>
        <v>0</v>
      </c>
      <c r="J78" s="49">
        <f>AVERAGE('01.08 Spear Motors-URA-24h'!J78,'03.08 Spear Motors-URA-24h'!J78)</f>
        <v>0.5</v>
      </c>
      <c r="K78" s="49">
        <f>AVERAGE('01.08 Spear Motors-URA-24h'!K78,'03.08 Spear Motors-URA-24h'!K78)</f>
        <v>0</v>
      </c>
      <c r="L78" s="49">
        <f>AVERAGE('01.08 Spear Motors-URA-24h'!L78,'03.08 Spear Motors-URA-24h'!L78)</f>
        <v>0</v>
      </c>
      <c r="M78" s="49">
        <f>AVERAGE('01.08 Spear Motors-URA-24h'!M78,'03.08 Spear Motors-URA-24h'!M78)</f>
        <v>43</v>
      </c>
      <c r="N78" s="49">
        <f>AVERAGE('01.08 Spear Motors-URA-24h'!N78,'03.08 Spear Motors-URA-24h'!N78)</f>
        <v>0</v>
      </c>
      <c r="O78" s="15">
        <f t="shared" si="35"/>
        <v>16</v>
      </c>
      <c r="P78" s="15">
        <f t="shared" si="36"/>
        <v>59</v>
      </c>
      <c r="R78" s="8"/>
      <c r="T78"/>
    </row>
    <row r="79" spans="2:20" ht="23.1" customHeight="1" x14ac:dyDescent="0.25">
      <c r="B79" s="23" t="s">
        <v>119</v>
      </c>
      <c r="C79" s="49">
        <f>AVERAGE('01.08 Spear Motors-URA-24h'!C79,'03.08 Spear Motors-URA-24h'!C79)</f>
        <v>9.5</v>
      </c>
      <c r="D79" s="49">
        <f>AVERAGE('01.08 Spear Motors-URA-24h'!D79,'03.08 Spear Motors-URA-24h'!D79)</f>
        <v>5</v>
      </c>
      <c r="E79" s="49">
        <f>AVERAGE('01.08 Spear Motors-URA-24h'!E79,'03.08 Spear Motors-URA-24h'!E79)</f>
        <v>3.5</v>
      </c>
      <c r="F79" s="49">
        <f>AVERAGE('01.08 Spear Motors-URA-24h'!F79,'03.08 Spear Motors-URA-24h'!F79)</f>
        <v>1.5</v>
      </c>
      <c r="G79" s="49">
        <f>AVERAGE('01.08 Spear Motors-URA-24h'!G79,'03.08 Spear Motors-URA-24h'!G79)</f>
        <v>0</v>
      </c>
      <c r="H79" s="49">
        <f>AVERAGE('01.08 Spear Motors-URA-24h'!H79,'03.08 Spear Motors-URA-24h'!H79)</f>
        <v>0</v>
      </c>
      <c r="I79" s="49">
        <f>AVERAGE('01.08 Spear Motors-URA-24h'!I79,'03.08 Spear Motors-URA-24h'!I79)</f>
        <v>1</v>
      </c>
      <c r="J79" s="49">
        <f>AVERAGE('01.08 Spear Motors-URA-24h'!J79,'03.08 Spear Motors-URA-24h'!J79)</f>
        <v>1</v>
      </c>
      <c r="K79" s="49">
        <f>AVERAGE('01.08 Spear Motors-URA-24h'!K79,'03.08 Spear Motors-URA-24h'!K79)</f>
        <v>1.5</v>
      </c>
      <c r="L79" s="49">
        <f>AVERAGE('01.08 Spear Motors-URA-24h'!L79,'03.08 Spear Motors-URA-24h'!L79)</f>
        <v>0.5</v>
      </c>
      <c r="M79" s="49">
        <f>AVERAGE('01.08 Spear Motors-URA-24h'!M79,'03.08 Spear Motors-URA-24h'!M79)</f>
        <v>41.5</v>
      </c>
      <c r="N79" s="49">
        <f>AVERAGE('01.08 Spear Motors-URA-24h'!N79,'03.08 Spear Motors-URA-24h'!N79)</f>
        <v>0</v>
      </c>
      <c r="O79" s="15">
        <f t="shared" si="35"/>
        <v>23.5</v>
      </c>
      <c r="P79" s="15">
        <f t="shared" si="36"/>
        <v>65</v>
      </c>
      <c r="R79" s="8"/>
      <c r="T79"/>
    </row>
    <row r="80" spans="2:20" ht="23.1" customHeight="1" x14ac:dyDescent="0.25">
      <c r="B80" s="25" t="s">
        <v>120</v>
      </c>
      <c r="C80" s="49">
        <f>AVERAGE('01.08 Spear Motors-URA-24h'!C80,'03.08 Spear Motors-URA-24h'!C80)</f>
        <v>9.5</v>
      </c>
      <c r="D80" s="49">
        <f>AVERAGE('01.08 Spear Motors-URA-24h'!D80,'03.08 Spear Motors-URA-24h'!D80)</f>
        <v>1.5</v>
      </c>
      <c r="E80" s="49">
        <f>AVERAGE('01.08 Spear Motors-URA-24h'!E80,'03.08 Spear Motors-URA-24h'!E80)</f>
        <v>1</v>
      </c>
      <c r="F80" s="49">
        <f>AVERAGE('01.08 Spear Motors-URA-24h'!F80,'03.08 Spear Motors-URA-24h'!F80)</f>
        <v>1</v>
      </c>
      <c r="G80" s="49">
        <f>AVERAGE('01.08 Spear Motors-URA-24h'!G80,'03.08 Spear Motors-URA-24h'!G80)</f>
        <v>0</v>
      </c>
      <c r="H80" s="49">
        <f>AVERAGE('01.08 Spear Motors-URA-24h'!H80,'03.08 Spear Motors-URA-24h'!H80)</f>
        <v>0</v>
      </c>
      <c r="I80" s="49">
        <f>AVERAGE('01.08 Spear Motors-URA-24h'!I80,'03.08 Spear Motors-URA-24h'!I80)</f>
        <v>1.5</v>
      </c>
      <c r="J80" s="49">
        <f>AVERAGE('01.08 Spear Motors-URA-24h'!J80,'03.08 Spear Motors-URA-24h'!J80)</f>
        <v>1.5</v>
      </c>
      <c r="K80" s="49">
        <f>AVERAGE('01.08 Spear Motors-URA-24h'!K80,'03.08 Spear Motors-URA-24h'!K80)</f>
        <v>0</v>
      </c>
      <c r="L80" s="49">
        <f>AVERAGE('01.08 Spear Motors-URA-24h'!L80,'03.08 Spear Motors-URA-24h'!L80)</f>
        <v>0</v>
      </c>
      <c r="M80" s="49">
        <f>AVERAGE('01.08 Spear Motors-URA-24h'!M80,'03.08 Spear Motors-URA-24h'!M80)</f>
        <v>26.5</v>
      </c>
      <c r="N80" s="49">
        <f>AVERAGE('01.08 Spear Motors-URA-24h'!N80,'03.08 Spear Motors-URA-24h'!N80)</f>
        <v>0</v>
      </c>
      <c r="O80" s="15">
        <f t="shared" si="35"/>
        <v>16</v>
      </c>
      <c r="P80" s="15">
        <f t="shared" si="36"/>
        <v>42.5</v>
      </c>
      <c r="R80" s="8"/>
      <c r="T80"/>
    </row>
    <row r="81" spans="2:20" ht="23.1" customHeight="1" x14ac:dyDescent="0.25">
      <c r="B81" s="23" t="s">
        <v>121</v>
      </c>
      <c r="C81" s="49">
        <f>AVERAGE('01.08 Spear Motors-URA-24h'!C81,'03.08 Spear Motors-URA-24h'!C81)</f>
        <v>6</v>
      </c>
      <c r="D81" s="49">
        <f>AVERAGE('01.08 Spear Motors-URA-24h'!D81,'03.08 Spear Motors-URA-24h'!D81)</f>
        <v>0.5</v>
      </c>
      <c r="E81" s="49">
        <f>AVERAGE('01.08 Spear Motors-URA-24h'!E81,'03.08 Spear Motors-URA-24h'!E81)</f>
        <v>2</v>
      </c>
      <c r="F81" s="49">
        <f>AVERAGE('01.08 Spear Motors-URA-24h'!F81,'03.08 Spear Motors-URA-24h'!F81)</f>
        <v>1</v>
      </c>
      <c r="G81" s="49">
        <f>AVERAGE('01.08 Spear Motors-URA-24h'!G81,'03.08 Spear Motors-URA-24h'!G81)</f>
        <v>0</v>
      </c>
      <c r="H81" s="49">
        <f>AVERAGE('01.08 Spear Motors-URA-24h'!H81,'03.08 Spear Motors-URA-24h'!H81)</f>
        <v>0</v>
      </c>
      <c r="I81" s="49">
        <f>AVERAGE('01.08 Spear Motors-URA-24h'!I81,'03.08 Spear Motors-URA-24h'!I81)</f>
        <v>0.5</v>
      </c>
      <c r="J81" s="49">
        <f>AVERAGE('01.08 Spear Motors-URA-24h'!J81,'03.08 Spear Motors-URA-24h'!J81)</f>
        <v>0</v>
      </c>
      <c r="K81" s="49">
        <f>AVERAGE('01.08 Spear Motors-URA-24h'!K81,'03.08 Spear Motors-URA-24h'!K81)</f>
        <v>0</v>
      </c>
      <c r="L81" s="49">
        <f>AVERAGE('01.08 Spear Motors-URA-24h'!L81,'03.08 Spear Motors-URA-24h'!L81)</f>
        <v>1</v>
      </c>
      <c r="M81" s="49">
        <f>AVERAGE('01.08 Spear Motors-URA-24h'!M81,'03.08 Spear Motors-URA-24h'!M81)</f>
        <v>31.5</v>
      </c>
      <c r="N81" s="49">
        <f>AVERAGE('01.08 Spear Motors-URA-24h'!N81,'03.08 Spear Motors-URA-24h'!N81)</f>
        <v>0</v>
      </c>
      <c r="O81" s="15">
        <f t="shared" si="35"/>
        <v>11</v>
      </c>
      <c r="P81" s="15">
        <f t="shared" si="36"/>
        <v>42.5</v>
      </c>
      <c r="R81" s="8"/>
      <c r="T81"/>
    </row>
    <row r="82" spans="2:20" ht="23.1" customHeight="1" x14ac:dyDescent="0.25">
      <c r="B82" s="24" t="s">
        <v>122</v>
      </c>
      <c r="C82" s="49">
        <f>AVERAGE('01.08 Spear Motors-URA-24h'!C82,'03.08 Spear Motors-URA-24h'!C82)</f>
        <v>6</v>
      </c>
      <c r="D82" s="49">
        <f>AVERAGE('01.08 Spear Motors-URA-24h'!D82,'03.08 Spear Motors-URA-24h'!D82)</f>
        <v>2.5</v>
      </c>
      <c r="E82" s="49">
        <f>AVERAGE('01.08 Spear Motors-URA-24h'!E82,'03.08 Spear Motors-URA-24h'!E82)</f>
        <v>0.5</v>
      </c>
      <c r="F82" s="49">
        <f>AVERAGE('01.08 Spear Motors-URA-24h'!F82,'03.08 Spear Motors-URA-24h'!F82)</f>
        <v>0.5</v>
      </c>
      <c r="G82" s="49">
        <f>AVERAGE('01.08 Spear Motors-URA-24h'!G82,'03.08 Spear Motors-URA-24h'!G82)</f>
        <v>0</v>
      </c>
      <c r="H82" s="49">
        <f>AVERAGE('01.08 Spear Motors-URA-24h'!H82,'03.08 Spear Motors-URA-24h'!H82)</f>
        <v>0</v>
      </c>
      <c r="I82" s="49">
        <f>AVERAGE('01.08 Spear Motors-URA-24h'!I82,'03.08 Spear Motors-URA-24h'!I82)</f>
        <v>1.5</v>
      </c>
      <c r="J82" s="49">
        <f>AVERAGE('01.08 Spear Motors-URA-24h'!J82,'03.08 Spear Motors-URA-24h'!J82)</f>
        <v>1</v>
      </c>
      <c r="K82" s="49">
        <f>AVERAGE('01.08 Spear Motors-URA-24h'!K82,'03.08 Spear Motors-URA-24h'!K82)</f>
        <v>0.5</v>
      </c>
      <c r="L82" s="49">
        <f>AVERAGE('01.08 Spear Motors-URA-24h'!L82,'03.08 Spear Motors-URA-24h'!L82)</f>
        <v>0.5</v>
      </c>
      <c r="M82" s="49">
        <f>AVERAGE('01.08 Spear Motors-URA-24h'!M82,'03.08 Spear Motors-URA-24h'!M82)</f>
        <v>21.5</v>
      </c>
      <c r="N82" s="49">
        <f>AVERAGE('01.08 Spear Motors-URA-24h'!N82,'03.08 Spear Motors-URA-24h'!N82)</f>
        <v>0</v>
      </c>
      <c r="O82" s="15">
        <f t="shared" si="35"/>
        <v>13</v>
      </c>
      <c r="P82" s="15">
        <f t="shared" si="36"/>
        <v>34.5</v>
      </c>
      <c r="R82" s="8"/>
      <c r="T82"/>
    </row>
    <row r="83" spans="2:20" ht="23.1" customHeight="1" x14ac:dyDescent="0.25">
      <c r="B83" s="23" t="s">
        <v>123</v>
      </c>
      <c r="C83" s="49">
        <f>AVERAGE('01.08 Spear Motors-URA-24h'!C83,'03.08 Spear Motors-URA-24h'!C83)</f>
        <v>8.5</v>
      </c>
      <c r="D83" s="49">
        <f>AVERAGE('01.08 Spear Motors-URA-24h'!D83,'03.08 Spear Motors-URA-24h'!D83)</f>
        <v>0.5</v>
      </c>
      <c r="E83" s="49">
        <f>AVERAGE('01.08 Spear Motors-URA-24h'!E83,'03.08 Spear Motors-URA-24h'!E83)</f>
        <v>0.5</v>
      </c>
      <c r="F83" s="49">
        <f>AVERAGE('01.08 Spear Motors-URA-24h'!F83,'03.08 Spear Motors-URA-24h'!F83)</f>
        <v>0.5</v>
      </c>
      <c r="G83" s="49">
        <f>AVERAGE('01.08 Spear Motors-URA-24h'!G83,'03.08 Spear Motors-URA-24h'!G83)</f>
        <v>0</v>
      </c>
      <c r="H83" s="49">
        <f>AVERAGE('01.08 Spear Motors-URA-24h'!H83,'03.08 Spear Motors-URA-24h'!H83)</f>
        <v>0</v>
      </c>
      <c r="I83" s="49">
        <f>AVERAGE('01.08 Spear Motors-URA-24h'!I83,'03.08 Spear Motors-URA-24h'!I83)</f>
        <v>0.5</v>
      </c>
      <c r="J83" s="49">
        <f>AVERAGE('01.08 Spear Motors-URA-24h'!J83,'03.08 Spear Motors-URA-24h'!J83)</f>
        <v>1</v>
      </c>
      <c r="K83" s="49">
        <f>AVERAGE('01.08 Spear Motors-URA-24h'!K83,'03.08 Spear Motors-URA-24h'!K83)</f>
        <v>0.5</v>
      </c>
      <c r="L83" s="49">
        <f>AVERAGE('01.08 Spear Motors-URA-24h'!L83,'03.08 Spear Motors-URA-24h'!L83)</f>
        <v>1</v>
      </c>
      <c r="M83" s="49">
        <f>AVERAGE('01.08 Spear Motors-URA-24h'!M83,'03.08 Spear Motors-URA-24h'!M83)</f>
        <v>31</v>
      </c>
      <c r="N83" s="49">
        <f>AVERAGE('01.08 Spear Motors-URA-24h'!N83,'03.08 Spear Motors-URA-24h'!N83)</f>
        <v>0</v>
      </c>
      <c r="O83" s="15">
        <f t="shared" si="35"/>
        <v>13</v>
      </c>
      <c r="P83" s="15">
        <f t="shared" si="36"/>
        <v>44</v>
      </c>
      <c r="R83" s="8"/>
      <c r="T83"/>
    </row>
    <row r="84" spans="2:20" ht="23.1" customHeight="1" x14ac:dyDescent="0.25">
      <c r="B84" s="25" t="s">
        <v>124</v>
      </c>
      <c r="C84" s="49">
        <f>AVERAGE('01.08 Spear Motors-URA-24h'!C84,'03.08 Spear Motors-URA-24h'!C84)</f>
        <v>8</v>
      </c>
      <c r="D84" s="49">
        <f>AVERAGE('01.08 Spear Motors-URA-24h'!D84,'03.08 Spear Motors-URA-24h'!D84)</f>
        <v>0.5</v>
      </c>
      <c r="E84" s="49">
        <f>AVERAGE('01.08 Spear Motors-URA-24h'!E84,'03.08 Spear Motors-URA-24h'!E84)</f>
        <v>1</v>
      </c>
      <c r="F84" s="49">
        <f>AVERAGE('01.08 Spear Motors-URA-24h'!F84,'03.08 Spear Motors-URA-24h'!F84)</f>
        <v>1</v>
      </c>
      <c r="G84" s="49">
        <f>AVERAGE('01.08 Spear Motors-URA-24h'!G84,'03.08 Spear Motors-URA-24h'!G84)</f>
        <v>0</v>
      </c>
      <c r="H84" s="49">
        <f>AVERAGE('01.08 Spear Motors-URA-24h'!H84,'03.08 Spear Motors-URA-24h'!H84)</f>
        <v>0</v>
      </c>
      <c r="I84" s="49">
        <f>AVERAGE('01.08 Spear Motors-URA-24h'!I84,'03.08 Spear Motors-URA-24h'!I84)</f>
        <v>1.5</v>
      </c>
      <c r="J84" s="49">
        <f>AVERAGE('01.08 Spear Motors-URA-24h'!J84,'03.08 Spear Motors-URA-24h'!J84)</f>
        <v>0</v>
      </c>
      <c r="K84" s="49">
        <f>AVERAGE('01.08 Spear Motors-URA-24h'!K84,'03.08 Spear Motors-URA-24h'!K84)</f>
        <v>0.5</v>
      </c>
      <c r="L84" s="49">
        <f>AVERAGE('01.08 Spear Motors-URA-24h'!L84,'03.08 Spear Motors-URA-24h'!L84)</f>
        <v>1</v>
      </c>
      <c r="M84" s="49">
        <f>AVERAGE('01.08 Spear Motors-URA-24h'!M84,'03.08 Spear Motors-URA-24h'!M84)</f>
        <v>10</v>
      </c>
      <c r="N84" s="49">
        <f>AVERAGE('01.08 Spear Motors-URA-24h'!N84,'03.08 Spear Motors-URA-24h'!N84)</f>
        <v>0</v>
      </c>
      <c r="O84" s="15">
        <f t="shared" si="35"/>
        <v>13.5</v>
      </c>
      <c r="P84" s="15">
        <f t="shared" si="36"/>
        <v>23.5</v>
      </c>
      <c r="R84" s="8"/>
      <c r="T84"/>
    </row>
    <row r="85" spans="2:20" ht="23.1" customHeight="1" x14ac:dyDescent="0.25">
      <c r="B85" s="23" t="s">
        <v>125</v>
      </c>
      <c r="C85" s="49">
        <f>AVERAGE('01.08 Spear Motors-URA-24h'!C85,'03.08 Spear Motors-URA-24h'!C85)</f>
        <v>9.5</v>
      </c>
      <c r="D85" s="49">
        <f>AVERAGE('01.08 Spear Motors-URA-24h'!D85,'03.08 Spear Motors-URA-24h'!D85)</f>
        <v>0</v>
      </c>
      <c r="E85" s="49">
        <f>AVERAGE('01.08 Spear Motors-URA-24h'!E85,'03.08 Spear Motors-URA-24h'!E85)</f>
        <v>0.5</v>
      </c>
      <c r="F85" s="49">
        <f>AVERAGE('01.08 Spear Motors-URA-24h'!F85,'03.08 Spear Motors-URA-24h'!F85)</f>
        <v>0</v>
      </c>
      <c r="G85" s="49">
        <f>AVERAGE('01.08 Spear Motors-URA-24h'!G85,'03.08 Spear Motors-URA-24h'!G85)</f>
        <v>0</v>
      </c>
      <c r="H85" s="49">
        <f>AVERAGE('01.08 Spear Motors-URA-24h'!H85,'03.08 Spear Motors-URA-24h'!H85)</f>
        <v>0</v>
      </c>
      <c r="I85" s="49">
        <f>AVERAGE('01.08 Spear Motors-URA-24h'!I85,'03.08 Spear Motors-URA-24h'!I85)</f>
        <v>0</v>
      </c>
      <c r="J85" s="49">
        <f>AVERAGE('01.08 Spear Motors-URA-24h'!J85,'03.08 Spear Motors-URA-24h'!J85)</f>
        <v>0</v>
      </c>
      <c r="K85" s="49">
        <f>AVERAGE('01.08 Spear Motors-URA-24h'!K85,'03.08 Spear Motors-URA-24h'!K85)</f>
        <v>0</v>
      </c>
      <c r="L85" s="49">
        <f>AVERAGE('01.08 Spear Motors-URA-24h'!L85,'03.08 Spear Motors-URA-24h'!L85)</f>
        <v>0</v>
      </c>
      <c r="M85" s="49">
        <f>AVERAGE('01.08 Spear Motors-URA-24h'!M85,'03.08 Spear Motors-URA-24h'!M85)</f>
        <v>10.5</v>
      </c>
      <c r="N85" s="49">
        <f>AVERAGE('01.08 Spear Motors-URA-24h'!N85,'03.08 Spear Motors-URA-24h'!N85)</f>
        <v>0</v>
      </c>
      <c r="O85" s="15">
        <f t="shared" si="35"/>
        <v>10</v>
      </c>
      <c r="P85" s="15">
        <f t="shared" si="36"/>
        <v>20.5</v>
      </c>
      <c r="R85" s="8"/>
      <c r="T85"/>
    </row>
    <row r="86" spans="2:20" ht="23.1" customHeight="1" x14ac:dyDescent="0.25">
      <c r="B86" s="24" t="s">
        <v>126</v>
      </c>
      <c r="C86" s="49">
        <f>AVERAGE('01.08 Spear Motors-URA-24h'!C86,'03.08 Spear Motors-URA-24h'!C86)</f>
        <v>9.5</v>
      </c>
      <c r="D86" s="49">
        <f>AVERAGE('01.08 Spear Motors-URA-24h'!D86,'03.08 Spear Motors-URA-24h'!D86)</f>
        <v>1</v>
      </c>
      <c r="E86" s="49">
        <f>AVERAGE('01.08 Spear Motors-URA-24h'!E86,'03.08 Spear Motors-URA-24h'!E86)</f>
        <v>1</v>
      </c>
      <c r="F86" s="49">
        <f>AVERAGE('01.08 Spear Motors-URA-24h'!F86,'03.08 Spear Motors-URA-24h'!F86)</f>
        <v>0.5</v>
      </c>
      <c r="G86" s="49">
        <f>AVERAGE('01.08 Spear Motors-URA-24h'!G86,'03.08 Spear Motors-URA-24h'!G86)</f>
        <v>0</v>
      </c>
      <c r="H86" s="49">
        <f>AVERAGE('01.08 Spear Motors-URA-24h'!H86,'03.08 Spear Motors-URA-24h'!H86)</f>
        <v>0</v>
      </c>
      <c r="I86" s="49">
        <f>AVERAGE('01.08 Spear Motors-URA-24h'!I86,'03.08 Spear Motors-URA-24h'!I86)</f>
        <v>0.5</v>
      </c>
      <c r="J86" s="49">
        <f>AVERAGE('01.08 Spear Motors-URA-24h'!J86,'03.08 Spear Motors-URA-24h'!J86)</f>
        <v>0</v>
      </c>
      <c r="K86" s="49">
        <f>AVERAGE('01.08 Spear Motors-URA-24h'!K86,'03.08 Spear Motors-URA-24h'!K86)</f>
        <v>0.5</v>
      </c>
      <c r="L86" s="49">
        <f>AVERAGE('01.08 Spear Motors-URA-24h'!L86,'03.08 Spear Motors-URA-24h'!L86)</f>
        <v>0</v>
      </c>
      <c r="M86" s="49">
        <f>AVERAGE('01.08 Spear Motors-URA-24h'!M86,'03.08 Spear Motors-URA-24h'!M86)</f>
        <v>13.5</v>
      </c>
      <c r="N86" s="49">
        <f>AVERAGE('01.08 Spear Motors-URA-24h'!N86,'03.08 Spear Motors-URA-24h'!N86)</f>
        <v>0</v>
      </c>
      <c r="O86" s="15">
        <f t="shared" si="35"/>
        <v>13</v>
      </c>
      <c r="P86" s="15">
        <f t="shared" si="36"/>
        <v>26.5</v>
      </c>
      <c r="R86" s="8"/>
      <c r="T86"/>
    </row>
    <row r="87" spans="2:20" ht="23.1" customHeight="1" x14ac:dyDescent="0.25">
      <c r="B87" s="23" t="s">
        <v>127</v>
      </c>
      <c r="C87" s="49">
        <f>AVERAGE('01.08 Spear Motors-URA-24h'!C87,'03.08 Spear Motors-URA-24h'!C87)</f>
        <v>4.5</v>
      </c>
      <c r="D87" s="49">
        <f>AVERAGE('01.08 Spear Motors-URA-24h'!D87,'03.08 Spear Motors-URA-24h'!D87)</f>
        <v>0.5</v>
      </c>
      <c r="E87" s="49">
        <f>AVERAGE('01.08 Spear Motors-URA-24h'!E87,'03.08 Spear Motors-URA-24h'!E87)</f>
        <v>0</v>
      </c>
      <c r="F87" s="49">
        <f>AVERAGE('01.08 Spear Motors-URA-24h'!F87,'03.08 Spear Motors-URA-24h'!F87)</f>
        <v>2.5</v>
      </c>
      <c r="G87" s="49">
        <f>AVERAGE('01.08 Spear Motors-URA-24h'!G87,'03.08 Spear Motors-URA-24h'!G87)</f>
        <v>0</v>
      </c>
      <c r="H87" s="49">
        <f>AVERAGE('01.08 Spear Motors-URA-24h'!H87,'03.08 Spear Motors-URA-24h'!H87)</f>
        <v>0</v>
      </c>
      <c r="I87" s="49">
        <f>AVERAGE('01.08 Spear Motors-URA-24h'!I87,'03.08 Spear Motors-URA-24h'!I87)</f>
        <v>0.5</v>
      </c>
      <c r="J87" s="49">
        <f>AVERAGE('01.08 Spear Motors-URA-24h'!J87,'03.08 Spear Motors-URA-24h'!J87)</f>
        <v>0.5</v>
      </c>
      <c r="K87" s="49">
        <f>AVERAGE('01.08 Spear Motors-URA-24h'!K87,'03.08 Spear Motors-URA-24h'!K87)</f>
        <v>0</v>
      </c>
      <c r="L87" s="49">
        <f>AVERAGE('01.08 Spear Motors-URA-24h'!L87,'03.08 Spear Motors-URA-24h'!L87)</f>
        <v>0</v>
      </c>
      <c r="M87" s="49">
        <f>AVERAGE('01.08 Spear Motors-URA-24h'!M87,'03.08 Spear Motors-URA-24h'!M87)</f>
        <v>6.5</v>
      </c>
      <c r="N87" s="49">
        <f>AVERAGE('01.08 Spear Motors-URA-24h'!N87,'03.08 Spear Motors-URA-24h'!N87)</f>
        <v>0</v>
      </c>
      <c r="O87" s="15">
        <f t="shared" si="35"/>
        <v>8.5</v>
      </c>
      <c r="P87" s="15">
        <f t="shared" si="36"/>
        <v>15</v>
      </c>
      <c r="R87" s="8"/>
      <c r="T87"/>
    </row>
    <row r="88" spans="2:20" ht="23.1" customHeight="1" x14ac:dyDescent="0.25">
      <c r="B88" s="25" t="s">
        <v>128</v>
      </c>
      <c r="C88" s="49">
        <f>AVERAGE('01.08 Spear Motors-URA-24h'!C88,'03.08 Spear Motors-URA-24h'!C88)</f>
        <v>8</v>
      </c>
      <c r="D88" s="49">
        <f>AVERAGE('01.08 Spear Motors-URA-24h'!D88,'03.08 Spear Motors-URA-24h'!D88)</f>
        <v>0.5</v>
      </c>
      <c r="E88" s="49">
        <f>AVERAGE('01.08 Spear Motors-URA-24h'!E88,'03.08 Spear Motors-URA-24h'!E88)</f>
        <v>1</v>
      </c>
      <c r="F88" s="49">
        <f>AVERAGE('01.08 Spear Motors-URA-24h'!F88,'03.08 Spear Motors-URA-24h'!F88)</f>
        <v>0.5</v>
      </c>
      <c r="G88" s="49">
        <f>AVERAGE('01.08 Spear Motors-URA-24h'!G88,'03.08 Spear Motors-URA-24h'!G88)</f>
        <v>0</v>
      </c>
      <c r="H88" s="49">
        <f>AVERAGE('01.08 Spear Motors-URA-24h'!H88,'03.08 Spear Motors-URA-24h'!H88)</f>
        <v>0</v>
      </c>
      <c r="I88" s="49">
        <f>AVERAGE('01.08 Spear Motors-URA-24h'!I88,'03.08 Spear Motors-URA-24h'!I88)</f>
        <v>0.5</v>
      </c>
      <c r="J88" s="49">
        <f>AVERAGE('01.08 Spear Motors-URA-24h'!J88,'03.08 Spear Motors-URA-24h'!J88)</f>
        <v>0.5</v>
      </c>
      <c r="K88" s="49">
        <f>AVERAGE('01.08 Spear Motors-URA-24h'!K88,'03.08 Spear Motors-URA-24h'!K88)</f>
        <v>0</v>
      </c>
      <c r="L88" s="49">
        <f>AVERAGE('01.08 Spear Motors-URA-24h'!L88,'03.08 Spear Motors-URA-24h'!L88)</f>
        <v>1</v>
      </c>
      <c r="M88" s="49">
        <f>AVERAGE('01.08 Spear Motors-URA-24h'!M88,'03.08 Spear Motors-URA-24h'!M88)</f>
        <v>14.5</v>
      </c>
      <c r="N88" s="49">
        <f>AVERAGE('01.08 Spear Motors-URA-24h'!N88,'03.08 Spear Motors-URA-24h'!N88)</f>
        <v>0</v>
      </c>
      <c r="O88" s="15">
        <f t="shared" si="35"/>
        <v>12</v>
      </c>
      <c r="P88" s="15">
        <f t="shared" si="36"/>
        <v>26.5</v>
      </c>
      <c r="R88" s="8"/>
      <c r="T88"/>
    </row>
    <row r="89" spans="2:20" ht="23.1" customHeight="1" x14ac:dyDescent="0.25">
      <c r="B89" s="23" t="s">
        <v>129</v>
      </c>
      <c r="C89" s="49">
        <f>AVERAGE('01.08 Spear Motors-URA-24h'!C89,'03.08 Spear Motors-URA-24h'!C89)</f>
        <v>4.5</v>
      </c>
      <c r="D89" s="49">
        <f>AVERAGE('01.08 Spear Motors-URA-24h'!D89,'03.08 Spear Motors-URA-24h'!D89)</f>
        <v>0.5</v>
      </c>
      <c r="E89" s="49">
        <f>AVERAGE('01.08 Spear Motors-URA-24h'!E89,'03.08 Spear Motors-URA-24h'!E89)</f>
        <v>0</v>
      </c>
      <c r="F89" s="49">
        <f>AVERAGE('01.08 Spear Motors-URA-24h'!F89,'03.08 Spear Motors-URA-24h'!F89)</f>
        <v>0.5</v>
      </c>
      <c r="G89" s="49">
        <f>AVERAGE('01.08 Spear Motors-URA-24h'!G89,'03.08 Spear Motors-URA-24h'!G89)</f>
        <v>0</v>
      </c>
      <c r="H89" s="49">
        <f>AVERAGE('01.08 Spear Motors-URA-24h'!H89,'03.08 Spear Motors-URA-24h'!H89)</f>
        <v>0</v>
      </c>
      <c r="I89" s="49">
        <f>AVERAGE('01.08 Spear Motors-URA-24h'!I89,'03.08 Spear Motors-URA-24h'!I89)</f>
        <v>0</v>
      </c>
      <c r="J89" s="49">
        <f>AVERAGE('01.08 Spear Motors-URA-24h'!J89,'03.08 Spear Motors-URA-24h'!J89)</f>
        <v>0</v>
      </c>
      <c r="K89" s="49">
        <f>AVERAGE('01.08 Spear Motors-URA-24h'!K89,'03.08 Spear Motors-URA-24h'!K89)</f>
        <v>1</v>
      </c>
      <c r="L89" s="49">
        <f>AVERAGE('01.08 Spear Motors-URA-24h'!L89,'03.08 Spear Motors-URA-24h'!L89)</f>
        <v>0</v>
      </c>
      <c r="M89" s="49">
        <f>AVERAGE('01.08 Spear Motors-URA-24h'!M89,'03.08 Spear Motors-URA-24h'!M89)</f>
        <v>10</v>
      </c>
      <c r="N89" s="49">
        <f>AVERAGE('01.08 Spear Motors-URA-24h'!N89,'03.08 Spear Motors-URA-24h'!N89)</f>
        <v>0</v>
      </c>
      <c r="O89" s="15">
        <f t="shared" si="35"/>
        <v>6.5</v>
      </c>
      <c r="P89" s="15">
        <f t="shared" si="36"/>
        <v>16.5</v>
      </c>
      <c r="R89" s="8"/>
      <c r="T89"/>
    </row>
    <row r="90" spans="2:20" ht="23.1" customHeight="1" x14ac:dyDescent="0.25">
      <c r="B90" s="24" t="s">
        <v>130</v>
      </c>
      <c r="C90" s="49">
        <f>AVERAGE('01.08 Spear Motors-URA-24h'!C90,'03.08 Spear Motors-URA-24h'!C90)</f>
        <v>5</v>
      </c>
      <c r="D90" s="49">
        <f>AVERAGE('01.08 Spear Motors-URA-24h'!D90,'03.08 Spear Motors-URA-24h'!D90)</f>
        <v>0.5</v>
      </c>
      <c r="E90" s="49">
        <f>AVERAGE('01.08 Spear Motors-URA-24h'!E90,'03.08 Spear Motors-URA-24h'!E90)</f>
        <v>0.5</v>
      </c>
      <c r="F90" s="49">
        <f>AVERAGE('01.08 Spear Motors-URA-24h'!F90,'03.08 Spear Motors-URA-24h'!F90)</f>
        <v>0.5</v>
      </c>
      <c r="G90" s="49">
        <f>AVERAGE('01.08 Spear Motors-URA-24h'!G90,'03.08 Spear Motors-URA-24h'!G90)</f>
        <v>0</v>
      </c>
      <c r="H90" s="49">
        <f>AVERAGE('01.08 Spear Motors-URA-24h'!H90,'03.08 Spear Motors-URA-24h'!H90)</f>
        <v>0</v>
      </c>
      <c r="I90" s="49">
        <f>AVERAGE('01.08 Spear Motors-URA-24h'!I90,'03.08 Spear Motors-URA-24h'!I90)</f>
        <v>0.5</v>
      </c>
      <c r="J90" s="49">
        <f>AVERAGE('01.08 Spear Motors-URA-24h'!J90,'03.08 Spear Motors-URA-24h'!J90)</f>
        <v>1</v>
      </c>
      <c r="K90" s="49">
        <f>AVERAGE('01.08 Spear Motors-URA-24h'!K90,'03.08 Spear Motors-URA-24h'!K90)</f>
        <v>0.5</v>
      </c>
      <c r="L90" s="49">
        <f>AVERAGE('01.08 Spear Motors-URA-24h'!L90,'03.08 Spear Motors-URA-24h'!L90)</f>
        <v>1</v>
      </c>
      <c r="M90" s="49">
        <f>AVERAGE('01.08 Spear Motors-URA-24h'!M90,'03.08 Spear Motors-URA-24h'!M90)</f>
        <v>7</v>
      </c>
      <c r="N90" s="49">
        <f>AVERAGE('01.08 Spear Motors-URA-24h'!N90,'03.08 Spear Motors-URA-24h'!N90)</f>
        <v>0</v>
      </c>
      <c r="O90" s="15">
        <f t="shared" si="35"/>
        <v>9.5</v>
      </c>
      <c r="P90" s="15">
        <f t="shared" si="36"/>
        <v>16.5</v>
      </c>
      <c r="R90" s="8"/>
      <c r="T90"/>
    </row>
    <row r="91" spans="2:20" ht="23.1" customHeight="1" x14ac:dyDescent="0.25">
      <c r="B91" s="23" t="s">
        <v>131</v>
      </c>
      <c r="C91" s="49">
        <f>AVERAGE('01.08 Spear Motors-URA-24h'!C91,'03.08 Spear Motors-URA-24h'!C91)</f>
        <v>3</v>
      </c>
      <c r="D91" s="49">
        <f>AVERAGE('01.08 Spear Motors-URA-24h'!D91,'03.08 Spear Motors-URA-24h'!D91)</f>
        <v>0</v>
      </c>
      <c r="E91" s="49">
        <f>AVERAGE('01.08 Spear Motors-URA-24h'!E91,'03.08 Spear Motors-URA-24h'!E91)</f>
        <v>0</v>
      </c>
      <c r="F91" s="49">
        <f>AVERAGE('01.08 Spear Motors-URA-24h'!F91,'03.08 Spear Motors-URA-24h'!F91)</f>
        <v>0</v>
      </c>
      <c r="G91" s="49">
        <f>AVERAGE('01.08 Spear Motors-URA-24h'!G91,'03.08 Spear Motors-URA-24h'!G91)</f>
        <v>0</v>
      </c>
      <c r="H91" s="49">
        <f>AVERAGE('01.08 Spear Motors-URA-24h'!H91,'03.08 Spear Motors-URA-24h'!H91)</f>
        <v>0</v>
      </c>
      <c r="I91" s="49">
        <f>AVERAGE('01.08 Spear Motors-URA-24h'!I91,'03.08 Spear Motors-URA-24h'!I91)</f>
        <v>0</v>
      </c>
      <c r="J91" s="49">
        <f>AVERAGE('01.08 Spear Motors-URA-24h'!J91,'03.08 Spear Motors-URA-24h'!J91)</f>
        <v>0</v>
      </c>
      <c r="K91" s="49">
        <f>AVERAGE('01.08 Spear Motors-URA-24h'!K91,'03.08 Spear Motors-URA-24h'!K91)</f>
        <v>0.5</v>
      </c>
      <c r="L91" s="49">
        <f>AVERAGE('01.08 Spear Motors-URA-24h'!L91,'03.08 Spear Motors-URA-24h'!L91)</f>
        <v>0.5</v>
      </c>
      <c r="M91" s="49">
        <f>AVERAGE('01.08 Spear Motors-URA-24h'!M91,'03.08 Spear Motors-URA-24h'!M91)</f>
        <v>7</v>
      </c>
      <c r="N91" s="49">
        <f>AVERAGE('01.08 Spear Motors-URA-24h'!N91,'03.08 Spear Motors-URA-24h'!N91)</f>
        <v>0</v>
      </c>
      <c r="O91" s="15">
        <f t="shared" si="35"/>
        <v>4</v>
      </c>
      <c r="P91" s="15">
        <f t="shared" si="36"/>
        <v>11</v>
      </c>
      <c r="R91" s="8"/>
      <c r="T91"/>
    </row>
    <row r="92" spans="2:20" ht="23.1" customHeight="1" x14ac:dyDescent="0.25">
      <c r="B92" s="25" t="s">
        <v>132</v>
      </c>
      <c r="C92" s="49">
        <f>AVERAGE('01.08 Spear Motors-URA-24h'!C92,'03.08 Spear Motors-URA-24h'!C92)</f>
        <v>2.5</v>
      </c>
      <c r="D92" s="49">
        <f>AVERAGE('01.08 Spear Motors-URA-24h'!D92,'03.08 Spear Motors-URA-24h'!D92)</f>
        <v>1</v>
      </c>
      <c r="E92" s="49">
        <f>AVERAGE('01.08 Spear Motors-URA-24h'!E92,'03.08 Spear Motors-URA-24h'!E92)</f>
        <v>0.5</v>
      </c>
      <c r="F92" s="49">
        <f>AVERAGE('01.08 Spear Motors-URA-24h'!F92,'03.08 Spear Motors-URA-24h'!F92)</f>
        <v>0</v>
      </c>
      <c r="G92" s="49">
        <f>AVERAGE('01.08 Spear Motors-URA-24h'!G92,'03.08 Spear Motors-URA-24h'!G92)</f>
        <v>0</v>
      </c>
      <c r="H92" s="49">
        <f>AVERAGE('01.08 Spear Motors-URA-24h'!H92,'03.08 Spear Motors-URA-24h'!H92)</f>
        <v>0</v>
      </c>
      <c r="I92" s="49">
        <f>AVERAGE('01.08 Spear Motors-URA-24h'!I92,'03.08 Spear Motors-URA-24h'!I92)</f>
        <v>0.5</v>
      </c>
      <c r="J92" s="49">
        <f>AVERAGE('01.08 Spear Motors-URA-24h'!J92,'03.08 Spear Motors-URA-24h'!J92)</f>
        <v>1</v>
      </c>
      <c r="K92" s="49">
        <f>AVERAGE('01.08 Spear Motors-URA-24h'!K92,'03.08 Spear Motors-URA-24h'!K92)</f>
        <v>0.5</v>
      </c>
      <c r="L92" s="49">
        <f>AVERAGE('01.08 Spear Motors-URA-24h'!L92,'03.08 Spear Motors-URA-24h'!L92)</f>
        <v>1</v>
      </c>
      <c r="M92" s="49">
        <f>AVERAGE('01.08 Spear Motors-URA-24h'!M92,'03.08 Spear Motors-URA-24h'!M92)</f>
        <v>13</v>
      </c>
      <c r="N92" s="49">
        <f>AVERAGE('01.08 Spear Motors-URA-24h'!N92,'03.08 Spear Motors-URA-24h'!N92)</f>
        <v>0</v>
      </c>
      <c r="O92" s="15">
        <f t="shared" si="35"/>
        <v>7</v>
      </c>
      <c r="P92" s="15">
        <f t="shared" si="36"/>
        <v>20</v>
      </c>
      <c r="R92" s="8"/>
      <c r="T92"/>
    </row>
    <row r="93" spans="2:20" ht="23.1" customHeight="1" x14ac:dyDescent="0.25">
      <c r="B93" s="23" t="s">
        <v>133</v>
      </c>
      <c r="C93" s="49">
        <f>AVERAGE('01.08 Spear Motors-URA-24h'!C93,'03.08 Spear Motors-URA-24h'!C93)</f>
        <v>3</v>
      </c>
      <c r="D93" s="49">
        <f>AVERAGE('01.08 Spear Motors-URA-24h'!D93,'03.08 Spear Motors-URA-24h'!D93)</f>
        <v>0.5</v>
      </c>
      <c r="E93" s="49">
        <f>AVERAGE('01.08 Spear Motors-URA-24h'!E93,'03.08 Spear Motors-URA-24h'!E93)</f>
        <v>0</v>
      </c>
      <c r="F93" s="49">
        <f>AVERAGE('01.08 Spear Motors-URA-24h'!F93,'03.08 Spear Motors-URA-24h'!F93)</f>
        <v>0</v>
      </c>
      <c r="G93" s="49">
        <f>AVERAGE('01.08 Spear Motors-URA-24h'!G93,'03.08 Spear Motors-URA-24h'!G93)</f>
        <v>0</v>
      </c>
      <c r="H93" s="49">
        <f>AVERAGE('01.08 Spear Motors-URA-24h'!H93,'03.08 Spear Motors-URA-24h'!H93)</f>
        <v>0</v>
      </c>
      <c r="I93" s="49">
        <f>AVERAGE('01.08 Spear Motors-URA-24h'!I93,'03.08 Spear Motors-URA-24h'!I93)</f>
        <v>0</v>
      </c>
      <c r="J93" s="49">
        <f>AVERAGE('01.08 Spear Motors-URA-24h'!J93,'03.08 Spear Motors-URA-24h'!J93)</f>
        <v>0.5</v>
      </c>
      <c r="K93" s="49">
        <f>AVERAGE('01.08 Spear Motors-URA-24h'!K93,'03.08 Spear Motors-URA-24h'!K93)</f>
        <v>0</v>
      </c>
      <c r="L93" s="49">
        <f>AVERAGE('01.08 Spear Motors-URA-24h'!L93,'03.08 Spear Motors-URA-24h'!L93)</f>
        <v>0</v>
      </c>
      <c r="M93" s="49">
        <f>AVERAGE('01.08 Spear Motors-URA-24h'!M93,'03.08 Spear Motors-URA-24h'!M93)</f>
        <v>8.5</v>
      </c>
      <c r="N93" s="49">
        <f>AVERAGE('01.08 Spear Motors-URA-24h'!N93,'03.08 Spear Motors-URA-24h'!N93)</f>
        <v>0</v>
      </c>
      <c r="O93" s="15">
        <f t="shared" si="35"/>
        <v>4</v>
      </c>
      <c r="P93" s="15">
        <f t="shared" si="36"/>
        <v>12.5</v>
      </c>
      <c r="R93" s="8"/>
      <c r="T93"/>
    </row>
    <row r="94" spans="2:20" ht="23.1" customHeight="1" x14ac:dyDescent="0.25">
      <c r="B94" s="24" t="s">
        <v>134</v>
      </c>
      <c r="C94" s="49">
        <f>AVERAGE('01.08 Spear Motors-URA-24h'!C94,'03.08 Spear Motors-URA-24h'!C94)</f>
        <v>5</v>
      </c>
      <c r="D94" s="49">
        <f>AVERAGE('01.08 Spear Motors-URA-24h'!D94,'03.08 Spear Motors-URA-24h'!D94)</f>
        <v>1</v>
      </c>
      <c r="E94" s="49">
        <f>AVERAGE('01.08 Spear Motors-URA-24h'!E94,'03.08 Spear Motors-URA-24h'!E94)</f>
        <v>0</v>
      </c>
      <c r="F94" s="49">
        <f>AVERAGE('01.08 Spear Motors-URA-24h'!F94,'03.08 Spear Motors-URA-24h'!F94)</f>
        <v>0.5</v>
      </c>
      <c r="G94" s="49">
        <f>AVERAGE('01.08 Spear Motors-URA-24h'!G94,'03.08 Spear Motors-URA-24h'!G94)</f>
        <v>0</v>
      </c>
      <c r="H94" s="49">
        <f>AVERAGE('01.08 Spear Motors-URA-24h'!H94,'03.08 Spear Motors-URA-24h'!H94)</f>
        <v>0</v>
      </c>
      <c r="I94" s="49">
        <f>AVERAGE('01.08 Spear Motors-URA-24h'!I94,'03.08 Spear Motors-URA-24h'!I94)</f>
        <v>0</v>
      </c>
      <c r="J94" s="49">
        <f>AVERAGE('01.08 Spear Motors-URA-24h'!J94,'03.08 Spear Motors-URA-24h'!J94)</f>
        <v>1</v>
      </c>
      <c r="K94" s="49">
        <f>AVERAGE('01.08 Spear Motors-URA-24h'!K94,'03.08 Spear Motors-URA-24h'!K94)</f>
        <v>0.5</v>
      </c>
      <c r="L94" s="49">
        <f>AVERAGE('01.08 Spear Motors-URA-24h'!L94,'03.08 Spear Motors-URA-24h'!L94)</f>
        <v>0.5</v>
      </c>
      <c r="M94" s="49">
        <f>AVERAGE('01.08 Spear Motors-URA-24h'!M94,'03.08 Spear Motors-URA-24h'!M94)</f>
        <v>11.5</v>
      </c>
      <c r="N94" s="49">
        <f>AVERAGE('01.08 Spear Motors-URA-24h'!N94,'03.08 Spear Motors-URA-24h'!N94)</f>
        <v>0</v>
      </c>
      <c r="O94" s="15">
        <f t="shared" si="35"/>
        <v>8.5</v>
      </c>
      <c r="P94" s="15">
        <f t="shared" si="36"/>
        <v>20</v>
      </c>
      <c r="R94" s="8"/>
      <c r="T94"/>
    </row>
    <row r="95" spans="2:20" ht="23.1" customHeight="1" x14ac:dyDescent="0.25">
      <c r="B95" s="23" t="s">
        <v>135</v>
      </c>
      <c r="C95" s="49">
        <f>AVERAGE('01.08 Spear Motors-URA-24h'!C95,'03.08 Spear Motors-URA-24h'!C95)</f>
        <v>2.5</v>
      </c>
      <c r="D95" s="49">
        <f>AVERAGE('01.08 Spear Motors-URA-24h'!D95,'03.08 Spear Motors-URA-24h'!D95)</f>
        <v>0.5</v>
      </c>
      <c r="E95" s="49">
        <f>AVERAGE('01.08 Spear Motors-URA-24h'!E95,'03.08 Spear Motors-URA-24h'!E95)</f>
        <v>0.5</v>
      </c>
      <c r="F95" s="49">
        <f>AVERAGE('01.08 Spear Motors-URA-24h'!F95,'03.08 Spear Motors-URA-24h'!F95)</f>
        <v>0.5</v>
      </c>
      <c r="G95" s="49">
        <f>AVERAGE('01.08 Spear Motors-URA-24h'!G95,'03.08 Spear Motors-URA-24h'!G95)</f>
        <v>0</v>
      </c>
      <c r="H95" s="49">
        <f>AVERAGE('01.08 Spear Motors-URA-24h'!H95,'03.08 Spear Motors-URA-24h'!H95)</f>
        <v>0</v>
      </c>
      <c r="I95" s="49">
        <f>AVERAGE('01.08 Spear Motors-URA-24h'!I95,'03.08 Spear Motors-URA-24h'!I95)</f>
        <v>0</v>
      </c>
      <c r="J95" s="49">
        <f>AVERAGE('01.08 Spear Motors-URA-24h'!J95,'03.08 Spear Motors-URA-24h'!J95)</f>
        <v>0</v>
      </c>
      <c r="K95" s="49">
        <f>AVERAGE('01.08 Spear Motors-URA-24h'!K95,'03.08 Spear Motors-URA-24h'!K95)</f>
        <v>0</v>
      </c>
      <c r="L95" s="49">
        <f>AVERAGE('01.08 Spear Motors-URA-24h'!L95,'03.08 Spear Motors-URA-24h'!L95)</f>
        <v>0.5</v>
      </c>
      <c r="M95" s="49">
        <f>AVERAGE('01.08 Spear Motors-URA-24h'!M95,'03.08 Spear Motors-URA-24h'!M95)</f>
        <v>14</v>
      </c>
      <c r="N95" s="49">
        <f>AVERAGE('01.08 Spear Motors-URA-24h'!N95,'03.08 Spear Motors-URA-24h'!N95)</f>
        <v>0</v>
      </c>
      <c r="O95" s="15">
        <f t="shared" si="35"/>
        <v>4.5</v>
      </c>
      <c r="P95" s="15">
        <f t="shared" si="36"/>
        <v>18.5</v>
      </c>
      <c r="R95" s="8"/>
      <c r="T95"/>
    </row>
    <row r="96" spans="2:20" ht="23.1" customHeight="1" x14ac:dyDescent="0.25">
      <c r="B96" s="25" t="s">
        <v>136</v>
      </c>
      <c r="C96" s="49">
        <f>AVERAGE('01.08 Spear Motors-URA-24h'!C96,'03.08 Spear Motors-URA-24h'!C96)</f>
        <v>4.5</v>
      </c>
      <c r="D96" s="49">
        <f>AVERAGE('01.08 Spear Motors-URA-24h'!D96,'03.08 Spear Motors-URA-24h'!D96)</f>
        <v>0.5</v>
      </c>
      <c r="E96" s="49">
        <f>AVERAGE('01.08 Spear Motors-URA-24h'!E96,'03.08 Spear Motors-URA-24h'!E96)</f>
        <v>0.5</v>
      </c>
      <c r="F96" s="49">
        <f>AVERAGE('01.08 Spear Motors-URA-24h'!F96,'03.08 Spear Motors-URA-24h'!F96)</f>
        <v>0.5</v>
      </c>
      <c r="G96" s="49">
        <f>AVERAGE('01.08 Spear Motors-URA-24h'!G96,'03.08 Spear Motors-URA-24h'!G96)</f>
        <v>0</v>
      </c>
      <c r="H96" s="49">
        <f>AVERAGE('01.08 Spear Motors-URA-24h'!H96,'03.08 Spear Motors-URA-24h'!H96)</f>
        <v>0</v>
      </c>
      <c r="I96" s="49">
        <f>AVERAGE('01.08 Spear Motors-URA-24h'!I96,'03.08 Spear Motors-URA-24h'!I96)</f>
        <v>0.5</v>
      </c>
      <c r="J96" s="49">
        <f>AVERAGE('01.08 Spear Motors-URA-24h'!J96,'03.08 Spear Motors-URA-24h'!J96)</f>
        <v>0</v>
      </c>
      <c r="K96" s="49">
        <f>AVERAGE('01.08 Spear Motors-URA-24h'!K96,'03.08 Spear Motors-URA-24h'!K96)</f>
        <v>0</v>
      </c>
      <c r="L96" s="49">
        <f>AVERAGE('01.08 Spear Motors-URA-24h'!L96,'03.08 Spear Motors-URA-24h'!L96)</f>
        <v>0</v>
      </c>
      <c r="M96" s="49">
        <f>AVERAGE('01.08 Spear Motors-URA-24h'!M96,'03.08 Spear Motors-URA-24h'!M96)</f>
        <v>16</v>
      </c>
      <c r="N96" s="49">
        <f>AVERAGE('01.08 Spear Motors-URA-24h'!N96,'03.08 Spear Motors-URA-24h'!N96)</f>
        <v>0</v>
      </c>
      <c r="O96" s="15">
        <f t="shared" si="35"/>
        <v>6.5</v>
      </c>
      <c r="P96" s="15">
        <f t="shared" si="36"/>
        <v>22.5</v>
      </c>
      <c r="R96" s="8"/>
      <c r="T96"/>
    </row>
    <row r="97" spans="2:20" ht="23.1" customHeight="1" x14ac:dyDescent="0.25">
      <c r="B97" s="23" t="s">
        <v>137</v>
      </c>
      <c r="C97" s="49">
        <f>AVERAGE('01.08 Spear Motors-URA-24h'!C97,'03.08 Spear Motors-URA-24h'!C97)</f>
        <v>3</v>
      </c>
      <c r="D97" s="49">
        <f>AVERAGE('01.08 Spear Motors-URA-24h'!D97,'03.08 Spear Motors-URA-24h'!D97)</f>
        <v>0</v>
      </c>
      <c r="E97" s="49">
        <f>AVERAGE('01.08 Spear Motors-URA-24h'!E97,'03.08 Spear Motors-URA-24h'!E97)</f>
        <v>0.5</v>
      </c>
      <c r="F97" s="49">
        <f>AVERAGE('01.08 Spear Motors-URA-24h'!F97,'03.08 Spear Motors-URA-24h'!F97)</f>
        <v>0</v>
      </c>
      <c r="G97" s="49">
        <f>AVERAGE('01.08 Spear Motors-URA-24h'!G97,'03.08 Spear Motors-URA-24h'!G97)</f>
        <v>0.5</v>
      </c>
      <c r="H97" s="49">
        <f>AVERAGE('01.08 Spear Motors-URA-24h'!H97,'03.08 Spear Motors-URA-24h'!H97)</f>
        <v>0</v>
      </c>
      <c r="I97" s="49">
        <f>AVERAGE('01.08 Spear Motors-URA-24h'!I97,'03.08 Spear Motors-URA-24h'!I97)</f>
        <v>1.5</v>
      </c>
      <c r="J97" s="49">
        <f>AVERAGE('01.08 Spear Motors-URA-24h'!J97,'03.08 Spear Motors-URA-24h'!J97)</f>
        <v>0</v>
      </c>
      <c r="K97" s="49">
        <f>AVERAGE('01.08 Spear Motors-URA-24h'!K97,'03.08 Spear Motors-URA-24h'!K97)</f>
        <v>0</v>
      </c>
      <c r="L97" s="49">
        <f>AVERAGE('01.08 Spear Motors-URA-24h'!L97,'03.08 Spear Motors-URA-24h'!L97)</f>
        <v>0.5</v>
      </c>
      <c r="M97" s="49">
        <f>AVERAGE('01.08 Spear Motors-URA-24h'!M97,'03.08 Spear Motors-URA-24h'!M97)</f>
        <v>25</v>
      </c>
      <c r="N97" s="49">
        <f>AVERAGE('01.08 Spear Motors-URA-24h'!N97,'03.08 Spear Motors-URA-24h'!N97)</f>
        <v>0</v>
      </c>
      <c r="O97" s="15">
        <f t="shared" si="35"/>
        <v>6</v>
      </c>
      <c r="P97" s="15">
        <f t="shared" si="36"/>
        <v>31</v>
      </c>
      <c r="R97" s="8"/>
      <c r="T97"/>
    </row>
    <row r="98" spans="2:20" ht="23.1" customHeight="1" x14ac:dyDescent="0.25">
      <c r="B98" s="24" t="s">
        <v>138</v>
      </c>
      <c r="C98" s="49">
        <f>AVERAGE('01.08 Spear Motors-URA-24h'!C98,'03.08 Spear Motors-URA-24h'!C98)</f>
        <v>4.5</v>
      </c>
      <c r="D98" s="49">
        <f>AVERAGE('01.08 Spear Motors-URA-24h'!D98,'03.08 Spear Motors-URA-24h'!D98)</f>
        <v>0.5</v>
      </c>
      <c r="E98" s="49">
        <f>AVERAGE('01.08 Spear Motors-URA-24h'!E98,'03.08 Spear Motors-URA-24h'!E98)</f>
        <v>1</v>
      </c>
      <c r="F98" s="49">
        <f>AVERAGE('01.08 Spear Motors-URA-24h'!F98,'03.08 Spear Motors-URA-24h'!F98)</f>
        <v>1</v>
      </c>
      <c r="G98" s="49">
        <f>AVERAGE('01.08 Spear Motors-URA-24h'!G98,'03.08 Spear Motors-URA-24h'!G98)</f>
        <v>0</v>
      </c>
      <c r="H98" s="49">
        <f>AVERAGE('01.08 Spear Motors-URA-24h'!H98,'03.08 Spear Motors-URA-24h'!H98)</f>
        <v>0</v>
      </c>
      <c r="I98" s="49">
        <f>AVERAGE('01.08 Spear Motors-URA-24h'!I98,'03.08 Spear Motors-URA-24h'!I98)</f>
        <v>0.5</v>
      </c>
      <c r="J98" s="49">
        <f>AVERAGE('01.08 Spear Motors-URA-24h'!J98,'03.08 Spear Motors-URA-24h'!J98)</f>
        <v>0</v>
      </c>
      <c r="K98" s="49">
        <f>AVERAGE('01.08 Spear Motors-URA-24h'!K98,'03.08 Spear Motors-URA-24h'!K98)</f>
        <v>0.5</v>
      </c>
      <c r="L98" s="49">
        <f>AVERAGE('01.08 Spear Motors-URA-24h'!L98,'03.08 Spear Motors-URA-24h'!L98)</f>
        <v>0</v>
      </c>
      <c r="M98" s="49">
        <f>AVERAGE('01.08 Spear Motors-URA-24h'!M98,'03.08 Spear Motors-URA-24h'!M98)</f>
        <v>18</v>
      </c>
      <c r="N98" s="49">
        <f>AVERAGE('01.08 Spear Motors-URA-24h'!N98,'03.08 Spear Motors-URA-24h'!N98)</f>
        <v>0</v>
      </c>
      <c r="O98" s="15">
        <f t="shared" si="35"/>
        <v>8</v>
      </c>
      <c r="P98" s="15">
        <f t="shared" si="36"/>
        <v>26</v>
      </c>
      <c r="R98" s="8"/>
      <c r="T98"/>
    </row>
    <row r="99" spans="2:20" ht="23.1" customHeight="1" x14ac:dyDescent="0.25">
      <c r="B99" s="23" t="s">
        <v>139</v>
      </c>
      <c r="C99" s="49">
        <f>AVERAGE('01.08 Spear Motors-URA-24h'!C99,'03.08 Spear Motors-URA-24h'!C99)</f>
        <v>3</v>
      </c>
      <c r="D99" s="49">
        <f>AVERAGE('01.08 Spear Motors-URA-24h'!D99,'03.08 Spear Motors-URA-24h'!D99)</f>
        <v>0</v>
      </c>
      <c r="E99" s="49">
        <f>AVERAGE('01.08 Spear Motors-URA-24h'!E99,'03.08 Spear Motors-URA-24h'!E99)</f>
        <v>0.5</v>
      </c>
      <c r="F99" s="49">
        <f>AVERAGE('01.08 Spear Motors-URA-24h'!F99,'03.08 Spear Motors-URA-24h'!F99)</f>
        <v>0.5</v>
      </c>
      <c r="G99" s="49">
        <f>AVERAGE('01.08 Spear Motors-URA-24h'!G99,'03.08 Spear Motors-URA-24h'!G99)</f>
        <v>0</v>
      </c>
      <c r="H99" s="49">
        <f>AVERAGE('01.08 Spear Motors-URA-24h'!H99,'03.08 Spear Motors-URA-24h'!H99)</f>
        <v>0</v>
      </c>
      <c r="I99" s="49">
        <f>AVERAGE('01.08 Spear Motors-URA-24h'!I99,'03.08 Spear Motors-URA-24h'!I99)</f>
        <v>0.5</v>
      </c>
      <c r="J99" s="49">
        <f>AVERAGE('01.08 Spear Motors-URA-24h'!J99,'03.08 Spear Motors-URA-24h'!J99)</f>
        <v>0</v>
      </c>
      <c r="K99" s="49">
        <f>AVERAGE('01.08 Spear Motors-URA-24h'!K99,'03.08 Spear Motors-URA-24h'!K99)</f>
        <v>0.5</v>
      </c>
      <c r="L99" s="49">
        <f>AVERAGE('01.08 Spear Motors-URA-24h'!L99,'03.08 Spear Motors-URA-24h'!L99)</f>
        <v>1</v>
      </c>
      <c r="M99" s="49">
        <f>AVERAGE('01.08 Spear Motors-URA-24h'!M99,'03.08 Spear Motors-URA-24h'!M99)</f>
        <v>21</v>
      </c>
      <c r="N99" s="49">
        <f>AVERAGE('01.08 Spear Motors-URA-24h'!N99,'03.08 Spear Motors-URA-24h'!N99)</f>
        <v>0</v>
      </c>
      <c r="O99" s="15">
        <f t="shared" si="35"/>
        <v>6</v>
      </c>
      <c r="P99" s="15">
        <f t="shared" si="36"/>
        <v>27</v>
      </c>
      <c r="R99" s="8"/>
      <c r="T99"/>
    </row>
    <row r="100" spans="2:20" ht="23.1" customHeight="1" x14ac:dyDescent="0.25">
      <c r="B100" s="25" t="s">
        <v>140</v>
      </c>
      <c r="C100" s="49">
        <f>AVERAGE('01.08 Spear Motors-URA-24h'!C100,'03.08 Spear Motors-URA-24h'!C100)</f>
        <v>1</v>
      </c>
      <c r="D100" s="49">
        <f>AVERAGE('01.08 Spear Motors-URA-24h'!D100,'03.08 Spear Motors-URA-24h'!D100)</f>
        <v>0.5</v>
      </c>
      <c r="E100" s="49">
        <f>AVERAGE('01.08 Spear Motors-URA-24h'!E100,'03.08 Spear Motors-URA-24h'!E100)</f>
        <v>0.5</v>
      </c>
      <c r="F100" s="49">
        <f>AVERAGE('01.08 Spear Motors-URA-24h'!F100,'03.08 Spear Motors-URA-24h'!F100)</f>
        <v>3</v>
      </c>
      <c r="G100" s="49">
        <f>AVERAGE('01.08 Spear Motors-URA-24h'!G100,'03.08 Spear Motors-URA-24h'!G100)</f>
        <v>0</v>
      </c>
      <c r="H100" s="49">
        <f>AVERAGE('01.08 Spear Motors-URA-24h'!H100,'03.08 Spear Motors-URA-24h'!H100)</f>
        <v>0</v>
      </c>
      <c r="I100" s="49">
        <f>AVERAGE('01.08 Spear Motors-URA-24h'!I100,'03.08 Spear Motors-URA-24h'!I100)</f>
        <v>2.5</v>
      </c>
      <c r="J100" s="49">
        <f>AVERAGE('01.08 Spear Motors-URA-24h'!J100,'03.08 Spear Motors-URA-24h'!J100)</f>
        <v>1.5</v>
      </c>
      <c r="K100" s="49">
        <f>AVERAGE('01.08 Spear Motors-URA-24h'!K100,'03.08 Spear Motors-URA-24h'!K100)</f>
        <v>2</v>
      </c>
      <c r="L100" s="49">
        <f>AVERAGE('01.08 Spear Motors-URA-24h'!L100,'03.08 Spear Motors-URA-24h'!L100)</f>
        <v>1.5</v>
      </c>
      <c r="M100" s="49">
        <f>AVERAGE('01.08 Spear Motors-URA-24h'!M100,'03.08 Spear Motors-URA-24h'!M100)</f>
        <v>48.5</v>
      </c>
      <c r="N100" s="49">
        <f>AVERAGE('01.08 Spear Motors-URA-24h'!N100,'03.08 Spear Motors-URA-24h'!N100)</f>
        <v>0</v>
      </c>
      <c r="O100" s="15">
        <f t="shared" si="35"/>
        <v>12.5</v>
      </c>
      <c r="P100" s="15">
        <f t="shared" si="36"/>
        <v>61</v>
      </c>
      <c r="R100" s="8"/>
      <c r="T100"/>
    </row>
    <row r="101" spans="2:20" ht="23.1" customHeight="1" x14ac:dyDescent="0.25">
      <c r="B101" s="23" t="s">
        <v>141</v>
      </c>
      <c r="C101" s="49">
        <f>AVERAGE('01.08 Spear Motors-URA-24h'!C101,'03.08 Spear Motors-URA-24h'!C101)</f>
        <v>4</v>
      </c>
      <c r="D101" s="49">
        <f>AVERAGE('01.08 Spear Motors-URA-24h'!D101,'03.08 Spear Motors-URA-24h'!D101)</f>
        <v>1</v>
      </c>
      <c r="E101" s="49">
        <f>AVERAGE('01.08 Spear Motors-URA-24h'!E101,'03.08 Spear Motors-URA-24h'!E101)</f>
        <v>0</v>
      </c>
      <c r="F101" s="49">
        <f>AVERAGE('01.08 Spear Motors-URA-24h'!F101,'03.08 Spear Motors-URA-24h'!F101)</f>
        <v>3</v>
      </c>
      <c r="G101" s="49">
        <f>AVERAGE('01.08 Spear Motors-URA-24h'!G101,'03.08 Spear Motors-URA-24h'!G101)</f>
        <v>0</v>
      </c>
      <c r="H101" s="49">
        <f>AVERAGE('01.08 Spear Motors-URA-24h'!H101,'03.08 Spear Motors-URA-24h'!H101)</f>
        <v>0</v>
      </c>
      <c r="I101" s="49">
        <f>AVERAGE('01.08 Spear Motors-URA-24h'!I101,'03.08 Spear Motors-URA-24h'!I101)</f>
        <v>1.5</v>
      </c>
      <c r="J101" s="49">
        <f>AVERAGE('01.08 Spear Motors-URA-24h'!J101,'03.08 Spear Motors-URA-24h'!J101)</f>
        <v>2</v>
      </c>
      <c r="K101" s="49">
        <f>AVERAGE('01.08 Spear Motors-URA-24h'!K101,'03.08 Spear Motors-URA-24h'!K101)</f>
        <v>0</v>
      </c>
      <c r="L101" s="49">
        <f>AVERAGE('01.08 Spear Motors-URA-24h'!L101,'03.08 Spear Motors-URA-24h'!L101)</f>
        <v>2.5</v>
      </c>
      <c r="M101" s="49">
        <f>AVERAGE('01.08 Spear Motors-URA-24h'!M101,'03.08 Spear Motors-URA-24h'!M101)</f>
        <v>54.5</v>
      </c>
      <c r="N101" s="49">
        <f>AVERAGE('01.08 Spear Motors-URA-24h'!N101,'03.08 Spear Motors-URA-24h'!N101)</f>
        <v>0</v>
      </c>
      <c r="O101" s="15">
        <f t="shared" si="35"/>
        <v>14</v>
      </c>
      <c r="P101" s="15">
        <f t="shared" si="36"/>
        <v>68.5</v>
      </c>
      <c r="R101" s="8"/>
      <c r="T101"/>
    </row>
    <row r="102" spans="2:20" ht="23.1" customHeight="1" x14ac:dyDescent="0.25">
      <c r="B102" s="24" t="s">
        <v>142</v>
      </c>
      <c r="C102" s="49">
        <f>AVERAGE('01.08 Spear Motors-URA-24h'!C102,'03.08 Spear Motors-URA-24h'!C102)</f>
        <v>5.5</v>
      </c>
      <c r="D102" s="49">
        <f>AVERAGE('01.08 Spear Motors-URA-24h'!D102,'03.08 Spear Motors-URA-24h'!D102)</f>
        <v>1</v>
      </c>
      <c r="E102" s="49">
        <f>AVERAGE('01.08 Spear Motors-URA-24h'!E102,'03.08 Spear Motors-URA-24h'!E102)</f>
        <v>1.5</v>
      </c>
      <c r="F102" s="49">
        <f>AVERAGE('01.08 Spear Motors-URA-24h'!F102,'03.08 Spear Motors-URA-24h'!F102)</f>
        <v>6.5</v>
      </c>
      <c r="G102" s="49">
        <f>AVERAGE('01.08 Spear Motors-URA-24h'!G102,'03.08 Spear Motors-URA-24h'!G102)</f>
        <v>1.5</v>
      </c>
      <c r="H102" s="49">
        <f>AVERAGE('01.08 Spear Motors-URA-24h'!H102,'03.08 Spear Motors-URA-24h'!H102)</f>
        <v>0</v>
      </c>
      <c r="I102" s="49">
        <f>AVERAGE('01.08 Spear Motors-URA-24h'!I102,'03.08 Spear Motors-URA-24h'!I102)</f>
        <v>0</v>
      </c>
      <c r="J102" s="49">
        <f>AVERAGE('01.08 Spear Motors-URA-24h'!J102,'03.08 Spear Motors-URA-24h'!J102)</f>
        <v>0</v>
      </c>
      <c r="K102" s="49">
        <f>AVERAGE('01.08 Spear Motors-URA-24h'!K102,'03.08 Spear Motors-URA-24h'!K102)</f>
        <v>1</v>
      </c>
      <c r="L102" s="49">
        <f>AVERAGE('01.08 Spear Motors-URA-24h'!L102,'03.08 Spear Motors-URA-24h'!L102)</f>
        <v>1.5</v>
      </c>
      <c r="M102" s="49">
        <f>AVERAGE('01.08 Spear Motors-URA-24h'!M102,'03.08 Spear Motors-URA-24h'!M102)</f>
        <v>80.5</v>
      </c>
      <c r="N102" s="49">
        <f>AVERAGE('01.08 Spear Motors-URA-24h'!N102,'03.08 Spear Motors-URA-24h'!N102)</f>
        <v>0</v>
      </c>
      <c r="O102" s="15">
        <f t="shared" si="35"/>
        <v>18.5</v>
      </c>
      <c r="P102" s="15">
        <f t="shared" si="36"/>
        <v>99</v>
      </c>
      <c r="R102" s="8"/>
      <c r="T102"/>
    </row>
    <row r="103" spans="2:20" ht="23.1" customHeight="1" x14ac:dyDescent="0.25">
      <c r="B103" s="23" t="s">
        <v>143</v>
      </c>
      <c r="C103" s="49">
        <f>AVERAGE('01.08 Spear Motors-URA-24h'!C103,'03.08 Spear Motors-URA-24h'!C103)</f>
        <v>15.5</v>
      </c>
      <c r="D103" s="49">
        <f>AVERAGE('01.08 Spear Motors-URA-24h'!D103,'03.08 Spear Motors-URA-24h'!D103)</f>
        <v>1.5</v>
      </c>
      <c r="E103" s="49">
        <f>AVERAGE('01.08 Spear Motors-URA-24h'!E103,'03.08 Spear Motors-URA-24h'!E103)</f>
        <v>2</v>
      </c>
      <c r="F103" s="49">
        <f>AVERAGE('01.08 Spear Motors-URA-24h'!F103,'03.08 Spear Motors-URA-24h'!F103)</f>
        <v>9</v>
      </c>
      <c r="G103" s="49">
        <f>AVERAGE('01.08 Spear Motors-URA-24h'!G103,'03.08 Spear Motors-URA-24h'!G103)</f>
        <v>0</v>
      </c>
      <c r="H103" s="49">
        <f>AVERAGE('01.08 Spear Motors-URA-24h'!H103,'03.08 Spear Motors-URA-24h'!H103)</f>
        <v>0</v>
      </c>
      <c r="I103" s="49">
        <f>AVERAGE('01.08 Spear Motors-URA-24h'!I103,'03.08 Spear Motors-URA-24h'!I103)</f>
        <v>0.5</v>
      </c>
      <c r="J103" s="49">
        <f>AVERAGE('01.08 Spear Motors-URA-24h'!J103,'03.08 Spear Motors-URA-24h'!J103)</f>
        <v>0.5</v>
      </c>
      <c r="K103" s="49">
        <f>AVERAGE('01.08 Spear Motors-URA-24h'!K103,'03.08 Spear Motors-URA-24h'!K103)</f>
        <v>0</v>
      </c>
      <c r="L103" s="49">
        <f>AVERAGE('01.08 Spear Motors-URA-24h'!L103,'03.08 Spear Motors-URA-24h'!L103)</f>
        <v>3.5</v>
      </c>
      <c r="M103" s="49">
        <f>AVERAGE('01.08 Spear Motors-URA-24h'!M103,'03.08 Spear Motors-URA-24h'!M103)</f>
        <v>95</v>
      </c>
      <c r="N103" s="49">
        <f>AVERAGE('01.08 Spear Motors-URA-24h'!N103,'03.08 Spear Motors-URA-24h'!N103)</f>
        <v>0</v>
      </c>
      <c r="O103" s="15">
        <f t="shared" si="35"/>
        <v>32.5</v>
      </c>
      <c r="P103" s="15">
        <f t="shared" si="36"/>
        <v>127.5</v>
      </c>
      <c r="R103" s="8"/>
      <c r="T103"/>
    </row>
    <row r="104" spans="2:20" ht="23.1" customHeight="1" x14ac:dyDescent="0.25">
      <c r="B104" s="25" t="s">
        <v>144</v>
      </c>
      <c r="C104" s="49">
        <f>AVERAGE('01.08 Spear Motors-URA-24h'!C104,'03.08 Spear Motors-URA-24h'!C104)</f>
        <v>24.5</v>
      </c>
      <c r="D104" s="49">
        <f>AVERAGE('01.08 Spear Motors-URA-24h'!D104,'03.08 Spear Motors-URA-24h'!D104)</f>
        <v>6.5</v>
      </c>
      <c r="E104" s="49">
        <f>AVERAGE('01.08 Spear Motors-URA-24h'!E104,'03.08 Spear Motors-URA-24h'!E104)</f>
        <v>4.5</v>
      </c>
      <c r="F104" s="49">
        <f>AVERAGE('01.08 Spear Motors-URA-24h'!F104,'03.08 Spear Motors-URA-24h'!F104)</f>
        <v>15</v>
      </c>
      <c r="G104" s="49">
        <f>AVERAGE('01.08 Spear Motors-URA-24h'!G104,'03.08 Spear Motors-URA-24h'!G104)</f>
        <v>0.5</v>
      </c>
      <c r="H104" s="49">
        <f>AVERAGE('01.08 Spear Motors-URA-24h'!H104,'03.08 Spear Motors-URA-24h'!H104)</f>
        <v>0</v>
      </c>
      <c r="I104" s="49">
        <f>AVERAGE('01.08 Spear Motors-URA-24h'!I104,'03.08 Spear Motors-URA-24h'!I104)</f>
        <v>1.5</v>
      </c>
      <c r="J104" s="49">
        <f>AVERAGE('01.08 Spear Motors-URA-24h'!J104,'03.08 Spear Motors-URA-24h'!J104)</f>
        <v>1.5</v>
      </c>
      <c r="K104" s="49">
        <f>AVERAGE('01.08 Spear Motors-URA-24h'!K104,'03.08 Spear Motors-URA-24h'!K104)</f>
        <v>0.5</v>
      </c>
      <c r="L104" s="49">
        <f>AVERAGE('01.08 Spear Motors-URA-24h'!L104,'03.08 Spear Motors-URA-24h'!L104)</f>
        <v>2</v>
      </c>
      <c r="M104" s="49">
        <f>AVERAGE('01.08 Spear Motors-URA-24h'!M104,'03.08 Spear Motors-URA-24h'!M104)</f>
        <v>82.5</v>
      </c>
      <c r="N104" s="49">
        <f>AVERAGE('01.08 Spear Motors-URA-24h'!N104,'03.08 Spear Motors-URA-24h'!N104)</f>
        <v>0</v>
      </c>
      <c r="O104" s="15">
        <f t="shared" si="35"/>
        <v>56.5</v>
      </c>
      <c r="P104" s="15">
        <f t="shared" si="36"/>
        <v>139</v>
      </c>
      <c r="R104" s="8"/>
      <c r="T104"/>
    </row>
    <row r="105" spans="2:20" ht="23.1" customHeight="1" x14ac:dyDescent="0.25">
      <c r="B105" s="23" t="s">
        <v>145</v>
      </c>
      <c r="C105" s="49">
        <f>AVERAGE('01.08 Spear Motors-URA-24h'!C105,'03.08 Spear Motors-URA-24h'!C105)</f>
        <v>32.5</v>
      </c>
      <c r="D105" s="49">
        <f>AVERAGE('01.08 Spear Motors-URA-24h'!D105,'03.08 Spear Motors-URA-24h'!D105)</f>
        <v>6.5</v>
      </c>
      <c r="E105" s="49">
        <f>AVERAGE('01.08 Spear Motors-URA-24h'!E105,'03.08 Spear Motors-URA-24h'!E105)</f>
        <v>3.5</v>
      </c>
      <c r="F105" s="49">
        <f>AVERAGE('01.08 Spear Motors-URA-24h'!F105,'03.08 Spear Motors-URA-24h'!F105)</f>
        <v>13</v>
      </c>
      <c r="G105" s="49">
        <f>AVERAGE('01.08 Spear Motors-URA-24h'!G105,'03.08 Spear Motors-URA-24h'!G105)</f>
        <v>0.5</v>
      </c>
      <c r="H105" s="49">
        <f>AVERAGE('01.08 Spear Motors-URA-24h'!H105,'03.08 Spear Motors-URA-24h'!H105)</f>
        <v>0</v>
      </c>
      <c r="I105" s="49">
        <f>AVERAGE('01.08 Spear Motors-URA-24h'!I105,'03.08 Spear Motors-URA-24h'!I105)</f>
        <v>1</v>
      </c>
      <c r="J105" s="49">
        <f>AVERAGE('01.08 Spear Motors-URA-24h'!J105,'03.08 Spear Motors-URA-24h'!J105)</f>
        <v>2</v>
      </c>
      <c r="K105" s="49">
        <f>AVERAGE('01.08 Spear Motors-URA-24h'!K105,'03.08 Spear Motors-URA-24h'!K105)</f>
        <v>0</v>
      </c>
      <c r="L105" s="49">
        <f>AVERAGE('01.08 Spear Motors-URA-24h'!L105,'03.08 Spear Motors-URA-24h'!L105)</f>
        <v>2.5</v>
      </c>
      <c r="M105" s="49">
        <f>AVERAGE('01.08 Spear Motors-URA-24h'!M105,'03.08 Spear Motors-URA-24h'!M105)</f>
        <v>73.5</v>
      </c>
      <c r="N105" s="49">
        <f>AVERAGE('01.08 Spear Motors-URA-24h'!N105,'03.08 Spear Motors-URA-24h'!N105)</f>
        <v>0</v>
      </c>
      <c r="O105" s="15">
        <f t="shared" si="35"/>
        <v>61.5</v>
      </c>
      <c r="P105" s="15">
        <f t="shared" si="36"/>
        <v>135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2463.9285714285716</v>
      </c>
      <c r="D106" s="16">
        <f t="shared" ref="D106:P106" si="37">SUM(D10:D105)</f>
        <v>595.85714285714289</v>
      </c>
      <c r="E106" s="16">
        <f t="shared" si="37"/>
        <v>415.64285714285711</v>
      </c>
      <c r="F106" s="16">
        <f t="shared" si="37"/>
        <v>453.64285714285711</v>
      </c>
      <c r="G106" s="16">
        <f t="shared" si="37"/>
        <v>84.5</v>
      </c>
      <c r="H106" s="16">
        <f t="shared" si="37"/>
        <v>4.0714285714285712</v>
      </c>
      <c r="I106" s="16">
        <f t="shared" si="37"/>
        <v>162.64285714285717</v>
      </c>
      <c r="J106" s="16">
        <f t="shared" si="37"/>
        <v>127.64285714285711</v>
      </c>
      <c r="K106" s="16">
        <f t="shared" si="37"/>
        <v>100.71428571428571</v>
      </c>
      <c r="L106" s="16">
        <f t="shared" si="37"/>
        <v>208.28571428571428</v>
      </c>
      <c r="M106" s="16">
        <f t="shared" si="37"/>
        <v>9486.6428571428551</v>
      </c>
      <c r="N106" s="16">
        <f t="shared" si="37"/>
        <v>0.42857142857142855</v>
      </c>
      <c r="O106" s="16">
        <f t="shared" si="37"/>
        <v>4617.3571428571431</v>
      </c>
      <c r="P106" s="16">
        <f t="shared" si="37"/>
        <v>14104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0.17469714771898551</v>
      </c>
      <c r="D107" s="43">
        <f t="shared" si="38"/>
        <v>4.2247386759581881E-2</v>
      </c>
      <c r="E107" s="43">
        <f t="shared" si="38"/>
        <v>2.9469856575642165E-2</v>
      </c>
      <c r="F107" s="43">
        <f t="shared" si="38"/>
        <v>3.2164127704399963E-2</v>
      </c>
      <c r="G107" s="43">
        <f t="shared" si="38"/>
        <v>5.9912081678956328E-3</v>
      </c>
      <c r="H107" s="43">
        <f t="shared" si="38"/>
        <v>2.8867190665262131E-4</v>
      </c>
      <c r="I107" s="43">
        <f t="shared" si="38"/>
        <v>1.1531683007859981E-2</v>
      </c>
      <c r="J107" s="43">
        <f t="shared" si="38"/>
        <v>9.0501174945304252E-3</v>
      </c>
      <c r="K107" s="43">
        <f t="shared" si="38"/>
        <v>7.1408313750911589E-3</v>
      </c>
      <c r="L107" s="43">
        <f t="shared" si="38"/>
        <v>1.4767847014018313E-2</v>
      </c>
      <c r="M107" s="43">
        <f t="shared" si="38"/>
        <v>0.67262073575885251</v>
      </c>
      <c r="N107" s="43">
        <f t="shared" si="38"/>
        <v>3.0386516489749614E-5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0.53362313011462958</v>
      </c>
      <c r="D108" s="44">
        <f t="shared" ref="D108:N108" si="39">D106/$O$106</f>
        <v>0.12904722862490911</v>
      </c>
      <c r="E108" s="44">
        <f t="shared" si="39"/>
        <v>9.0017480624352206E-2</v>
      </c>
      <c r="F108" s="44">
        <f t="shared" si="39"/>
        <v>9.8247296691057029E-2</v>
      </c>
      <c r="G108" s="44">
        <f t="shared" si="39"/>
        <v>1.8300512043067308E-2</v>
      </c>
      <c r="H108" s="44">
        <f t="shared" si="39"/>
        <v>8.8176600714694544E-4</v>
      </c>
      <c r="I108" s="44">
        <f t="shared" si="39"/>
        <v>3.5224231548659564E-2</v>
      </c>
      <c r="J108" s="44">
        <f t="shared" si="39"/>
        <v>2.7644137803010373E-2</v>
      </c>
      <c r="K108" s="44">
        <f t="shared" si="39"/>
        <v>2.1812106492582334E-2</v>
      </c>
      <c r="L108" s="44">
        <f t="shared" si="39"/>
        <v>4.5109292576148999E-2</v>
      </c>
      <c r="M108" s="44"/>
      <c r="N108" s="44">
        <f t="shared" si="39"/>
        <v>9.2817474436520577E-5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N52" zoomScale="60" workbookViewId="0">
      <selection activeCell="AC48" sqref="AC4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URA-Spear Motors'!C3:G3</f>
        <v>MCC - C1 - STN44- NAKAWA-JINJA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'04.08 URA-Spear Motors'!G5:H5</f>
        <v>Spear Motors Limited</v>
      </c>
      <c r="H5" s="64"/>
      <c r="I5" s="14"/>
      <c r="J5" s="2" t="s">
        <v>5</v>
      </c>
      <c r="K5" s="63" t="str">
        <f>'04.08 URA-Spear Motors'!K5:L5</f>
        <v>Asibazuyo &amp; Ahimbisibwe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'04.08 URA-Spear Motors'!D6:E6</f>
        <v>URA</v>
      </c>
      <c r="E6" s="64"/>
      <c r="F6" s="2" t="s">
        <v>2</v>
      </c>
      <c r="G6" s="63" t="str">
        <f>'04.08 URA-Spear Motors'!G6:H6</f>
        <v xml:space="preserve">Spear Motors  </v>
      </c>
      <c r="H6" s="64"/>
      <c r="J6" s="2" t="s">
        <v>21</v>
      </c>
      <c r="K6" s="63" t="str">
        <f>'04.08 URA-Spear Motors'!K6:L6</f>
        <v>Nusurah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URA-Spear Motors'!C10,'30.07 URA-Spear Motors'!C10,'31.07 URA-Spear Motors'!C10,'02.08 URA-Spear Motors'!C10,'01.08 URA-Spear Motors-24h'!C10,'03.08 URA-Spear Motors-24h'!C10,'04.08 URA-Spear Motors'!C10)</f>
        <v>24.571428571428573</v>
      </c>
      <c r="D10" s="49">
        <f>AVERAGE('29.07 URA-Spear Motors'!D10,'30.07 URA-Spear Motors'!D10,'31.07 URA-Spear Motors'!D10,'02.08 URA-Spear Motors'!D10,'01.08 URA-Spear Motors-24h'!D10,'03.08 URA-Spear Motors-24h'!D10,'04.08 URA-Spear Motors'!D10)</f>
        <v>5.4285714285714288</v>
      </c>
      <c r="E10" s="49">
        <f>AVERAGE('29.07 URA-Spear Motors'!E10,'30.07 URA-Spear Motors'!E10,'31.07 URA-Spear Motors'!E10,'02.08 URA-Spear Motors'!E10,'01.08 URA-Spear Motors-24h'!E10,'03.08 URA-Spear Motors-24h'!E10,'04.08 URA-Spear Motors'!E10)</f>
        <v>5.1428571428571432</v>
      </c>
      <c r="F10" s="49">
        <f>AVERAGE('29.07 URA-Spear Motors'!F10,'30.07 URA-Spear Motors'!F10,'31.07 URA-Spear Motors'!F10,'02.08 URA-Spear Motors'!F10,'01.08 URA-Spear Motors-24h'!F10,'03.08 URA-Spear Motors-24h'!F10,'04.08 URA-Spear Motors'!F10)</f>
        <v>7.1428571428571432</v>
      </c>
      <c r="G10" s="49">
        <f>AVERAGE('29.07 URA-Spear Motors'!G10,'30.07 URA-Spear Motors'!G10,'31.07 URA-Spear Motors'!G10,'02.08 URA-Spear Motors'!G10,'01.08 URA-Spear Motors-24h'!G10,'03.08 URA-Spear Motors-24h'!G10,'04.08 URA-Spear Motors'!G10)</f>
        <v>0.7142857142857143</v>
      </c>
      <c r="H10" s="49">
        <f>AVERAGE('29.07 URA-Spear Motors'!H10,'30.07 URA-Spear Motors'!H10,'31.07 URA-Spear Motors'!H10,'02.08 URA-Spear Motors'!H10,'01.08 URA-Spear Motors-24h'!H10,'03.08 URA-Spear Motors-24h'!H10,'04.08 URA-Spear Motors'!H10)</f>
        <v>0</v>
      </c>
      <c r="I10" s="49">
        <f>AVERAGE('29.07 URA-Spear Motors'!I10,'30.07 URA-Spear Motors'!I10,'31.07 URA-Spear Motors'!I10,'02.08 URA-Spear Motors'!I10,'01.08 URA-Spear Motors-24h'!I10,'03.08 URA-Spear Motors-24h'!I10,'04.08 URA-Spear Motors'!I10)</f>
        <v>3.2857142857142856</v>
      </c>
      <c r="J10" s="49">
        <f>AVERAGE('29.07 URA-Spear Motors'!J10,'30.07 URA-Spear Motors'!J10,'31.07 URA-Spear Motors'!J10,'02.08 URA-Spear Motors'!J10,'01.08 URA-Spear Motors-24h'!J10,'03.08 URA-Spear Motors-24h'!J10,'04.08 URA-Spear Motors'!J10)</f>
        <v>0.14285714285714285</v>
      </c>
      <c r="K10" s="49">
        <f>AVERAGE('29.07 URA-Spear Motors'!K10,'30.07 URA-Spear Motors'!K10,'31.07 URA-Spear Motors'!K10,'02.08 URA-Spear Motors'!K10,'01.08 URA-Spear Motors-24h'!K10,'03.08 URA-Spear Motors-24h'!K10,'04.08 URA-Spear Motors'!K10)</f>
        <v>0.2857142857142857</v>
      </c>
      <c r="L10" s="49">
        <f>AVERAGE('29.07 URA-Spear Motors'!L10,'30.07 URA-Spear Motors'!L10,'31.07 URA-Spear Motors'!L10,'02.08 URA-Spear Motors'!L10,'01.08 URA-Spear Motors-24h'!L10,'03.08 URA-Spear Motors-24h'!L10,'04.08 URA-Spear Motors'!L10)</f>
        <v>0.5714285714285714</v>
      </c>
      <c r="M10" s="49">
        <f>AVERAGE('29.07 URA-Spear Motors'!M10,'30.07 URA-Spear Motors'!M10,'31.07 URA-Spear Motors'!M10,'02.08 URA-Spear Motors'!M10,'01.08 URA-Spear Motors-24h'!M10,'03.08 URA-Spear Motors-24h'!M10,'04.08 URA-Spear Motors'!M10)</f>
        <v>65.428571428571431</v>
      </c>
      <c r="N10" s="49">
        <f>AVERAGE('29.07 URA-Spear Motors'!N10,'30.07 URA-Spear Motors'!N10,'31.07 URA-Spear Motors'!N10,'02.08 URA-Spear Motors'!N10,'01.08 URA-Spear Motors-24h'!N10,'03.08 URA-Spear Motors-24h'!N10,'04.08 URA-Spear Motors'!N10)</f>
        <v>0</v>
      </c>
      <c r="O10" s="15">
        <f t="shared" ref="O10:O73" si="0">SUM(C10:L10,N10)</f>
        <v>47.285714285714292</v>
      </c>
      <c r="P10" s="15">
        <f t="shared" ref="P10:P73" si="1">SUM(C10:N10)</f>
        <v>112.71428571428572</v>
      </c>
      <c r="R10" s="1" t="s">
        <v>6</v>
      </c>
      <c r="S10" s="17">
        <f t="shared" ref="S10:AF10" si="2">SUM(C10:C13)</f>
        <v>111.28571428571429</v>
      </c>
      <c r="T10" s="17">
        <f t="shared" si="2"/>
        <v>22</v>
      </c>
      <c r="U10" s="17">
        <f t="shared" si="2"/>
        <v>19.857142857142858</v>
      </c>
      <c r="V10" s="17">
        <f t="shared" si="2"/>
        <v>34.857142857142854</v>
      </c>
      <c r="W10" s="17">
        <f t="shared" si="2"/>
        <v>3</v>
      </c>
      <c r="X10" s="17">
        <f t="shared" si="2"/>
        <v>0.42857142857142855</v>
      </c>
      <c r="Y10" s="17">
        <f t="shared" si="2"/>
        <v>14</v>
      </c>
      <c r="Z10" s="17">
        <f t="shared" si="2"/>
        <v>1.5714285714285714</v>
      </c>
      <c r="AA10" s="17">
        <f t="shared" si="2"/>
        <v>0.8571428571428571</v>
      </c>
      <c r="AB10" s="17">
        <f t="shared" si="2"/>
        <v>1.4285714285714284</v>
      </c>
      <c r="AC10" s="17">
        <f t="shared" si="2"/>
        <v>396.42857142857144</v>
      </c>
      <c r="AD10" s="17">
        <f t="shared" si="2"/>
        <v>0</v>
      </c>
      <c r="AE10" s="31">
        <f t="shared" si="2"/>
        <v>209.28571428571431</v>
      </c>
      <c r="AF10" s="31">
        <f t="shared" si="2"/>
        <v>605.71428571428578</v>
      </c>
    </row>
    <row r="11" spans="2:32" s="6" customFormat="1" ht="23.1" customHeight="1" x14ac:dyDescent="0.25">
      <c r="B11" s="23" t="s">
        <v>38</v>
      </c>
      <c r="C11" s="49">
        <f>AVERAGE('29.07 URA-Spear Motors'!C11,'30.07 URA-Spear Motors'!C11,'31.07 URA-Spear Motors'!C11,'02.08 URA-Spear Motors'!C11,'01.08 URA-Spear Motors-24h'!C11,'03.08 URA-Spear Motors-24h'!C11,'04.08 URA-Spear Motors'!C11)</f>
        <v>26.142857142857142</v>
      </c>
      <c r="D11" s="49">
        <f>AVERAGE('29.07 URA-Spear Motors'!D11,'30.07 URA-Spear Motors'!D11,'31.07 URA-Spear Motors'!D11,'02.08 URA-Spear Motors'!D11,'01.08 URA-Spear Motors-24h'!D11,'03.08 URA-Spear Motors-24h'!D11,'04.08 URA-Spear Motors'!D11)</f>
        <v>5</v>
      </c>
      <c r="E11" s="49">
        <f>AVERAGE('29.07 URA-Spear Motors'!E11,'30.07 URA-Spear Motors'!E11,'31.07 URA-Spear Motors'!E11,'02.08 URA-Spear Motors'!E11,'01.08 URA-Spear Motors-24h'!E11,'03.08 URA-Spear Motors-24h'!E11,'04.08 URA-Spear Motors'!E11)</f>
        <v>3.8571428571428572</v>
      </c>
      <c r="F11" s="49">
        <f>AVERAGE('29.07 URA-Spear Motors'!F11,'30.07 URA-Spear Motors'!F11,'31.07 URA-Spear Motors'!F11,'02.08 URA-Spear Motors'!F11,'01.08 URA-Spear Motors-24h'!F11,'03.08 URA-Spear Motors-24h'!F11,'04.08 URA-Spear Motors'!F11)</f>
        <v>8.8571428571428577</v>
      </c>
      <c r="G11" s="49">
        <f>AVERAGE('29.07 URA-Spear Motors'!G11,'30.07 URA-Spear Motors'!G11,'31.07 URA-Spear Motors'!G11,'02.08 URA-Spear Motors'!G11,'01.08 URA-Spear Motors-24h'!G11,'03.08 URA-Spear Motors-24h'!G11,'04.08 URA-Spear Motors'!G11)</f>
        <v>0.2857142857142857</v>
      </c>
      <c r="H11" s="49">
        <f>AVERAGE('29.07 URA-Spear Motors'!H11,'30.07 URA-Spear Motors'!H11,'31.07 URA-Spear Motors'!H11,'02.08 URA-Spear Motors'!H11,'01.08 URA-Spear Motors-24h'!H11,'03.08 URA-Spear Motors-24h'!H11,'04.08 URA-Spear Motors'!H11)</f>
        <v>0</v>
      </c>
      <c r="I11" s="49">
        <f>AVERAGE('29.07 URA-Spear Motors'!I11,'30.07 URA-Spear Motors'!I11,'31.07 URA-Spear Motors'!I11,'02.08 URA-Spear Motors'!I11,'01.08 URA-Spear Motors-24h'!I11,'03.08 URA-Spear Motors-24h'!I11,'04.08 URA-Spear Motors'!I11)</f>
        <v>4.7142857142857144</v>
      </c>
      <c r="J11" s="49">
        <f>AVERAGE('29.07 URA-Spear Motors'!J11,'30.07 URA-Spear Motors'!J11,'31.07 URA-Spear Motors'!J11,'02.08 URA-Spear Motors'!J11,'01.08 URA-Spear Motors-24h'!J11,'03.08 URA-Spear Motors-24h'!J11,'04.08 URA-Spear Motors'!J11)</f>
        <v>0.42857142857142855</v>
      </c>
      <c r="K11" s="49">
        <f>AVERAGE('29.07 URA-Spear Motors'!K11,'30.07 URA-Spear Motors'!K11,'31.07 URA-Spear Motors'!K11,'02.08 URA-Spear Motors'!K11,'01.08 URA-Spear Motors-24h'!K11,'03.08 URA-Spear Motors-24h'!K11,'04.08 URA-Spear Motors'!K11)</f>
        <v>0</v>
      </c>
      <c r="L11" s="49">
        <f>AVERAGE('29.07 URA-Spear Motors'!L11,'30.07 URA-Spear Motors'!L11,'31.07 URA-Spear Motors'!L11,'02.08 URA-Spear Motors'!L11,'01.08 URA-Spear Motors-24h'!L11,'03.08 URA-Spear Motors-24h'!L11,'04.08 URA-Spear Motors'!L11)</f>
        <v>0.42857142857142855</v>
      </c>
      <c r="M11" s="49">
        <f>AVERAGE('29.07 URA-Spear Motors'!M11,'30.07 URA-Spear Motors'!M11,'31.07 URA-Spear Motors'!M11,'02.08 URA-Spear Motors'!M11,'01.08 URA-Spear Motors-24h'!M11,'03.08 URA-Spear Motors-24h'!M11,'04.08 URA-Spear Motors'!M11)</f>
        <v>73.285714285714292</v>
      </c>
      <c r="N11" s="49">
        <f>AVERAGE('29.07 URA-Spear Motors'!N11,'30.07 URA-Spear Motors'!N11,'31.07 URA-Spear Motors'!N11,'02.08 URA-Spear Motors'!N11,'01.08 URA-Spear Motors-24h'!N11,'03.08 URA-Spear Motors-24h'!N11,'04.08 URA-Spear Motors'!N11)</f>
        <v>0</v>
      </c>
      <c r="O11" s="15">
        <f t="shared" si="0"/>
        <v>49.714285714285722</v>
      </c>
      <c r="P11" s="15">
        <f t="shared" si="1"/>
        <v>123.00000000000001</v>
      </c>
      <c r="R11" s="1" t="s">
        <v>7</v>
      </c>
      <c r="S11" s="17">
        <f t="shared" ref="S11:AF11" si="3">SUM(C14:C17)</f>
        <v>138.57142857142856</v>
      </c>
      <c r="T11" s="17">
        <f t="shared" si="3"/>
        <v>27.428571428571431</v>
      </c>
      <c r="U11" s="17">
        <f t="shared" si="3"/>
        <v>19.714285714285715</v>
      </c>
      <c r="V11" s="17">
        <f t="shared" si="3"/>
        <v>32.142857142857139</v>
      </c>
      <c r="W11" s="17">
        <f t="shared" si="3"/>
        <v>4.7142857142857144</v>
      </c>
      <c r="X11" s="17">
        <f t="shared" si="3"/>
        <v>0.2857142857142857</v>
      </c>
      <c r="Y11" s="17">
        <f t="shared" si="3"/>
        <v>18.428571428571431</v>
      </c>
      <c r="Z11" s="17">
        <f t="shared" si="3"/>
        <v>2.2857142857142856</v>
      </c>
      <c r="AA11" s="17">
        <f t="shared" si="3"/>
        <v>2.4285714285714288</v>
      </c>
      <c r="AB11" s="17">
        <f t="shared" si="3"/>
        <v>3.2857142857142856</v>
      </c>
      <c r="AC11" s="17">
        <f t="shared" si="3"/>
        <v>475.85714285714283</v>
      </c>
      <c r="AD11" s="17">
        <f t="shared" si="3"/>
        <v>0</v>
      </c>
      <c r="AE11" s="31">
        <f t="shared" si="3"/>
        <v>249.28571428571428</v>
      </c>
      <c r="AF11" s="31">
        <f t="shared" si="3"/>
        <v>725.14285714285711</v>
      </c>
    </row>
    <row r="12" spans="2:32" ht="23.1" customHeight="1" x14ac:dyDescent="0.25">
      <c r="B12" s="23" t="s">
        <v>39</v>
      </c>
      <c r="C12" s="49">
        <f>AVERAGE('29.07 URA-Spear Motors'!C12,'30.07 URA-Spear Motors'!C12,'31.07 URA-Spear Motors'!C12,'02.08 URA-Spear Motors'!C12,'01.08 URA-Spear Motors-24h'!C12,'03.08 URA-Spear Motors-24h'!C12,'04.08 URA-Spear Motors'!C12)</f>
        <v>25.571428571428573</v>
      </c>
      <c r="D12" s="49">
        <f>AVERAGE('29.07 URA-Spear Motors'!D12,'30.07 URA-Spear Motors'!D12,'31.07 URA-Spear Motors'!D12,'02.08 URA-Spear Motors'!D12,'01.08 URA-Spear Motors-24h'!D12,'03.08 URA-Spear Motors-24h'!D12,'04.08 URA-Spear Motors'!D12)</f>
        <v>6</v>
      </c>
      <c r="E12" s="49">
        <f>AVERAGE('29.07 URA-Spear Motors'!E12,'30.07 URA-Spear Motors'!E12,'31.07 URA-Spear Motors'!E12,'02.08 URA-Spear Motors'!E12,'01.08 URA-Spear Motors-24h'!E12,'03.08 URA-Spear Motors-24h'!E12,'04.08 URA-Spear Motors'!E12)</f>
        <v>4.1428571428571432</v>
      </c>
      <c r="F12" s="49">
        <f>AVERAGE('29.07 URA-Spear Motors'!F12,'30.07 URA-Spear Motors'!F12,'31.07 URA-Spear Motors'!F12,'02.08 URA-Spear Motors'!F12,'01.08 URA-Spear Motors-24h'!F12,'03.08 URA-Spear Motors-24h'!F12,'04.08 URA-Spear Motors'!F12)</f>
        <v>9.2857142857142865</v>
      </c>
      <c r="G12" s="49">
        <f>AVERAGE('29.07 URA-Spear Motors'!G12,'30.07 URA-Spear Motors'!G12,'31.07 URA-Spear Motors'!G12,'02.08 URA-Spear Motors'!G12,'01.08 URA-Spear Motors-24h'!G12,'03.08 URA-Spear Motors-24h'!G12,'04.08 URA-Spear Motors'!G12)</f>
        <v>0.8571428571428571</v>
      </c>
      <c r="H12" s="49">
        <f>AVERAGE('29.07 URA-Spear Motors'!H12,'30.07 URA-Spear Motors'!H12,'31.07 URA-Spear Motors'!H12,'02.08 URA-Spear Motors'!H12,'01.08 URA-Spear Motors-24h'!H12,'03.08 URA-Spear Motors-24h'!H12,'04.08 URA-Spear Motors'!H12)</f>
        <v>0.14285714285714285</v>
      </c>
      <c r="I12" s="49">
        <f>AVERAGE('29.07 URA-Spear Motors'!I12,'30.07 URA-Spear Motors'!I12,'31.07 URA-Spear Motors'!I12,'02.08 URA-Spear Motors'!I12,'01.08 URA-Spear Motors-24h'!I12,'03.08 URA-Spear Motors-24h'!I12,'04.08 URA-Spear Motors'!I12)</f>
        <v>2.8571428571428572</v>
      </c>
      <c r="J12" s="49">
        <f>AVERAGE('29.07 URA-Spear Motors'!J12,'30.07 URA-Spear Motors'!J12,'31.07 URA-Spear Motors'!J12,'02.08 URA-Spear Motors'!J12,'01.08 URA-Spear Motors-24h'!J12,'03.08 URA-Spear Motors-24h'!J12,'04.08 URA-Spear Motors'!J12)</f>
        <v>0.42857142857142855</v>
      </c>
      <c r="K12" s="49">
        <f>AVERAGE('29.07 URA-Spear Motors'!K12,'30.07 URA-Spear Motors'!K12,'31.07 URA-Spear Motors'!K12,'02.08 URA-Spear Motors'!K12,'01.08 URA-Spear Motors-24h'!K12,'03.08 URA-Spear Motors-24h'!K12,'04.08 URA-Spear Motors'!K12)</f>
        <v>0.14285714285714285</v>
      </c>
      <c r="L12" s="49">
        <f>AVERAGE('29.07 URA-Spear Motors'!L12,'30.07 URA-Spear Motors'!L12,'31.07 URA-Spear Motors'!L12,'02.08 URA-Spear Motors'!L12,'01.08 URA-Spear Motors-24h'!L12,'03.08 URA-Spear Motors-24h'!L12,'04.08 URA-Spear Motors'!L12)</f>
        <v>0.14285714285714285</v>
      </c>
      <c r="M12" s="49">
        <f>AVERAGE('29.07 URA-Spear Motors'!M12,'30.07 URA-Spear Motors'!M12,'31.07 URA-Spear Motors'!M12,'02.08 URA-Spear Motors'!M12,'01.08 URA-Spear Motors-24h'!M12,'03.08 URA-Spear Motors-24h'!M12,'04.08 URA-Spear Motors'!M12)</f>
        <v>115.85714285714286</v>
      </c>
      <c r="N12" s="49">
        <f>AVERAGE('29.07 URA-Spear Motors'!N12,'30.07 URA-Spear Motors'!N12,'31.07 URA-Spear Motors'!N12,'02.08 URA-Spear Motors'!N12,'01.08 URA-Spear Motors-24h'!N12,'03.08 URA-Spear Motors-24h'!N12,'04.08 URA-Spear Motors'!N12)</f>
        <v>0</v>
      </c>
      <c r="O12" s="15">
        <f t="shared" si="0"/>
        <v>49.571428571428577</v>
      </c>
      <c r="P12" s="15">
        <f t="shared" si="1"/>
        <v>165.42857142857144</v>
      </c>
      <c r="R12" s="1" t="s">
        <v>8</v>
      </c>
      <c r="S12" s="17">
        <f t="shared" ref="S12:AF12" si="4">SUM(C18:C21)</f>
        <v>157.14285714285714</v>
      </c>
      <c r="T12" s="17">
        <f t="shared" si="4"/>
        <v>29</v>
      </c>
      <c r="U12" s="17">
        <f t="shared" si="4"/>
        <v>25.142857142857146</v>
      </c>
      <c r="V12" s="17">
        <f t="shared" si="4"/>
        <v>39.142857142857139</v>
      </c>
      <c r="W12" s="17">
        <f t="shared" si="4"/>
        <v>3.7142857142857144</v>
      </c>
      <c r="X12" s="17">
        <f t="shared" si="4"/>
        <v>2.1428571428571428</v>
      </c>
      <c r="Y12" s="17">
        <f t="shared" si="4"/>
        <v>17.857142857142858</v>
      </c>
      <c r="Z12" s="17">
        <f t="shared" si="4"/>
        <v>8.1428571428571441</v>
      </c>
      <c r="AA12" s="17">
        <f t="shared" si="4"/>
        <v>2.714285714285714</v>
      </c>
      <c r="AB12" s="17">
        <f t="shared" si="4"/>
        <v>6.1428571428571423</v>
      </c>
      <c r="AC12" s="17">
        <f t="shared" si="4"/>
        <v>434.71428571428572</v>
      </c>
      <c r="AD12" s="17">
        <f t="shared" si="4"/>
        <v>0.14285714285714285</v>
      </c>
      <c r="AE12" s="31">
        <f t="shared" si="4"/>
        <v>291.28571428571433</v>
      </c>
      <c r="AF12" s="31">
        <f t="shared" si="4"/>
        <v>726</v>
      </c>
    </row>
    <row r="13" spans="2:32" ht="23.1" customHeight="1" x14ac:dyDescent="0.25">
      <c r="B13" s="23" t="s">
        <v>40</v>
      </c>
      <c r="C13" s="49">
        <f>AVERAGE('29.07 URA-Spear Motors'!C13,'30.07 URA-Spear Motors'!C13,'31.07 URA-Spear Motors'!C13,'02.08 URA-Spear Motors'!C13,'01.08 URA-Spear Motors-24h'!C13,'03.08 URA-Spear Motors-24h'!C13,'04.08 URA-Spear Motors'!C13)</f>
        <v>35</v>
      </c>
      <c r="D13" s="49">
        <f>AVERAGE('29.07 URA-Spear Motors'!D13,'30.07 URA-Spear Motors'!D13,'31.07 URA-Spear Motors'!D13,'02.08 URA-Spear Motors'!D13,'01.08 URA-Spear Motors-24h'!D13,'03.08 URA-Spear Motors-24h'!D13,'04.08 URA-Spear Motors'!D13)</f>
        <v>5.5714285714285712</v>
      </c>
      <c r="E13" s="49">
        <f>AVERAGE('29.07 URA-Spear Motors'!E13,'30.07 URA-Spear Motors'!E13,'31.07 URA-Spear Motors'!E13,'02.08 URA-Spear Motors'!E13,'01.08 URA-Spear Motors-24h'!E13,'03.08 URA-Spear Motors-24h'!E13,'04.08 URA-Spear Motors'!E13)</f>
        <v>6.7142857142857144</v>
      </c>
      <c r="F13" s="49">
        <f>AVERAGE('29.07 URA-Spear Motors'!F13,'30.07 URA-Spear Motors'!F13,'31.07 URA-Spear Motors'!F13,'02.08 URA-Spear Motors'!F13,'01.08 URA-Spear Motors-24h'!F13,'03.08 URA-Spear Motors-24h'!F13,'04.08 URA-Spear Motors'!F13)</f>
        <v>9.5714285714285712</v>
      </c>
      <c r="G13" s="49">
        <f>AVERAGE('29.07 URA-Spear Motors'!G13,'30.07 URA-Spear Motors'!G13,'31.07 URA-Spear Motors'!G13,'02.08 URA-Spear Motors'!G13,'01.08 URA-Spear Motors-24h'!G13,'03.08 URA-Spear Motors-24h'!G13,'04.08 URA-Spear Motors'!G13)</f>
        <v>1.1428571428571428</v>
      </c>
      <c r="H13" s="49">
        <f>AVERAGE('29.07 URA-Spear Motors'!H13,'30.07 URA-Spear Motors'!H13,'31.07 URA-Spear Motors'!H13,'02.08 URA-Spear Motors'!H13,'01.08 URA-Spear Motors-24h'!H13,'03.08 URA-Spear Motors-24h'!H13,'04.08 URA-Spear Motors'!H13)</f>
        <v>0.2857142857142857</v>
      </c>
      <c r="I13" s="49">
        <f>AVERAGE('29.07 URA-Spear Motors'!I13,'30.07 URA-Spear Motors'!I13,'31.07 URA-Spear Motors'!I13,'02.08 URA-Spear Motors'!I13,'01.08 URA-Spear Motors-24h'!I13,'03.08 URA-Spear Motors-24h'!I13,'04.08 URA-Spear Motors'!I13)</f>
        <v>3.1428571428571428</v>
      </c>
      <c r="J13" s="49">
        <f>AVERAGE('29.07 URA-Spear Motors'!J13,'30.07 URA-Spear Motors'!J13,'31.07 URA-Spear Motors'!J13,'02.08 URA-Spear Motors'!J13,'01.08 URA-Spear Motors-24h'!J13,'03.08 URA-Spear Motors-24h'!J13,'04.08 URA-Spear Motors'!J13)</f>
        <v>0.5714285714285714</v>
      </c>
      <c r="K13" s="49">
        <f>AVERAGE('29.07 URA-Spear Motors'!K13,'30.07 URA-Spear Motors'!K13,'31.07 URA-Spear Motors'!K13,'02.08 URA-Spear Motors'!K13,'01.08 URA-Spear Motors-24h'!K13,'03.08 URA-Spear Motors-24h'!K13,'04.08 URA-Spear Motors'!K13)</f>
        <v>0.42857142857142855</v>
      </c>
      <c r="L13" s="49">
        <f>AVERAGE('29.07 URA-Spear Motors'!L13,'30.07 URA-Spear Motors'!L13,'31.07 URA-Spear Motors'!L13,'02.08 URA-Spear Motors'!L13,'01.08 URA-Spear Motors-24h'!L13,'03.08 URA-Spear Motors-24h'!L13,'04.08 URA-Spear Motors'!L13)</f>
        <v>0.2857142857142857</v>
      </c>
      <c r="M13" s="49">
        <f>AVERAGE('29.07 URA-Spear Motors'!M13,'30.07 URA-Spear Motors'!M13,'31.07 URA-Spear Motors'!M13,'02.08 URA-Spear Motors'!M13,'01.08 URA-Spear Motors-24h'!M13,'03.08 URA-Spear Motors-24h'!M13,'04.08 URA-Spear Motors'!M13)</f>
        <v>141.85714285714286</v>
      </c>
      <c r="N13" s="49">
        <f>AVERAGE('29.07 URA-Spear Motors'!N13,'30.07 URA-Spear Motors'!N13,'31.07 URA-Spear Motors'!N13,'02.08 URA-Spear Motors'!N13,'01.08 URA-Spear Motors-24h'!N13,'03.08 URA-Spear Motors-24h'!N13,'04.08 URA-Spear Motors'!N13)</f>
        <v>0</v>
      </c>
      <c r="O13" s="15">
        <f t="shared" si="0"/>
        <v>62.714285714285715</v>
      </c>
      <c r="P13" s="15">
        <f t="shared" si="1"/>
        <v>204.57142857142858</v>
      </c>
      <c r="R13" s="1" t="s">
        <v>9</v>
      </c>
      <c r="S13" s="17">
        <f t="shared" ref="S13:AF13" si="5">SUM(C22:C25)</f>
        <v>138.42857142857142</v>
      </c>
      <c r="T13" s="17">
        <f t="shared" si="5"/>
        <v>26.857142857142854</v>
      </c>
      <c r="U13" s="17">
        <f t="shared" si="5"/>
        <v>23.857142857142858</v>
      </c>
      <c r="V13" s="17">
        <f t="shared" si="5"/>
        <v>33.285714285714285</v>
      </c>
      <c r="W13" s="17">
        <f t="shared" si="5"/>
        <v>2.5714285714285712</v>
      </c>
      <c r="X13" s="17">
        <f t="shared" si="5"/>
        <v>0.5714285714285714</v>
      </c>
      <c r="Y13" s="17">
        <f t="shared" si="5"/>
        <v>19.857142857142854</v>
      </c>
      <c r="Z13" s="17">
        <f t="shared" si="5"/>
        <v>5.5714285714285721</v>
      </c>
      <c r="AA13" s="17">
        <f t="shared" si="5"/>
        <v>2.4285714285714284</v>
      </c>
      <c r="AB13" s="17">
        <f t="shared" si="5"/>
        <v>9.2857142857142865</v>
      </c>
      <c r="AC13" s="17">
        <f t="shared" si="5"/>
        <v>380</v>
      </c>
      <c r="AD13" s="17">
        <f t="shared" si="5"/>
        <v>0</v>
      </c>
      <c r="AE13" s="31">
        <f t="shared" si="5"/>
        <v>262.71428571428572</v>
      </c>
      <c r="AF13" s="31">
        <f t="shared" si="5"/>
        <v>642.71428571428578</v>
      </c>
    </row>
    <row r="14" spans="2:32" ht="23.1" customHeight="1" x14ac:dyDescent="0.25">
      <c r="B14" s="23" t="s">
        <v>41</v>
      </c>
      <c r="C14" s="49">
        <f>AVERAGE('29.07 URA-Spear Motors'!C14,'30.07 URA-Spear Motors'!C14,'31.07 URA-Spear Motors'!C14,'02.08 URA-Spear Motors'!C14,'01.08 URA-Spear Motors-24h'!C14,'03.08 URA-Spear Motors-24h'!C14,'04.08 URA-Spear Motors'!C14)</f>
        <v>29.571428571428573</v>
      </c>
      <c r="D14" s="49">
        <f>AVERAGE('29.07 URA-Spear Motors'!D14,'30.07 URA-Spear Motors'!D14,'31.07 URA-Spear Motors'!D14,'02.08 URA-Spear Motors'!D14,'01.08 URA-Spear Motors-24h'!D14,'03.08 URA-Spear Motors-24h'!D14,'04.08 URA-Spear Motors'!D14)</f>
        <v>5.8571428571428568</v>
      </c>
      <c r="E14" s="49">
        <f>AVERAGE('29.07 URA-Spear Motors'!E14,'30.07 URA-Spear Motors'!E14,'31.07 URA-Spear Motors'!E14,'02.08 URA-Spear Motors'!E14,'01.08 URA-Spear Motors-24h'!E14,'03.08 URA-Spear Motors-24h'!E14,'04.08 URA-Spear Motors'!E14)</f>
        <v>4.1428571428571432</v>
      </c>
      <c r="F14" s="49">
        <f>AVERAGE('29.07 URA-Spear Motors'!F14,'30.07 URA-Spear Motors'!F14,'31.07 URA-Spear Motors'!F14,'02.08 URA-Spear Motors'!F14,'01.08 URA-Spear Motors-24h'!F14,'03.08 URA-Spear Motors-24h'!F14,'04.08 URA-Spear Motors'!F14)</f>
        <v>8.5714285714285712</v>
      </c>
      <c r="G14" s="49">
        <f>AVERAGE('29.07 URA-Spear Motors'!G14,'30.07 URA-Spear Motors'!G14,'31.07 URA-Spear Motors'!G14,'02.08 URA-Spear Motors'!G14,'01.08 URA-Spear Motors-24h'!G14,'03.08 URA-Spear Motors-24h'!G14,'04.08 URA-Spear Motors'!G14)</f>
        <v>1</v>
      </c>
      <c r="H14" s="49">
        <f>AVERAGE('29.07 URA-Spear Motors'!H14,'30.07 URA-Spear Motors'!H14,'31.07 URA-Spear Motors'!H14,'02.08 URA-Spear Motors'!H14,'01.08 URA-Spear Motors-24h'!H14,'03.08 URA-Spear Motors-24h'!H14,'04.08 URA-Spear Motors'!H14)</f>
        <v>0</v>
      </c>
      <c r="I14" s="49">
        <f>AVERAGE('29.07 URA-Spear Motors'!I14,'30.07 URA-Spear Motors'!I14,'31.07 URA-Spear Motors'!I14,'02.08 URA-Spear Motors'!I14,'01.08 URA-Spear Motors-24h'!I14,'03.08 URA-Spear Motors-24h'!I14,'04.08 URA-Spear Motors'!I14)</f>
        <v>3.1428571428571428</v>
      </c>
      <c r="J14" s="49">
        <f>AVERAGE('29.07 URA-Spear Motors'!J14,'30.07 URA-Spear Motors'!J14,'31.07 URA-Spear Motors'!J14,'02.08 URA-Spear Motors'!J14,'01.08 URA-Spear Motors-24h'!J14,'03.08 URA-Spear Motors-24h'!J14,'04.08 URA-Spear Motors'!J14)</f>
        <v>0.7142857142857143</v>
      </c>
      <c r="K14" s="49">
        <f>AVERAGE('29.07 URA-Spear Motors'!K14,'30.07 URA-Spear Motors'!K14,'31.07 URA-Spear Motors'!K14,'02.08 URA-Spear Motors'!K14,'01.08 URA-Spear Motors-24h'!K14,'03.08 URA-Spear Motors-24h'!K14,'04.08 URA-Spear Motors'!K14)</f>
        <v>0.14285714285714285</v>
      </c>
      <c r="L14" s="49">
        <f>AVERAGE('29.07 URA-Spear Motors'!L14,'30.07 URA-Spear Motors'!L14,'31.07 URA-Spear Motors'!L14,'02.08 URA-Spear Motors'!L14,'01.08 URA-Spear Motors-24h'!L14,'03.08 URA-Spear Motors-24h'!L14,'04.08 URA-Spear Motors'!L14)</f>
        <v>0.7142857142857143</v>
      </c>
      <c r="M14" s="49">
        <f>AVERAGE('29.07 URA-Spear Motors'!M14,'30.07 URA-Spear Motors'!M14,'31.07 URA-Spear Motors'!M14,'02.08 URA-Spear Motors'!M14,'01.08 URA-Spear Motors-24h'!M14,'03.08 URA-Spear Motors-24h'!M14,'04.08 URA-Spear Motors'!M14)</f>
        <v>122.71428571428571</v>
      </c>
      <c r="N14" s="49">
        <f>AVERAGE('29.07 URA-Spear Motors'!N14,'30.07 URA-Spear Motors'!N14,'31.07 URA-Spear Motors'!N14,'02.08 URA-Spear Motors'!N14,'01.08 URA-Spear Motors-24h'!N14,'03.08 URA-Spear Motors-24h'!N14,'04.08 URA-Spear Motors'!N14)</f>
        <v>0</v>
      </c>
      <c r="O14" s="15">
        <f t="shared" si="0"/>
        <v>53.857142857142868</v>
      </c>
      <c r="P14" s="15">
        <f t="shared" si="1"/>
        <v>176.57142857142858</v>
      </c>
      <c r="R14" s="1" t="s">
        <v>10</v>
      </c>
      <c r="S14" s="17">
        <f t="shared" ref="S14:AF14" si="6">SUM(C26:C29)</f>
        <v>142.71428571428572</v>
      </c>
      <c r="T14" s="17">
        <f t="shared" si="6"/>
        <v>31.714285714285715</v>
      </c>
      <c r="U14" s="17">
        <f t="shared" si="6"/>
        <v>23.142857142857142</v>
      </c>
      <c r="V14" s="17">
        <f t="shared" si="6"/>
        <v>30.571428571428569</v>
      </c>
      <c r="W14" s="17">
        <f t="shared" si="6"/>
        <v>1.4285714285714284</v>
      </c>
      <c r="X14" s="17">
        <f t="shared" si="6"/>
        <v>0.2857142857142857</v>
      </c>
      <c r="Y14" s="17">
        <f t="shared" si="6"/>
        <v>17.142857142857146</v>
      </c>
      <c r="Z14" s="17">
        <f t="shared" si="6"/>
        <v>5.4285714285714288</v>
      </c>
      <c r="AA14" s="17">
        <f t="shared" si="6"/>
        <v>5.4285714285714279</v>
      </c>
      <c r="AB14" s="17">
        <f t="shared" si="6"/>
        <v>3.5714285714285712</v>
      </c>
      <c r="AC14" s="17">
        <f t="shared" si="6"/>
        <v>329.85714285714283</v>
      </c>
      <c r="AD14" s="17">
        <f t="shared" si="6"/>
        <v>0</v>
      </c>
      <c r="AE14" s="31">
        <f t="shared" si="6"/>
        <v>261.42857142857144</v>
      </c>
      <c r="AF14" s="31">
        <f t="shared" si="6"/>
        <v>591.28571428571422</v>
      </c>
    </row>
    <row r="15" spans="2:32" ht="23.1" customHeight="1" x14ac:dyDescent="0.25">
      <c r="B15" s="23" t="s">
        <v>42</v>
      </c>
      <c r="C15" s="49">
        <f>AVERAGE('29.07 URA-Spear Motors'!C15,'30.07 URA-Spear Motors'!C15,'31.07 URA-Spear Motors'!C15,'02.08 URA-Spear Motors'!C15,'01.08 URA-Spear Motors-24h'!C15,'03.08 URA-Spear Motors-24h'!C15,'04.08 URA-Spear Motors'!C15)</f>
        <v>35.285714285714285</v>
      </c>
      <c r="D15" s="49">
        <f>AVERAGE('29.07 URA-Spear Motors'!D15,'30.07 URA-Spear Motors'!D15,'31.07 URA-Spear Motors'!D15,'02.08 URA-Spear Motors'!D15,'01.08 URA-Spear Motors-24h'!D15,'03.08 URA-Spear Motors-24h'!D15,'04.08 URA-Spear Motors'!D15)</f>
        <v>8</v>
      </c>
      <c r="E15" s="49">
        <f>AVERAGE('29.07 URA-Spear Motors'!E15,'30.07 URA-Spear Motors'!E15,'31.07 URA-Spear Motors'!E15,'02.08 URA-Spear Motors'!E15,'01.08 URA-Spear Motors-24h'!E15,'03.08 URA-Spear Motors-24h'!E15,'04.08 URA-Spear Motors'!E15)</f>
        <v>5.1428571428571432</v>
      </c>
      <c r="F15" s="49">
        <f>AVERAGE('29.07 URA-Spear Motors'!F15,'30.07 URA-Spear Motors'!F15,'31.07 URA-Spear Motors'!F15,'02.08 URA-Spear Motors'!F15,'01.08 URA-Spear Motors-24h'!F15,'03.08 URA-Spear Motors-24h'!F15,'04.08 URA-Spear Motors'!F15)</f>
        <v>7.7142857142857144</v>
      </c>
      <c r="G15" s="49">
        <f>AVERAGE('29.07 URA-Spear Motors'!G15,'30.07 URA-Spear Motors'!G15,'31.07 URA-Spear Motors'!G15,'02.08 URA-Spear Motors'!G15,'01.08 URA-Spear Motors-24h'!G15,'03.08 URA-Spear Motors-24h'!G15,'04.08 URA-Spear Motors'!G15)</f>
        <v>0.8571428571428571</v>
      </c>
      <c r="H15" s="49">
        <f>AVERAGE('29.07 URA-Spear Motors'!H15,'30.07 URA-Spear Motors'!H15,'31.07 URA-Spear Motors'!H15,'02.08 URA-Spear Motors'!H15,'01.08 URA-Spear Motors-24h'!H15,'03.08 URA-Spear Motors-24h'!H15,'04.08 URA-Spear Motors'!H15)</f>
        <v>0</v>
      </c>
      <c r="I15" s="49">
        <f>AVERAGE('29.07 URA-Spear Motors'!I15,'30.07 URA-Spear Motors'!I15,'31.07 URA-Spear Motors'!I15,'02.08 URA-Spear Motors'!I15,'01.08 URA-Spear Motors-24h'!I15,'03.08 URA-Spear Motors-24h'!I15,'04.08 URA-Spear Motors'!I15)</f>
        <v>6</v>
      </c>
      <c r="J15" s="49">
        <f>AVERAGE('29.07 URA-Spear Motors'!J15,'30.07 URA-Spear Motors'!J15,'31.07 URA-Spear Motors'!J15,'02.08 URA-Spear Motors'!J15,'01.08 URA-Spear Motors-24h'!J15,'03.08 URA-Spear Motors-24h'!J15,'04.08 URA-Spear Motors'!J15)</f>
        <v>0.7142857142857143</v>
      </c>
      <c r="K15" s="49">
        <f>AVERAGE('29.07 URA-Spear Motors'!K15,'30.07 URA-Spear Motors'!K15,'31.07 URA-Spear Motors'!K15,'02.08 URA-Spear Motors'!K15,'01.08 URA-Spear Motors-24h'!K15,'03.08 URA-Spear Motors-24h'!K15,'04.08 URA-Spear Motors'!K15)</f>
        <v>0.7142857142857143</v>
      </c>
      <c r="L15" s="49">
        <f>AVERAGE('29.07 URA-Spear Motors'!L15,'30.07 URA-Spear Motors'!L15,'31.07 URA-Spear Motors'!L15,'02.08 URA-Spear Motors'!L15,'01.08 URA-Spear Motors-24h'!L15,'03.08 URA-Spear Motors-24h'!L15,'04.08 URA-Spear Motors'!L15)</f>
        <v>0.7142857142857143</v>
      </c>
      <c r="M15" s="49">
        <f>AVERAGE('29.07 URA-Spear Motors'!M15,'30.07 URA-Spear Motors'!M15,'31.07 URA-Spear Motors'!M15,'02.08 URA-Spear Motors'!M15,'01.08 URA-Spear Motors-24h'!M15,'03.08 URA-Spear Motors-24h'!M15,'04.08 URA-Spear Motors'!M15)</f>
        <v>125.57142857142857</v>
      </c>
      <c r="N15" s="49">
        <f>AVERAGE('29.07 URA-Spear Motors'!N15,'30.07 URA-Spear Motors'!N15,'31.07 URA-Spear Motors'!N15,'02.08 URA-Spear Motors'!N15,'01.08 URA-Spear Motors-24h'!N15,'03.08 URA-Spear Motors-24h'!N15,'04.08 URA-Spear Motors'!N15)</f>
        <v>0</v>
      </c>
      <c r="O15" s="15">
        <f t="shared" si="0"/>
        <v>65.142857142857139</v>
      </c>
      <c r="P15" s="15">
        <f t="shared" si="1"/>
        <v>190.71428571428572</v>
      </c>
      <c r="R15" s="1" t="s">
        <v>11</v>
      </c>
      <c r="S15" s="17">
        <f t="shared" ref="S15:AF15" si="7">SUM(C30:C33)</f>
        <v>145.42857142857144</v>
      </c>
      <c r="T15" s="17">
        <f t="shared" si="7"/>
        <v>29.714285714285715</v>
      </c>
      <c r="U15" s="17">
        <f t="shared" si="7"/>
        <v>21.285714285714285</v>
      </c>
      <c r="V15" s="17">
        <f t="shared" si="7"/>
        <v>20.428571428571431</v>
      </c>
      <c r="W15" s="17">
        <f t="shared" si="7"/>
        <v>1.1428571428571428</v>
      </c>
      <c r="X15" s="17">
        <f t="shared" si="7"/>
        <v>0</v>
      </c>
      <c r="Y15" s="17">
        <f t="shared" si="7"/>
        <v>20.142857142857142</v>
      </c>
      <c r="Z15" s="17">
        <f t="shared" si="7"/>
        <v>5.1428571428571432</v>
      </c>
      <c r="AA15" s="17">
        <f t="shared" si="7"/>
        <v>2.5714285714285712</v>
      </c>
      <c r="AB15" s="17">
        <f t="shared" si="7"/>
        <v>6.7142857142857135</v>
      </c>
      <c r="AC15" s="17">
        <f t="shared" si="7"/>
        <v>281.57142857142861</v>
      </c>
      <c r="AD15" s="17">
        <f t="shared" si="7"/>
        <v>0</v>
      </c>
      <c r="AE15" s="31">
        <f t="shared" si="7"/>
        <v>252.57142857142861</v>
      </c>
      <c r="AF15" s="31">
        <f t="shared" si="7"/>
        <v>534.14285714285722</v>
      </c>
    </row>
    <row r="16" spans="2:32" ht="23.1" customHeight="1" x14ac:dyDescent="0.25">
      <c r="B16" s="23" t="s">
        <v>43</v>
      </c>
      <c r="C16" s="49">
        <f>AVERAGE('29.07 URA-Spear Motors'!C16,'30.07 URA-Spear Motors'!C16,'31.07 URA-Spear Motors'!C16,'02.08 URA-Spear Motors'!C16,'01.08 URA-Spear Motors-24h'!C16,'03.08 URA-Spear Motors-24h'!C16,'04.08 URA-Spear Motors'!C16)</f>
        <v>41.142857142857146</v>
      </c>
      <c r="D16" s="49">
        <f>AVERAGE('29.07 URA-Spear Motors'!D16,'30.07 URA-Spear Motors'!D16,'31.07 URA-Spear Motors'!D16,'02.08 URA-Spear Motors'!D16,'01.08 URA-Spear Motors-24h'!D16,'03.08 URA-Spear Motors-24h'!D16,'04.08 URA-Spear Motors'!D16)</f>
        <v>7.8571428571428568</v>
      </c>
      <c r="E16" s="49">
        <f>AVERAGE('29.07 URA-Spear Motors'!E16,'30.07 URA-Spear Motors'!E16,'31.07 URA-Spear Motors'!E16,'02.08 URA-Spear Motors'!E16,'01.08 URA-Spear Motors-24h'!E16,'03.08 URA-Spear Motors-24h'!E16,'04.08 URA-Spear Motors'!E16)</f>
        <v>5.4285714285714288</v>
      </c>
      <c r="F16" s="49">
        <f>AVERAGE('29.07 URA-Spear Motors'!F16,'30.07 URA-Spear Motors'!F16,'31.07 URA-Spear Motors'!F16,'02.08 URA-Spear Motors'!F16,'01.08 URA-Spear Motors-24h'!F16,'03.08 URA-Spear Motors-24h'!F16,'04.08 URA-Spear Motors'!F16)</f>
        <v>8.2857142857142865</v>
      </c>
      <c r="G16" s="49">
        <f>AVERAGE('29.07 URA-Spear Motors'!G16,'30.07 URA-Spear Motors'!G16,'31.07 URA-Spear Motors'!G16,'02.08 URA-Spear Motors'!G16,'01.08 URA-Spear Motors-24h'!G16,'03.08 URA-Spear Motors-24h'!G16,'04.08 URA-Spear Motors'!G16)</f>
        <v>1.8571428571428572</v>
      </c>
      <c r="H16" s="49">
        <f>AVERAGE('29.07 URA-Spear Motors'!H16,'30.07 URA-Spear Motors'!H16,'31.07 URA-Spear Motors'!H16,'02.08 URA-Spear Motors'!H16,'01.08 URA-Spear Motors-24h'!H16,'03.08 URA-Spear Motors-24h'!H16,'04.08 URA-Spear Motors'!H16)</f>
        <v>0.2857142857142857</v>
      </c>
      <c r="I16" s="49">
        <f>AVERAGE('29.07 URA-Spear Motors'!I16,'30.07 URA-Spear Motors'!I16,'31.07 URA-Spear Motors'!I16,'02.08 URA-Spear Motors'!I16,'01.08 URA-Spear Motors-24h'!I16,'03.08 URA-Spear Motors-24h'!I16,'04.08 URA-Spear Motors'!I16)</f>
        <v>4.8571428571428568</v>
      </c>
      <c r="J16" s="49">
        <f>AVERAGE('29.07 URA-Spear Motors'!J16,'30.07 URA-Spear Motors'!J16,'31.07 URA-Spear Motors'!J16,'02.08 URA-Spear Motors'!J16,'01.08 URA-Spear Motors-24h'!J16,'03.08 URA-Spear Motors-24h'!J16,'04.08 URA-Spear Motors'!J16)</f>
        <v>0.5714285714285714</v>
      </c>
      <c r="K16" s="49">
        <f>AVERAGE('29.07 URA-Spear Motors'!K16,'30.07 URA-Spear Motors'!K16,'31.07 URA-Spear Motors'!K16,'02.08 URA-Spear Motors'!K16,'01.08 URA-Spear Motors-24h'!K16,'03.08 URA-Spear Motors-24h'!K16,'04.08 URA-Spear Motors'!K16)</f>
        <v>0.7142857142857143</v>
      </c>
      <c r="L16" s="49">
        <f>AVERAGE('29.07 URA-Spear Motors'!L16,'30.07 URA-Spear Motors'!L16,'31.07 URA-Spear Motors'!L16,'02.08 URA-Spear Motors'!L16,'01.08 URA-Spear Motors-24h'!L16,'03.08 URA-Spear Motors-24h'!L16,'04.08 URA-Spear Motors'!L16)</f>
        <v>0.5714285714285714</v>
      </c>
      <c r="M16" s="49">
        <f>AVERAGE('29.07 URA-Spear Motors'!M16,'30.07 URA-Spear Motors'!M16,'31.07 URA-Spear Motors'!M16,'02.08 URA-Spear Motors'!M16,'01.08 URA-Spear Motors-24h'!M16,'03.08 URA-Spear Motors-24h'!M16,'04.08 URA-Spear Motors'!M16)</f>
        <v>119.57142857142857</v>
      </c>
      <c r="N16" s="49">
        <f>AVERAGE('29.07 URA-Spear Motors'!N16,'30.07 URA-Spear Motors'!N16,'31.07 URA-Spear Motors'!N16,'02.08 URA-Spear Motors'!N16,'01.08 URA-Spear Motors-24h'!N16,'03.08 URA-Spear Motors-24h'!N16,'04.08 URA-Spear Motors'!N16)</f>
        <v>0</v>
      </c>
      <c r="O16" s="15">
        <f t="shared" si="0"/>
        <v>71.571428571428569</v>
      </c>
      <c r="P16" s="15">
        <f t="shared" si="1"/>
        <v>191.14285714285714</v>
      </c>
      <c r="R16" s="1" t="s">
        <v>12</v>
      </c>
      <c r="S16" s="17">
        <f t="shared" ref="S16:AF16" si="8">SUM(C34:C37)</f>
        <v>151.85714285714286</v>
      </c>
      <c r="T16" s="17">
        <f t="shared" si="8"/>
        <v>29.714285714285715</v>
      </c>
      <c r="U16" s="17">
        <f t="shared" si="8"/>
        <v>20.285714285714285</v>
      </c>
      <c r="V16" s="17">
        <f t="shared" si="8"/>
        <v>21.857142857142858</v>
      </c>
      <c r="W16" s="17">
        <f t="shared" si="8"/>
        <v>0.85714285714285698</v>
      </c>
      <c r="X16" s="17">
        <f t="shared" si="8"/>
        <v>0.42857142857142855</v>
      </c>
      <c r="Y16" s="17">
        <f t="shared" si="8"/>
        <v>13.999999999999998</v>
      </c>
      <c r="Z16" s="17">
        <f t="shared" si="8"/>
        <v>3.8571428571428572</v>
      </c>
      <c r="AA16" s="17">
        <f t="shared" si="8"/>
        <v>3</v>
      </c>
      <c r="AB16" s="17">
        <f t="shared" si="8"/>
        <v>4.4285714285714288</v>
      </c>
      <c r="AC16" s="17">
        <f t="shared" si="8"/>
        <v>251.57142857142861</v>
      </c>
      <c r="AD16" s="17">
        <f t="shared" si="8"/>
        <v>0</v>
      </c>
      <c r="AE16" s="31">
        <f t="shared" si="8"/>
        <v>250.28571428571433</v>
      </c>
      <c r="AF16" s="31">
        <f t="shared" si="8"/>
        <v>501.85714285714289</v>
      </c>
    </row>
    <row r="17" spans="2:32" ht="23.1" customHeight="1" x14ac:dyDescent="0.25">
      <c r="B17" s="23" t="s">
        <v>44</v>
      </c>
      <c r="C17" s="49">
        <f>AVERAGE('29.07 URA-Spear Motors'!C17,'30.07 URA-Spear Motors'!C17,'31.07 URA-Spear Motors'!C17,'02.08 URA-Spear Motors'!C17,'01.08 URA-Spear Motors-24h'!C17,'03.08 URA-Spear Motors-24h'!C17,'04.08 URA-Spear Motors'!C17)</f>
        <v>32.571428571428569</v>
      </c>
      <c r="D17" s="49">
        <f>AVERAGE('29.07 URA-Spear Motors'!D17,'30.07 URA-Spear Motors'!D17,'31.07 URA-Spear Motors'!D17,'02.08 URA-Spear Motors'!D17,'01.08 URA-Spear Motors-24h'!D17,'03.08 URA-Spear Motors-24h'!D17,'04.08 URA-Spear Motors'!D17)</f>
        <v>5.7142857142857144</v>
      </c>
      <c r="E17" s="49">
        <f>AVERAGE('29.07 URA-Spear Motors'!E17,'30.07 URA-Spear Motors'!E17,'31.07 URA-Spear Motors'!E17,'02.08 URA-Spear Motors'!E17,'01.08 URA-Spear Motors-24h'!E17,'03.08 URA-Spear Motors-24h'!E17,'04.08 URA-Spear Motors'!E17)</f>
        <v>5</v>
      </c>
      <c r="F17" s="49">
        <f>AVERAGE('29.07 URA-Spear Motors'!F17,'30.07 URA-Spear Motors'!F17,'31.07 URA-Spear Motors'!F17,'02.08 URA-Spear Motors'!F17,'01.08 URA-Spear Motors-24h'!F17,'03.08 URA-Spear Motors-24h'!F17,'04.08 URA-Spear Motors'!F17)</f>
        <v>7.5714285714285712</v>
      </c>
      <c r="G17" s="49">
        <f>AVERAGE('29.07 URA-Spear Motors'!G17,'30.07 URA-Spear Motors'!G17,'31.07 URA-Spear Motors'!G17,'02.08 URA-Spear Motors'!G17,'01.08 URA-Spear Motors-24h'!G17,'03.08 URA-Spear Motors-24h'!G17,'04.08 URA-Spear Motors'!G17)</f>
        <v>1</v>
      </c>
      <c r="H17" s="49">
        <f>AVERAGE('29.07 URA-Spear Motors'!H17,'30.07 URA-Spear Motors'!H17,'31.07 URA-Spear Motors'!H17,'02.08 URA-Spear Motors'!H17,'01.08 URA-Spear Motors-24h'!H17,'03.08 URA-Spear Motors-24h'!H17,'04.08 URA-Spear Motors'!H17)</f>
        <v>0</v>
      </c>
      <c r="I17" s="49">
        <f>AVERAGE('29.07 URA-Spear Motors'!I17,'30.07 URA-Spear Motors'!I17,'31.07 URA-Spear Motors'!I17,'02.08 URA-Spear Motors'!I17,'01.08 URA-Spear Motors-24h'!I17,'03.08 URA-Spear Motors-24h'!I17,'04.08 URA-Spear Motors'!I17)</f>
        <v>4.4285714285714288</v>
      </c>
      <c r="J17" s="49">
        <f>AVERAGE('29.07 URA-Spear Motors'!J17,'30.07 URA-Spear Motors'!J17,'31.07 URA-Spear Motors'!J17,'02.08 URA-Spear Motors'!J17,'01.08 URA-Spear Motors-24h'!J17,'03.08 URA-Spear Motors-24h'!J17,'04.08 URA-Spear Motors'!J17)</f>
        <v>0.2857142857142857</v>
      </c>
      <c r="K17" s="49">
        <f>AVERAGE('29.07 URA-Spear Motors'!K17,'30.07 URA-Spear Motors'!K17,'31.07 URA-Spear Motors'!K17,'02.08 URA-Spear Motors'!K17,'01.08 URA-Spear Motors-24h'!K17,'03.08 URA-Spear Motors-24h'!K17,'04.08 URA-Spear Motors'!K17)</f>
        <v>0.8571428571428571</v>
      </c>
      <c r="L17" s="49">
        <f>AVERAGE('29.07 URA-Spear Motors'!L17,'30.07 URA-Spear Motors'!L17,'31.07 URA-Spear Motors'!L17,'02.08 URA-Spear Motors'!L17,'01.08 URA-Spear Motors-24h'!L17,'03.08 URA-Spear Motors-24h'!L17,'04.08 URA-Spear Motors'!L17)</f>
        <v>1.2857142857142858</v>
      </c>
      <c r="M17" s="49">
        <f>AVERAGE('29.07 URA-Spear Motors'!M17,'30.07 URA-Spear Motors'!M17,'31.07 URA-Spear Motors'!M17,'02.08 URA-Spear Motors'!M17,'01.08 URA-Spear Motors-24h'!M17,'03.08 URA-Spear Motors-24h'!M17,'04.08 URA-Spear Motors'!M17)</f>
        <v>108</v>
      </c>
      <c r="N17" s="49">
        <f>AVERAGE('29.07 URA-Spear Motors'!N17,'30.07 URA-Spear Motors'!N17,'31.07 URA-Spear Motors'!N17,'02.08 URA-Spear Motors'!N17,'01.08 URA-Spear Motors-24h'!N17,'03.08 URA-Spear Motors-24h'!N17,'04.08 URA-Spear Motors'!N17)</f>
        <v>0</v>
      </c>
      <c r="O17" s="15">
        <f t="shared" si="0"/>
        <v>58.714285714285708</v>
      </c>
      <c r="P17" s="15">
        <f t="shared" si="1"/>
        <v>166.71428571428572</v>
      </c>
      <c r="R17" s="1" t="s">
        <v>13</v>
      </c>
      <c r="S17" s="17">
        <f t="shared" ref="S17:AF17" si="9">SUM(C38:C41)</f>
        <v>162.14285714285717</v>
      </c>
      <c r="T17" s="17">
        <f t="shared" si="9"/>
        <v>23.857142857142858</v>
      </c>
      <c r="U17" s="17">
        <f t="shared" si="9"/>
        <v>24</v>
      </c>
      <c r="V17" s="17">
        <f t="shared" si="9"/>
        <v>26.714285714285712</v>
      </c>
      <c r="W17" s="17">
        <f t="shared" si="9"/>
        <v>0.8571428571428571</v>
      </c>
      <c r="X17" s="17">
        <f t="shared" si="9"/>
        <v>0.14285714285714285</v>
      </c>
      <c r="Y17" s="17">
        <f t="shared" si="9"/>
        <v>16.857142857142858</v>
      </c>
      <c r="Z17" s="17">
        <f t="shared" si="9"/>
        <v>5.8571428571428577</v>
      </c>
      <c r="AA17" s="17">
        <f t="shared" si="9"/>
        <v>2.5714285714285712</v>
      </c>
      <c r="AB17" s="17">
        <f t="shared" si="9"/>
        <v>6</v>
      </c>
      <c r="AC17" s="17">
        <f t="shared" si="9"/>
        <v>241.57142857142858</v>
      </c>
      <c r="AD17" s="17">
        <f t="shared" si="9"/>
        <v>0</v>
      </c>
      <c r="AE17" s="31">
        <f t="shared" si="9"/>
        <v>269</v>
      </c>
      <c r="AF17" s="31">
        <f t="shared" si="9"/>
        <v>510.57142857142856</v>
      </c>
    </row>
    <row r="18" spans="2:32" ht="23.1" customHeight="1" x14ac:dyDescent="0.25">
      <c r="B18" s="23" t="s">
        <v>45</v>
      </c>
      <c r="C18" s="49">
        <f>AVERAGE('29.07 URA-Spear Motors'!C18,'30.07 URA-Spear Motors'!C18,'31.07 URA-Spear Motors'!C18,'02.08 URA-Spear Motors'!C18,'01.08 URA-Spear Motors-24h'!C18,'03.08 URA-Spear Motors-24h'!C18,'04.08 URA-Spear Motors'!C18)</f>
        <v>31.857142857142858</v>
      </c>
      <c r="D18" s="49">
        <f>AVERAGE('29.07 URA-Spear Motors'!D18,'30.07 URA-Spear Motors'!D18,'31.07 URA-Spear Motors'!D18,'02.08 URA-Spear Motors'!D18,'01.08 URA-Spear Motors-24h'!D18,'03.08 URA-Spear Motors-24h'!D18,'04.08 URA-Spear Motors'!D18)</f>
        <v>8.1428571428571423</v>
      </c>
      <c r="E18" s="49">
        <f>AVERAGE('29.07 URA-Spear Motors'!E18,'30.07 URA-Spear Motors'!E18,'31.07 URA-Spear Motors'!E18,'02.08 URA-Spear Motors'!E18,'01.08 URA-Spear Motors-24h'!E18,'03.08 URA-Spear Motors-24h'!E18,'04.08 URA-Spear Motors'!E18)</f>
        <v>5.2857142857142856</v>
      </c>
      <c r="F18" s="49">
        <f>AVERAGE('29.07 URA-Spear Motors'!F18,'30.07 URA-Spear Motors'!F18,'31.07 URA-Spear Motors'!F18,'02.08 URA-Spear Motors'!F18,'01.08 URA-Spear Motors-24h'!F18,'03.08 URA-Spear Motors-24h'!F18,'04.08 URA-Spear Motors'!F18)</f>
        <v>9.5714285714285712</v>
      </c>
      <c r="G18" s="49">
        <f>AVERAGE('29.07 URA-Spear Motors'!G18,'30.07 URA-Spear Motors'!G18,'31.07 URA-Spear Motors'!G18,'02.08 URA-Spear Motors'!G18,'01.08 URA-Spear Motors-24h'!G18,'03.08 URA-Spear Motors-24h'!G18,'04.08 URA-Spear Motors'!G18)</f>
        <v>1.2857142857142858</v>
      </c>
      <c r="H18" s="49">
        <f>AVERAGE('29.07 URA-Spear Motors'!H18,'30.07 URA-Spear Motors'!H18,'31.07 URA-Spear Motors'!H18,'02.08 URA-Spear Motors'!H18,'01.08 URA-Spear Motors-24h'!H18,'03.08 URA-Spear Motors-24h'!H18,'04.08 URA-Spear Motors'!H18)</f>
        <v>0</v>
      </c>
      <c r="I18" s="49">
        <f>AVERAGE('29.07 URA-Spear Motors'!I18,'30.07 URA-Spear Motors'!I18,'31.07 URA-Spear Motors'!I18,'02.08 URA-Spear Motors'!I18,'01.08 URA-Spear Motors-24h'!I18,'03.08 URA-Spear Motors-24h'!I18,'04.08 URA-Spear Motors'!I18)</f>
        <v>6.4285714285714288</v>
      </c>
      <c r="J18" s="49">
        <f>AVERAGE('29.07 URA-Spear Motors'!J18,'30.07 URA-Spear Motors'!J18,'31.07 URA-Spear Motors'!J18,'02.08 URA-Spear Motors'!J18,'01.08 URA-Spear Motors-24h'!J18,'03.08 URA-Spear Motors-24h'!J18,'04.08 URA-Spear Motors'!J18)</f>
        <v>2.2857142857142856</v>
      </c>
      <c r="K18" s="49">
        <f>AVERAGE('29.07 URA-Spear Motors'!K18,'30.07 URA-Spear Motors'!K18,'31.07 URA-Spear Motors'!K18,'02.08 URA-Spear Motors'!K18,'01.08 URA-Spear Motors-24h'!K18,'03.08 URA-Spear Motors-24h'!K18,'04.08 URA-Spear Motors'!K18)</f>
        <v>0.7142857142857143</v>
      </c>
      <c r="L18" s="49">
        <f>AVERAGE('29.07 URA-Spear Motors'!L18,'30.07 URA-Spear Motors'!L18,'31.07 URA-Spear Motors'!L18,'02.08 URA-Spear Motors'!L18,'01.08 URA-Spear Motors-24h'!L18,'03.08 URA-Spear Motors-24h'!L18,'04.08 URA-Spear Motors'!L18)</f>
        <v>1.2857142857142858</v>
      </c>
      <c r="M18" s="49">
        <f>AVERAGE('29.07 URA-Spear Motors'!M18,'30.07 URA-Spear Motors'!M18,'31.07 URA-Spear Motors'!M18,'02.08 URA-Spear Motors'!M18,'01.08 URA-Spear Motors-24h'!M18,'03.08 URA-Spear Motors-24h'!M18,'04.08 URA-Spear Motors'!M18)</f>
        <v>126.14285714285714</v>
      </c>
      <c r="N18" s="49">
        <f>AVERAGE('29.07 URA-Spear Motors'!N18,'30.07 URA-Spear Motors'!N18,'31.07 URA-Spear Motors'!N18,'02.08 URA-Spear Motors'!N18,'01.08 URA-Spear Motors-24h'!N18,'03.08 URA-Spear Motors-24h'!N18,'04.08 URA-Spear Motors'!N18)</f>
        <v>0.14285714285714285</v>
      </c>
      <c r="O18" s="15">
        <f t="shared" si="0"/>
        <v>67</v>
      </c>
      <c r="P18" s="15">
        <f t="shared" si="1"/>
        <v>193.14285714285714</v>
      </c>
      <c r="R18" s="1" t="s">
        <v>14</v>
      </c>
      <c r="S18" s="17">
        <f t="shared" ref="S18:AF18" si="10">SUM(C42:C45)</f>
        <v>156.14285714285714</v>
      </c>
      <c r="T18" s="17">
        <f t="shared" si="10"/>
        <v>32.285714285714285</v>
      </c>
      <c r="U18" s="17">
        <f t="shared" si="10"/>
        <v>25.714285714285715</v>
      </c>
      <c r="V18" s="17">
        <f t="shared" si="10"/>
        <v>26.285714285714285</v>
      </c>
      <c r="W18" s="17">
        <f t="shared" si="10"/>
        <v>1.4285714285714284</v>
      </c>
      <c r="X18" s="17">
        <f t="shared" si="10"/>
        <v>0</v>
      </c>
      <c r="Y18" s="17">
        <f t="shared" si="10"/>
        <v>25.142857142857146</v>
      </c>
      <c r="Z18" s="17">
        <f t="shared" si="10"/>
        <v>4.5714285714285721</v>
      </c>
      <c r="AA18" s="17">
        <f t="shared" si="10"/>
        <v>3.285714285714286</v>
      </c>
      <c r="AB18" s="17">
        <f t="shared" si="10"/>
        <v>4.2857142857142856</v>
      </c>
      <c r="AC18" s="17">
        <f t="shared" si="10"/>
        <v>275</v>
      </c>
      <c r="AD18" s="17">
        <f t="shared" si="10"/>
        <v>0</v>
      </c>
      <c r="AE18" s="31">
        <f t="shared" si="10"/>
        <v>279.14285714285717</v>
      </c>
      <c r="AF18" s="31">
        <f t="shared" si="10"/>
        <v>554.14285714285711</v>
      </c>
    </row>
    <row r="19" spans="2:32" ht="23.1" customHeight="1" x14ac:dyDescent="0.25">
      <c r="B19" s="23" t="s">
        <v>46</v>
      </c>
      <c r="C19" s="49">
        <f>AVERAGE('29.07 URA-Spear Motors'!C19,'30.07 URA-Spear Motors'!C19,'31.07 URA-Spear Motors'!C19,'02.08 URA-Spear Motors'!C19,'01.08 URA-Spear Motors-24h'!C19,'03.08 URA-Spear Motors-24h'!C19,'04.08 URA-Spear Motors'!C19)</f>
        <v>39.142857142857146</v>
      </c>
      <c r="D19" s="49">
        <f>AVERAGE('29.07 URA-Spear Motors'!D19,'30.07 URA-Spear Motors'!D19,'31.07 URA-Spear Motors'!D19,'02.08 URA-Spear Motors'!D19,'01.08 URA-Spear Motors-24h'!D19,'03.08 URA-Spear Motors-24h'!D19,'04.08 URA-Spear Motors'!D19)</f>
        <v>7.1428571428571432</v>
      </c>
      <c r="E19" s="49">
        <f>AVERAGE('29.07 URA-Spear Motors'!E19,'30.07 URA-Spear Motors'!E19,'31.07 URA-Spear Motors'!E19,'02.08 URA-Spear Motors'!E19,'01.08 URA-Spear Motors-24h'!E19,'03.08 URA-Spear Motors-24h'!E19,'04.08 URA-Spear Motors'!E19)</f>
        <v>5.7142857142857144</v>
      </c>
      <c r="F19" s="49">
        <f>AVERAGE('29.07 URA-Spear Motors'!F19,'30.07 URA-Spear Motors'!F19,'31.07 URA-Spear Motors'!F19,'02.08 URA-Spear Motors'!F19,'01.08 URA-Spear Motors-24h'!F19,'03.08 URA-Spear Motors-24h'!F19,'04.08 URA-Spear Motors'!F19)</f>
        <v>9</v>
      </c>
      <c r="G19" s="49">
        <f>AVERAGE('29.07 URA-Spear Motors'!G19,'30.07 URA-Spear Motors'!G19,'31.07 URA-Spear Motors'!G19,'02.08 URA-Spear Motors'!G19,'01.08 URA-Spear Motors-24h'!G19,'03.08 URA-Spear Motors-24h'!G19,'04.08 URA-Spear Motors'!G19)</f>
        <v>1.1428571428571428</v>
      </c>
      <c r="H19" s="49">
        <f>AVERAGE('29.07 URA-Spear Motors'!H19,'30.07 URA-Spear Motors'!H19,'31.07 URA-Spear Motors'!H19,'02.08 URA-Spear Motors'!H19,'01.08 URA-Spear Motors-24h'!H19,'03.08 URA-Spear Motors-24h'!H19,'04.08 URA-Spear Motors'!H19)</f>
        <v>0</v>
      </c>
      <c r="I19" s="49">
        <f>AVERAGE('29.07 URA-Spear Motors'!I19,'30.07 URA-Spear Motors'!I19,'31.07 URA-Spear Motors'!I19,'02.08 URA-Spear Motors'!I19,'01.08 URA-Spear Motors-24h'!I19,'03.08 URA-Spear Motors-24h'!I19,'04.08 URA-Spear Motors'!I19)</f>
        <v>4.2857142857142856</v>
      </c>
      <c r="J19" s="49">
        <f>AVERAGE('29.07 URA-Spear Motors'!J19,'30.07 URA-Spear Motors'!J19,'31.07 URA-Spear Motors'!J19,'02.08 URA-Spear Motors'!J19,'01.08 URA-Spear Motors-24h'!J19,'03.08 URA-Spear Motors-24h'!J19,'04.08 URA-Spear Motors'!J19)</f>
        <v>0.8571428571428571</v>
      </c>
      <c r="K19" s="49">
        <f>AVERAGE('29.07 URA-Spear Motors'!K19,'30.07 URA-Spear Motors'!K19,'31.07 URA-Spear Motors'!K19,'02.08 URA-Spear Motors'!K19,'01.08 URA-Spear Motors-24h'!K19,'03.08 URA-Spear Motors-24h'!K19,'04.08 URA-Spear Motors'!K19)</f>
        <v>0.5714285714285714</v>
      </c>
      <c r="L19" s="49">
        <f>AVERAGE('29.07 URA-Spear Motors'!L19,'30.07 URA-Spear Motors'!L19,'31.07 URA-Spear Motors'!L19,'02.08 URA-Spear Motors'!L19,'01.08 URA-Spear Motors-24h'!L19,'03.08 URA-Spear Motors-24h'!L19,'04.08 URA-Spear Motors'!L19)</f>
        <v>0.5714285714285714</v>
      </c>
      <c r="M19" s="49">
        <f>AVERAGE('29.07 URA-Spear Motors'!M19,'30.07 URA-Spear Motors'!M19,'31.07 URA-Spear Motors'!M19,'02.08 URA-Spear Motors'!M19,'01.08 URA-Spear Motors-24h'!M19,'03.08 URA-Spear Motors-24h'!M19,'04.08 URA-Spear Motors'!M19)</f>
        <v>98.285714285714292</v>
      </c>
      <c r="N19" s="49">
        <f>AVERAGE('29.07 URA-Spear Motors'!N19,'30.07 URA-Spear Motors'!N19,'31.07 URA-Spear Motors'!N19,'02.08 URA-Spear Motors'!N19,'01.08 URA-Spear Motors-24h'!N19,'03.08 URA-Spear Motors-24h'!N19,'04.08 URA-Spear Motors'!N19)</f>
        <v>0</v>
      </c>
      <c r="O19" s="15">
        <f t="shared" si="0"/>
        <v>68.428571428571445</v>
      </c>
      <c r="P19" s="15">
        <f t="shared" si="1"/>
        <v>166.71428571428572</v>
      </c>
      <c r="R19" s="1" t="s">
        <v>15</v>
      </c>
      <c r="S19" s="17">
        <f t="shared" ref="S19:AF19" si="11">SUM(C46:C49)</f>
        <v>196.42857142857142</v>
      </c>
      <c r="T19" s="17">
        <f t="shared" si="11"/>
        <v>33.428571428571431</v>
      </c>
      <c r="U19" s="17">
        <f t="shared" si="11"/>
        <v>25</v>
      </c>
      <c r="V19" s="17">
        <f t="shared" si="11"/>
        <v>22.571428571428573</v>
      </c>
      <c r="W19" s="17">
        <f t="shared" si="11"/>
        <v>0.2857142857142857</v>
      </c>
      <c r="X19" s="17">
        <f t="shared" si="11"/>
        <v>0</v>
      </c>
      <c r="Y19" s="17">
        <f t="shared" si="11"/>
        <v>22.571428571428569</v>
      </c>
      <c r="Z19" s="17">
        <f t="shared" si="11"/>
        <v>5.7142857142857135</v>
      </c>
      <c r="AA19" s="17">
        <f t="shared" si="11"/>
        <v>3.2857142857142856</v>
      </c>
      <c r="AB19" s="17">
        <f t="shared" si="11"/>
        <v>4.1428571428571432</v>
      </c>
      <c r="AC19" s="17">
        <f t="shared" si="11"/>
        <v>320.28571428571433</v>
      </c>
      <c r="AD19" s="17">
        <f t="shared" si="11"/>
        <v>0.14285714285714285</v>
      </c>
      <c r="AE19" s="31">
        <f t="shared" si="11"/>
        <v>313.57142857142856</v>
      </c>
      <c r="AF19" s="31">
        <f t="shared" si="11"/>
        <v>633.85714285714289</v>
      </c>
    </row>
    <row r="20" spans="2:32" ht="23.1" customHeight="1" x14ac:dyDescent="0.25">
      <c r="B20" s="23" t="s">
        <v>47</v>
      </c>
      <c r="C20" s="49">
        <f>AVERAGE('29.07 URA-Spear Motors'!C20,'30.07 URA-Spear Motors'!C20,'31.07 URA-Spear Motors'!C20,'02.08 URA-Spear Motors'!C20,'01.08 URA-Spear Motors-24h'!C20,'03.08 URA-Spear Motors-24h'!C20,'04.08 URA-Spear Motors'!C20)</f>
        <v>39.285714285714285</v>
      </c>
      <c r="D20" s="49">
        <f>AVERAGE('29.07 URA-Spear Motors'!D20,'30.07 URA-Spear Motors'!D20,'31.07 URA-Spear Motors'!D20,'02.08 URA-Spear Motors'!D20,'01.08 URA-Spear Motors-24h'!D20,'03.08 URA-Spear Motors-24h'!D20,'04.08 URA-Spear Motors'!D20)</f>
        <v>5.8571428571428568</v>
      </c>
      <c r="E20" s="49">
        <f>AVERAGE('29.07 URA-Spear Motors'!E20,'30.07 URA-Spear Motors'!E20,'31.07 URA-Spear Motors'!E20,'02.08 URA-Spear Motors'!E20,'01.08 URA-Spear Motors-24h'!E20,'03.08 URA-Spear Motors-24h'!E20,'04.08 URA-Spear Motors'!E20)</f>
        <v>5.7142857142857144</v>
      </c>
      <c r="F20" s="49">
        <f>AVERAGE('29.07 URA-Spear Motors'!F20,'30.07 URA-Spear Motors'!F20,'31.07 URA-Spear Motors'!F20,'02.08 URA-Spear Motors'!F20,'01.08 URA-Spear Motors-24h'!F20,'03.08 URA-Spear Motors-24h'!F20,'04.08 URA-Spear Motors'!F20)</f>
        <v>10.285714285714286</v>
      </c>
      <c r="G20" s="49">
        <f>AVERAGE('29.07 URA-Spear Motors'!G20,'30.07 URA-Spear Motors'!G20,'31.07 URA-Spear Motors'!G20,'02.08 URA-Spear Motors'!G20,'01.08 URA-Spear Motors-24h'!G20,'03.08 URA-Spear Motors-24h'!G20,'04.08 URA-Spear Motors'!G20)</f>
        <v>0.42857142857142855</v>
      </c>
      <c r="H20" s="49">
        <f>AVERAGE('29.07 URA-Spear Motors'!H20,'30.07 URA-Spear Motors'!H20,'31.07 URA-Spear Motors'!H20,'02.08 URA-Spear Motors'!H20,'01.08 URA-Spear Motors-24h'!H20,'03.08 URA-Spear Motors-24h'!H20,'04.08 URA-Spear Motors'!H20)</f>
        <v>2</v>
      </c>
      <c r="I20" s="49">
        <f>AVERAGE('29.07 URA-Spear Motors'!I20,'30.07 URA-Spear Motors'!I20,'31.07 URA-Spear Motors'!I20,'02.08 URA-Spear Motors'!I20,'01.08 URA-Spear Motors-24h'!I20,'03.08 URA-Spear Motors-24h'!I20,'04.08 URA-Spear Motors'!I20)</f>
        <v>4.2857142857142856</v>
      </c>
      <c r="J20" s="49">
        <f>AVERAGE('29.07 URA-Spear Motors'!J20,'30.07 URA-Spear Motors'!J20,'31.07 URA-Spear Motors'!J20,'02.08 URA-Spear Motors'!J20,'01.08 URA-Spear Motors-24h'!J20,'03.08 URA-Spear Motors-24h'!J20,'04.08 URA-Spear Motors'!J20)</f>
        <v>4.1428571428571432</v>
      </c>
      <c r="K20" s="49">
        <f>AVERAGE('29.07 URA-Spear Motors'!K20,'30.07 URA-Spear Motors'!K20,'31.07 URA-Spear Motors'!K20,'02.08 URA-Spear Motors'!K20,'01.08 URA-Spear Motors-24h'!K20,'03.08 URA-Spear Motors-24h'!K20,'04.08 URA-Spear Motors'!K20)</f>
        <v>1</v>
      </c>
      <c r="L20" s="49">
        <f>AVERAGE('29.07 URA-Spear Motors'!L20,'30.07 URA-Spear Motors'!L20,'31.07 URA-Spear Motors'!L20,'02.08 URA-Spear Motors'!L20,'01.08 URA-Spear Motors-24h'!L20,'03.08 URA-Spear Motors-24h'!L20,'04.08 URA-Spear Motors'!L20)</f>
        <v>2.7142857142857144</v>
      </c>
      <c r="M20" s="49">
        <f>AVERAGE('29.07 URA-Spear Motors'!M20,'30.07 URA-Spear Motors'!M20,'31.07 URA-Spear Motors'!M20,'02.08 URA-Spear Motors'!M20,'01.08 URA-Spear Motors-24h'!M20,'03.08 URA-Spear Motors-24h'!M20,'04.08 URA-Spear Motors'!M20)</f>
        <v>102.57142857142857</v>
      </c>
      <c r="N20" s="49">
        <f>AVERAGE('29.07 URA-Spear Motors'!N20,'30.07 URA-Spear Motors'!N20,'31.07 URA-Spear Motors'!N20,'02.08 URA-Spear Motors'!N20,'01.08 URA-Spear Motors-24h'!N20,'03.08 URA-Spear Motors-24h'!N20,'04.08 URA-Spear Motors'!N20)</f>
        <v>0</v>
      </c>
      <c r="O20" s="15">
        <f t="shared" si="0"/>
        <v>75.714285714285708</v>
      </c>
      <c r="P20" s="15">
        <f t="shared" si="1"/>
        <v>178.28571428571428</v>
      </c>
      <c r="R20" s="1" t="s">
        <v>16</v>
      </c>
      <c r="S20" s="17">
        <f t="shared" ref="S20:AF20" si="12">SUM(C50:C53)</f>
        <v>290.28571428571428</v>
      </c>
      <c r="T20" s="17">
        <f t="shared" si="12"/>
        <v>36</v>
      </c>
      <c r="U20" s="17">
        <f t="shared" si="12"/>
        <v>27.714285714285712</v>
      </c>
      <c r="V20" s="17">
        <f t="shared" si="12"/>
        <v>24.428571428571431</v>
      </c>
      <c r="W20" s="17">
        <f t="shared" si="12"/>
        <v>4.7142857142857144</v>
      </c>
      <c r="X20" s="17">
        <f t="shared" si="12"/>
        <v>0.5714285714285714</v>
      </c>
      <c r="Y20" s="17">
        <f t="shared" si="12"/>
        <v>11.285714285714286</v>
      </c>
      <c r="Z20" s="17">
        <f t="shared" si="12"/>
        <v>8</v>
      </c>
      <c r="AA20" s="17">
        <f t="shared" si="12"/>
        <v>2.4285714285714284</v>
      </c>
      <c r="AB20" s="17">
        <f t="shared" si="12"/>
        <v>3.1428571428571423</v>
      </c>
      <c r="AC20" s="17">
        <f t="shared" si="12"/>
        <v>302.71428571428572</v>
      </c>
      <c r="AD20" s="17">
        <f t="shared" si="12"/>
        <v>0</v>
      </c>
      <c r="AE20" s="31">
        <f t="shared" si="12"/>
        <v>408.5714285714285</v>
      </c>
      <c r="AF20" s="31">
        <f t="shared" si="12"/>
        <v>711.28571428571422</v>
      </c>
    </row>
    <row r="21" spans="2:32" ht="23.1" customHeight="1" x14ac:dyDescent="0.25">
      <c r="B21" s="23" t="s">
        <v>48</v>
      </c>
      <c r="C21" s="49">
        <f>AVERAGE('29.07 URA-Spear Motors'!C21,'30.07 URA-Spear Motors'!C21,'31.07 URA-Spear Motors'!C21,'02.08 URA-Spear Motors'!C21,'01.08 URA-Spear Motors-24h'!C21,'03.08 URA-Spear Motors-24h'!C21,'04.08 URA-Spear Motors'!C21)</f>
        <v>46.857142857142854</v>
      </c>
      <c r="D21" s="49">
        <f>AVERAGE('29.07 URA-Spear Motors'!D21,'30.07 URA-Spear Motors'!D21,'31.07 URA-Spear Motors'!D21,'02.08 URA-Spear Motors'!D21,'01.08 URA-Spear Motors-24h'!D21,'03.08 URA-Spear Motors-24h'!D21,'04.08 URA-Spear Motors'!D21)</f>
        <v>7.8571428571428568</v>
      </c>
      <c r="E21" s="49">
        <f>AVERAGE('29.07 URA-Spear Motors'!E21,'30.07 URA-Spear Motors'!E21,'31.07 URA-Spear Motors'!E21,'02.08 URA-Spear Motors'!E21,'01.08 URA-Spear Motors-24h'!E21,'03.08 URA-Spear Motors-24h'!E21,'04.08 URA-Spear Motors'!E21)</f>
        <v>8.4285714285714288</v>
      </c>
      <c r="F21" s="49">
        <f>AVERAGE('29.07 URA-Spear Motors'!F21,'30.07 URA-Spear Motors'!F21,'31.07 URA-Spear Motors'!F21,'02.08 URA-Spear Motors'!F21,'01.08 URA-Spear Motors-24h'!F21,'03.08 URA-Spear Motors-24h'!F21,'04.08 URA-Spear Motors'!F21)</f>
        <v>10.285714285714286</v>
      </c>
      <c r="G21" s="49">
        <f>AVERAGE('29.07 URA-Spear Motors'!G21,'30.07 URA-Spear Motors'!G21,'31.07 URA-Spear Motors'!G21,'02.08 URA-Spear Motors'!G21,'01.08 URA-Spear Motors-24h'!G21,'03.08 URA-Spear Motors-24h'!G21,'04.08 URA-Spear Motors'!G21)</f>
        <v>0.8571428571428571</v>
      </c>
      <c r="H21" s="49">
        <f>AVERAGE('29.07 URA-Spear Motors'!H21,'30.07 URA-Spear Motors'!H21,'31.07 URA-Spear Motors'!H21,'02.08 URA-Spear Motors'!H21,'01.08 URA-Spear Motors-24h'!H21,'03.08 URA-Spear Motors-24h'!H21,'04.08 URA-Spear Motors'!H21)</f>
        <v>0.14285714285714285</v>
      </c>
      <c r="I21" s="49">
        <f>AVERAGE('29.07 URA-Spear Motors'!I21,'30.07 URA-Spear Motors'!I21,'31.07 URA-Spear Motors'!I21,'02.08 URA-Spear Motors'!I21,'01.08 URA-Spear Motors-24h'!I21,'03.08 URA-Spear Motors-24h'!I21,'04.08 URA-Spear Motors'!I21)</f>
        <v>2.8571428571428572</v>
      </c>
      <c r="J21" s="49">
        <f>AVERAGE('29.07 URA-Spear Motors'!J21,'30.07 URA-Spear Motors'!J21,'31.07 URA-Spear Motors'!J21,'02.08 URA-Spear Motors'!J21,'01.08 URA-Spear Motors-24h'!J21,'03.08 URA-Spear Motors-24h'!J21,'04.08 URA-Spear Motors'!J21)</f>
        <v>0.8571428571428571</v>
      </c>
      <c r="K21" s="49">
        <f>AVERAGE('29.07 URA-Spear Motors'!K21,'30.07 URA-Spear Motors'!K21,'31.07 URA-Spear Motors'!K21,'02.08 URA-Spear Motors'!K21,'01.08 URA-Spear Motors-24h'!K21,'03.08 URA-Spear Motors-24h'!K21,'04.08 URA-Spear Motors'!K21)</f>
        <v>0.42857142857142855</v>
      </c>
      <c r="L21" s="49">
        <f>AVERAGE('29.07 URA-Spear Motors'!L21,'30.07 URA-Spear Motors'!L21,'31.07 URA-Spear Motors'!L21,'02.08 URA-Spear Motors'!L21,'01.08 URA-Spear Motors-24h'!L21,'03.08 URA-Spear Motors-24h'!L21,'04.08 URA-Spear Motors'!L21)</f>
        <v>1.5714285714285714</v>
      </c>
      <c r="M21" s="49">
        <f>AVERAGE('29.07 URA-Spear Motors'!M21,'30.07 URA-Spear Motors'!M21,'31.07 URA-Spear Motors'!M21,'02.08 URA-Spear Motors'!M21,'01.08 URA-Spear Motors-24h'!M21,'03.08 URA-Spear Motors-24h'!M21,'04.08 URA-Spear Motors'!M21)</f>
        <v>107.71428571428571</v>
      </c>
      <c r="N21" s="49">
        <f>AVERAGE('29.07 URA-Spear Motors'!N21,'30.07 URA-Spear Motors'!N21,'31.07 URA-Spear Motors'!N21,'02.08 URA-Spear Motors'!N21,'01.08 URA-Spear Motors-24h'!N21,'03.08 URA-Spear Motors-24h'!N21,'04.08 URA-Spear Motors'!N21)</f>
        <v>0</v>
      </c>
      <c r="O21" s="15">
        <f t="shared" si="0"/>
        <v>80.142857142857153</v>
      </c>
      <c r="P21" s="15">
        <f t="shared" si="1"/>
        <v>187.85714285714286</v>
      </c>
      <c r="R21" s="36" t="s">
        <v>20</v>
      </c>
      <c r="S21" s="34">
        <f t="shared" ref="S21:AF21" si="13">SUM(C54:C57)</f>
        <v>214.71428571428572</v>
      </c>
      <c r="T21" s="17">
        <f t="shared" si="13"/>
        <v>29.428571428571427</v>
      </c>
      <c r="U21" s="17">
        <f t="shared" si="13"/>
        <v>19.285714285714288</v>
      </c>
      <c r="V21" s="17">
        <f t="shared" si="13"/>
        <v>26.571428571428569</v>
      </c>
      <c r="W21" s="17">
        <f t="shared" si="13"/>
        <v>2.2857142857142856</v>
      </c>
      <c r="X21" s="17">
        <f t="shared" si="13"/>
        <v>0.14285714285714285</v>
      </c>
      <c r="Y21" s="17">
        <f t="shared" si="13"/>
        <v>16.142857142857142</v>
      </c>
      <c r="Z21" s="17">
        <f t="shared" si="13"/>
        <v>3.5714285714285716</v>
      </c>
      <c r="AA21" s="17">
        <f t="shared" si="13"/>
        <v>1.1428571428571428</v>
      </c>
      <c r="AB21" s="17">
        <f t="shared" si="13"/>
        <v>5</v>
      </c>
      <c r="AC21" s="17">
        <f t="shared" si="13"/>
        <v>261.42857142857144</v>
      </c>
      <c r="AD21" s="17">
        <f t="shared" si="13"/>
        <v>0.14285714285714285</v>
      </c>
      <c r="AE21" s="31">
        <f t="shared" si="13"/>
        <v>318.42857142857144</v>
      </c>
      <c r="AF21" s="31">
        <f t="shared" si="13"/>
        <v>579.85714285714289</v>
      </c>
    </row>
    <row r="22" spans="2:32" ht="23.1" customHeight="1" x14ac:dyDescent="0.25">
      <c r="B22" s="23" t="s">
        <v>49</v>
      </c>
      <c r="C22" s="49">
        <f>AVERAGE('29.07 URA-Spear Motors'!C22,'30.07 URA-Spear Motors'!C22,'31.07 URA-Spear Motors'!C22,'02.08 URA-Spear Motors'!C22,'01.08 URA-Spear Motors-24h'!C22,'03.08 URA-Spear Motors-24h'!C22,'04.08 URA-Spear Motors'!C22)</f>
        <v>28.571428571428573</v>
      </c>
      <c r="D22" s="49">
        <f>AVERAGE('29.07 URA-Spear Motors'!D22,'30.07 URA-Spear Motors'!D22,'31.07 URA-Spear Motors'!D22,'02.08 URA-Spear Motors'!D22,'01.08 URA-Spear Motors-24h'!D22,'03.08 URA-Spear Motors-24h'!D22,'04.08 URA-Spear Motors'!D22)</f>
        <v>7.1428571428571432</v>
      </c>
      <c r="E22" s="49">
        <f>AVERAGE('29.07 URA-Spear Motors'!E22,'30.07 URA-Spear Motors'!E22,'31.07 URA-Spear Motors'!E22,'02.08 URA-Spear Motors'!E22,'01.08 URA-Spear Motors-24h'!E22,'03.08 URA-Spear Motors-24h'!E22,'04.08 URA-Spear Motors'!E22)</f>
        <v>5.7142857142857144</v>
      </c>
      <c r="F22" s="49">
        <f>AVERAGE('29.07 URA-Spear Motors'!F22,'30.07 URA-Spear Motors'!F22,'31.07 URA-Spear Motors'!F22,'02.08 URA-Spear Motors'!F22,'01.08 URA-Spear Motors-24h'!F22,'03.08 URA-Spear Motors-24h'!F22,'04.08 URA-Spear Motors'!F22)</f>
        <v>8.1428571428571423</v>
      </c>
      <c r="G22" s="49">
        <f>AVERAGE('29.07 URA-Spear Motors'!G22,'30.07 URA-Spear Motors'!G22,'31.07 URA-Spear Motors'!G22,'02.08 URA-Spear Motors'!G22,'01.08 URA-Spear Motors-24h'!G22,'03.08 URA-Spear Motors-24h'!G22,'04.08 URA-Spear Motors'!G22)</f>
        <v>0.42857142857142855</v>
      </c>
      <c r="H22" s="49">
        <f>AVERAGE('29.07 URA-Spear Motors'!H22,'30.07 URA-Spear Motors'!H22,'31.07 URA-Spear Motors'!H22,'02.08 URA-Spear Motors'!H22,'01.08 URA-Spear Motors-24h'!H22,'03.08 URA-Spear Motors-24h'!H22,'04.08 URA-Spear Motors'!H22)</f>
        <v>0.14285714285714285</v>
      </c>
      <c r="I22" s="49">
        <f>AVERAGE('29.07 URA-Spear Motors'!I22,'30.07 URA-Spear Motors'!I22,'31.07 URA-Spear Motors'!I22,'02.08 URA-Spear Motors'!I22,'01.08 URA-Spear Motors-24h'!I22,'03.08 URA-Spear Motors-24h'!I22,'04.08 URA-Spear Motors'!I22)</f>
        <v>4.8571428571428568</v>
      </c>
      <c r="J22" s="49">
        <f>AVERAGE('29.07 URA-Spear Motors'!J22,'30.07 URA-Spear Motors'!J22,'31.07 URA-Spear Motors'!J22,'02.08 URA-Spear Motors'!J22,'01.08 URA-Spear Motors-24h'!J22,'03.08 URA-Spear Motors-24h'!J22,'04.08 URA-Spear Motors'!J22)</f>
        <v>2.1428571428571428</v>
      </c>
      <c r="K22" s="49">
        <f>AVERAGE('29.07 URA-Spear Motors'!K22,'30.07 URA-Spear Motors'!K22,'31.07 URA-Spear Motors'!K22,'02.08 URA-Spear Motors'!K22,'01.08 URA-Spear Motors-24h'!K22,'03.08 URA-Spear Motors-24h'!K22,'04.08 URA-Spear Motors'!K22)</f>
        <v>0.2857142857142857</v>
      </c>
      <c r="L22" s="49">
        <f>AVERAGE('29.07 URA-Spear Motors'!L22,'30.07 URA-Spear Motors'!L22,'31.07 URA-Spear Motors'!L22,'02.08 URA-Spear Motors'!L22,'01.08 URA-Spear Motors-24h'!L22,'03.08 URA-Spear Motors-24h'!L22,'04.08 URA-Spear Motors'!L22)</f>
        <v>2.1428571428571428</v>
      </c>
      <c r="M22" s="49">
        <f>AVERAGE('29.07 URA-Spear Motors'!M22,'30.07 URA-Spear Motors'!M22,'31.07 URA-Spear Motors'!M22,'02.08 URA-Spear Motors'!M22,'01.08 URA-Spear Motors-24h'!M22,'03.08 URA-Spear Motors-24h'!M22,'04.08 URA-Spear Motors'!M22)</f>
        <v>75</v>
      </c>
      <c r="N22" s="49">
        <f>AVERAGE('29.07 URA-Spear Motors'!N22,'30.07 URA-Spear Motors'!N22,'31.07 URA-Spear Motors'!N22,'02.08 URA-Spear Motors'!N22,'01.08 URA-Spear Motors-24h'!N22,'03.08 URA-Spear Motors-24h'!N22,'04.08 URA-Spear Motors'!N22)</f>
        <v>0</v>
      </c>
      <c r="O22" s="15">
        <f t="shared" si="0"/>
        <v>59.571428571428577</v>
      </c>
      <c r="P22" s="15">
        <f t="shared" si="1"/>
        <v>134.57142857142858</v>
      </c>
      <c r="R22" s="1" t="s">
        <v>146</v>
      </c>
      <c r="S22" s="34">
        <f>SUM(C58:C61)</f>
        <v>60</v>
      </c>
      <c r="T22" s="34">
        <f t="shared" ref="T22:AF22" si="14">SUM(D58:D61)</f>
        <v>39</v>
      </c>
      <c r="U22" s="34">
        <f t="shared" si="14"/>
        <v>7.5</v>
      </c>
      <c r="V22" s="34">
        <f t="shared" si="14"/>
        <v>13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2.5</v>
      </c>
      <c r="AA22" s="34">
        <f t="shared" si="14"/>
        <v>5</v>
      </c>
      <c r="AB22" s="34">
        <f t="shared" si="14"/>
        <v>5.5</v>
      </c>
      <c r="AC22" s="34">
        <f t="shared" si="14"/>
        <v>713.5</v>
      </c>
      <c r="AD22" s="34">
        <f t="shared" si="14"/>
        <v>0</v>
      </c>
      <c r="AE22" s="31">
        <f t="shared" si="14"/>
        <v>134.5</v>
      </c>
      <c r="AF22" s="31">
        <f t="shared" si="14"/>
        <v>848</v>
      </c>
    </row>
    <row r="23" spans="2:32" ht="23.1" customHeight="1" x14ac:dyDescent="0.25">
      <c r="B23" s="23" t="s">
        <v>50</v>
      </c>
      <c r="C23" s="49">
        <f>AVERAGE('29.07 URA-Spear Motors'!C23,'30.07 URA-Spear Motors'!C23,'31.07 URA-Spear Motors'!C23,'02.08 URA-Spear Motors'!C23,'01.08 URA-Spear Motors-24h'!C23,'03.08 URA-Spear Motors-24h'!C23,'04.08 URA-Spear Motors'!C23)</f>
        <v>33.571428571428569</v>
      </c>
      <c r="D23" s="49">
        <f>AVERAGE('29.07 URA-Spear Motors'!D23,'30.07 URA-Spear Motors'!D23,'31.07 URA-Spear Motors'!D23,'02.08 URA-Spear Motors'!D23,'01.08 URA-Spear Motors-24h'!D23,'03.08 URA-Spear Motors-24h'!D23,'04.08 URA-Spear Motors'!D23)</f>
        <v>7.1428571428571432</v>
      </c>
      <c r="E23" s="49">
        <f>AVERAGE('29.07 URA-Spear Motors'!E23,'30.07 URA-Spear Motors'!E23,'31.07 URA-Spear Motors'!E23,'02.08 URA-Spear Motors'!E23,'01.08 URA-Spear Motors-24h'!E23,'03.08 URA-Spear Motors-24h'!E23,'04.08 URA-Spear Motors'!E23)</f>
        <v>5.8571428571428568</v>
      </c>
      <c r="F23" s="49">
        <f>AVERAGE('29.07 URA-Spear Motors'!F23,'30.07 URA-Spear Motors'!F23,'31.07 URA-Spear Motors'!F23,'02.08 URA-Spear Motors'!F23,'01.08 URA-Spear Motors-24h'!F23,'03.08 URA-Spear Motors-24h'!F23,'04.08 URA-Spear Motors'!F23)</f>
        <v>9</v>
      </c>
      <c r="G23" s="49">
        <f>AVERAGE('29.07 URA-Spear Motors'!G23,'30.07 URA-Spear Motors'!G23,'31.07 URA-Spear Motors'!G23,'02.08 URA-Spear Motors'!G23,'01.08 URA-Spear Motors-24h'!G23,'03.08 URA-Spear Motors-24h'!G23,'04.08 URA-Spear Motors'!G23)</f>
        <v>0.8571428571428571</v>
      </c>
      <c r="H23" s="49">
        <f>AVERAGE('29.07 URA-Spear Motors'!H23,'30.07 URA-Spear Motors'!H23,'31.07 URA-Spear Motors'!H23,'02.08 URA-Spear Motors'!H23,'01.08 URA-Spear Motors-24h'!H23,'03.08 URA-Spear Motors-24h'!H23,'04.08 URA-Spear Motors'!H23)</f>
        <v>0.14285714285714285</v>
      </c>
      <c r="I23" s="49">
        <f>AVERAGE('29.07 URA-Spear Motors'!I23,'30.07 URA-Spear Motors'!I23,'31.07 URA-Spear Motors'!I23,'02.08 URA-Spear Motors'!I23,'01.08 URA-Spear Motors-24h'!I23,'03.08 URA-Spear Motors-24h'!I23,'04.08 URA-Spear Motors'!I23)</f>
        <v>4.7142857142857144</v>
      </c>
      <c r="J23" s="49">
        <f>AVERAGE('29.07 URA-Spear Motors'!J23,'30.07 URA-Spear Motors'!J23,'31.07 URA-Spear Motors'!J23,'02.08 URA-Spear Motors'!J23,'01.08 URA-Spear Motors-24h'!J23,'03.08 URA-Spear Motors-24h'!J23,'04.08 URA-Spear Motors'!J23)</f>
        <v>0.7142857142857143</v>
      </c>
      <c r="K23" s="49">
        <f>AVERAGE('29.07 URA-Spear Motors'!K23,'30.07 URA-Spear Motors'!K23,'31.07 URA-Spear Motors'!K23,'02.08 URA-Spear Motors'!K23,'01.08 URA-Spear Motors-24h'!K23,'03.08 URA-Spear Motors-24h'!K23,'04.08 URA-Spear Motors'!K23)</f>
        <v>1.1428571428571428</v>
      </c>
      <c r="L23" s="49">
        <f>AVERAGE('29.07 URA-Spear Motors'!L23,'30.07 URA-Spear Motors'!L23,'31.07 URA-Spear Motors'!L23,'02.08 URA-Spear Motors'!L23,'01.08 URA-Spear Motors-24h'!L23,'03.08 URA-Spear Motors-24h'!L23,'04.08 URA-Spear Motors'!L23)</f>
        <v>2.2857142857142856</v>
      </c>
      <c r="M23" s="49">
        <f>AVERAGE('29.07 URA-Spear Motors'!M23,'30.07 URA-Spear Motors'!M23,'31.07 URA-Spear Motors'!M23,'02.08 URA-Spear Motors'!M23,'01.08 URA-Spear Motors-24h'!M23,'03.08 URA-Spear Motors-24h'!M23,'04.08 URA-Spear Motors'!M23)</f>
        <v>101.28571428571429</v>
      </c>
      <c r="N23" s="49">
        <f>AVERAGE('29.07 URA-Spear Motors'!N23,'30.07 URA-Spear Motors'!N23,'31.07 URA-Spear Motors'!N23,'02.08 URA-Spear Motors'!N23,'01.08 URA-Spear Motors-24h'!N23,'03.08 URA-Spear Motors-24h'!N23,'04.08 URA-Spear Motors'!N23)</f>
        <v>0</v>
      </c>
      <c r="O23" s="15">
        <f t="shared" si="0"/>
        <v>65.428571428571431</v>
      </c>
      <c r="P23" s="15">
        <f t="shared" si="1"/>
        <v>166.71428571428572</v>
      </c>
      <c r="R23" s="1" t="s">
        <v>147</v>
      </c>
      <c r="S23" s="34">
        <f>SUM(C62:C65)</f>
        <v>99.5</v>
      </c>
      <c r="T23" s="34">
        <f t="shared" ref="T23:AF23" si="15">SUM(D62:D65)</f>
        <v>54</v>
      </c>
      <c r="U23" s="34">
        <f t="shared" si="15"/>
        <v>17</v>
      </c>
      <c r="V23" s="34">
        <f t="shared" si="15"/>
        <v>27</v>
      </c>
      <c r="W23" s="34">
        <f t="shared" si="15"/>
        <v>2.5</v>
      </c>
      <c r="X23" s="34">
        <f t="shared" si="15"/>
        <v>0</v>
      </c>
      <c r="Y23" s="34">
        <f t="shared" si="15"/>
        <v>3.5</v>
      </c>
      <c r="Z23" s="34">
        <f t="shared" si="15"/>
        <v>3</v>
      </c>
      <c r="AA23" s="34">
        <f t="shared" si="15"/>
        <v>1.5</v>
      </c>
      <c r="AB23" s="34">
        <f t="shared" si="15"/>
        <v>0</v>
      </c>
      <c r="AC23" s="34">
        <f t="shared" si="15"/>
        <v>537</v>
      </c>
      <c r="AD23" s="34">
        <f t="shared" si="15"/>
        <v>0</v>
      </c>
      <c r="AE23" s="31">
        <f t="shared" si="15"/>
        <v>208</v>
      </c>
      <c r="AF23" s="31">
        <f t="shared" si="15"/>
        <v>745</v>
      </c>
    </row>
    <row r="24" spans="2:32" ht="23.1" customHeight="1" x14ac:dyDescent="0.25">
      <c r="B24" s="23" t="s">
        <v>51</v>
      </c>
      <c r="C24" s="49">
        <f>AVERAGE('29.07 URA-Spear Motors'!C24,'30.07 URA-Spear Motors'!C24,'31.07 URA-Spear Motors'!C24,'02.08 URA-Spear Motors'!C24,'01.08 URA-Spear Motors-24h'!C24,'03.08 URA-Spear Motors-24h'!C24,'04.08 URA-Spear Motors'!C24)</f>
        <v>40.285714285714285</v>
      </c>
      <c r="D24" s="49">
        <f>AVERAGE('29.07 URA-Spear Motors'!D24,'30.07 URA-Spear Motors'!D24,'31.07 URA-Spear Motors'!D24,'02.08 URA-Spear Motors'!D24,'01.08 URA-Spear Motors-24h'!D24,'03.08 URA-Spear Motors-24h'!D24,'04.08 URA-Spear Motors'!D24)</f>
        <v>6</v>
      </c>
      <c r="E24" s="49">
        <f>AVERAGE('29.07 URA-Spear Motors'!E24,'30.07 URA-Spear Motors'!E24,'31.07 URA-Spear Motors'!E24,'02.08 URA-Spear Motors'!E24,'01.08 URA-Spear Motors-24h'!E24,'03.08 URA-Spear Motors-24h'!E24,'04.08 URA-Spear Motors'!E24)</f>
        <v>6.1428571428571432</v>
      </c>
      <c r="F24" s="49">
        <f>AVERAGE('29.07 URA-Spear Motors'!F24,'30.07 URA-Spear Motors'!F24,'31.07 URA-Spear Motors'!F24,'02.08 URA-Spear Motors'!F24,'01.08 URA-Spear Motors-24h'!F24,'03.08 URA-Spear Motors-24h'!F24,'04.08 URA-Spear Motors'!F24)</f>
        <v>8.5714285714285712</v>
      </c>
      <c r="G24" s="49">
        <f>AVERAGE('29.07 URA-Spear Motors'!G24,'30.07 URA-Spear Motors'!G24,'31.07 URA-Spear Motors'!G24,'02.08 URA-Spear Motors'!G24,'01.08 URA-Spear Motors-24h'!G24,'03.08 URA-Spear Motors-24h'!G24,'04.08 URA-Spear Motors'!G24)</f>
        <v>1</v>
      </c>
      <c r="H24" s="49">
        <f>AVERAGE('29.07 URA-Spear Motors'!H24,'30.07 URA-Spear Motors'!H24,'31.07 URA-Spear Motors'!H24,'02.08 URA-Spear Motors'!H24,'01.08 URA-Spear Motors-24h'!H24,'03.08 URA-Spear Motors-24h'!H24,'04.08 URA-Spear Motors'!H24)</f>
        <v>0.14285714285714285</v>
      </c>
      <c r="I24" s="49">
        <f>AVERAGE('29.07 URA-Spear Motors'!I24,'30.07 URA-Spear Motors'!I24,'31.07 URA-Spear Motors'!I24,'02.08 URA-Spear Motors'!I24,'01.08 URA-Spear Motors-24h'!I24,'03.08 URA-Spear Motors-24h'!I24,'04.08 URA-Spear Motors'!I24)</f>
        <v>4.8571428571428568</v>
      </c>
      <c r="J24" s="49">
        <f>AVERAGE('29.07 URA-Spear Motors'!J24,'30.07 URA-Spear Motors'!J24,'31.07 URA-Spear Motors'!J24,'02.08 URA-Spear Motors'!J24,'01.08 URA-Spear Motors-24h'!J24,'03.08 URA-Spear Motors-24h'!J24,'04.08 URA-Spear Motors'!J24)</f>
        <v>1.2857142857142858</v>
      </c>
      <c r="K24" s="49">
        <f>AVERAGE('29.07 URA-Spear Motors'!K24,'30.07 URA-Spear Motors'!K24,'31.07 URA-Spear Motors'!K24,'02.08 URA-Spear Motors'!K24,'01.08 URA-Spear Motors-24h'!K24,'03.08 URA-Spear Motors-24h'!K24,'04.08 URA-Spear Motors'!K24)</f>
        <v>0.42857142857142855</v>
      </c>
      <c r="L24" s="49">
        <f>AVERAGE('29.07 URA-Spear Motors'!L24,'30.07 URA-Spear Motors'!L24,'31.07 URA-Spear Motors'!L24,'02.08 URA-Spear Motors'!L24,'01.08 URA-Spear Motors-24h'!L24,'03.08 URA-Spear Motors-24h'!L24,'04.08 URA-Spear Motors'!L24)</f>
        <v>2.8571428571428572</v>
      </c>
      <c r="M24" s="49">
        <f>AVERAGE('29.07 URA-Spear Motors'!M24,'30.07 URA-Spear Motors'!M24,'31.07 URA-Spear Motors'!M24,'02.08 URA-Spear Motors'!M24,'01.08 URA-Spear Motors-24h'!M24,'03.08 URA-Spear Motors-24h'!M24,'04.08 URA-Spear Motors'!M24)</f>
        <v>103</v>
      </c>
      <c r="N24" s="49">
        <f>AVERAGE('29.07 URA-Spear Motors'!N24,'30.07 URA-Spear Motors'!N24,'31.07 URA-Spear Motors'!N24,'02.08 URA-Spear Motors'!N24,'01.08 URA-Spear Motors-24h'!N24,'03.08 URA-Spear Motors-24h'!N24,'04.08 URA-Spear Motors'!N24)</f>
        <v>0</v>
      </c>
      <c r="O24" s="15">
        <f t="shared" si="0"/>
        <v>71.571428571428584</v>
      </c>
      <c r="P24" s="15">
        <f t="shared" si="1"/>
        <v>174.57142857142858</v>
      </c>
      <c r="R24" s="1" t="s">
        <v>148</v>
      </c>
      <c r="S24" s="34">
        <f>SUM(C66:C69)</f>
        <v>125</v>
      </c>
      <c r="T24" s="34">
        <f t="shared" ref="T24:AF24" si="16">SUM(D66:D69)</f>
        <v>64</v>
      </c>
      <c r="U24" s="34">
        <f t="shared" si="16"/>
        <v>15.5</v>
      </c>
      <c r="V24" s="34">
        <f t="shared" si="16"/>
        <v>50.5</v>
      </c>
      <c r="W24" s="34">
        <f t="shared" si="16"/>
        <v>1.5</v>
      </c>
      <c r="X24" s="34">
        <f t="shared" si="16"/>
        <v>0</v>
      </c>
      <c r="Y24" s="34">
        <f t="shared" si="16"/>
        <v>6</v>
      </c>
      <c r="Z24" s="34">
        <f t="shared" si="16"/>
        <v>2</v>
      </c>
      <c r="AA24" s="34">
        <f t="shared" si="16"/>
        <v>1</v>
      </c>
      <c r="AB24" s="34">
        <f t="shared" si="16"/>
        <v>0.5</v>
      </c>
      <c r="AC24" s="34">
        <f t="shared" si="16"/>
        <v>390.5</v>
      </c>
      <c r="AD24" s="34">
        <f t="shared" si="16"/>
        <v>0</v>
      </c>
      <c r="AE24" s="31">
        <f t="shared" si="16"/>
        <v>266</v>
      </c>
      <c r="AF24" s="31">
        <f t="shared" si="16"/>
        <v>656.5</v>
      </c>
    </row>
    <row r="25" spans="2:32" ht="23.1" customHeight="1" x14ac:dyDescent="0.25">
      <c r="B25" s="23" t="s">
        <v>52</v>
      </c>
      <c r="C25" s="49">
        <f>AVERAGE('29.07 URA-Spear Motors'!C25,'30.07 URA-Spear Motors'!C25,'31.07 URA-Spear Motors'!C25,'02.08 URA-Spear Motors'!C25,'01.08 URA-Spear Motors-24h'!C25,'03.08 URA-Spear Motors-24h'!C25,'04.08 URA-Spear Motors'!C25)</f>
        <v>36</v>
      </c>
      <c r="D25" s="49">
        <f>AVERAGE('29.07 URA-Spear Motors'!D25,'30.07 URA-Spear Motors'!D25,'31.07 URA-Spear Motors'!D25,'02.08 URA-Spear Motors'!D25,'01.08 URA-Spear Motors-24h'!D25,'03.08 URA-Spear Motors-24h'!D25,'04.08 URA-Spear Motors'!D25)</f>
        <v>6.5714285714285712</v>
      </c>
      <c r="E25" s="49">
        <f>AVERAGE('29.07 URA-Spear Motors'!E25,'30.07 URA-Spear Motors'!E25,'31.07 URA-Spear Motors'!E25,'02.08 URA-Spear Motors'!E25,'01.08 URA-Spear Motors-24h'!E25,'03.08 URA-Spear Motors-24h'!E25,'04.08 URA-Spear Motors'!E25)</f>
        <v>6.1428571428571432</v>
      </c>
      <c r="F25" s="49">
        <f>AVERAGE('29.07 URA-Spear Motors'!F25,'30.07 URA-Spear Motors'!F25,'31.07 URA-Spear Motors'!F25,'02.08 URA-Spear Motors'!F25,'01.08 URA-Spear Motors-24h'!F25,'03.08 URA-Spear Motors-24h'!F25,'04.08 URA-Spear Motors'!F25)</f>
        <v>7.5714285714285712</v>
      </c>
      <c r="G25" s="49">
        <f>AVERAGE('29.07 URA-Spear Motors'!G25,'30.07 URA-Spear Motors'!G25,'31.07 URA-Spear Motors'!G25,'02.08 URA-Spear Motors'!G25,'01.08 URA-Spear Motors-24h'!G25,'03.08 URA-Spear Motors-24h'!G25,'04.08 URA-Spear Motors'!G25)</f>
        <v>0.2857142857142857</v>
      </c>
      <c r="H25" s="49">
        <f>AVERAGE('29.07 URA-Spear Motors'!H25,'30.07 URA-Spear Motors'!H25,'31.07 URA-Spear Motors'!H25,'02.08 URA-Spear Motors'!H25,'01.08 URA-Spear Motors-24h'!H25,'03.08 URA-Spear Motors-24h'!H25,'04.08 URA-Spear Motors'!H25)</f>
        <v>0.14285714285714285</v>
      </c>
      <c r="I25" s="49">
        <f>AVERAGE('29.07 URA-Spear Motors'!I25,'30.07 URA-Spear Motors'!I25,'31.07 URA-Spear Motors'!I25,'02.08 URA-Spear Motors'!I25,'01.08 URA-Spear Motors-24h'!I25,'03.08 URA-Spear Motors-24h'!I25,'04.08 URA-Spear Motors'!I25)</f>
        <v>5.4285714285714288</v>
      </c>
      <c r="J25" s="49">
        <f>AVERAGE('29.07 URA-Spear Motors'!J25,'30.07 URA-Spear Motors'!J25,'31.07 URA-Spear Motors'!J25,'02.08 URA-Spear Motors'!J25,'01.08 URA-Spear Motors-24h'!J25,'03.08 URA-Spear Motors-24h'!J25,'04.08 URA-Spear Motors'!J25)</f>
        <v>1.4285714285714286</v>
      </c>
      <c r="K25" s="49">
        <f>AVERAGE('29.07 URA-Spear Motors'!K25,'30.07 URA-Spear Motors'!K25,'31.07 URA-Spear Motors'!K25,'02.08 URA-Spear Motors'!K25,'01.08 URA-Spear Motors-24h'!K25,'03.08 URA-Spear Motors-24h'!K25,'04.08 URA-Spear Motors'!K25)</f>
        <v>0.5714285714285714</v>
      </c>
      <c r="L25" s="49">
        <f>AVERAGE('29.07 URA-Spear Motors'!L25,'30.07 URA-Spear Motors'!L25,'31.07 URA-Spear Motors'!L25,'02.08 URA-Spear Motors'!L25,'01.08 URA-Spear Motors-24h'!L25,'03.08 URA-Spear Motors-24h'!L25,'04.08 URA-Spear Motors'!L25)</f>
        <v>2</v>
      </c>
      <c r="M25" s="49">
        <f>AVERAGE('29.07 URA-Spear Motors'!M25,'30.07 URA-Spear Motors'!M25,'31.07 URA-Spear Motors'!M25,'02.08 URA-Spear Motors'!M25,'01.08 URA-Spear Motors-24h'!M25,'03.08 URA-Spear Motors-24h'!M25,'04.08 URA-Spear Motors'!M25)</f>
        <v>100.71428571428571</v>
      </c>
      <c r="N25" s="49">
        <f>AVERAGE('29.07 URA-Spear Motors'!N25,'30.07 URA-Spear Motors'!N25,'31.07 URA-Spear Motors'!N25,'02.08 URA-Spear Motors'!N25,'01.08 URA-Spear Motors-24h'!N25,'03.08 URA-Spear Motors-24h'!N25,'04.08 URA-Spear Motors'!N25)</f>
        <v>0</v>
      </c>
      <c r="O25" s="15">
        <f t="shared" si="0"/>
        <v>66.142857142857153</v>
      </c>
      <c r="P25" s="15">
        <f t="shared" si="1"/>
        <v>166.85714285714286</v>
      </c>
      <c r="R25" s="1" t="s">
        <v>149</v>
      </c>
      <c r="S25" s="34">
        <f>SUM(C70:C73)</f>
        <v>61.5</v>
      </c>
      <c r="T25" s="34">
        <f t="shared" ref="T25:AF25" si="17">SUM(D70:D73)</f>
        <v>48.5</v>
      </c>
      <c r="U25" s="34">
        <f t="shared" si="17"/>
        <v>8.5</v>
      </c>
      <c r="V25" s="34">
        <f t="shared" si="17"/>
        <v>22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2.5</v>
      </c>
      <c r="AA25" s="34">
        <f t="shared" si="17"/>
        <v>0.5</v>
      </c>
      <c r="AB25" s="34">
        <f t="shared" si="17"/>
        <v>1</v>
      </c>
      <c r="AC25" s="34">
        <f t="shared" si="17"/>
        <v>214.5</v>
      </c>
      <c r="AD25" s="34">
        <f t="shared" si="17"/>
        <v>0</v>
      </c>
      <c r="AE25" s="31">
        <f t="shared" si="17"/>
        <v>146.5</v>
      </c>
      <c r="AF25" s="31">
        <f t="shared" si="17"/>
        <v>361</v>
      </c>
    </row>
    <row r="26" spans="2:32" ht="23.1" customHeight="1" x14ac:dyDescent="0.25">
      <c r="B26" s="23" t="s">
        <v>53</v>
      </c>
      <c r="C26" s="49">
        <f>AVERAGE('29.07 URA-Spear Motors'!C26,'30.07 URA-Spear Motors'!C26,'31.07 URA-Spear Motors'!C26,'02.08 URA-Spear Motors'!C26,'01.08 URA-Spear Motors-24h'!C26,'03.08 URA-Spear Motors-24h'!C26,'04.08 URA-Spear Motors'!C26)</f>
        <v>31.428571428571427</v>
      </c>
      <c r="D26" s="49">
        <f>AVERAGE('29.07 URA-Spear Motors'!D26,'30.07 URA-Spear Motors'!D26,'31.07 URA-Spear Motors'!D26,'02.08 URA-Spear Motors'!D26,'01.08 URA-Spear Motors-24h'!D26,'03.08 URA-Spear Motors-24h'!D26,'04.08 URA-Spear Motors'!D26)</f>
        <v>7.2857142857142856</v>
      </c>
      <c r="E26" s="49">
        <f>AVERAGE('29.07 URA-Spear Motors'!E26,'30.07 URA-Spear Motors'!E26,'31.07 URA-Spear Motors'!E26,'02.08 URA-Spear Motors'!E26,'01.08 URA-Spear Motors-24h'!E26,'03.08 URA-Spear Motors-24h'!E26,'04.08 URA-Spear Motors'!E26)</f>
        <v>6.2857142857142856</v>
      </c>
      <c r="F26" s="49">
        <f>AVERAGE('29.07 URA-Spear Motors'!F26,'30.07 URA-Spear Motors'!F26,'31.07 URA-Spear Motors'!F26,'02.08 URA-Spear Motors'!F26,'01.08 URA-Spear Motors-24h'!F26,'03.08 URA-Spear Motors-24h'!F26,'04.08 URA-Spear Motors'!F26)</f>
        <v>6.5714285714285712</v>
      </c>
      <c r="G26" s="49">
        <f>AVERAGE('29.07 URA-Spear Motors'!G26,'30.07 URA-Spear Motors'!G26,'31.07 URA-Spear Motors'!G26,'02.08 URA-Spear Motors'!G26,'01.08 URA-Spear Motors-24h'!G26,'03.08 URA-Spear Motors-24h'!G26,'04.08 URA-Spear Motors'!G26)</f>
        <v>0.5714285714285714</v>
      </c>
      <c r="H26" s="49">
        <f>AVERAGE('29.07 URA-Spear Motors'!H26,'30.07 URA-Spear Motors'!H26,'31.07 URA-Spear Motors'!H26,'02.08 URA-Spear Motors'!H26,'01.08 URA-Spear Motors-24h'!H26,'03.08 URA-Spear Motors-24h'!H26,'04.08 URA-Spear Motors'!H26)</f>
        <v>0</v>
      </c>
      <c r="I26" s="49">
        <f>AVERAGE('29.07 URA-Spear Motors'!I26,'30.07 URA-Spear Motors'!I26,'31.07 URA-Spear Motors'!I26,'02.08 URA-Spear Motors'!I26,'01.08 URA-Spear Motors-24h'!I26,'03.08 URA-Spear Motors-24h'!I26,'04.08 URA-Spear Motors'!I26)</f>
        <v>3.2857142857142856</v>
      </c>
      <c r="J26" s="49">
        <f>AVERAGE('29.07 URA-Spear Motors'!J26,'30.07 URA-Spear Motors'!J26,'31.07 URA-Spear Motors'!J26,'02.08 URA-Spear Motors'!J26,'01.08 URA-Spear Motors-24h'!J26,'03.08 URA-Spear Motors-24h'!J26,'04.08 URA-Spear Motors'!J26)</f>
        <v>1.4285714285714286</v>
      </c>
      <c r="K26" s="49">
        <f>AVERAGE('29.07 URA-Spear Motors'!K26,'30.07 URA-Spear Motors'!K26,'31.07 URA-Spear Motors'!K26,'02.08 URA-Spear Motors'!K26,'01.08 URA-Spear Motors-24h'!K26,'03.08 URA-Spear Motors-24h'!K26,'04.08 URA-Spear Motors'!K26)</f>
        <v>1.2857142857142858</v>
      </c>
      <c r="L26" s="49">
        <f>AVERAGE('29.07 URA-Spear Motors'!L26,'30.07 URA-Spear Motors'!L26,'31.07 URA-Spear Motors'!L26,'02.08 URA-Spear Motors'!L26,'01.08 URA-Spear Motors-24h'!L26,'03.08 URA-Spear Motors-24h'!L26,'04.08 URA-Spear Motors'!L26)</f>
        <v>0.8571428571428571</v>
      </c>
      <c r="M26" s="49">
        <f>AVERAGE('29.07 URA-Spear Motors'!M26,'30.07 URA-Spear Motors'!M26,'31.07 URA-Spear Motors'!M26,'02.08 URA-Spear Motors'!M26,'01.08 URA-Spear Motors-24h'!M26,'03.08 URA-Spear Motors-24h'!M26,'04.08 URA-Spear Motors'!M26)</f>
        <v>92.571428571428569</v>
      </c>
      <c r="N26" s="49">
        <f>AVERAGE('29.07 URA-Spear Motors'!N26,'30.07 URA-Spear Motors'!N26,'31.07 URA-Spear Motors'!N26,'02.08 URA-Spear Motors'!N26,'01.08 URA-Spear Motors-24h'!N26,'03.08 URA-Spear Motors-24h'!N26,'04.08 URA-Spear Motors'!N26)</f>
        <v>0</v>
      </c>
      <c r="O26" s="15">
        <f t="shared" si="0"/>
        <v>58.999999999999993</v>
      </c>
      <c r="P26" s="15">
        <f t="shared" si="1"/>
        <v>151.57142857142856</v>
      </c>
      <c r="R26" s="1" t="s">
        <v>150</v>
      </c>
      <c r="S26" s="34">
        <f>SUM(C74:C77)</f>
        <v>61</v>
      </c>
      <c r="T26" s="34">
        <f t="shared" ref="T26:AF26" si="18">SUM(D74:D77)</f>
        <v>39.5</v>
      </c>
      <c r="U26" s="34">
        <f t="shared" si="18"/>
        <v>9</v>
      </c>
      <c r="V26" s="34">
        <f t="shared" si="18"/>
        <v>10</v>
      </c>
      <c r="W26" s="34">
        <f t="shared" si="18"/>
        <v>0.5</v>
      </c>
      <c r="X26" s="34">
        <f t="shared" si="18"/>
        <v>0</v>
      </c>
      <c r="Y26" s="34">
        <f t="shared" si="18"/>
        <v>2</v>
      </c>
      <c r="Z26" s="34">
        <f t="shared" si="18"/>
        <v>0.5</v>
      </c>
      <c r="AA26" s="34">
        <f t="shared" si="18"/>
        <v>0</v>
      </c>
      <c r="AB26" s="34">
        <f t="shared" si="18"/>
        <v>0.5</v>
      </c>
      <c r="AC26" s="34">
        <f t="shared" si="18"/>
        <v>178</v>
      </c>
      <c r="AD26" s="34">
        <f t="shared" si="18"/>
        <v>0</v>
      </c>
      <c r="AE26" s="31">
        <f t="shared" si="18"/>
        <v>123</v>
      </c>
      <c r="AF26" s="31">
        <f t="shared" si="18"/>
        <v>301</v>
      </c>
    </row>
    <row r="27" spans="2:32" ht="23.1" customHeight="1" x14ac:dyDescent="0.25">
      <c r="B27" s="23" t="s">
        <v>54</v>
      </c>
      <c r="C27" s="49">
        <f>AVERAGE('29.07 URA-Spear Motors'!C27,'30.07 URA-Spear Motors'!C27,'31.07 URA-Spear Motors'!C27,'02.08 URA-Spear Motors'!C27,'01.08 URA-Spear Motors-24h'!C27,'03.08 URA-Spear Motors-24h'!C27,'04.08 URA-Spear Motors'!C27)</f>
        <v>40.571428571428569</v>
      </c>
      <c r="D27" s="49">
        <f>AVERAGE('29.07 URA-Spear Motors'!D27,'30.07 URA-Spear Motors'!D27,'31.07 URA-Spear Motors'!D27,'02.08 URA-Spear Motors'!D27,'01.08 URA-Spear Motors-24h'!D27,'03.08 URA-Spear Motors-24h'!D27,'04.08 URA-Spear Motors'!D27)</f>
        <v>9.4285714285714288</v>
      </c>
      <c r="E27" s="49">
        <f>AVERAGE('29.07 URA-Spear Motors'!E27,'30.07 URA-Spear Motors'!E27,'31.07 URA-Spear Motors'!E27,'02.08 URA-Spear Motors'!E27,'01.08 URA-Spear Motors-24h'!E27,'03.08 URA-Spear Motors-24h'!E27,'04.08 URA-Spear Motors'!E27)</f>
        <v>6.5714285714285712</v>
      </c>
      <c r="F27" s="49">
        <f>AVERAGE('29.07 URA-Spear Motors'!F27,'30.07 URA-Spear Motors'!F27,'31.07 URA-Spear Motors'!F27,'02.08 URA-Spear Motors'!F27,'01.08 URA-Spear Motors-24h'!F27,'03.08 URA-Spear Motors-24h'!F27,'04.08 URA-Spear Motors'!F27)</f>
        <v>12</v>
      </c>
      <c r="G27" s="49">
        <f>AVERAGE('29.07 URA-Spear Motors'!G27,'30.07 URA-Spear Motors'!G27,'31.07 URA-Spear Motors'!G27,'02.08 URA-Spear Motors'!G27,'01.08 URA-Spear Motors-24h'!G27,'03.08 URA-Spear Motors-24h'!G27,'04.08 URA-Spear Motors'!G27)</f>
        <v>0.14285714285714285</v>
      </c>
      <c r="H27" s="49">
        <f>AVERAGE('29.07 URA-Spear Motors'!H27,'30.07 URA-Spear Motors'!H27,'31.07 URA-Spear Motors'!H27,'02.08 URA-Spear Motors'!H27,'01.08 URA-Spear Motors-24h'!H27,'03.08 URA-Spear Motors-24h'!H27,'04.08 URA-Spear Motors'!H27)</f>
        <v>0.2857142857142857</v>
      </c>
      <c r="I27" s="49">
        <f>AVERAGE('29.07 URA-Spear Motors'!I27,'30.07 URA-Spear Motors'!I27,'31.07 URA-Spear Motors'!I27,'02.08 URA-Spear Motors'!I27,'01.08 URA-Spear Motors-24h'!I27,'03.08 URA-Spear Motors-24h'!I27,'04.08 URA-Spear Motors'!I27)</f>
        <v>5.1428571428571432</v>
      </c>
      <c r="J27" s="49">
        <f>AVERAGE('29.07 URA-Spear Motors'!J27,'30.07 URA-Spear Motors'!J27,'31.07 URA-Spear Motors'!J27,'02.08 URA-Spear Motors'!J27,'01.08 URA-Spear Motors-24h'!J27,'03.08 URA-Spear Motors-24h'!J27,'04.08 URA-Spear Motors'!J27)</f>
        <v>1.4285714285714286</v>
      </c>
      <c r="K27" s="49">
        <f>AVERAGE('29.07 URA-Spear Motors'!K27,'30.07 URA-Spear Motors'!K27,'31.07 URA-Spear Motors'!K27,'02.08 URA-Spear Motors'!K27,'01.08 URA-Spear Motors-24h'!K27,'03.08 URA-Spear Motors-24h'!K27,'04.08 URA-Spear Motors'!K27)</f>
        <v>1.7142857142857142</v>
      </c>
      <c r="L27" s="49">
        <f>AVERAGE('29.07 URA-Spear Motors'!L27,'30.07 URA-Spear Motors'!L27,'31.07 URA-Spear Motors'!L27,'02.08 URA-Spear Motors'!L27,'01.08 URA-Spear Motors-24h'!L27,'03.08 URA-Spear Motors-24h'!L27,'04.08 URA-Spear Motors'!L27)</f>
        <v>1.1428571428571428</v>
      </c>
      <c r="M27" s="49">
        <f>AVERAGE('29.07 URA-Spear Motors'!M27,'30.07 URA-Spear Motors'!M27,'31.07 URA-Spear Motors'!M27,'02.08 URA-Spear Motors'!M27,'01.08 URA-Spear Motors-24h'!M27,'03.08 URA-Spear Motors-24h'!M27,'04.08 URA-Spear Motors'!M27)</f>
        <v>100.57142857142857</v>
      </c>
      <c r="N27" s="49">
        <f>AVERAGE('29.07 URA-Spear Motors'!N27,'30.07 URA-Spear Motors'!N27,'31.07 URA-Spear Motors'!N27,'02.08 URA-Spear Motors'!N27,'01.08 URA-Spear Motors-24h'!N27,'03.08 URA-Spear Motors-24h'!N27,'04.08 URA-Spear Motors'!N27)</f>
        <v>0</v>
      </c>
      <c r="O27" s="15">
        <f t="shared" si="0"/>
        <v>78.428571428571416</v>
      </c>
      <c r="P27" s="15">
        <f t="shared" si="1"/>
        <v>179</v>
      </c>
      <c r="R27" s="1" t="s">
        <v>151</v>
      </c>
      <c r="S27" s="34">
        <f>SUM(C78:C81)</f>
        <v>45</v>
      </c>
      <c r="T27" s="34">
        <f t="shared" ref="T27:AF27" si="19">SUM(D78:D81)</f>
        <v>16</v>
      </c>
      <c r="U27" s="34">
        <f t="shared" si="19"/>
        <v>3</v>
      </c>
      <c r="V27" s="34">
        <f t="shared" si="19"/>
        <v>1.5</v>
      </c>
      <c r="W27" s="34">
        <f t="shared" si="19"/>
        <v>0</v>
      </c>
      <c r="X27" s="34">
        <f t="shared" si="19"/>
        <v>0</v>
      </c>
      <c r="Y27" s="34">
        <f t="shared" si="19"/>
        <v>0.5</v>
      </c>
      <c r="Z27" s="34">
        <f t="shared" si="19"/>
        <v>0</v>
      </c>
      <c r="AA27" s="34">
        <f t="shared" si="19"/>
        <v>0</v>
      </c>
      <c r="AB27" s="34">
        <f t="shared" si="19"/>
        <v>1.5</v>
      </c>
      <c r="AC27" s="34">
        <f t="shared" si="19"/>
        <v>139.5</v>
      </c>
      <c r="AD27" s="34">
        <f t="shared" si="19"/>
        <v>0</v>
      </c>
      <c r="AE27" s="31">
        <f t="shared" si="19"/>
        <v>67.5</v>
      </c>
      <c r="AF27" s="31">
        <f t="shared" si="19"/>
        <v>207</v>
      </c>
    </row>
    <row r="28" spans="2:32" ht="23.1" customHeight="1" x14ac:dyDescent="0.25">
      <c r="B28" s="23" t="s">
        <v>55</v>
      </c>
      <c r="C28" s="49">
        <f>AVERAGE('29.07 URA-Spear Motors'!C28,'30.07 URA-Spear Motors'!C28,'31.07 URA-Spear Motors'!C28,'02.08 URA-Spear Motors'!C28,'01.08 URA-Spear Motors-24h'!C28,'03.08 URA-Spear Motors-24h'!C28,'04.08 URA-Spear Motors'!C28)</f>
        <v>32.857142857142854</v>
      </c>
      <c r="D28" s="49">
        <f>AVERAGE('29.07 URA-Spear Motors'!D28,'30.07 URA-Spear Motors'!D28,'31.07 URA-Spear Motors'!D28,'02.08 URA-Spear Motors'!D28,'01.08 URA-Spear Motors-24h'!D28,'03.08 URA-Spear Motors-24h'!D28,'04.08 URA-Spear Motors'!D28)</f>
        <v>8</v>
      </c>
      <c r="E28" s="49">
        <f>AVERAGE('29.07 URA-Spear Motors'!E28,'30.07 URA-Spear Motors'!E28,'31.07 URA-Spear Motors'!E28,'02.08 URA-Spear Motors'!E28,'01.08 URA-Spear Motors-24h'!E28,'03.08 URA-Spear Motors-24h'!E28,'04.08 URA-Spear Motors'!E28)</f>
        <v>5.1428571428571432</v>
      </c>
      <c r="F28" s="49">
        <f>AVERAGE('29.07 URA-Spear Motors'!F28,'30.07 URA-Spear Motors'!F28,'31.07 URA-Spear Motors'!F28,'02.08 URA-Spear Motors'!F28,'01.08 URA-Spear Motors-24h'!F28,'03.08 URA-Spear Motors-24h'!F28,'04.08 URA-Spear Motors'!F28)</f>
        <v>6.8571428571428568</v>
      </c>
      <c r="G28" s="49">
        <f>AVERAGE('29.07 URA-Spear Motors'!G28,'30.07 URA-Spear Motors'!G28,'31.07 URA-Spear Motors'!G28,'02.08 URA-Spear Motors'!G28,'01.08 URA-Spear Motors-24h'!G28,'03.08 URA-Spear Motors-24h'!G28,'04.08 URA-Spear Motors'!G28)</f>
        <v>0.5714285714285714</v>
      </c>
      <c r="H28" s="49">
        <f>AVERAGE('29.07 URA-Spear Motors'!H28,'30.07 URA-Spear Motors'!H28,'31.07 URA-Spear Motors'!H28,'02.08 URA-Spear Motors'!H28,'01.08 URA-Spear Motors-24h'!H28,'03.08 URA-Spear Motors-24h'!H28,'04.08 URA-Spear Motors'!H28)</f>
        <v>0</v>
      </c>
      <c r="I28" s="49">
        <f>AVERAGE('29.07 URA-Spear Motors'!I28,'30.07 URA-Spear Motors'!I28,'31.07 URA-Spear Motors'!I28,'02.08 URA-Spear Motors'!I28,'01.08 URA-Spear Motors-24h'!I28,'03.08 URA-Spear Motors-24h'!I28,'04.08 URA-Spear Motors'!I28)</f>
        <v>4.2857142857142856</v>
      </c>
      <c r="J28" s="49">
        <f>AVERAGE('29.07 URA-Spear Motors'!J28,'30.07 URA-Spear Motors'!J28,'31.07 URA-Spear Motors'!J28,'02.08 URA-Spear Motors'!J28,'01.08 URA-Spear Motors-24h'!J28,'03.08 URA-Spear Motors-24h'!J28,'04.08 URA-Spear Motors'!J28)</f>
        <v>1.4285714285714286</v>
      </c>
      <c r="K28" s="49">
        <f>AVERAGE('29.07 URA-Spear Motors'!K28,'30.07 URA-Spear Motors'!K28,'31.07 URA-Spear Motors'!K28,'02.08 URA-Spear Motors'!K28,'01.08 URA-Spear Motors-24h'!K28,'03.08 URA-Spear Motors-24h'!K28,'04.08 URA-Spear Motors'!K28)</f>
        <v>1.1428571428571428</v>
      </c>
      <c r="L28" s="49">
        <f>AVERAGE('29.07 URA-Spear Motors'!L28,'30.07 URA-Spear Motors'!L28,'31.07 URA-Spear Motors'!L28,'02.08 URA-Spear Motors'!L28,'01.08 URA-Spear Motors-24h'!L28,'03.08 URA-Spear Motors-24h'!L28,'04.08 URA-Spear Motors'!L28)</f>
        <v>1.1428571428571428</v>
      </c>
      <c r="M28" s="49">
        <f>AVERAGE('29.07 URA-Spear Motors'!M28,'30.07 URA-Spear Motors'!M28,'31.07 URA-Spear Motors'!M28,'02.08 URA-Spear Motors'!M28,'01.08 URA-Spear Motors-24h'!M28,'03.08 URA-Spear Motors-24h'!M28,'04.08 URA-Spear Motors'!M28)</f>
        <v>65.142857142857139</v>
      </c>
      <c r="N28" s="49">
        <f>AVERAGE('29.07 URA-Spear Motors'!N28,'30.07 URA-Spear Motors'!N28,'31.07 URA-Spear Motors'!N28,'02.08 URA-Spear Motors'!N28,'01.08 URA-Spear Motors-24h'!N28,'03.08 URA-Spear Motors-24h'!N28,'04.08 URA-Spear Motors'!N28)</f>
        <v>0</v>
      </c>
      <c r="O28" s="15">
        <f t="shared" si="0"/>
        <v>61.428571428571431</v>
      </c>
      <c r="P28" s="15">
        <f t="shared" si="1"/>
        <v>126.57142857142857</v>
      </c>
      <c r="R28" s="1" t="s">
        <v>152</v>
      </c>
      <c r="S28" s="34">
        <f>SUM(C82:C85)</f>
        <v>23.5</v>
      </c>
      <c r="T28" s="34">
        <f t="shared" ref="T28:AF28" si="20">SUM(D82:D85)</f>
        <v>11.5</v>
      </c>
      <c r="U28" s="34">
        <f t="shared" si="20"/>
        <v>2.5</v>
      </c>
      <c r="V28" s="34">
        <f t="shared" si="20"/>
        <v>2.5</v>
      </c>
      <c r="W28" s="34">
        <f t="shared" si="20"/>
        <v>0.5</v>
      </c>
      <c r="X28" s="34">
        <f t="shared" si="20"/>
        <v>0</v>
      </c>
      <c r="Y28" s="34">
        <f t="shared" si="20"/>
        <v>2.5</v>
      </c>
      <c r="Z28" s="34">
        <f t="shared" si="20"/>
        <v>0.5</v>
      </c>
      <c r="AA28" s="34">
        <f t="shared" si="20"/>
        <v>0</v>
      </c>
      <c r="AB28" s="34">
        <f t="shared" si="20"/>
        <v>0</v>
      </c>
      <c r="AC28" s="34">
        <f t="shared" si="20"/>
        <v>78</v>
      </c>
      <c r="AD28" s="34">
        <f t="shared" si="20"/>
        <v>0</v>
      </c>
      <c r="AE28" s="31">
        <f t="shared" si="20"/>
        <v>43.5</v>
      </c>
      <c r="AF28" s="31">
        <f t="shared" si="20"/>
        <v>121.5</v>
      </c>
    </row>
    <row r="29" spans="2:32" ht="23.1" customHeight="1" x14ac:dyDescent="0.25">
      <c r="B29" s="23" t="s">
        <v>56</v>
      </c>
      <c r="C29" s="49">
        <f>AVERAGE('29.07 URA-Spear Motors'!C29,'30.07 URA-Spear Motors'!C29,'31.07 URA-Spear Motors'!C29,'02.08 URA-Spear Motors'!C29,'01.08 URA-Spear Motors-24h'!C29,'03.08 URA-Spear Motors-24h'!C29,'04.08 URA-Spear Motors'!C29)</f>
        <v>37.857142857142854</v>
      </c>
      <c r="D29" s="49">
        <f>AVERAGE('29.07 URA-Spear Motors'!D29,'30.07 URA-Spear Motors'!D29,'31.07 URA-Spear Motors'!D29,'02.08 URA-Spear Motors'!D29,'01.08 URA-Spear Motors-24h'!D29,'03.08 URA-Spear Motors-24h'!D29,'04.08 URA-Spear Motors'!D29)</f>
        <v>7</v>
      </c>
      <c r="E29" s="49">
        <f>AVERAGE('29.07 URA-Spear Motors'!E29,'30.07 URA-Spear Motors'!E29,'31.07 URA-Spear Motors'!E29,'02.08 URA-Spear Motors'!E29,'01.08 URA-Spear Motors-24h'!E29,'03.08 URA-Spear Motors-24h'!E29,'04.08 URA-Spear Motors'!E29)</f>
        <v>5.1428571428571432</v>
      </c>
      <c r="F29" s="49">
        <f>AVERAGE('29.07 URA-Spear Motors'!F29,'30.07 URA-Spear Motors'!F29,'31.07 URA-Spear Motors'!F29,'02.08 URA-Spear Motors'!F29,'01.08 URA-Spear Motors-24h'!F29,'03.08 URA-Spear Motors-24h'!F29,'04.08 URA-Spear Motors'!F29)</f>
        <v>5.1428571428571432</v>
      </c>
      <c r="G29" s="49">
        <f>AVERAGE('29.07 URA-Spear Motors'!G29,'30.07 URA-Spear Motors'!G29,'31.07 URA-Spear Motors'!G29,'02.08 URA-Spear Motors'!G29,'01.08 URA-Spear Motors-24h'!G29,'03.08 URA-Spear Motors-24h'!G29,'04.08 URA-Spear Motors'!G29)</f>
        <v>0.14285714285714285</v>
      </c>
      <c r="H29" s="49">
        <f>AVERAGE('29.07 URA-Spear Motors'!H29,'30.07 URA-Spear Motors'!H29,'31.07 URA-Spear Motors'!H29,'02.08 URA-Spear Motors'!H29,'01.08 URA-Spear Motors-24h'!H29,'03.08 URA-Spear Motors-24h'!H29,'04.08 URA-Spear Motors'!H29)</f>
        <v>0</v>
      </c>
      <c r="I29" s="49">
        <f>AVERAGE('29.07 URA-Spear Motors'!I29,'30.07 URA-Spear Motors'!I29,'31.07 URA-Spear Motors'!I29,'02.08 URA-Spear Motors'!I29,'01.08 URA-Spear Motors-24h'!I29,'03.08 URA-Spear Motors-24h'!I29,'04.08 URA-Spear Motors'!I29)</f>
        <v>4.4285714285714288</v>
      </c>
      <c r="J29" s="49">
        <f>AVERAGE('29.07 URA-Spear Motors'!J29,'30.07 URA-Spear Motors'!J29,'31.07 URA-Spear Motors'!J29,'02.08 URA-Spear Motors'!J29,'01.08 URA-Spear Motors-24h'!J29,'03.08 URA-Spear Motors-24h'!J29,'04.08 URA-Spear Motors'!J29)</f>
        <v>1.1428571428571428</v>
      </c>
      <c r="K29" s="49">
        <f>AVERAGE('29.07 URA-Spear Motors'!K29,'30.07 URA-Spear Motors'!K29,'31.07 URA-Spear Motors'!K29,'02.08 URA-Spear Motors'!K29,'01.08 URA-Spear Motors-24h'!K29,'03.08 URA-Spear Motors-24h'!K29,'04.08 URA-Spear Motors'!K29)</f>
        <v>1.2857142857142858</v>
      </c>
      <c r="L29" s="49">
        <f>AVERAGE('29.07 URA-Spear Motors'!L29,'30.07 URA-Spear Motors'!L29,'31.07 URA-Spear Motors'!L29,'02.08 URA-Spear Motors'!L29,'01.08 URA-Spear Motors-24h'!L29,'03.08 URA-Spear Motors-24h'!L29,'04.08 URA-Spear Motors'!L29)</f>
        <v>0.42857142857142855</v>
      </c>
      <c r="M29" s="49">
        <f>AVERAGE('29.07 URA-Spear Motors'!M29,'30.07 URA-Spear Motors'!M29,'31.07 URA-Spear Motors'!M29,'02.08 URA-Spear Motors'!M29,'01.08 URA-Spear Motors-24h'!M29,'03.08 URA-Spear Motors-24h'!M29,'04.08 URA-Spear Motors'!M29)</f>
        <v>71.571428571428569</v>
      </c>
      <c r="N29" s="49">
        <f>AVERAGE('29.07 URA-Spear Motors'!N29,'30.07 URA-Spear Motors'!N29,'31.07 URA-Spear Motors'!N29,'02.08 URA-Spear Motors'!N29,'01.08 URA-Spear Motors-24h'!N29,'03.08 URA-Spear Motors-24h'!N29,'04.08 URA-Spear Motors'!N29)</f>
        <v>0</v>
      </c>
      <c r="O29" s="15">
        <f t="shared" si="0"/>
        <v>62.571428571428584</v>
      </c>
      <c r="P29" s="15">
        <f t="shared" si="1"/>
        <v>134.14285714285717</v>
      </c>
      <c r="R29" s="1" t="s">
        <v>153</v>
      </c>
      <c r="S29" s="34">
        <f>SUM(C86:C89)</f>
        <v>16</v>
      </c>
      <c r="T29" s="34">
        <f t="shared" ref="T29:AF29" si="21">SUM(D86:D89)</f>
        <v>8.5</v>
      </c>
      <c r="U29" s="34">
        <f t="shared" si="21"/>
        <v>1.5</v>
      </c>
      <c r="V29" s="34">
        <f t="shared" si="21"/>
        <v>3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0.5</v>
      </c>
      <c r="AA29" s="34">
        <f t="shared" si="21"/>
        <v>0</v>
      </c>
      <c r="AB29" s="34">
        <f t="shared" si="21"/>
        <v>0</v>
      </c>
      <c r="AC29" s="34">
        <f t="shared" si="21"/>
        <v>54.5</v>
      </c>
      <c r="AD29" s="34">
        <f t="shared" si="21"/>
        <v>0</v>
      </c>
      <c r="AE29" s="31">
        <f t="shared" si="21"/>
        <v>29.5</v>
      </c>
      <c r="AF29" s="31">
        <f t="shared" si="21"/>
        <v>84</v>
      </c>
    </row>
    <row r="30" spans="2:32" ht="23.1" customHeight="1" x14ac:dyDescent="0.25">
      <c r="B30" s="23" t="s">
        <v>57</v>
      </c>
      <c r="C30" s="49">
        <f>AVERAGE('29.07 URA-Spear Motors'!C30,'30.07 URA-Spear Motors'!C30,'31.07 URA-Spear Motors'!C30,'02.08 URA-Spear Motors'!C30,'01.08 URA-Spear Motors-24h'!C30,'03.08 URA-Spear Motors-24h'!C30,'04.08 URA-Spear Motors'!C30)</f>
        <v>38.142857142857146</v>
      </c>
      <c r="D30" s="49">
        <f>AVERAGE('29.07 URA-Spear Motors'!D30,'30.07 URA-Spear Motors'!D30,'31.07 URA-Spear Motors'!D30,'02.08 URA-Spear Motors'!D30,'01.08 URA-Spear Motors-24h'!D30,'03.08 URA-Spear Motors-24h'!D30,'04.08 URA-Spear Motors'!D30)</f>
        <v>7.2857142857142856</v>
      </c>
      <c r="E30" s="49">
        <f>AVERAGE('29.07 URA-Spear Motors'!E30,'30.07 URA-Spear Motors'!E30,'31.07 URA-Spear Motors'!E30,'02.08 URA-Spear Motors'!E30,'01.08 URA-Spear Motors-24h'!E30,'03.08 URA-Spear Motors-24h'!E30,'04.08 URA-Spear Motors'!E30)</f>
        <v>5.8571428571428568</v>
      </c>
      <c r="F30" s="49">
        <f>AVERAGE('29.07 URA-Spear Motors'!F30,'30.07 URA-Spear Motors'!F30,'31.07 URA-Spear Motors'!F30,'02.08 URA-Spear Motors'!F30,'01.08 URA-Spear Motors-24h'!F30,'03.08 URA-Spear Motors-24h'!F30,'04.08 URA-Spear Motors'!F30)</f>
        <v>6</v>
      </c>
      <c r="G30" s="49">
        <f>AVERAGE('29.07 URA-Spear Motors'!G30,'30.07 URA-Spear Motors'!G30,'31.07 URA-Spear Motors'!G30,'02.08 URA-Spear Motors'!G30,'01.08 URA-Spear Motors-24h'!G30,'03.08 URA-Spear Motors-24h'!G30,'04.08 URA-Spear Motors'!G30)</f>
        <v>0.14285714285714285</v>
      </c>
      <c r="H30" s="49">
        <f>AVERAGE('29.07 URA-Spear Motors'!H30,'30.07 URA-Spear Motors'!H30,'31.07 URA-Spear Motors'!H30,'02.08 URA-Spear Motors'!H30,'01.08 URA-Spear Motors-24h'!H30,'03.08 URA-Spear Motors-24h'!H30,'04.08 URA-Spear Motors'!H30)</f>
        <v>0</v>
      </c>
      <c r="I30" s="49">
        <f>AVERAGE('29.07 URA-Spear Motors'!I30,'30.07 URA-Spear Motors'!I30,'31.07 URA-Spear Motors'!I30,'02.08 URA-Spear Motors'!I30,'01.08 URA-Spear Motors-24h'!I30,'03.08 URA-Spear Motors-24h'!I30,'04.08 URA-Spear Motors'!I30)</f>
        <v>6.4285714285714288</v>
      </c>
      <c r="J30" s="49">
        <f>AVERAGE('29.07 URA-Spear Motors'!J30,'30.07 URA-Spear Motors'!J30,'31.07 URA-Spear Motors'!J30,'02.08 URA-Spear Motors'!J30,'01.08 URA-Spear Motors-24h'!J30,'03.08 URA-Spear Motors-24h'!J30,'04.08 URA-Spear Motors'!J30)</f>
        <v>0.8571428571428571</v>
      </c>
      <c r="K30" s="49">
        <f>AVERAGE('29.07 URA-Spear Motors'!K30,'30.07 URA-Spear Motors'!K30,'31.07 URA-Spear Motors'!K30,'02.08 URA-Spear Motors'!K30,'01.08 URA-Spear Motors-24h'!K30,'03.08 URA-Spear Motors-24h'!K30,'04.08 URA-Spear Motors'!K30)</f>
        <v>1</v>
      </c>
      <c r="L30" s="49">
        <f>AVERAGE('29.07 URA-Spear Motors'!L30,'30.07 URA-Spear Motors'!L30,'31.07 URA-Spear Motors'!L30,'02.08 URA-Spear Motors'!L30,'01.08 URA-Spear Motors-24h'!L30,'03.08 URA-Spear Motors-24h'!L30,'04.08 URA-Spear Motors'!L30)</f>
        <v>2</v>
      </c>
      <c r="M30" s="49">
        <f>AVERAGE('29.07 URA-Spear Motors'!M30,'30.07 URA-Spear Motors'!M30,'31.07 URA-Spear Motors'!M30,'02.08 URA-Spear Motors'!M30,'01.08 URA-Spear Motors-24h'!M30,'03.08 URA-Spear Motors-24h'!M30,'04.08 URA-Spear Motors'!M30)</f>
        <v>66.428571428571431</v>
      </c>
      <c r="N30" s="49">
        <f>AVERAGE('29.07 URA-Spear Motors'!N30,'30.07 URA-Spear Motors'!N30,'31.07 URA-Spear Motors'!N30,'02.08 URA-Spear Motors'!N30,'01.08 URA-Spear Motors-24h'!N30,'03.08 URA-Spear Motors-24h'!N30,'04.08 URA-Spear Motors'!N30)</f>
        <v>0</v>
      </c>
      <c r="O30" s="15">
        <f t="shared" si="0"/>
        <v>67.714285714285722</v>
      </c>
      <c r="P30" s="15">
        <f t="shared" si="1"/>
        <v>134.14285714285717</v>
      </c>
      <c r="R30" s="1" t="s">
        <v>154</v>
      </c>
      <c r="S30" s="34">
        <f>SUM(C90:C93)</f>
        <v>13.5</v>
      </c>
      <c r="T30" s="34">
        <f t="shared" ref="T30:AF30" si="22">SUM(D90:D93)</f>
        <v>7.5</v>
      </c>
      <c r="U30" s="34">
        <f t="shared" si="22"/>
        <v>1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0.5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43</v>
      </c>
      <c r="AD30" s="34">
        <f t="shared" si="22"/>
        <v>0</v>
      </c>
      <c r="AE30" s="31">
        <f t="shared" si="22"/>
        <v>24.5</v>
      </c>
      <c r="AF30" s="31">
        <f t="shared" si="22"/>
        <v>67.5</v>
      </c>
    </row>
    <row r="31" spans="2:32" ht="23.1" customHeight="1" x14ac:dyDescent="0.25">
      <c r="B31" s="24" t="s">
        <v>58</v>
      </c>
      <c r="C31" s="49">
        <f>AVERAGE('29.07 URA-Spear Motors'!C31,'30.07 URA-Spear Motors'!C31,'31.07 URA-Spear Motors'!C31,'02.08 URA-Spear Motors'!C31,'01.08 URA-Spear Motors-24h'!C31,'03.08 URA-Spear Motors-24h'!C31,'04.08 URA-Spear Motors'!C31)</f>
        <v>30.571428571428573</v>
      </c>
      <c r="D31" s="49">
        <f>AVERAGE('29.07 URA-Spear Motors'!D31,'30.07 URA-Spear Motors'!D31,'31.07 URA-Spear Motors'!D31,'02.08 URA-Spear Motors'!D31,'01.08 URA-Spear Motors-24h'!D31,'03.08 URA-Spear Motors-24h'!D31,'04.08 URA-Spear Motors'!D31)</f>
        <v>9</v>
      </c>
      <c r="E31" s="49">
        <f>AVERAGE('29.07 URA-Spear Motors'!E31,'30.07 URA-Spear Motors'!E31,'31.07 URA-Spear Motors'!E31,'02.08 URA-Spear Motors'!E31,'01.08 URA-Spear Motors-24h'!E31,'03.08 URA-Spear Motors-24h'!E31,'04.08 URA-Spear Motors'!E31)</f>
        <v>7.8571428571428568</v>
      </c>
      <c r="F31" s="49">
        <f>AVERAGE('29.07 URA-Spear Motors'!F31,'30.07 URA-Spear Motors'!F31,'31.07 URA-Spear Motors'!F31,'02.08 URA-Spear Motors'!F31,'01.08 URA-Spear Motors-24h'!F31,'03.08 URA-Spear Motors-24h'!F31,'04.08 URA-Spear Motors'!F31)</f>
        <v>4.7142857142857144</v>
      </c>
      <c r="G31" s="49">
        <f>AVERAGE('29.07 URA-Spear Motors'!G31,'30.07 URA-Spear Motors'!G31,'31.07 URA-Spear Motors'!G31,'02.08 URA-Spear Motors'!G31,'01.08 URA-Spear Motors-24h'!G31,'03.08 URA-Spear Motors-24h'!G31,'04.08 URA-Spear Motors'!G31)</f>
        <v>0.14285714285714285</v>
      </c>
      <c r="H31" s="49">
        <f>AVERAGE('29.07 URA-Spear Motors'!H31,'30.07 URA-Spear Motors'!H31,'31.07 URA-Spear Motors'!H31,'02.08 URA-Spear Motors'!H31,'01.08 URA-Spear Motors-24h'!H31,'03.08 URA-Spear Motors-24h'!H31,'04.08 URA-Spear Motors'!H31)</f>
        <v>0</v>
      </c>
      <c r="I31" s="49">
        <f>AVERAGE('29.07 URA-Spear Motors'!I31,'30.07 URA-Spear Motors'!I31,'31.07 URA-Spear Motors'!I31,'02.08 URA-Spear Motors'!I31,'01.08 URA-Spear Motors-24h'!I31,'03.08 URA-Spear Motors-24h'!I31,'04.08 URA-Spear Motors'!I31)</f>
        <v>5.4285714285714288</v>
      </c>
      <c r="J31" s="49">
        <f>AVERAGE('29.07 URA-Spear Motors'!J31,'30.07 URA-Spear Motors'!J31,'31.07 URA-Spear Motors'!J31,'02.08 URA-Spear Motors'!J31,'01.08 URA-Spear Motors-24h'!J31,'03.08 URA-Spear Motors-24h'!J31,'04.08 URA-Spear Motors'!J31)</f>
        <v>2.1428571428571428</v>
      </c>
      <c r="K31" s="49">
        <f>AVERAGE('29.07 URA-Spear Motors'!K31,'30.07 URA-Spear Motors'!K31,'31.07 URA-Spear Motors'!K31,'02.08 URA-Spear Motors'!K31,'01.08 URA-Spear Motors-24h'!K31,'03.08 URA-Spear Motors-24h'!K31,'04.08 URA-Spear Motors'!K31)</f>
        <v>0.2857142857142857</v>
      </c>
      <c r="L31" s="49">
        <f>AVERAGE('29.07 URA-Spear Motors'!L31,'30.07 URA-Spear Motors'!L31,'31.07 URA-Spear Motors'!L31,'02.08 URA-Spear Motors'!L31,'01.08 URA-Spear Motors-24h'!L31,'03.08 URA-Spear Motors-24h'!L31,'04.08 URA-Spear Motors'!L31)</f>
        <v>2.4285714285714284</v>
      </c>
      <c r="M31" s="49">
        <f>AVERAGE('29.07 URA-Spear Motors'!M31,'30.07 URA-Spear Motors'!M31,'31.07 URA-Spear Motors'!M31,'02.08 URA-Spear Motors'!M31,'01.08 URA-Spear Motors-24h'!M31,'03.08 URA-Spear Motors-24h'!M31,'04.08 URA-Spear Motors'!M31)</f>
        <v>72</v>
      </c>
      <c r="N31" s="49">
        <f>AVERAGE('29.07 URA-Spear Motors'!N31,'30.07 URA-Spear Motors'!N31,'31.07 URA-Spear Motors'!N31,'02.08 URA-Spear Motors'!N31,'01.08 URA-Spear Motors-24h'!N31,'03.08 URA-Spear Motors-24h'!N31,'04.08 URA-Spear Motors'!N31)</f>
        <v>0</v>
      </c>
      <c r="O31" s="15">
        <f t="shared" si="0"/>
        <v>62.571428571428577</v>
      </c>
      <c r="P31" s="15">
        <f t="shared" si="1"/>
        <v>134.57142857142858</v>
      </c>
      <c r="R31" s="1" t="s">
        <v>155</v>
      </c>
      <c r="S31" s="34">
        <f>SUM(C94:C97)</f>
        <v>11</v>
      </c>
      <c r="T31" s="34">
        <f t="shared" ref="T31:AF31" si="23">SUM(D94:D97)</f>
        <v>4.5</v>
      </c>
      <c r="U31" s="34">
        <f t="shared" si="23"/>
        <v>2.5</v>
      </c>
      <c r="V31" s="34">
        <f t="shared" si="23"/>
        <v>3.5</v>
      </c>
      <c r="W31" s="34">
        <f t="shared" si="23"/>
        <v>0</v>
      </c>
      <c r="X31" s="34">
        <f t="shared" si="23"/>
        <v>0</v>
      </c>
      <c r="Y31" s="34">
        <f t="shared" si="23"/>
        <v>1.5</v>
      </c>
      <c r="Z31" s="34">
        <f t="shared" si="23"/>
        <v>0.5</v>
      </c>
      <c r="AA31" s="34">
        <f t="shared" si="23"/>
        <v>0</v>
      </c>
      <c r="AB31" s="34">
        <f t="shared" si="23"/>
        <v>0.5</v>
      </c>
      <c r="AC31" s="34">
        <f t="shared" si="23"/>
        <v>69</v>
      </c>
      <c r="AD31" s="34">
        <f t="shared" si="23"/>
        <v>0</v>
      </c>
      <c r="AE31" s="31">
        <f t="shared" si="23"/>
        <v>24</v>
      </c>
      <c r="AF31" s="31">
        <f t="shared" si="23"/>
        <v>93</v>
      </c>
    </row>
    <row r="32" spans="2:32" ht="23.1" customHeight="1" x14ac:dyDescent="0.25">
      <c r="B32" s="24" t="s">
        <v>59</v>
      </c>
      <c r="C32" s="49">
        <f>AVERAGE('29.07 URA-Spear Motors'!C32,'30.07 URA-Spear Motors'!C32,'31.07 URA-Spear Motors'!C32,'02.08 URA-Spear Motors'!C32,'01.08 URA-Spear Motors-24h'!C32,'03.08 URA-Spear Motors-24h'!C32,'04.08 URA-Spear Motors'!C32)</f>
        <v>30.857142857142858</v>
      </c>
      <c r="D32" s="49">
        <f>AVERAGE('29.07 URA-Spear Motors'!D32,'30.07 URA-Spear Motors'!D32,'31.07 URA-Spear Motors'!D32,'02.08 URA-Spear Motors'!D32,'01.08 URA-Spear Motors-24h'!D32,'03.08 URA-Spear Motors-24h'!D32,'04.08 URA-Spear Motors'!D32)</f>
        <v>6</v>
      </c>
      <c r="E32" s="49">
        <f>AVERAGE('29.07 URA-Spear Motors'!E32,'30.07 URA-Spear Motors'!E32,'31.07 URA-Spear Motors'!E32,'02.08 URA-Spear Motors'!E32,'01.08 URA-Spear Motors-24h'!E32,'03.08 URA-Spear Motors-24h'!E32,'04.08 URA-Spear Motors'!E32)</f>
        <v>3.4285714285714284</v>
      </c>
      <c r="F32" s="49">
        <f>AVERAGE('29.07 URA-Spear Motors'!F32,'30.07 URA-Spear Motors'!F32,'31.07 URA-Spear Motors'!F32,'02.08 URA-Spear Motors'!F32,'01.08 URA-Spear Motors-24h'!F32,'03.08 URA-Spear Motors-24h'!F32,'04.08 URA-Spear Motors'!F32)</f>
        <v>3.4285714285714284</v>
      </c>
      <c r="G32" s="49">
        <f>AVERAGE('29.07 URA-Spear Motors'!G32,'30.07 URA-Spear Motors'!G32,'31.07 URA-Spear Motors'!G32,'02.08 URA-Spear Motors'!G32,'01.08 URA-Spear Motors-24h'!G32,'03.08 URA-Spear Motors-24h'!G32,'04.08 URA-Spear Motors'!G32)</f>
        <v>0</v>
      </c>
      <c r="H32" s="49">
        <f>AVERAGE('29.07 URA-Spear Motors'!H32,'30.07 URA-Spear Motors'!H32,'31.07 URA-Spear Motors'!H32,'02.08 URA-Spear Motors'!H32,'01.08 URA-Spear Motors-24h'!H32,'03.08 URA-Spear Motors-24h'!H32,'04.08 URA-Spear Motors'!H32)</f>
        <v>0</v>
      </c>
      <c r="I32" s="49">
        <f>AVERAGE('29.07 URA-Spear Motors'!I32,'30.07 URA-Spear Motors'!I32,'31.07 URA-Spear Motors'!I32,'02.08 URA-Spear Motors'!I32,'01.08 URA-Spear Motors-24h'!I32,'03.08 URA-Spear Motors-24h'!I32,'04.08 URA-Spear Motors'!I32)</f>
        <v>3.4285714285714284</v>
      </c>
      <c r="J32" s="49">
        <f>AVERAGE('29.07 URA-Spear Motors'!J32,'30.07 URA-Spear Motors'!J32,'31.07 URA-Spear Motors'!J32,'02.08 URA-Spear Motors'!J32,'01.08 URA-Spear Motors-24h'!J32,'03.08 URA-Spear Motors-24h'!J32,'04.08 URA-Spear Motors'!J32)</f>
        <v>0.7142857142857143</v>
      </c>
      <c r="K32" s="49">
        <f>AVERAGE('29.07 URA-Spear Motors'!K32,'30.07 URA-Spear Motors'!K32,'31.07 URA-Spear Motors'!K32,'02.08 URA-Spear Motors'!K32,'01.08 URA-Spear Motors-24h'!K32,'03.08 URA-Spear Motors-24h'!K32,'04.08 URA-Spear Motors'!K32)</f>
        <v>0.7142857142857143</v>
      </c>
      <c r="L32" s="49">
        <f>AVERAGE('29.07 URA-Spear Motors'!L32,'30.07 URA-Spear Motors'!L32,'31.07 URA-Spear Motors'!L32,'02.08 URA-Spear Motors'!L32,'01.08 URA-Spear Motors-24h'!L32,'03.08 URA-Spear Motors-24h'!L32,'04.08 URA-Spear Motors'!L32)</f>
        <v>1.1428571428571428</v>
      </c>
      <c r="M32" s="49">
        <f>AVERAGE('29.07 URA-Spear Motors'!M32,'30.07 URA-Spear Motors'!M32,'31.07 URA-Spear Motors'!M32,'02.08 URA-Spear Motors'!M32,'01.08 URA-Spear Motors-24h'!M32,'03.08 URA-Spear Motors-24h'!M32,'04.08 URA-Spear Motors'!M32)</f>
        <v>76.857142857142861</v>
      </c>
      <c r="N32" s="49">
        <f>AVERAGE('29.07 URA-Spear Motors'!N32,'30.07 URA-Spear Motors'!N32,'31.07 URA-Spear Motors'!N32,'02.08 URA-Spear Motors'!N32,'01.08 URA-Spear Motors-24h'!N32,'03.08 URA-Spear Motors-24h'!N32,'04.08 URA-Spear Motors'!N32)</f>
        <v>0</v>
      </c>
      <c r="O32" s="15">
        <f t="shared" si="0"/>
        <v>49.71428571428573</v>
      </c>
      <c r="P32" s="15">
        <f t="shared" si="1"/>
        <v>126.57142857142858</v>
      </c>
      <c r="R32" s="1" t="s">
        <v>156</v>
      </c>
      <c r="S32" s="34">
        <f>SUM(C98:C101)</f>
        <v>8.5</v>
      </c>
      <c r="T32" s="34">
        <f t="shared" ref="T32:AF32" si="24">SUM(D98:D101)</f>
        <v>2.5</v>
      </c>
      <c r="U32" s="34">
        <f t="shared" si="24"/>
        <v>3</v>
      </c>
      <c r="V32" s="34">
        <f t="shared" si="24"/>
        <v>23.5</v>
      </c>
      <c r="W32" s="34">
        <f t="shared" si="24"/>
        <v>0</v>
      </c>
      <c r="X32" s="34">
        <f t="shared" si="24"/>
        <v>0</v>
      </c>
      <c r="Y32" s="34">
        <f t="shared" si="24"/>
        <v>2.5</v>
      </c>
      <c r="Z32" s="34">
        <f t="shared" si="24"/>
        <v>3</v>
      </c>
      <c r="AA32" s="34">
        <f t="shared" si="24"/>
        <v>0</v>
      </c>
      <c r="AB32" s="34">
        <f t="shared" si="24"/>
        <v>5.5</v>
      </c>
      <c r="AC32" s="34">
        <f t="shared" si="24"/>
        <v>152.5</v>
      </c>
      <c r="AD32" s="34">
        <f t="shared" si="24"/>
        <v>0</v>
      </c>
      <c r="AE32" s="31">
        <f t="shared" si="24"/>
        <v>48.5</v>
      </c>
      <c r="AF32" s="31">
        <f t="shared" si="24"/>
        <v>201</v>
      </c>
    </row>
    <row r="33" spans="2:32" ht="23.1" customHeight="1" x14ac:dyDescent="0.25">
      <c r="B33" s="23" t="s">
        <v>60</v>
      </c>
      <c r="C33" s="49">
        <f>AVERAGE('29.07 URA-Spear Motors'!C33,'30.07 URA-Spear Motors'!C33,'31.07 URA-Spear Motors'!C33,'02.08 URA-Spear Motors'!C33,'01.08 URA-Spear Motors-24h'!C33,'03.08 URA-Spear Motors-24h'!C33,'04.08 URA-Spear Motors'!C33)</f>
        <v>45.857142857142854</v>
      </c>
      <c r="D33" s="49">
        <f>AVERAGE('29.07 URA-Spear Motors'!D33,'30.07 URA-Spear Motors'!D33,'31.07 URA-Spear Motors'!D33,'02.08 URA-Spear Motors'!D33,'01.08 URA-Spear Motors-24h'!D33,'03.08 URA-Spear Motors-24h'!D33,'04.08 URA-Spear Motors'!D33)</f>
        <v>7.4285714285714288</v>
      </c>
      <c r="E33" s="49">
        <f>AVERAGE('29.07 URA-Spear Motors'!E33,'30.07 URA-Spear Motors'!E33,'31.07 URA-Spear Motors'!E33,'02.08 URA-Spear Motors'!E33,'01.08 URA-Spear Motors-24h'!E33,'03.08 URA-Spear Motors-24h'!E33,'04.08 URA-Spear Motors'!E33)</f>
        <v>4.1428571428571432</v>
      </c>
      <c r="F33" s="49">
        <f>AVERAGE('29.07 URA-Spear Motors'!F33,'30.07 URA-Spear Motors'!F33,'31.07 URA-Spear Motors'!F33,'02.08 URA-Spear Motors'!F33,'01.08 URA-Spear Motors-24h'!F33,'03.08 URA-Spear Motors-24h'!F33,'04.08 URA-Spear Motors'!F33)</f>
        <v>6.2857142857142856</v>
      </c>
      <c r="G33" s="49">
        <f>AVERAGE('29.07 URA-Spear Motors'!G33,'30.07 URA-Spear Motors'!G33,'31.07 URA-Spear Motors'!G33,'02.08 URA-Spear Motors'!G33,'01.08 URA-Spear Motors-24h'!G33,'03.08 URA-Spear Motors-24h'!G33,'04.08 URA-Spear Motors'!G33)</f>
        <v>0.8571428571428571</v>
      </c>
      <c r="H33" s="49">
        <f>AVERAGE('29.07 URA-Spear Motors'!H33,'30.07 URA-Spear Motors'!H33,'31.07 URA-Spear Motors'!H33,'02.08 URA-Spear Motors'!H33,'01.08 URA-Spear Motors-24h'!H33,'03.08 URA-Spear Motors-24h'!H33,'04.08 URA-Spear Motors'!H33)</f>
        <v>0</v>
      </c>
      <c r="I33" s="49">
        <f>AVERAGE('29.07 URA-Spear Motors'!I33,'30.07 URA-Spear Motors'!I33,'31.07 URA-Spear Motors'!I33,'02.08 URA-Spear Motors'!I33,'01.08 URA-Spear Motors-24h'!I33,'03.08 URA-Spear Motors-24h'!I33,'04.08 URA-Spear Motors'!I33)</f>
        <v>4.8571428571428568</v>
      </c>
      <c r="J33" s="49">
        <f>AVERAGE('29.07 URA-Spear Motors'!J33,'30.07 URA-Spear Motors'!J33,'31.07 URA-Spear Motors'!J33,'02.08 URA-Spear Motors'!J33,'01.08 URA-Spear Motors-24h'!J33,'03.08 URA-Spear Motors-24h'!J33,'04.08 URA-Spear Motors'!J33)</f>
        <v>1.4285714285714286</v>
      </c>
      <c r="K33" s="49">
        <f>AVERAGE('29.07 URA-Spear Motors'!K33,'30.07 URA-Spear Motors'!K33,'31.07 URA-Spear Motors'!K33,'02.08 URA-Spear Motors'!K33,'01.08 URA-Spear Motors-24h'!K33,'03.08 URA-Spear Motors-24h'!K33,'04.08 URA-Spear Motors'!K33)</f>
        <v>0.5714285714285714</v>
      </c>
      <c r="L33" s="49">
        <f>AVERAGE('29.07 URA-Spear Motors'!L33,'30.07 URA-Spear Motors'!L33,'31.07 URA-Spear Motors'!L33,'02.08 URA-Spear Motors'!L33,'01.08 URA-Spear Motors-24h'!L33,'03.08 URA-Spear Motors-24h'!L33,'04.08 URA-Spear Motors'!L33)</f>
        <v>1.1428571428571428</v>
      </c>
      <c r="M33" s="49">
        <f>AVERAGE('29.07 URA-Spear Motors'!M33,'30.07 URA-Spear Motors'!M33,'31.07 URA-Spear Motors'!M33,'02.08 URA-Spear Motors'!M33,'01.08 URA-Spear Motors-24h'!M33,'03.08 URA-Spear Motors-24h'!M33,'04.08 URA-Spear Motors'!M33)</f>
        <v>66.285714285714292</v>
      </c>
      <c r="N33" s="49">
        <f>AVERAGE('29.07 URA-Spear Motors'!N33,'30.07 URA-Spear Motors'!N33,'31.07 URA-Spear Motors'!N33,'02.08 URA-Spear Motors'!N33,'01.08 URA-Spear Motors-24h'!N33,'03.08 URA-Spear Motors-24h'!N33,'04.08 URA-Spear Motors'!N33)</f>
        <v>0</v>
      </c>
      <c r="O33" s="15">
        <f t="shared" si="0"/>
        <v>72.571428571428569</v>
      </c>
      <c r="P33" s="15">
        <f t="shared" si="1"/>
        <v>138.85714285714286</v>
      </c>
      <c r="R33" s="1" t="s">
        <v>157</v>
      </c>
      <c r="S33" s="34">
        <f>SUM(C102:C105)</f>
        <v>36</v>
      </c>
      <c r="T33" s="34">
        <f t="shared" ref="T33:AF33" si="25">SUM(D102:D105)</f>
        <v>21.5</v>
      </c>
      <c r="U33" s="34">
        <f t="shared" si="25"/>
        <v>12.5</v>
      </c>
      <c r="V33" s="34">
        <f t="shared" si="25"/>
        <v>58</v>
      </c>
      <c r="W33" s="34">
        <f t="shared" si="25"/>
        <v>1.5</v>
      </c>
      <c r="X33" s="34">
        <f t="shared" si="25"/>
        <v>0</v>
      </c>
      <c r="Y33" s="34">
        <f t="shared" si="25"/>
        <v>2.5</v>
      </c>
      <c r="Z33" s="34">
        <f t="shared" si="25"/>
        <v>0</v>
      </c>
      <c r="AA33" s="34">
        <f t="shared" si="25"/>
        <v>0.5</v>
      </c>
      <c r="AB33" s="34">
        <f t="shared" si="25"/>
        <v>13</v>
      </c>
      <c r="AC33" s="34">
        <f t="shared" si="25"/>
        <v>321.5</v>
      </c>
      <c r="AD33" s="34">
        <f t="shared" si="25"/>
        <v>0</v>
      </c>
      <c r="AE33" s="31">
        <f t="shared" si="25"/>
        <v>145.5</v>
      </c>
      <c r="AF33" s="31">
        <f t="shared" si="25"/>
        <v>467</v>
      </c>
    </row>
    <row r="34" spans="2:32" ht="23.1" customHeight="1" x14ac:dyDescent="0.25">
      <c r="B34" s="24" t="s">
        <v>61</v>
      </c>
      <c r="C34" s="49">
        <f>AVERAGE('29.07 URA-Spear Motors'!C34,'30.07 URA-Spear Motors'!C34,'31.07 URA-Spear Motors'!C34,'02.08 URA-Spear Motors'!C34,'01.08 URA-Spear Motors-24h'!C34,'03.08 URA-Spear Motors-24h'!C34,'04.08 URA-Spear Motors'!C34)</f>
        <v>38.714285714285715</v>
      </c>
      <c r="D34" s="49">
        <f>AVERAGE('29.07 URA-Spear Motors'!D34,'30.07 URA-Spear Motors'!D34,'31.07 URA-Spear Motors'!D34,'02.08 URA-Spear Motors'!D34,'01.08 URA-Spear Motors-24h'!D34,'03.08 URA-Spear Motors-24h'!D34,'04.08 URA-Spear Motors'!D34)</f>
        <v>6.4285714285714288</v>
      </c>
      <c r="E34" s="49">
        <f>AVERAGE('29.07 URA-Spear Motors'!E34,'30.07 URA-Spear Motors'!E34,'31.07 URA-Spear Motors'!E34,'02.08 URA-Spear Motors'!E34,'01.08 URA-Spear Motors-24h'!E34,'03.08 URA-Spear Motors-24h'!E34,'04.08 URA-Spear Motors'!E34)</f>
        <v>5</v>
      </c>
      <c r="F34" s="49">
        <f>AVERAGE('29.07 URA-Spear Motors'!F34,'30.07 URA-Spear Motors'!F34,'31.07 URA-Spear Motors'!F34,'02.08 URA-Spear Motors'!F34,'01.08 URA-Spear Motors-24h'!F34,'03.08 URA-Spear Motors-24h'!F34,'04.08 URA-Spear Motors'!F34)</f>
        <v>6.7142857142857144</v>
      </c>
      <c r="G34" s="49">
        <f>AVERAGE('29.07 URA-Spear Motors'!G34,'30.07 URA-Spear Motors'!G34,'31.07 URA-Spear Motors'!G34,'02.08 URA-Spear Motors'!G34,'01.08 URA-Spear Motors-24h'!G34,'03.08 URA-Spear Motors-24h'!G34,'04.08 URA-Spear Motors'!G34)</f>
        <v>0.42857142857142855</v>
      </c>
      <c r="H34" s="49">
        <f>AVERAGE('29.07 URA-Spear Motors'!H34,'30.07 URA-Spear Motors'!H34,'31.07 URA-Spear Motors'!H34,'02.08 URA-Spear Motors'!H34,'01.08 URA-Spear Motors-24h'!H34,'03.08 URA-Spear Motors-24h'!H34,'04.08 URA-Spear Motors'!H34)</f>
        <v>0</v>
      </c>
      <c r="I34" s="49">
        <f>AVERAGE('29.07 URA-Spear Motors'!I34,'30.07 URA-Spear Motors'!I34,'31.07 URA-Spear Motors'!I34,'02.08 URA-Spear Motors'!I34,'01.08 URA-Spear Motors-24h'!I34,'03.08 URA-Spear Motors-24h'!I34,'04.08 URA-Spear Motors'!I34)</f>
        <v>5.2857142857142856</v>
      </c>
      <c r="J34" s="49">
        <f>AVERAGE('29.07 URA-Spear Motors'!J34,'30.07 URA-Spear Motors'!J34,'31.07 URA-Spear Motors'!J34,'02.08 URA-Spear Motors'!J34,'01.08 URA-Spear Motors-24h'!J34,'03.08 URA-Spear Motors-24h'!J34,'04.08 URA-Spear Motors'!J34)</f>
        <v>1.1428571428571428</v>
      </c>
      <c r="K34" s="49">
        <f>AVERAGE('29.07 URA-Spear Motors'!K34,'30.07 URA-Spear Motors'!K34,'31.07 URA-Spear Motors'!K34,'02.08 URA-Spear Motors'!K34,'01.08 URA-Spear Motors-24h'!K34,'03.08 URA-Spear Motors-24h'!K34,'04.08 URA-Spear Motors'!K34)</f>
        <v>1.1428571428571428</v>
      </c>
      <c r="L34" s="49">
        <f>AVERAGE('29.07 URA-Spear Motors'!L34,'30.07 URA-Spear Motors'!L34,'31.07 URA-Spear Motors'!L34,'02.08 URA-Spear Motors'!L34,'01.08 URA-Spear Motors-24h'!L34,'03.08 URA-Spear Motors-24h'!L34,'04.08 URA-Spear Motors'!L34)</f>
        <v>1.4285714285714286</v>
      </c>
      <c r="M34" s="49">
        <f>AVERAGE('29.07 URA-Spear Motors'!M34,'30.07 URA-Spear Motors'!M34,'31.07 URA-Spear Motors'!M34,'02.08 URA-Spear Motors'!M34,'01.08 URA-Spear Motors-24h'!M34,'03.08 URA-Spear Motors-24h'!M34,'04.08 URA-Spear Motors'!M34)</f>
        <v>68.285714285714292</v>
      </c>
      <c r="N34" s="49">
        <f>AVERAGE('29.07 URA-Spear Motors'!N34,'30.07 URA-Spear Motors'!N34,'31.07 URA-Spear Motors'!N34,'02.08 URA-Spear Motors'!N34,'01.08 URA-Spear Motors-24h'!N34,'03.08 URA-Spear Motors-24h'!N34,'04.08 URA-Spear Motors'!N34)</f>
        <v>0</v>
      </c>
      <c r="O34" s="15">
        <f t="shared" si="0"/>
        <v>66.285714285714292</v>
      </c>
      <c r="P34" s="15">
        <f t="shared" si="1"/>
        <v>134.57142857142858</v>
      </c>
      <c r="R34" s="38" t="s">
        <v>90</v>
      </c>
      <c r="S34" s="39">
        <f t="shared" ref="S34:AF34" si="26">MAX(S10:S12)</f>
        <v>157.14285714285714</v>
      </c>
      <c r="T34" s="39">
        <f t="shared" si="26"/>
        <v>29</v>
      </c>
      <c r="U34" s="39">
        <f t="shared" si="26"/>
        <v>25.142857142857146</v>
      </c>
      <c r="V34" s="39">
        <f t="shared" si="26"/>
        <v>39.142857142857139</v>
      </c>
      <c r="W34" s="39">
        <f t="shared" si="26"/>
        <v>4.7142857142857144</v>
      </c>
      <c r="X34" s="39">
        <f t="shared" si="26"/>
        <v>2.1428571428571428</v>
      </c>
      <c r="Y34" s="39">
        <f t="shared" si="26"/>
        <v>18.428571428571431</v>
      </c>
      <c r="Z34" s="39">
        <f t="shared" si="26"/>
        <v>8.1428571428571441</v>
      </c>
      <c r="AA34" s="39">
        <f t="shared" si="26"/>
        <v>2.714285714285714</v>
      </c>
      <c r="AB34" s="39">
        <f t="shared" si="26"/>
        <v>6.1428571428571423</v>
      </c>
      <c r="AC34" s="39">
        <f t="shared" si="26"/>
        <v>475.85714285714283</v>
      </c>
      <c r="AD34" s="39">
        <f t="shared" si="26"/>
        <v>0.14285714285714285</v>
      </c>
      <c r="AE34" s="40">
        <f t="shared" si="26"/>
        <v>291.28571428571433</v>
      </c>
      <c r="AF34" s="40">
        <f t="shared" si="26"/>
        <v>726</v>
      </c>
    </row>
    <row r="35" spans="2:32" ht="23.1" customHeight="1" x14ac:dyDescent="0.25">
      <c r="B35" s="24" t="s">
        <v>62</v>
      </c>
      <c r="C35" s="49">
        <f>AVERAGE('29.07 URA-Spear Motors'!C35,'30.07 URA-Spear Motors'!C35,'31.07 URA-Spear Motors'!C35,'02.08 URA-Spear Motors'!C35,'01.08 URA-Spear Motors-24h'!C35,'03.08 URA-Spear Motors-24h'!C35,'04.08 URA-Spear Motors'!C35)</f>
        <v>43.857142857142854</v>
      </c>
      <c r="D35" s="49">
        <f>AVERAGE('29.07 URA-Spear Motors'!D35,'30.07 URA-Spear Motors'!D35,'31.07 URA-Spear Motors'!D35,'02.08 URA-Spear Motors'!D35,'01.08 URA-Spear Motors-24h'!D35,'03.08 URA-Spear Motors-24h'!D35,'04.08 URA-Spear Motors'!D35)</f>
        <v>11.142857142857142</v>
      </c>
      <c r="E35" s="49">
        <f>AVERAGE('29.07 URA-Spear Motors'!E35,'30.07 URA-Spear Motors'!E35,'31.07 URA-Spear Motors'!E35,'02.08 URA-Spear Motors'!E35,'01.08 URA-Spear Motors-24h'!E35,'03.08 URA-Spear Motors-24h'!E35,'04.08 URA-Spear Motors'!E35)</f>
        <v>5</v>
      </c>
      <c r="F35" s="49">
        <f>AVERAGE('29.07 URA-Spear Motors'!F35,'30.07 URA-Spear Motors'!F35,'31.07 URA-Spear Motors'!F35,'02.08 URA-Spear Motors'!F35,'01.08 URA-Spear Motors-24h'!F35,'03.08 URA-Spear Motors-24h'!F35,'04.08 URA-Spear Motors'!F35)</f>
        <v>6.4285714285714288</v>
      </c>
      <c r="G35" s="49">
        <f>AVERAGE('29.07 URA-Spear Motors'!G35,'30.07 URA-Spear Motors'!G35,'31.07 URA-Spear Motors'!G35,'02.08 URA-Spear Motors'!G35,'01.08 URA-Spear Motors-24h'!G35,'03.08 URA-Spear Motors-24h'!G35,'04.08 URA-Spear Motors'!G35)</f>
        <v>0.2857142857142857</v>
      </c>
      <c r="H35" s="49">
        <f>AVERAGE('29.07 URA-Spear Motors'!H35,'30.07 URA-Spear Motors'!H35,'31.07 URA-Spear Motors'!H35,'02.08 URA-Spear Motors'!H35,'01.08 URA-Spear Motors-24h'!H35,'03.08 URA-Spear Motors-24h'!H35,'04.08 URA-Spear Motors'!H35)</f>
        <v>0</v>
      </c>
      <c r="I35" s="49">
        <f>AVERAGE('29.07 URA-Spear Motors'!I35,'30.07 URA-Spear Motors'!I35,'31.07 URA-Spear Motors'!I35,'02.08 URA-Spear Motors'!I35,'01.08 URA-Spear Motors-24h'!I35,'03.08 URA-Spear Motors-24h'!I35,'04.08 URA-Spear Motors'!I35)</f>
        <v>4</v>
      </c>
      <c r="J35" s="49">
        <f>AVERAGE('29.07 URA-Spear Motors'!J35,'30.07 URA-Spear Motors'!J35,'31.07 URA-Spear Motors'!J35,'02.08 URA-Spear Motors'!J35,'01.08 URA-Spear Motors-24h'!J35,'03.08 URA-Spear Motors-24h'!J35,'04.08 URA-Spear Motors'!J35)</f>
        <v>1</v>
      </c>
      <c r="K35" s="49">
        <f>AVERAGE('29.07 URA-Spear Motors'!K35,'30.07 URA-Spear Motors'!K35,'31.07 URA-Spear Motors'!K35,'02.08 URA-Spear Motors'!K35,'01.08 URA-Spear Motors-24h'!K35,'03.08 URA-Spear Motors-24h'!K35,'04.08 URA-Spear Motors'!K35)</f>
        <v>0.2857142857142857</v>
      </c>
      <c r="L35" s="49">
        <f>AVERAGE('29.07 URA-Spear Motors'!L35,'30.07 URA-Spear Motors'!L35,'31.07 URA-Spear Motors'!L35,'02.08 URA-Spear Motors'!L35,'01.08 URA-Spear Motors-24h'!L35,'03.08 URA-Spear Motors-24h'!L35,'04.08 URA-Spear Motors'!L35)</f>
        <v>1</v>
      </c>
      <c r="M35" s="49">
        <f>AVERAGE('29.07 URA-Spear Motors'!M35,'30.07 URA-Spear Motors'!M35,'31.07 URA-Spear Motors'!M35,'02.08 URA-Spear Motors'!M35,'01.08 URA-Spear Motors-24h'!M35,'03.08 URA-Spear Motors-24h'!M35,'04.08 URA-Spear Motors'!M35)</f>
        <v>71.142857142857139</v>
      </c>
      <c r="N35" s="49">
        <f>AVERAGE('29.07 URA-Spear Motors'!N35,'30.07 URA-Spear Motors'!N35,'31.07 URA-Spear Motors'!N35,'02.08 URA-Spear Motors'!N35,'01.08 URA-Spear Motors-24h'!N35,'03.08 URA-Spear Motors-24h'!N35,'04.08 URA-Spear Motors'!N35)</f>
        <v>0</v>
      </c>
      <c r="O35" s="15">
        <f t="shared" si="0"/>
        <v>73.000000000000014</v>
      </c>
      <c r="P35" s="15">
        <f t="shared" si="1"/>
        <v>144.14285714285717</v>
      </c>
      <c r="R35" s="38" t="s">
        <v>91</v>
      </c>
      <c r="S35" s="39">
        <f t="shared" ref="S35:AF35" si="27">MAX(S13:S18)</f>
        <v>162.14285714285717</v>
      </c>
      <c r="T35" s="39">
        <f t="shared" si="27"/>
        <v>32.285714285714285</v>
      </c>
      <c r="U35" s="39">
        <f t="shared" si="27"/>
        <v>25.714285714285715</v>
      </c>
      <c r="V35" s="39">
        <f t="shared" si="27"/>
        <v>33.285714285714285</v>
      </c>
      <c r="W35" s="39">
        <f t="shared" si="27"/>
        <v>2.5714285714285712</v>
      </c>
      <c r="X35" s="39">
        <f t="shared" si="27"/>
        <v>0.5714285714285714</v>
      </c>
      <c r="Y35" s="39">
        <f t="shared" si="27"/>
        <v>25.142857142857146</v>
      </c>
      <c r="Z35" s="39">
        <f t="shared" si="27"/>
        <v>5.8571428571428577</v>
      </c>
      <c r="AA35" s="39">
        <f t="shared" si="27"/>
        <v>5.4285714285714279</v>
      </c>
      <c r="AB35" s="39">
        <f t="shared" si="27"/>
        <v>9.2857142857142865</v>
      </c>
      <c r="AC35" s="39">
        <f t="shared" si="27"/>
        <v>380</v>
      </c>
      <c r="AD35" s="39">
        <f t="shared" si="27"/>
        <v>0</v>
      </c>
      <c r="AE35" s="40">
        <f t="shared" si="27"/>
        <v>279.14285714285717</v>
      </c>
      <c r="AF35" s="40">
        <f t="shared" si="27"/>
        <v>642.71428571428578</v>
      </c>
    </row>
    <row r="36" spans="2:32" ht="23.1" customHeight="1" x14ac:dyDescent="0.25">
      <c r="B36" s="24" t="s">
        <v>63</v>
      </c>
      <c r="C36" s="49">
        <f>AVERAGE('29.07 URA-Spear Motors'!C36,'30.07 URA-Spear Motors'!C36,'31.07 URA-Spear Motors'!C36,'02.08 URA-Spear Motors'!C36,'01.08 URA-Spear Motors-24h'!C36,'03.08 URA-Spear Motors-24h'!C36,'04.08 URA-Spear Motors'!C36)</f>
        <v>32.285714285714285</v>
      </c>
      <c r="D36" s="49">
        <f>AVERAGE('29.07 URA-Spear Motors'!D36,'30.07 URA-Spear Motors'!D36,'31.07 URA-Spear Motors'!D36,'02.08 URA-Spear Motors'!D36,'01.08 URA-Spear Motors-24h'!D36,'03.08 URA-Spear Motors-24h'!D36,'04.08 URA-Spear Motors'!D36)</f>
        <v>4.7142857142857144</v>
      </c>
      <c r="E36" s="49">
        <f>AVERAGE('29.07 URA-Spear Motors'!E36,'30.07 URA-Spear Motors'!E36,'31.07 URA-Spear Motors'!E36,'02.08 URA-Spear Motors'!E36,'01.08 URA-Spear Motors-24h'!E36,'03.08 URA-Spear Motors-24h'!E36,'04.08 URA-Spear Motors'!E36)</f>
        <v>4.8571428571428568</v>
      </c>
      <c r="F36" s="49">
        <f>AVERAGE('29.07 URA-Spear Motors'!F36,'30.07 URA-Spear Motors'!F36,'31.07 URA-Spear Motors'!F36,'02.08 URA-Spear Motors'!F36,'01.08 URA-Spear Motors-24h'!F36,'03.08 URA-Spear Motors-24h'!F36,'04.08 URA-Spear Motors'!F36)</f>
        <v>5</v>
      </c>
      <c r="G36" s="49">
        <f>AVERAGE('29.07 URA-Spear Motors'!G36,'30.07 URA-Spear Motors'!G36,'31.07 URA-Spear Motors'!G36,'02.08 URA-Spear Motors'!G36,'01.08 URA-Spear Motors-24h'!G36,'03.08 URA-Spear Motors-24h'!G36,'04.08 URA-Spear Motors'!G36)</f>
        <v>0</v>
      </c>
      <c r="H36" s="49">
        <f>AVERAGE('29.07 URA-Spear Motors'!H36,'30.07 URA-Spear Motors'!H36,'31.07 URA-Spear Motors'!H36,'02.08 URA-Spear Motors'!H36,'01.08 URA-Spear Motors-24h'!H36,'03.08 URA-Spear Motors-24h'!H36,'04.08 URA-Spear Motors'!H36)</f>
        <v>0.2857142857142857</v>
      </c>
      <c r="I36" s="49">
        <f>AVERAGE('29.07 URA-Spear Motors'!I36,'30.07 URA-Spear Motors'!I36,'31.07 URA-Spear Motors'!I36,'02.08 URA-Spear Motors'!I36,'01.08 URA-Spear Motors-24h'!I36,'03.08 URA-Spear Motors-24h'!I36,'04.08 URA-Spear Motors'!I36)</f>
        <v>2.1428571428571428</v>
      </c>
      <c r="J36" s="49">
        <f>AVERAGE('29.07 URA-Spear Motors'!J36,'30.07 URA-Spear Motors'!J36,'31.07 URA-Spear Motors'!J36,'02.08 URA-Spear Motors'!J36,'01.08 URA-Spear Motors-24h'!J36,'03.08 URA-Spear Motors-24h'!J36,'04.08 URA-Spear Motors'!J36)</f>
        <v>0.8571428571428571</v>
      </c>
      <c r="K36" s="49">
        <f>AVERAGE('29.07 URA-Spear Motors'!K36,'30.07 URA-Spear Motors'!K36,'31.07 URA-Spear Motors'!K36,'02.08 URA-Spear Motors'!K36,'01.08 URA-Spear Motors-24h'!K36,'03.08 URA-Spear Motors-24h'!K36,'04.08 URA-Spear Motors'!K36)</f>
        <v>0.2857142857142857</v>
      </c>
      <c r="L36" s="49">
        <f>AVERAGE('29.07 URA-Spear Motors'!L36,'30.07 URA-Spear Motors'!L36,'31.07 URA-Spear Motors'!L36,'02.08 URA-Spear Motors'!L36,'01.08 URA-Spear Motors-24h'!L36,'03.08 URA-Spear Motors-24h'!L36,'04.08 URA-Spear Motors'!L36)</f>
        <v>1.1428571428571428</v>
      </c>
      <c r="M36" s="49">
        <f>AVERAGE('29.07 URA-Spear Motors'!M36,'30.07 URA-Spear Motors'!M36,'31.07 URA-Spear Motors'!M36,'02.08 URA-Spear Motors'!M36,'01.08 URA-Spear Motors-24h'!M36,'03.08 URA-Spear Motors-24h'!M36,'04.08 URA-Spear Motors'!M36)</f>
        <v>53.714285714285715</v>
      </c>
      <c r="N36" s="49">
        <f>AVERAGE('29.07 URA-Spear Motors'!N36,'30.07 URA-Spear Motors'!N36,'31.07 URA-Spear Motors'!N36,'02.08 URA-Spear Motors'!N36,'01.08 URA-Spear Motors-24h'!N36,'03.08 URA-Spear Motors-24h'!N36,'04.08 URA-Spear Motors'!N36)</f>
        <v>0</v>
      </c>
      <c r="O36" s="15">
        <f t="shared" si="0"/>
        <v>51.571428571428569</v>
      </c>
      <c r="P36" s="15">
        <f t="shared" si="1"/>
        <v>105.28571428571428</v>
      </c>
      <c r="R36" s="38" t="s">
        <v>92</v>
      </c>
      <c r="S36" s="39">
        <f t="shared" ref="S36:AF36" si="28">MAX(S19:S21)</f>
        <v>290.28571428571428</v>
      </c>
      <c r="T36" s="39">
        <f t="shared" si="28"/>
        <v>36</v>
      </c>
      <c r="U36" s="39">
        <f t="shared" si="28"/>
        <v>27.714285714285712</v>
      </c>
      <c r="V36" s="39">
        <f t="shared" si="28"/>
        <v>26.571428571428569</v>
      </c>
      <c r="W36" s="39">
        <f t="shared" si="28"/>
        <v>4.7142857142857144</v>
      </c>
      <c r="X36" s="39">
        <f t="shared" si="28"/>
        <v>0.5714285714285714</v>
      </c>
      <c r="Y36" s="39">
        <f t="shared" si="28"/>
        <v>22.571428571428569</v>
      </c>
      <c r="Z36" s="39">
        <f t="shared" si="28"/>
        <v>8</v>
      </c>
      <c r="AA36" s="39">
        <f t="shared" si="28"/>
        <v>3.2857142857142856</v>
      </c>
      <c r="AB36" s="39">
        <f t="shared" si="28"/>
        <v>5</v>
      </c>
      <c r="AC36" s="39">
        <f t="shared" si="28"/>
        <v>320.28571428571433</v>
      </c>
      <c r="AD36" s="39">
        <f t="shared" si="28"/>
        <v>0.14285714285714285</v>
      </c>
      <c r="AE36" s="40">
        <f t="shared" si="28"/>
        <v>408.5714285714285</v>
      </c>
      <c r="AF36" s="40">
        <f t="shared" si="28"/>
        <v>711.28571428571422</v>
      </c>
    </row>
    <row r="37" spans="2:32" ht="23.1" customHeight="1" x14ac:dyDescent="0.25">
      <c r="B37" s="23" t="s">
        <v>64</v>
      </c>
      <c r="C37" s="49">
        <f>AVERAGE('29.07 URA-Spear Motors'!C37,'30.07 URA-Spear Motors'!C37,'31.07 URA-Spear Motors'!C37,'02.08 URA-Spear Motors'!C37,'01.08 URA-Spear Motors-24h'!C37,'03.08 URA-Spear Motors-24h'!C37,'04.08 URA-Spear Motors'!C37)</f>
        <v>37</v>
      </c>
      <c r="D37" s="49">
        <f>AVERAGE('29.07 URA-Spear Motors'!D37,'30.07 URA-Spear Motors'!D37,'31.07 URA-Spear Motors'!D37,'02.08 URA-Spear Motors'!D37,'01.08 URA-Spear Motors-24h'!D37,'03.08 URA-Spear Motors-24h'!D37,'04.08 URA-Spear Motors'!D37)</f>
        <v>7.4285714285714288</v>
      </c>
      <c r="E37" s="49">
        <f>AVERAGE('29.07 URA-Spear Motors'!E37,'30.07 URA-Spear Motors'!E37,'31.07 URA-Spear Motors'!E37,'02.08 URA-Spear Motors'!E37,'01.08 URA-Spear Motors-24h'!E37,'03.08 URA-Spear Motors-24h'!E37,'04.08 URA-Spear Motors'!E37)</f>
        <v>5.4285714285714288</v>
      </c>
      <c r="F37" s="49">
        <f>AVERAGE('29.07 URA-Spear Motors'!F37,'30.07 URA-Spear Motors'!F37,'31.07 URA-Spear Motors'!F37,'02.08 URA-Spear Motors'!F37,'01.08 URA-Spear Motors-24h'!F37,'03.08 URA-Spear Motors-24h'!F37,'04.08 URA-Spear Motors'!F37)</f>
        <v>3.7142857142857144</v>
      </c>
      <c r="G37" s="49">
        <f>AVERAGE('29.07 URA-Spear Motors'!G37,'30.07 URA-Spear Motors'!G37,'31.07 URA-Spear Motors'!G37,'02.08 URA-Spear Motors'!G37,'01.08 URA-Spear Motors-24h'!G37,'03.08 URA-Spear Motors-24h'!G37,'04.08 URA-Spear Motors'!G37)</f>
        <v>0.14285714285714285</v>
      </c>
      <c r="H37" s="49">
        <f>AVERAGE('29.07 URA-Spear Motors'!H37,'30.07 URA-Spear Motors'!H37,'31.07 URA-Spear Motors'!H37,'02.08 URA-Spear Motors'!H37,'01.08 URA-Spear Motors-24h'!H37,'03.08 URA-Spear Motors-24h'!H37,'04.08 URA-Spear Motors'!H37)</f>
        <v>0.14285714285714285</v>
      </c>
      <c r="I37" s="49">
        <f>AVERAGE('29.07 URA-Spear Motors'!I37,'30.07 URA-Spear Motors'!I37,'31.07 URA-Spear Motors'!I37,'02.08 URA-Spear Motors'!I37,'01.08 URA-Spear Motors-24h'!I37,'03.08 URA-Spear Motors-24h'!I37,'04.08 URA-Spear Motors'!I37)</f>
        <v>2.5714285714285716</v>
      </c>
      <c r="J37" s="49">
        <f>AVERAGE('29.07 URA-Spear Motors'!J37,'30.07 URA-Spear Motors'!J37,'31.07 URA-Spear Motors'!J37,'02.08 URA-Spear Motors'!J37,'01.08 URA-Spear Motors-24h'!J37,'03.08 URA-Spear Motors-24h'!J37,'04.08 URA-Spear Motors'!J37)</f>
        <v>0.8571428571428571</v>
      </c>
      <c r="K37" s="49">
        <f>AVERAGE('29.07 URA-Spear Motors'!K37,'30.07 URA-Spear Motors'!K37,'31.07 URA-Spear Motors'!K37,'02.08 URA-Spear Motors'!K37,'01.08 URA-Spear Motors-24h'!K37,'03.08 URA-Spear Motors-24h'!K37,'04.08 URA-Spear Motors'!K37)</f>
        <v>1.2857142857142858</v>
      </c>
      <c r="L37" s="49">
        <f>AVERAGE('29.07 URA-Spear Motors'!L37,'30.07 URA-Spear Motors'!L37,'31.07 URA-Spear Motors'!L37,'02.08 URA-Spear Motors'!L37,'01.08 URA-Spear Motors-24h'!L37,'03.08 URA-Spear Motors-24h'!L37,'04.08 URA-Spear Motors'!L37)</f>
        <v>0.8571428571428571</v>
      </c>
      <c r="M37" s="49">
        <f>AVERAGE('29.07 URA-Spear Motors'!M37,'30.07 URA-Spear Motors'!M37,'31.07 URA-Spear Motors'!M37,'02.08 URA-Spear Motors'!M37,'01.08 URA-Spear Motors-24h'!M37,'03.08 URA-Spear Motors-24h'!M37,'04.08 URA-Spear Motors'!M37)</f>
        <v>58.428571428571431</v>
      </c>
      <c r="N37" s="49">
        <f>AVERAGE('29.07 URA-Spear Motors'!N37,'30.07 URA-Spear Motors'!N37,'31.07 URA-Spear Motors'!N37,'02.08 URA-Spear Motors'!N37,'01.08 URA-Spear Motors-24h'!N37,'03.08 URA-Spear Motors-24h'!N37,'04.08 URA-Spear Motors'!N37)</f>
        <v>0</v>
      </c>
      <c r="O37" s="15">
        <f t="shared" si="0"/>
        <v>59.428571428571431</v>
      </c>
      <c r="P37" s="15">
        <f t="shared" si="1"/>
        <v>117.85714285714286</v>
      </c>
      <c r="R37" s="37" t="s">
        <v>85</v>
      </c>
      <c r="S37" s="35">
        <f t="shared" ref="S37:AF37" si="29">SUM(S10:S12)</f>
        <v>407</v>
      </c>
      <c r="T37" s="16">
        <f t="shared" si="29"/>
        <v>78.428571428571431</v>
      </c>
      <c r="U37" s="16">
        <f t="shared" si="29"/>
        <v>64.714285714285722</v>
      </c>
      <c r="V37" s="16">
        <f t="shared" si="29"/>
        <v>106.14285714285714</v>
      </c>
      <c r="W37" s="16">
        <f t="shared" si="29"/>
        <v>11.428571428571429</v>
      </c>
      <c r="X37" s="16">
        <f t="shared" si="29"/>
        <v>2.8571428571428568</v>
      </c>
      <c r="Y37" s="16">
        <f t="shared" si="29"/>
        <v>50.285714285714292</v>
      </c>
      <c r="Z37" s="16">
        <f t="shared" si="29"/>
        <v>12</v>
      </c>
      <c r="AA37" s="16">
        <f t="shared" si="29"/>
        <v>6</v>
      </c>
      <c r="AB37" s="16">
        <f t="shared" si="29"/>
        <v>10.857142857142856</v>
      </c>
      <c r="AC37" s="16">
        <f t="shared" si="29"/>
        <v>1307</v>
      </c>
      <c r="AD37" s="16">
        <f t="shared" si="29"/>
        <v>0.14285714285714285</v>
      </c>
      <c r="AE37" s="32">
        <f t="shared" si="29"/>
        <v>749.85714285714289</v>
      </c>
      <c r="AF37" s="32">
        <f t="shared" si="29"/>
        <v>2056.8571428571431</v>
      </c>
    </row>
    <row r="38" spans="2:32" ht="23.1" customHeight="1" x14ac:dyDescent="0.25">
      <c r="B38" s="24" t="s">
        <v>65</v>
      </c>
      <c r="C38" s="49">
        <f>AVERAGE('29.07 URA-Spear Motors'!C38,'30.07 URA-Spear Motors'!C38,'31.07 URA-Spear Motors'!C38,'02.08 URA-Spear Motors'!C38,'01.08 URA-Spear Motors-24h'!C38,'03.08 URA-Spear Motors-24h'!C38,'04.08 URA-Spear Motors'!C38)</f>
        <v>38</v>
      </c>
      <c r="D38" s="49">
        <f>AVERAGE('29.07 URA-Spear Motors'!D38,'30.07 URA-Spear Motors'!D38,'31.07 URA-Spear Motors'!D38,'02.08 URA-Spear Motors'!D38,'01.08 URA-Spear Motors-24h'!D38,'03.08 URA-Spear Motors-24h'!D38,'04.08 URA-Spear Motors'!D38)</f>
        <v>4.4285714285714288</v>
      </c>
      <c r="E38" s="49">
        <f>AVERAGE('29.07 URA-Spear Motors'!E38,'30.07 URA-Spear Motors'!E38,'31.07 URA-Spear Motors'!E38,'02.08 URA-Spear Motors'!E38,'01.08 URA-Spear Motors-24h'!E38,'03.08 URA-Spear Motors-24h'!E38,'04.08 URA-Spear Motors'!E38)</f>
        <v>4.8571428571428568</v>
      </c>
      <c r="F38" s="49">
        <f>AVERAGE('29.07 URA-Spear Motors'!F38,'30.07 URA-Spear Motors'!F38,'31.07 URA-Spear Motors'!F38,'02.08 URA-Spear Motors'!F38,'01.08 URA-Spear Motors-24h'!F38,'03.08 URA-Spear Motors-24h'!F38,'04.08 URA-Spear Motors'!F38)</f>
        <v>7.2857142857142856</v>
      </c>
      <c r="G38" s="49">
        <f>AVERAGE('29.07 URA-Spear Motors'!G38,'30.07 URA-Spear Motors'!G38,'31.07 URA-Spear Motors'!G38,'02.08 URA-Spear Motors'!G38,'01.08 URA-Spear Motors-24h'!G38,'03.08 URA-Spear Motors-24h'!G38,'04.08 URA-Spear Motors'!G38)</f>
        <v>0.2857142857142857</v>
      </c>
      <c r="H38" s="49">
        <f>AVERAGE('29.07 URA-Spear Motors'!H38,'30.07 URA-Spear Motors'!H38,'31.07 URA-Spear Motors'!H38,'02.08 URA-Spear Motors'!H38,'01.08 URA-Spear Motors-24h'!H38,'03.08 URA-Spear Motors-24h'!H38,'04.08 URA-Spear Motors'!H38)</f>
        <v>0</v>
      </c>
      <c r="I38" s="49">
        <f>AVERAGE('29.07 URA-Spear Motors'!I38,'30.07 URA-Spear Motors'!I38,'31.07 URA-Spear Motors'!I38,'02.08 URA-Spear Motors'!I38,'01.08 URA-Spear Motors-24h'!I38,'03.08 URA-Spear Motors-24h'!I38,'04.08 URA-Spear Motors'!I38)</f>
        <v>4.1428571428571432</v>
      </c>
      <c r="J38" s="49">
        <f>AVERAGE('29.07 URA-Spear Motors'!J38,'30.07 URA-Spear Motors'!J38,'31.07 URA-Spear Motors'!J38,'02.08 URA-Spear Motors'!J38,'01.08 URA-Spear Motors-24h'!J38,'03.08 URA-Spear Motors-24h'!J38,'04.08 URA-Spear Motors'!J38)</f>
        <v>0.8571428571428571</v>
      </c>
      <c r="K38" s="49">
        <f>AVERAGE('29.07 URA-Spear Motors'!K38,'30.07 URA-Spear Motors'!K38,'31.07 URA-Spear Motors'!K38,'02.08 URA-Spear Motors'!K38,'01.08 URA-Spear Motors-24h'!K38,'03.08 URA-Spear Motors-24h'!K38,'04.08 URA-Spear Motors'!K38)</f>
        <v>0.2857142857142857</v>
      </c>
      <c r="L38" s="49">
        <f>AVERAGE('29.07 URA-Spear Motors'!L38,'30.07 URA-Spear Motors'!L38,'31.07 URA-Spear Motors'!L38,'02.08 URA-Spear Motors'!L38,'01.08 URA-Spear Motors-24h'!L38,'03.08 URA-Spear Motors-24h'!L38,'04.08 URA-Spear Motors'!L38)</f>
        <v>0.5714285714285714</v>
      </c>
      <c r="M38" s="49">
        <f>AVERAGE('29.07 URA-Spear Motors'!M38,'30.07 URA-Spear Motors'!M38,'31.07 URA-Spear Motors'!M38,'02.08 URA-Spear Motors'!M38,'01.08 URA-Spear Motors-24h'!M38,'03.08 URA-Spear Motors-24h'!M38,'04.08 URA-Spear Motors'!M38)</f>
        <v>54.571428571428569</v>
      </c>
      <c r="N38" s="49">
        <f>AVERAGE('29.07 URA-Spear Motors'!N38,'30.07 URA-Spear Motors'!N38,'31.07 URA-Spear Motors'!N38,'02.08 URA-Spear Motors'!N38,'01.08 URA-Spear Motors-24h'!N38,'03.08 URA-Spear Motors-24h'!N38,'04.08 URA-Spear Motors'!N38)</f>
        <v>0</v>
      </c>
      <c r="O38" s="15">
        <f t="shared" si="0"/>
        <v>60.714285714285708</v>
      </c>
      <c r="P38" s="15">
        <f t="shared" si="1"/>
        <v>115.28571428571428</v>
      </c>
      <c r="R38" s="28" t="s">
        <v>86</v>
      </c>
      <c r="S38" s="16">
        <f t="shared" ref="S38:AF38" si="30">SUM(S13:S18)</f>
        <v>896.71428571428578</v>
      </c>
      <c r="T38" s="16">
        <f t="shared" si="30"/>
        <v>174.14285714285714</v>
      </c>
      <c r="U38" s="16">
        <f t="shared" si="30"/>
        <v>138.28571428571428</v>
      </c>
      <c r="V38" s="16">
        <f t="shared" si="30"/>
        <v>159.14285714285714</v>
      </c>
      <c r="W38" s="16">
        <f t="shared" si="30"/>
        <v>8.2857142857142847</v>
      </c>
      <c r="X38" s="16">
        <f t="shared" si="30"/>
        <v>1.4285714285714284</v>
      </c>
      <c r="Y38" s="16">
        <f t="shared" si="30"/>
        <v>113.14285714285714</v>
      </c>
      <c r="Z38" s="16">
        <f t="shared" si="30"/>
        <v>30.428571428571431</v>
      </c>
      <c r="AA38" s="16">
        <f t="shared" si="30"/>
        <v>19.285714285714285</v>
      </c>
      <c r="AB38" s="16">
        <f t="shared" si="30"/>
        <v>34.285714285714285</v>
      </c>
      <c r="AC38" s="16">
        <f t="shared" si="30"/>
        <v>1759.5714285714289</v>
      </c>
      <c r="AD38" s="16">
        <f t="shared" si="30"/>
        <v>0</v>
      </c>
      <c r="AE38" s="32">
        <f t="shared" si="30"/>
        <v>1575.1428571428571</v>
      </c>
      <c r="AF38" s="32">
        <f t="shared" si="30"/>
        <v>3334.7142857142853</v>
      </c>
    </row>
    <row r="39" spans="2:32" ht="23.1" customHeight="1" x14ac:dyDescent="0.25">
      <c r="B39" s="24" t="s">
        <v>66</v>
      </c>
      <c r="C39" s="49">
        <f>AVERAGE('29.07 URA-Spear Motors'!C39,'30.07 URA-Spear Motors'!C39,'31.07 URA-Spear Motors'!C39,'02.08 URA-Spear Motors'!C39,'01.08 URA-Spear Motors-24h'!C39,'03.08 URA-Spear Motors-24h'!C39,'04.08 URA-Spear Motors'!C39)</f>
        <v>41</v>
      </c>
      <c r="D39" s="49">
        <f>AVERAGE('29.07 URA-Spear Motors'!D39,'30.07 URA-Spear Motors'!D39,'31.07 URA-Spear Motors'!D39,'02.08 URA-Spear Motors'!D39,'01.08 URA-Spear Motors-24h'!D39,'03.08 URA-Spear Motors-24h'!D39,'04.08 URA-Spear Motors'!D39)</f>
        <v>6.4285714285714288</v>
      </c>
      <c r="E39" s="49">
        <f>AVERAGE('29.07 URA-Spear Motors'!E39,'30.07 URA-Spear Motors'!E39,'31.07 URA-Spear Motors'!E39,'02.08 URA-Spear Motors'!E39,'01.08 URA-Spear Motors-24h'!E39,'03.08 URA-Spear Motors-24h'!E39,'04.08 URA-Spear Motors'!E39)</f>
        <v>6.8571428571428568</v>
      </c>
      <c r="F39" s="49">
        <f>AVERAGE('29.07 URA-Spear Motors'!F39,'30.07 URA-Spear Motors'!F39,'31.07 URA-Spear Motors'!F39,'02.08 URA-Spear Motors'!F39,'01.08 URA-Spear Motors-24h'!F39,'03.08 URA-Spear Motors-24h'!F39,'04.08 URA-Spear Motors'!F39)</f>
        <v>6.8571428571428568</v>
      </c>
      <c r="G39" s="49">
        <f>AVERAGE('29.07 URA-Spear Motors'!G39,'30.07 URA-Spear Motors'!G39,'31.07 URA-Spear Motors'!G39,'02.08 URA-Spear Motors'!G39,'01.08 URA-Spear Motors-24h'!G39,'03.08 URA-Spear Motors-24h'!G39,'04.08 URA-Spear Motors'!G39)</f>
        <v>0.14285714285714285</v>
      </c>
      <c r="H39" s="49">
        <f>AVERAGE('29.07 URA-Spear Motors'!H39,'30.07 URA-Spear Motors'!H39,'31.07 URA-Spear Motors'!H39,'02.08 URA-Spear Motors'!H39,'01.08 URA-Spear Motors-24h'!H39,'03.08 URA-Spear Motors-24h'!H39,'04.08 URA-Spear Motors'!H39)</f>
        <v>0</v>
      </c>
      <c r="I39" s="49">
        <f>AVERAGE('29.07 URA-Spear Motors'!I39,'30.07 URA-Spear Motors'!I39,'31.07 URA-Spear Motors'!I39,'02.08 URA-Spear Motors'!I39,'01.08 URA-Spear Motors-24h'!I39,'03.08 URA-Spear Motors-24h'!I39,'04.08 URA-Spear Motors'!I39)</f>
        <v>4.2857142857142856</v>
      </c>
      <c r="J39" s="49">
        <f>AVERAGE('29.07 URA-Spear Motors'!J39,'30.07 URA-Spear Motors'!J39,'31.07 URA-Spear Motors'!J39,'02.08 URA-Spear Motors'!J39,'01.08 URA-Spear Motors-24h'!J39,'03.08 URA-Spear Motors-24h'!J39,'04.08 URA-Spear Motors'!J39)</f>
        <v>1.8571428571428572</v>
      </c>
      <c r="K39" s="49">
        <f>AVERAGE('29.07 URA-Spear Motors'!K39,'30.07 URA-Spear Motors'!K39,'31.07 URA-Spear Motors'!K39,'02.08 URA-Spear Motors'!K39,'01.08 URA-Spear Motors-24h'!K39,'03.08 URA-Spear Motors-24h'!K39,'04.08 URA-Spear Motors'!K39)</f>
        <v>0.8571428571428571</v>
      </c>
      <c r="L39" s="49">
        <f>AVERAGE('29.07 URA-Spear Motors'!L39,'30.07 URA-Spear Motors'!L39,'31.07 URA-Spear Motors'!L39,'02.08 URA-Spear Motors'!L39,'01.08 URA-Spear Motors-24h'!L39,'03.08 URA-Spear Motors-24h'!L39,'04.08 URA-Spear Motors'!L39)</f>
        <v>2.4285714285714284</v>
      </c>
      <c r="M39" s="49">
        <f>AVERAGE('29.07 URA-Spear Motors'!M39,'30.07 URA-Spear Motors'!M39,'31.07 URA-Spear Motors'!M39,'02.08 URA-Spear Motors'!M39,'01.08 URA-Spear Motors-24h'!M39,'03.08 URA-Spear Motors-24h'!M39,'04.08 URA-Spear Motors'!M39)</f>
        <v>63</v>
      </c>
      <c r="N39" s="49">
        <f>AVERAGE('29.07 URA-Spear Motors'!N39,'30.07 URA-Spear Motors'!N39,'31.07 URA-Spear Motors'!N39,'02.08 URA-Spear Motors'!N39,'01.08 URA-Spear Motors-24h'!N39,'03.08 URA-Spear Motors-24h'!N39,'04.08 URA-Spear Motors'!N39)</f>
        <v>0</v>
      </c>
      <c r="O39" s="15">
        <f t="shared" si="0"/>
        <v>70.714285714285722</v>
      </c>
      <c r="P39" s="15">
        <f t="shared" si="1"/>
        <v>133.71428571428572</v>
      </c>
      <c r="R39" s="29" t="s">
        <v>87</v>
      </c>
      <c r="S39" s="16">
        <f t="shared" ref="S39:AF39" si="31">SUM(S19:S21)</f>
        <v>701.42857142857133</v>
      </c>
      <c r="T39" s="16">
        <f t="shared" si="31"/>
        <v>98.857142857142861</v>
      </c>
      <c r="U39" s="16">
        <f t="shared" si="31"/>
        <v>72</v>
      </c>
      <c r="V39" s="16">
        <f t="shared" si="31"/>
        <v>73.571428571428569</v>
      </c>
      <c r="W39" s="16">
        <f t="shared" si="31"/>
        <v>7.2857142857142856</v>
      </c>
      <c r="X39" s="16">
        <f t="shared" si="31"/>
        <v>0.71428571428571419</v>
      </c>
      <c r="Y39" s="16">
        <f t="shared" si="31"/>
        <v>50</v>
      </c>
      <c r="Z39" s="16">
        <f t="shared" si="31"/>
        <v>17.285714285714285</v>
      </c>
      <c r="AA39" s="16">
        <f t="shared" si="31"/>
        <v>6.8571428571428559</v>
      </c>
      <c r="AB39" s="16">
        <f t="shared" si="31"/>
        <v>12.285714285714285</v>
      </c>
      <c r="AC39" s="16">
        <f t="shared" si="31"/>
        <v>884.42857142857144</v>
      </c>
      <c r="AD39" s="16">
        <f t="shared" si="31"/>
        <v>0.2857142857142857</v>
      </c>
      <c r="AE39" s="32">
        <f t="shared" si="31"/>
        <v>1040.5714285714284</v>
      </c>
      <c r="AF39" s="32">
        <f t="shared" si="31"/>
        <v>1925</v>
      </c>
    </row>
    <row r="40" spans="2:32" ht="23.1" customHeight="1" x14ac:dyDescent="0.25">
      <c r="B40" s="24" t="s">
        <v>67</v>
      </c>
      <c r="C40" s="49">
        <f>AVERAGE('29.07 URA-Spear Motors'!C40,'30.07 URA-Spear Motors'!C40,'31.07 URA-Spear Motors'!C40,'02.08 URA-Spear Motors'!C40,'01.08 URA-Spear Motors-24h'!C40,'03.08 URA-Spear Motors-24h'!C40,'04.08 URA-Spear Motors'!C40)</f>
        <v>46.714285714285715</v>
      </c>
      <c r="D40" s="49">
        <f>AVERAGE('29.07 URA-Spear Motors'!D40,'30.07 URA-Spear Motors'!D40,'31.07 URA-Spear Motors'!D40,'02.08 URA-Spear Motors'!D40,'01.08 URA-Spear Motors-24h'!D40,'03.08 URA-Spear Motors-24h'!D40,'04.08 URA-Spear Motors'!D40)</f>
        <v>6.8571428571428568</v>
      </c>
      <c r="E40" s="49">
        <f>AVERAGE('29.07 URA-Spear Motors'!E40,'30.07 URA-Spear Motors'!E40,'31.07 URA-Spear Motors'!E40,'02.08 URA-Spear Motors'!E40,'01.08 URA-Spear Motors-24h'!E40,'03.08 URA-Spear Motors-24h'!E40,'04.08 URA-Spear Motors'!E40)</f>
        <v>4.5714285714285712</v>
      </c>
      <c r="F40" s="49">
        <f>AVERAGE('29.07 URA-Spear Motors'!F40,'30.07 URA-Spear Motors'!F40,'31.07 URA-Spear Motors'!F40,'02.08 URA-Spear Motors'!F40,'01.08 URA-Spear Motors-24h'!F40,'03.08 URA-Spear Motors-24h'!F40,'04.08 URA-Spear Motors'!F40)</f>
        <v>7.2857142857142856</v>
      </c>
      <c r="G40" s="49">
        <f>AVERAGE('29.07 URA-Spear Motors'!G40,'30.07 URA-Spear Motors'!G40,'31.07 URA-Spear Motors'!G40,'02.08 URA-Spear Motors'!G40,'01.08 URA-Spear Motors-24h'!G40,'03.08 URA-Spear Motors-24h'!G40,'04.08 URA-Spear Motors'!G40)</f>
        <v>0.14285714285714285</v>
      </c>
      <c r="H40" s="49">
        <f>AVERAGE('29.07 URA-Spear Motors'!H40,'30.07 URA-Spear Motors'!H40,'31.07 URA-Spear Motors'!H40,'02.08 URA-Spear Motors'!H40,'01.08 URA-Spear Motors-24h'!H40,'03.08 URA-Spear Motors-24h'!H40,'04.08 URA-Spear Motors'!H40)</f>
        <v>0.14285714285714285</v>
      </c>
      <c r="I40" s="49">
        <f>AVERAGE('29.07 URA-Spear Motors'!I40,'30.07 URA-Spear Motors'!I40,'31.07 URA-Spear Motors'!I40,'02.08 URA-Spear Motors'!I40,'01.08 URA-Spear Motors-24h'!I40,'03.08 URA-Spear Motors-24h'!I40,'04.08 URA-Spear Motors'!I40)</f>
        <v>3.1428571428571428</v>
      </c>
      <c r="J40" s="49">
        <f>AVERAGE('29.07 URA-Spear Motors'!J40,'30.07 URA-Spear Motors'!J40,'31.07 URA-Spear Motors'!J40,'02.08 URA-Spear Motors'!J40,'01.08 URA-Spear Motors-24h'!J40,'03.08 URA-Spear Motors-24h'!J40,'04.08 URA-Spear Motors'!J40)</f>
        <v>1.1428571428571428</v>
      </c>
      <c r="K40" s="49">
        <f>AVERAGE('29.07 URA-Spear Motors'!K40,'30.07 URA-Spear Motors'!K40,'31.07 URA-Spear Motors'!K40,'02.08 URA-Spear Motors'!K40,'01.08 URA-Spear Motors-24h'!K40,'03.08 URA-Spear Motors-24h'!K40,'04.08 URA-Spear Motors'!K40)</f>
        <v>1</v>
      </c>
      <c r="L40" s="49">
        <f>AVERAGE('29.07 URA-Spear Motors'!L40,'30.07 URA-Spear Motors'!L40,'31.07 URA-Spear Motors'!L40,'02.08 URA-Spear Motors'!L40,'01.08 URA-Spear Motors-24h'!L40,'03.08 URA-Spear Motors-24h'!L40,'04.08 URA-Spear Motors'!L40)</f>
        <v>1</v>
      </c>
      <c r="M40" s="49">
        <f>AVERAGE('29.07 URA-Spear Motors'!M40,'30.07 URA-Spear Motors'!M40,'31.07 URA-Spear Motors'!M40,'02.08 URA-Spear Motors'!M40,'01.08 URA-Spear Motors-24h'!M40,'03.08 URA-Spear Motors-24h'!M40,'04.08 URA-Spear Motors'!M40)</f>
        <v>61.285714285714285</v>
      </c>
      <c r="N40" s="49">
        <f>AVERAGE('29.07 URA-Spear Motors'!N40,'30.07 URA-Spear Motors'!N40,'31.07 URA-Spear Motors'!N40,'02.08 URA-Spear Motors'!N40,'01.08 URA-Spear Motors-24h'!N40,'03.08 URA-Spear Motors-24h'!N40,'04.08 URA-Spear Motors'!N40)</f>
        <v>0</v>
      </c>
      <c r="O40" s="15">
        <f t="shared" si="0"/>
        <v>71.999999999999986</v>
      </c>
      <c r="P40" s="15">
        <f t="shared" si="1"/>
        <v>133.28571428571428</v>
      </c>
      <c r="R40" s="5" t="s">
        <v>17</v>
      </c>
      <c r="S40" s="16">
        <f t="shared" ref="S40:AF40" si="32">SUM(S10:S21)</f>
        <v>2005.1428571428571</v>
      </c>
      <c r="T40" s="16">
        <f t="shared" si="32"/>
        <v>351.42857142857144</v>
      </c>
      <c r="U40" s="16">
        <f t="shared" si="32"/>
        <v>275</v>
      </c>
      <c r="V40" s="16">
        <f t="shared" si="32"/>
        <v>338.85714285714289</v>
      </c>
      <c r="W40" s="16">
        <f t="shared" si="32"/>
        <v>27</v>
      </c>
      <c r="X40" s="16">
        <f t="shared" si="32"/>
        <v>5</v>
      </c>
      <c r="Y40" s="16">
        <f t="shared" si="32"/>
        <v>213.42857142857142</v>
      </c>
      <c r="Z40" s="16">
        <f t="shared" si="32"/>
        <v>59.714285714285715</v>
      </c>
      <c r="AA40" s="16">
        <f t="shared" si="32"/>
        <v>32.142857142857139</v>
      </c>
      <c r="AB40" s="16">
        <f t="shared" si="32"/>
        <v>57.428571428571431</v>
      </c>
      <c r="AC40" s="16">
        <f t="shared" si="32"/>
        <v>3951</v>
      </c>
      <c r="AD40" s="16">
        <f t="shared" si="32"/>
        <v>0.42857142857142855</v>
      </c>
      <c r="AE40" s="32">
        <f t="shared" si="32"/>
        <v>3365.5714285714289</v>
      </c>
      <c r="AF40" s="32">
        <f t="shared" si="32"/>
        <v>7316.5714285714294</v>
      </c>
    </row>
    <row r="41" spans="2:32" ht="23.1" customHeight="1" x14ac:dyDescent="0.25">
      <c r="B41" s="23" t="s">
        <v>68</v>
      </c>
      <c r="C41" s="49">
        <f>AVERAGE('29.07 URA-Spear Motors'!C41,'30.07 URA-Spear Motors'!C41,'31.07 URA-Spear Motors'!C41,'02.08 URA-Spear Motors'!C41,'01.08 URA-Spear Motors-24h'!C41,'03.08 URA-Spear Motors-24h'!C41,'04.08 URA-Spear Motors'!C41)</f>
        <v>36.428571428571431</v>
      </c>
      <c r="D41" s="49">
        <f>AVERAGE('29.07 URA-Spear Motors'!D41,'30.07 URA-Spear Motors'!D41,'31.07 URA-Spear Motors'!D41,'02.08 URA-Spear Motors'!D41,'01.08 URA-Spear Motors-24h'!D41,'03.08 URA-Spear Motors-24h'!D41,'04.08 URA-Spear Motors'!D41)</f>
        <v>6.1428571428571432</v>
      </c>
      <c r="E41" s="49">
        <f>AVERAGE('29.07 URA-Spear Motors'!E41,'30.07 URA-Spear Motors'!E41,'31.07 URA-Spear Motors'!E41,'02.08 URA-Spear Motors'!E41,'01.08 URA-Spear Motors-24h'!E41,'03.08 URA-Spear Motors-24h'!E41,'04.08 URA-Spear Motors'!E41)</f>
        <v>7.7142857142857144</v>
      </c>
      <c r="F41" s="49">
        <f>AVERAGE('29.07 URA-Spear Motors'!F41,'30.07 URA-Spear Motors'!F41,'31.07 URA-Spear Motors'!F41,'02.08 URA-Spear Motors'!F41,'01.08 URA-Spear Motors-24h'!F41,'03.08 URA-Spear Motors-24h'!F41,'04.08 URA-Spear Motors'!F41)</f>
        <v>5.2857142857142856</v>
      </c>
      <c r="G41" s="49">
        <f>AVERAGE('29.07 URA-Spear Motors'!G41,'30.07 URA-Spear Motors'!G41,'31.07 URA-Spear Motors'!G41,'02.08 URA-Spear Motors'!G41,'01.08 URA-Spear Motors-24h'!G41,'03.08 URA-Spear Motors-24h'!G41,'04.08 URA-Spear Motors'!G41)</f>
        <v>0.2857142857142857</v>
      </c>
      <c r="H41" s="49">
        <f>AVERAGE('29.07 URA-Spear Motors'!H41,'30.07 URA-Spear Motors'!H41,'31.07 URA-Spear Motors'!H41,'02.08 URA-Spear Motors'!H41,'01.08 URA-Spear Motors-24h'!H41,'03.08 URA-Spear Motors-24h'!H41,'04.08 URA-Spear Motors'!H41)</f>
        <v>0</v>
      </c>
      <c r="I41" s="49">
        <f>AVERAGE('29.07 URA-Spear Motors'!I41,'30.07 URA-Spear Motors'!I41,'31.07 URA-Spear Motors'!I41,'02.08 URA-Spear Motors'!I41,'01.08 URA-Spear Motors-24h'!I41,'03.08 URA-Spear Motors-24h'!I41,'04.08 URA-Spear Motors'!I41)</f>
        <v>5.2857142857142856</v>
      </c>
      <c r="J41" s="49">
        <f>AVERAGE('29.07 URA-Spear Motors'!J41,'30.07 URA-Spear Motors'!J41,'31.07 URA-Spear Motors'!J41,'02.08 URA-Spear Motors'!J41,'01.08 URA-Spear Motors-24h'!J41,'03.08 URA-Spear Motors-24h'!J41,'04.08 URA-Spear Motors'!J41)</f>
        <v>2</v>
      </c>
      <c r="K41" s="49">
        <f>AVERAGE('29.07 URA-Spear Motors'!K41,'30.07 URA-Spear Motors'!K41,'31.07 URA-Spear Motors'!K41,'02.08 URA-Spear Motors'!K41,'01.08 URA-Spear Motors-24h'!K41,'03.08 URA-Spear Motors-24h'!K41,'04.08 URA-Spear Motors'!K41)</f>
        <v>0.42857142857142855</v>
      </c>
      <c r="L41" s="49">
        <f>AVERAGE('29.07 URA-Spear Motors'!L41,'30.07 URA-Spear Motors'!L41,'31.07 URA-Spear Motors'!L41,'02.08 URA-Spear Motors'!L41,'01.08 URA-Spear Motors-24h'!L41,'03.08 URA-Spear Motors-24h'!L41,'04.08 URA-Spear Motors'!L41)</f>
        <v>2</v>
      </c>
      <c r="M41" s="49">
        <f>AVERAGE('29.07 URA-Spear Motors'!M41,'30.07 URA-Spear Motors'!M41,'31.07 URA-Spear Motors'!M41,'02.08 URA-Spear Motors'!M41,'01.08 URA-Spear Motors-24h'!M41,'03.08 URA-Spear Motors-24h'!M41,'04.08 URA-Spear Motors'!M41)</f>
        <v>62.714285714285715</v>
      </c>
      <c r="N41" s="49">
        <f>AVERAGE('29.07 URA-Spear Motors'!N41,'30.07 URA-Spear Motors'!N41,'31.07 URA-Spear Motors'!N41,'02.08 URA-Spear Motors'!N41,'01.08 URA-Spear Motors-24h'!N41,'03.08 URA-Spear Motors-24h'!N41,'04.08 URA-Spear Motors'!N41)</f>
        <v>0</v>
      </c>
      <c r="O41" s="15">
        <f t="shared" si="0"/>
        <v>65.571428571428584</v>
      </c>
      <c r="P41" s="15">
        <f t="shared" si="1"/>
        <v>128.28571428571431</v>
      </c>
      <c r="R41" s="5" t="s">
        <v>193</v>
      </c>
      <c r="S41" s="51">
        <f>SUM(S10:S33)</f>
        <v>2565.6428571428569</v>
      </c>
      <c r="T41" s="51">
        <f t="shared" ref="T41:AD41" si="33">SUM(T10:T33)</f>
        <v>668.42857142857144</v>
      </c>
      <c r="U41" s="51">
        <f t="shared" si="33"/>
        <v>358.5</v>
      </c>
      <c r="V41" s="51">
        <f t="shared" si="33"/>
        <v>555.35714285714289</v>
      </c>
      <c r="W41" s="51">
        <f t="shared" si="33"/>
        <v>33.5</v>
      </c>
      <c r="X41" s="51">
        <f t="shared" si="33"/>
        <v>5</v>
      </c>
      <c r="Y41" s="51">
        <f t="shared" si="33"/>
        <v>238.92857142857142</v>
      </c>
      <c r="Z41" s="51">
        <f t="shared" si="33"/>
        <v>74.714285714285722</v>
      </c>
      <c r="AA41" s="51">
        <f t="shared" si="33"/>
        <v>40.642857142857139</v>
      </c>
      <c r="AB41" s="51">
        <f t="shared" si="33"/>
        <v>85.428571428571431</v>
      </c>
      <c r="AC41" s="51">
        <f t="shared" si="33"/>
        <v>6842.5</v>
      </c>
      <c r="AD41" s="51">
        <f t="shared" si="33"/>
        <v>0.42857142857142855</v>
      </c>
      <c r="AE41" s="52">
        <f>SUM(AE10:AE33)</f>
        <v>4626.5714285714294</v>
      </c>
      <c r="AF41" s="52">
        <f>SUM(AF10:AF33)</f>
        <v>11469.071428571429</v>
      </c>
    </row>
    <row r="42" spans="2:32" ht="23.1" customHeight="1" x14ac:dyDescent="0.25">
      <c r="B42" s="24" t="s">
        <v>69</v>
      </c>
      <c r="C42" s="49">
        <f>AVERAGE('29.07 URA-Spear Motors'!C42,'30.07 URA-Spear Motors'!C42,'31.07 URA-Spear Motors'!C42,'02.08 URA-Spear Motors'!C42,'01.08 URA-Spear Motors-24h'!C42,'03.08 URA-Spear Motors-24h'!C42,'04.08 URA-Spear Motors'!C42)</f>
        <v>39.142857142857146</v>
      </c>
      <c r="D42" s="49">
        <f>AVERAGE('29.07 URA-Spear Motors'!D42,'30.07 URA-Spear Motors'!D42,'31.07 URA-Spear Motors'!D42,'02.08 URA-Spear Motors'!D42,'01.08 URA-Spear Motors-24h'!D42,'03.08 URA-Spear Motors-24h'!D42,'04.08 URA-Spear Motors'!D42)</f>
        <v>9.5714285714285712</v>
      </c>
      <c r="E42" s="49">
        <f>AVERAGE('29.07 URA-Spear Motors'!E42,'30.07 URA-Spear Motors'!E42,'31.07 URA-Spear Motors'!E42,'02.08 URA-Spear Motors'!E42,'01.08 URA-Spear Motors-24h'!E42,'03.08 URA-Spear Motors-24h'!E42,'04.08 URA-Spear Motors'!E42)</f>
        <v>6</v>
      </c>
      <c r="F42" s="49">
        <f>AVERAGE('29.07 URA-Spear Motors'!F42,'30.07 URA-Spear Motors'!F42,'31.07 URA-Spear Motors'!F42,'02.08 URA-Spear Motors'!F42,'01.08 URA-Spear Motors-24h'!F42,'03.08 URA-Spear Motors-24h'!F42,'04.08 URA-Spear Motors'!F42)</f>
        <v>6.7142857142857144</v>
      </c>
      <c r="G42" s="49">
        <f>AVERAGE('29.07 URA-Spear Motors'!G42,'30.07 URA-Spear Motors'!G42,'31.07 URA-Spear Motors'!G42,'02.08 URA-Spear Motors'!G42,'01.08 URA-Spear Motors-24h'!G42,'03.08 URA-Spear Motors-24h'!G42,'04.08 URA-Spear Motors'!G42)</f>
        <v>0.2857142857142857</v>
      </c>
      <c r="H42" s="49">
        <f>AVERAGE('29.07 URA-Spear Motors'!H42,'30.07 URA-Spear Motors'!H42,'31.07 URA-Spear Motors'!H42,'02.08 URA-Spear Motors'!H42,'01.08 URA-Spear Motors-24h'!H42,'03.08 URA-Spear Motors-24h'!H42,'04.08 URA-Spear Motors'!H42)</f>
        <v>0</v>
      </c>
      <c r="I42" s="49">
        <f>AVERAGE('29.07 URA-Spear Motors'!I42,'30.07 URA-Spear Motors'!I42,'31.07 URA-Spear Motors'!I42,'02.08 URA-Spear Motors'!I42,'01.08 URA-Spear Motors-24h'!I42,'03.08 URA-Spear Motors-24h'!I42,'04.08 URA-Spear Motors'!I42)</f>
        <v>4.1428571428571432</v>
      </c>
      <c r="J42" s="49">
        <f>AVERAGE('29.07 URA-Spear Motors'!J42,'30.07 URA-Spear Motors'!J42,'31.07 URA-Spear Motors'!J42,'02.08 URA-Spear Motors'!J42,'01.08 URA-Spear Motors-24h'!J42,'03.08 URA-Spear Motors-24h'!J42,'04.08 URA-Spear Motors'!J42)</f>
        <v>1</v>
      </c>
      <c r="K42" s="49">
        <f>AVERAGE('29.07 URA-Spear Motors'!K42,'30.07 URA-Spear Motors'!K42,'31.07 URA-Spear Motors'!K42,'02.08 URA-Spear Motors'!K42,'01.08 URA-Spear Motors-24h'!K42,'03.08 URA-Spear Motors-24h'!K42,'04.08 URA-Spear Motors'!K42)</f>
        <v>0.42857142857142855</v>
      </c>
      <c r="L42" s="49">
        <f>AVERAGE('29.07 URA-Spear Motors'!L42,'30.07 URA-Spear Motors'!L42,'31.07 URA-Spear Motors'!L42,'02.08 URA-Spear Motors'!L42,'01.08 URA-Spear Motors-24h'!L42,'03.08 URA-Spear Motors-24h'!L42,'04.08 URA-Spear Motors'!L42)</f>
        <v>0.42857142857142855</v>
      </c>
      <c r="M42" s="49">
        <f>AVERAGE('29.07 URA-Spear Motors'!M42,'30.07 URA-Spear Motors'!M42,'31.07 URA-Spear Motors'!M42,'02.08 URA-Spear Motors'!M42,'01.08 URA-Spear Motors-24h'!M42,'03.08 URA-Spear Motors-24h'!M42,'04.08 URA-Spear Motors'!M42)</f>
        <v>63.571428571428569</v>
      </c>
      <c r="N42" s="49">
        <f>AVERAGE('29.07 URA-Spear Motors'!N42,'30.07 URA-Spear Motors'!N42,'31.07 URA-Spear Motors'!N42,'02.08 URA-Spear Motors'!N42,'01.08 URA-Spear Motors-24h'!N42,'03.08 URA-Spear Motors-24h'!N42,'04.08 URA-Spear Motors'!N42)</f>
        <v>0</v>
      </c>
      <c r="O42" s="15">
        <f t="shared" si="0"/>
        <v>67.714285714285722</v>
      </c>
      <c r="P42" s="15">
        <f t="shared" si="1"/>
        <v>131.28571428571428</v>
      </c>
      <c r="R42" s="5" t="s">
        <v>160</v>
      </c>
      <c r="S42" s="48">
        <f>S41/S40</f>
        <v>1.2795312054716443</v>
      </c>
      <c r="T42" s="48">
        <f t="shared" ref="T42:AF42" si="34">T41/T40</f>
        <v>1.9020325203252033</v>
      </c>
      <c r="U42" s="48">
        <f t="shared" si="34"/>
        <v>1.3036363636363637</v>
      </c>
      <c r="V42" s="48">
        <f t="shared" si="34"/>
        <v>1.6389123102866778</v>
      </c>
      <c r="W42" s="48">
        <f t="shared" si="34"/>
        <v>1.2407407407407407</v>
      </c>
      <c r="X42" s="48">
        <f t="shared" si="34"/>
        <v>1</v>
      </c>
      <c r="Y42" s="48">
        <f t="shared" si="34"/>
        <v>1.1194779116465863</v>
      </c>
      <c r="Z42" s="48">
        <f t="shared" si="34"/>
        <v>1.2511961722488039</v>
      </c>
      <c r="AA42" s="48">
        <f t="shared" si="34"/>
        <v>1.2644444444444445</v>
      </c>
      <c r="AB42" s="48">
        <f t="shared" si="34"/>
        <v>1.4875621890547264</v>
      </c>
      <c r="AC42" s="48">
        <f t="shared" si="34"/>
        <v>1.731840040496077</v>
      </c>
      <c r="AD42" s="48">
        <f t="shared" si="34"/>
        <v>1</v>
      </c>
      <c r="AE42" s="53">
        <f t="shared" si="34"/>
        <v>1.3746763444967953</v>
      </c>
      <c r="AF42" s="53">
        <f t="shared" si="34"/>
        <v>1.5675472508591064</v>
      </c>
    </row>
    <row r="43" spans="2:32" ht="23.1" customHeight="1" x14ac:dyDescent="0.25">
      <c r="B43" s="23" t="s">
        <v>70</v>
      </c>
      <c r="C43" s="49">
        <f>AVERAGE('29.07 URA-Spear Motors'!C43,'30.07 URA-Spear Motors'!C43,'31.07 URA-Spear Motors'!C43,'02.08 URA-Spear Motors'!C43,'01.08 URA-Spear Motors-24h'!C43,'03.08 URA-Spear Motors-24h'!C43,'04.08 URA-Spear Motors'!C43)</f>
        <v>37.714285714285715</v>
      </c>
      <c r="D43" s="49">
        <f>AVERAGE('29.07 URA-Spear Motors'!D43,'30.07 URA-Spear Motors'!D43,'31.07 URA-Spear Motors'!D43,'02.08 URA-Spear Motors'!D43,'01.08 URA-Spear Motors-24h'!D43,'03.08 URA-Spear Motors-24h'!D43,'04.08 URA-Spear Motors'!D43)</f>
        <v>7.1428571428571432</v>
      </c>
      <c r="E43" s="49">
        <f>AVERAGE('29.07 URA-Spear Motors'!E43,'30.07 URA-Spear Motors'!E43,'31.07 URA-Spear Motors'!E43,'02.08 URA-Spear Motors'!E43,'01.08 URA-Spear Motors-24h'!E43,'03.08 URA-Spear Motors-24h'!E43,'04.08 URA-Spear Motors'!E43)</f>
        <v>8</v>
      </c>
      <c r="F43" s="49">
        <f>AVERAGE('29.07 URA-Spear Motors'!F43,'30.07 URA-Spear Motors'!F43,'31.07 URA-Spear Motors'!F43,'02.08 URA-Spear Motors'!F43,'01.08 URA-Spear Motors-24h'!F43,'03.08 URA-Spear Motors-24h'!F43,'04.08 URA-Spear Motors'!F43)</f>
        <v>6.2857142857142856</v>
      </c>
      <c r="G43" s="49">
        <f>AVERAGE('29.07 URA-Spear Motors'!G43,'30.07 URA-Spear Motors'!G43,'31.07 URA-Spear Motors'!G43,'02.08 URA-Spear Motors'!G43,'01.08 URA-Spear Motors-24h'!G43,'03.08 URA-Spear Motors-24h'!G43,'04.08 URA-Spear Motors'!G43)</f>
        <v>0</v>
      </c>
      <c r="H43" s="49">
        <f>AVERAGE('29.07 URA-Spear Motors'!H43,'30.07 URA-Spear Motors'!H43,'31.07 URA-Spear Motors'!H43,'02.08 URA-Spear Motors'!H43,'01.08 URA-Spear Motors-24h'!H43,'03.08 URA-Spear Motors-24h'!H43,'04.08 URA-Spear Motors'!H43)</f>
        <v>0</v>
      </c>
      <c r="I43" s="49">
        <f>AVERAGE('29.07 URA-Spear Motors'!I43,'30.07 URA-Spear Motors'!I43,'31.07 URA-Spear Motors'!I43,'02.08 URA-Spear Motors'!I43,'01.08 URA-Spear Motors-24h'!I43,'03.08 URA-Spear Motors-24h'!I43,'04.08 URA-Spear Motors'!I43)</f>
        <v>5.8571428571428568</v>
      </c>
      <c r="J43" s="49">
        <f>AVERAGE('29.07 URA-Spear Motors'!J43,'30.07 URA-Spear Motors'!J43,'31.07 URA-Spear Motors'!J43,'02.08 URA-Spear Motors'!J43,'01.08 URA-Spear Motors-24h'!J43,'03.08 URA-Spear Motors-24h'!J43,'04.08 URA-Spear Motors'!J43)</f>
        <v>0.7142857142857143</v>
      </c>
      <c r="K43" s="49">
        <f>AVERAGE('29.07 URA-Spear Motors'!K43,'30.07 URA-Spear Motors'!K43,'31.07 URA-Spear Motors'!K43,'02.08 URA-Spear Motors'!K43,'01.08 URA-Spear Motors-24h'!K43,'03.08 URA-Spear Motors-24h'!K43,'04.08 URA-Spear Motors'!K43)</f>
        <v>0.5714285714285714</v>
      </c>
      <c r="L43" s="49">
        <f>AVERAGE('29.07 URA-Spear Motors'!L43,'30.07 URA-Spear Motors'!L43,'31.07 URA-Spear Motors'!L43,'02.08 URA-Spear Motors'!L43,'01.08 URA-Spear Motors-24h'!L43,'03.08 URA-Spear Motors-24h'!L43,'04.08 URA-Spear Motors'!L43)</f>
        <v>1.2857142857142858</v>
      </c>
      <c r="M43" s="49">
        <f>AVERAGE('29.07 URA-Spear Motors'!M43,'30.07 URA-Spear Motors'!M43,'31.07 URA-Spear Motors'!M43,'02.08 URA-Spear Motors'!M43,'01.08 URA-Spear Motors-24h'!M43,'03.08 URA-Spear Motors-24h'!M43,'04.08 URA-Spear Motors'!M43)</f>
        <v>56.857142857142854</v>
      </c>
      <c r="N43" s="49">
        <f>AVERAGE('29.07 URA-Spear Motors'!N43,'30.07 URA-Spear Motors'!N43,'31.07 URA-Spear Motors'!N43,'02.08 URA-Spear Motors'!N43,'01.08 URA-Spear Motors-24h'!N43,'03.08 URA-Spear Motors-24h'!N43,'04.08 URA-Spear Motors'!N43)</f>
        <v>0</v>
      </c>
      <c r="O43" s="15">
        <f t="shared" si="0"/>
        <v>67.571428571428569</v>
      </c>
      <c r="P43" s="15">
        <f t="shared" si="1"/>
        <v>124.42857142857142</v>
      </c>
    </row>
    <row r="44" spans="2:32" ht="23.1" customHeight="1" x14ac:dyDescent="0.25">
      <c r="B44" s="25" t="s">
        <v>71</v>
      </c>
      <c r="C44" s="49">
        <f>AVERAGE('29.07 URA-Spear Motors'!C44,'30.07 URA-Spear Motors'!C44,'31.07 URA-Spear Motors'!C44,'02.08 URA-Spear Motors'!C44,'01.08 URA-Spear Motors-24h'!C44,'03.08 URA-Spear Motors-24h'!C44,'04.08 URA-Spear Motors'!C44)</f>
        <v>38.571428571428569</v>
      </c>
      <c r="D44" s="49">
        <f>AVERAGE('29.07 URA-Spear Motors'!D44,'30.07 URA-Spear Motors'!D44,'31.07 URA-Spear Motors'!D44,'02.08 URA-Spear Motors'!D44,'01.08 URA-Spear Motors-24h'!D44,'03.08 URA-Spear Motors-24h'!D44,'04.08 URA-Spear Motors'!D44)</f>
        <v>9</v>
      </c>
      <c r="E44" s="49">
        <f>AVERAGE('29.07 URA-Spear Motors'!E44,'30.07 URA-Spear Motors'!E44,'31.07 URA-Spear Motors'!E44,'02.08 URA-Spear Motors'!E44,'01.08 URA-Spear Motors-24h'!E44,'03.08 URA-Spear Motors-24h'!E44,'04.08 URA-Spear Motors'!E44)</f>
        <v>6.1428571428571432</v>
      </c>
      <c r="F44" s="49">
        <f>AVERAGE('29.07 URA-Spear Motors'!F44,'30.07 URA-Spear Motors'!F44,'31.07 URA-Spear Motors'!F44,'02.08 URA-Spear Motors'!F44,'01.08 URA-Spear Motors-24h'!F44,'03.08 URA-Spear Motors-24h'!F44,'04.08 URA-Spear Motors'!F44)</f>
        <v>6.8571428571428568</v>
      </c>
      <c r="G44" s="49">
        <f>AVERAGE('29.07 URA-Spear Motors'!G44,'30.07 URA-Spear Motors'!G44,'31.07 URA-Spear Motors'!G44,'02.08 URA-Spear Motors'!G44,'01.08 URA-Spear Motors-24h'!G44,'03.08 URA-Spear Motors-24h'!G44,'04.08 URA-Spear Motors'!G44)</f>
        <v>1</v>
      </c>
      <c r="H44" s="49">
        <f>AVERAGE('29.07 URA-Spear Motors'!H44,'30.07 URA-Spear Motors'!H44,'31.07 URA-Spear Motors'!H44,'02.08 URA-Spear Motors'!H44,'01.08 URA-Spear Motors-24h'!H44,'03.08 URA-Spear Motors-24h'!H44,'04.08 URA-Spear Motors'!H44)</f>
        <v>0</v>
      </c>
      <c r="I44" s="49">
        <f>AVERAGE('29.07 URA-Spear Motors'!I44,'30.07 URA-Spear Motors'!I44,'31.07 URA-Spear Motors'!I44,'02.08 URA-Spear Motors'!I44,'01.08 URA-Spear Motors-24h'!I44,'03.08 URA-Spear Motors-24h'!I44,'04.08 URA-Spear Motors'!I44)</f>
        <v>8.7142857142857135</v>
      </c>
      <c r="J44" s="49">
        <f>AVERAGE('29.07 URA-Spear Motors'!J44,'30.07 URA-Spear Motors'!J44,'31.07 URA-Spear Motors'!J44,'02.08 URA-Spear Motors'!J44,'01.08 URA-Spear Motors-24h'!J44,'03.08 URA-Spear Motors-24h'!J44,'04.08 URA-Spear Motors'!J44)</f>
        <v>1.4285714285714286</v>
      </c>
      <c r="K44" s="49">
        <f>AVERAGE('29.07 URA-Spear Motors'!K44,'30.07 URA-Spear Motors'!K44,'31.07 URA-Spear Motors'!K44,'02.08 URA-Spear Motors'!K44,'01.08 URA-Spear Motors-24h'!K44,'03.08 URA-Spear Motors-24h'!K44,'04.08 URA-Spear Motors'!K44)</f>
        <v>1.4285714285714286</v>
      </c>
      <c r="L44" s="49">
        <f>AVERAGE('29.07 URA-Spear Motors'!L44,'30.07 URA-Spear Motors'!L44,'31.07 URA-Spear Motors'!L44,'02.08 URA-Spear Motors'!L44,'01.08 URA-Spear Motors-24h'!L44,'03.08 URA-Spear Motors-24h'!L44,'04.08 URA-Spear Motors'!L44)</f>
        <v>1.5714285714285714</v>
      </c>
      <c r="M44" s="49">
        <f>AVERAGE('29.07 URA-Spear Motors'!M44,'30.07 URA-Spear Motors'!M44,'31.07 URA-Spear Motors'!M44,'02.08 URA-Spear Motors'!M44,'01.08 URA-Spear Motors-24h'!M44,'03.08 URA-Spear Motors-24h'!M44,'04.08 URA-Spear Motors'!M44)</f>
        <v>63.571428571428569</v>
      </c>
      <c r="N44" s="49">
        <f>AVERAGE('29.07 URA-Spear Motors'!N44,'30.07 URA-Spear Motors'!N44,'31.07 URA-Spear Motors'!N44,'02.08 URA-Spear Motors'!N44,'01.08 URA-Spear Motors-24h'!N44,'03.08 URA-Spear Motors-24h'!N44,'04.08 URA-Spear Motors'!N44)</f>
        <v>0</v>
      </c>
      <c r="O44" s="15">
        <f t="shared" si="0"/>
        <v>74.714285714285708</v>
      </c>
      <c r="P44" s="15">
        <f t="shared" si="1"/>
        <v>138.28571428571428</v>
      </c>
    </row>
    <row r="45" spans="2:32" ht="23.1" customHeight="1" x14ac:dyDescent="0.25">
      <c r="B45" s="23" t="s">
        <v>72</v>
      </c>
      <c r="C45" s="49">
        <f>AVERAGE('29.07 URA-Spear Motors'!C45,'30.07 URA-Spear Motors'!C45,'31.07 URA-Spear Motors'!C45,'02.08 URA-Spear Motors'!C45,'01.08 URA-Spear Motors-24h'!C45,'03.08 URA-Spear Motors-24h'!C45,'04.08 URA-Spear Motors'!C45)</f>
        <v>40.714285714285715</v>
      </c>
      <c r="D45" s="49">
        <f>AVERAGE('29.07 URA-Spear Motors'!D45,'30.07 URA-Spear Motors'!D45,'31.07 URA-Spear Motors'!D45,'02.08 URA-Spear Motors'!D45,'01.08 URA-Spear Motors-24h'!D45,'03.08 URA-Spear Motors-24h'!D45,'04.08 URA-Spear Motors'!D45)</f>
        <v>6.5714285714285712</v>
      </c>
      <c r="E45" s="49">
        <f>AVERAGE('29.07 URA-Spear Motors'!E45,'30.07 URA-Spear Motors'!E45,'31.07 URA-Spear Motors'!E45,'02.08 URA-Spear Motors'!E45,'01.08 URA-Spear Motors-24h'!E45,'03.08 URA-Spear Motors-24h'!E45,'04.08 URA-Spear Motors'!E45)</f>
        <v>5.5714285714285712</v>
      </c>
      <c r="F45" s="49">
        <f>AVERAGE('29.07 URA-Spear Motors'!F45,'30.07 URA-Spear Motors'!F45,'31.07 URA-Spear Motors'!F45,'02.08 URA-Spear Motors'!F45,'01.08 URA-Spear Motors-24h'!F45,'03.08 URA-Spear Motors-24h'!F45,'04.08 URA-Spear Motors'!F45)</f>
        <v>6.4285714285714288</v>
      </c>
      <c r="G45" s="49">
        <f>AVERAGE('29.07 URA-Spear Motors'!G45,'30.07 URA-Spear Motors'!G45,'31.07 URA-Spear Motors'!G45,'02.08 URA-Spear Motors'!G45,'01.08 URA-Spear Motors-24h'!G45,'03.08 URA-Spear Motors-24h'!G45,'04.08 URA-Spear Motors'!G45)</f>
        <v>0.14285714285714285</v>
      </c>
      <c r="H45" s="49">
        <f>AVERAGE('29.07 URA-Spear Motors'!H45,'30.07 URA-Spear Motors'!H45,'31.07 URA-Spear Motors'!H45,'02.08 URA-Spear Motors'!H45,'01.08 URA-Spear Motors-24h'!H45,'03.08 URA-Spear Motors-24h'!H45,'04.08 URA-Spear Motors'!H45)</f>
        <v>0</v>
      </c>
      <c r="I45" s="49">
        <f>AVERAGE('29.07 URA-Spear Motors'!I45,'30.07 URA-Spear Motors'!I45,'31.07 URA-Spear Motors'!I45,'02.08 URA-Spear Motors'!I45,'01.08 URA-Spear Motors-24h'!I45,'03.08 URA-Spear Motors-24h'!I45,'04.08 URA-Spear Motors'!I45)</f>
        <v>6.4285714285714288</v>
      </c>
      <c r="J45" s="49">
        <f>AVERAGE('29.07 URA-Spear Motors'!J45,'30.07 URA-Spear Motors'!J45,'31.07 URA-Spear Motors'!J45,'02.08 URA-Spear Motors'!J45,'01.08 URA-Spear Motors-24h'!J45,'03.08 URA-Spear Motors-24h'!J45,'04.08 URA-Spear Motors'!J45)</f>
        <v>1.4285714285714286</v>
      </c>
      <c r="K45" s="49">
        <f>AVERAGE('29.07 URA-Spear Motors'!K45,'30.07 URA-Spear Motors'!K45,'31.07 URA-Spear Motors'!K45,'02.08 URA-Spear Motors'!K45,'01.08 URA-Spear Motors-24h'!K45,'03.08 URA-Spear Motors-24h'!K45,'04.08 URA-Spear Motors'!K45)</f>
        <v>0.8571428571428571</v>
      </c>
      <c r="L45" s="49">
        <f>AVERAGE('29.07 URA-Spear Motors'!L45,'30.07 URA-Spear Motors'!L45,'31.07 URA-Spear Motors'!L45,'02.08 URA-Spear Motors'!L45,'01.08 URA-Spear Motors-24h'!L45,'03.08 URA-Spear Motors-24h'!L45,'04.08 URA-Spear Motors'!L45)</f>
        <v>1</v>
      </c>
      <c r="M45" s="49">
        <f>AVERAGE('29.07 URA-Spear Motors'!M45,'30.07 URA-Spear Motors'!M45,'31.07 URA-Spear Motors'!M45,'02.08 URA-Spear Motors'!M45,'01.08 URA-Spear Motors-24h'!M45,'03.08 URA-Spear Motors-24h'!M45,'04.08 URA-Spear Motors'!M45)</f>
        <v>91</v>
      </c>
      <c r="N45" s="49">
        <f>AVERAGE('29.07 URA-Spear Motors'!N45,'30.07 URA-Spear Motors'!N45,'31.07 URA-Spear Motors'!N45,'02.08 URA-Spear Motors'!N45,'01.08 URA-Spear Motors-24h'!N45,'03.08 URA-Spear Motors-24h'!N45,'04.08 URA-Spear Motors'!N45)</f>
        <v>0</v>
      </c>
      <c r="O45" s="15">
        <f t="shared" si="0"/>
        <v>69.142857142857153</v>
      </c>
      <c r="P45" s="15">
        <f t="shared" si="1"/>
        <v>160.14285714285717</v>
      </c>
    </row>
    <row r="46" spans="2:32" ht="23.1" customHeight="1" x14ac:dyDescent="0.25">
      <c r="B46" s="24" t="s">
        <v>73</v>
      </c>
      <c r="C46" s="49">
        <f>AVERAGE('29.07 URA-Spear Motors'!C46,'30.07 URA-Spear Motors'!C46,'31.07 URA-Spear Motors'!C46,'02.08 URA-Spear Motors'!C46,'01.08 URA-Spear Motors-24h'!C46,'03.08 URA-Spear Motors-24h'!C46,'04.08 URA-Spear Motors'!C46)</f>
        <v>35.714285714285715</v>
      </c>
      <c r="D46" s="49">
        <f>AVERAGE('29.07 URA-Spear Motors'!D46,'30.07 URA-Spear Motors'!D46,'31.07 URA-Spear Motors'!D46,'02.08 URA-Spear Motors'!D46,'01.08 URA-Spear Motors-24h'!D46,'03.08 URA-Spear Motors-24h'!D46,'04.08 URA-Spear Motors'!D46)</f>
        <v>5.4285714285714288</v>
      </c>
      <c r="E46" s="49">
        <f>AVERAGE('29.07 URA-Spear Motors'!E46,'30.07 URA-Spear Motors'!E46,'31.07 URA-Spear Motors'!E46,'02.08 URA-Spear Motors'!E46,'01.08 URA-Spear Motors-24h'!E46,'03.08 URA-Spear Motors-24h'!E46,'04.08 URA-Spear Motors'!E46)</f>
        <v>5.8571428571428568</v>
      </c>
      <c r="F46" s="49">
        <f>AVERAGE('29.07 URA-Spear Motors'!F46,'30.07 URA-Spear Motors'!F46,'31.07 URA-Spear Motors'!F46,'02.08 URA-Spear Motors'!F46,'01.08 URA-Spear Motors-24h'!F46,'03.08 URA-Spear Motors-24h'!F46,'04.08 URA-Spear Motors'!F46)</f>
        <v>5.8571428571428568</v>
      </c>
      <c r="G46" s="49">
        <f>AVERAGE('29.07 URA-Spear Motors'!G46,'30.07 URA-Spear Motors'!G46,'31.07 URA-Spear Motors'!G46,'02.08 URA-Spear Motors'!G46,'01.08 URA-Spear Motors-24h'!G46,'03.08 URA-Spear Motors-24h'!G46,'04.08 URA-Spear Motors'!G46)</f>
        <v>0.14285714285714285</v>
      </c>
      <c r="H46" s="49">
        <f>AVERAGE('29.07 URA-Spear Motors'!H46,'30.07 URA-Spear Motors'!H46,'31.07 URA-Spear Motors'!H46,'02.08 URA-Spear Motors'!H46,'01.08 URA-Spear Motors-24h'!H46,'03.08 URA-Spear Motors-24h'!H46,'04.08 URA-Spear Motors'!H46)</f>
        <v>0</v>
      </c>
      <c r="I46" s="49">
        <f>AVERAGE('29.07 URA-Spear Motors'!I46,'30.07 URA-Spear Motors'!I46,'31.07 URA-Spear Motors'!I46,'02.08 URA-Spear Motors'!I46,'01.08 URA-Spear Motors-24h'!I46,'03.08 URA-Spear Motors-24h'!I46,'04.08 URA-Spear Motors'!I46)</f>
        <v>5.8571428571428568</v>
      </c>
      <c r="J46" s="49">
        <f>AVERAGE('29.07 URA-Spear Motors'!J46,'30.07 URA-Spear Motors'!J46,'31.07 URA-Spear Motors'!J46,'02.08 URA-Spear Motors'!J46,'01.08 URA-Spear Motors-24h'!J46,'03.08 URA-Spear Motors-24h'!J46,'04.08 URA-Spear Motors'!J46)</f>
        <v>2.2857142857142856</v>
      </c>
      <c r="K46" s="49">
        <f>AVERAGE('29.07 URA-Spear Motors'!K46,'30.07 URA-Spear Motors'!K46,'31.07 URA-Spear Motors'!K46,'02.08 URA-Spear Motors'!K46,'01.08 URA-Spear Motors-24h'!K46,'03.08 URA-Spear Motors-24h'!K46,'04.08 URA-Spear Motors'!K46)</f>
        <v>0.14285714285714285</v>
      </c>
      <c r="L46" s="49">
        <f>AVERAGE('29.07 URA-Spear Motors'!L46,'30.07 URA-Spear Motors'!L46,'31.07 URA-Spear Motors'!L46,'02.08 URA-Spear Motors'!L46,'01.08 URA-Spear Motors-24h'!L46,'03.08 URA-Spear Motors-24h'!L46,'04.08 URA-Spear Motors'!L46)</f>
        <v>1</v>
      </c>
      <c r="M46" s="49">
        <f>AVERAGE('29.07 URA-Spear Motors'!M46,'30.07 URA-Spear Motors'!M46,'31.07 URA-Spear Motors'!M46,'02.08 URA-Spear Motors'!M46,'01.08 URA-Spear Motors-24h'!M46,'03.08 URA-Spear Motors-24h'!M46,'04.08 URA-Spear Motors'!M46)</f>
        <v>69.285714285714292</v>
      </c>
      <c r="N46" s="49">
        <f>AVERAGE('29.07 URA-Spear Motors'!N46,'30.07 URA-Spear Motors'!N46,'31.07 URA-Spear Motors'!N46,'02.08 URA-Spear Motors'!N46,'01.08 URA-Spear Motors-24h'!N46,'03.08 URA-Spear Motors-24h'!N46,'04.08 URA-Spear Motors'!N46)</f>
        <v>0</v>
      </c>
      <c r="O46" s="15">
        <f t="shared" si="0"/>
        <v>62.285714285714285</v>
      </c>
      <c r="P46" s="15">
        <f t="shared" si="1"/>
        <v>131.57142857142858</v>
      </c>
    </row>
    <row r="47" spans="2:32" ht="23.1" customHeight="1" x14ac:dyDescent="0.25">
      <c r="B47" s="24" t="s">
        <v>74</v>
      </c>
      <c r="C47" s="49">
        <f>AVERAGE('29.07 URA-Spear Motors'!C47,'30.07 URA-Spear Motors'!C47,'31.07 URA-Spear Motors'!C47,'02.08 URA-Spear Motors'!C47,'01.08 URA-Spear Motors-24h'!C47,'03.08 URA-Spear Motors-24h'!C47,'04.08 URA-Spear Motors'!C47)</f>
        <v>54.285714285714285</v>
      </c>
      <c r="D47" s="49">
        <f>AVERAGE('29.07 URA-Spear Motors'!D47,'30.07 URA-Spear Motors'!D47,'31.07 URA-Spear Motors'!D47,'02.08 URA-Spear Motors'!D47,'01.08 URA-Spear Motors-24h'!D47,'03.08 URA-Spear Motors-24h'!D47,'04.08 URA-Spear Motors'!D47)</f>
        <v>11.428571428571429</v>
      </c>
      <c r="E47" s="49">
        <f>AVERAGE('29.07 URA-Spear Motors'!E47,'30.07 URA-Spear Motors'!E47,'31.07 URA-Spear Motors'!E47,'02.08 URA-Spear Motors'!E47,'01.08 URA-Spear Motors-24h'!E47,'03.08 URA-Spear Motors-24h'!E47,'04.08 URA-Spear Motors'!E47)</f>
        <v>7.2857142857142856</v>
      </c>
      <c r="F47" s="49">
        <f>AVERAGE('29.07 URA-Spear Motors'!F47,'30.07 URA-Spear Motors'!F47,'31.07 URA-Spear Motors'!F47,'02.08 URA-Spear Motors'!F47,'01.08 URA-Spear Motors-24h'!F47,'03.08 URA-Spear Motors-24h'!F47,'04.08 URA-Spear Motors'!F47)</f>
        <v>5.4285714285714288</v>
      </c>
      <c r="G47" s="49">
        <f>AVERAGE('29.07 URA-Spear Motors'!G47,'30.07 URA-Spear Motors'!G47,'31.07 URA-Spear Motors'!G47,'02.08 URA-Spear Motors'!G47,'01.08 URA-Spear Motors-24h'!G47,'03.08 URA-Spear Motors-24h'!G47,'04.08 URA-Spear Motors'!G47)</f>
        <v>0.14285714285714285</v>
      </c>
      <c r="H47" s="49">
        <f>AVERAGE('29.07 URA-Spear Motors'!H47,'30.07 URA-Spear Motors'!H47,'31.07 URA-Spear Motors'!H47,'02.08 URA-Spear Motors'!H47,'01.08 URA-Spear Motors-24h'!H47,'03.08 URA-Spear Motors-24h'!H47,'04.08 URA-Spear Motors'!H47)</f>
        <v>0</v>
      </c>
      <c r="I47" s="49">
        <f>AVERAGE('29.07 URA-Spear Motors'!I47,'30.07 URA-Spear Motors'!I47,'31.07 URA-Spear Motors'!I47,'02.08 URA-Spear Motors'!I47,'01.08 URA-Spear Motors-24h'!I47,'03.08 URA-Spear Motors-24h'!I47,'04.08 URA-Spear Motors'!I47)</f>
        <v>5.8571428571428568</v>
      </c>
      <c r="J47" s="49">
        <f>AVERAGE('29.07 URA-Spear Motors'!J47,'30.07 URA-Spear Motors'!J47,'31.07 URA-Spear Motors'!J47,'02.08 URA-Spear Motors'!J47,'01.08 URA-Spear Motors-24h'!J47,'03.08 URA-Spear Motors-24h'!J47,'04.08 URA-Spear Motors'!J47)</f>
        <v>1.5714285714285714</v>
      </c>
      <c r="K47" s="49">
        <f>AVERAGE('29.07 URA-Spear Motors'!K47,'30.07 URA-Spear Motors'!K47,'31.07 URA-Spear Motors'!K47,'02.08 URA-Spear Motors'!K47,'01.08 URA-Spear Motors-24h'!K47,'03.08 URA-Spear Motors-24h'!K47,'04.08 URA-Spear Motors'!K47)</f>
        <v>1.1428571428571428</v>
      </c>
      <c r="L47" s="49">
        <f>AVERAGE('29.07 URA-Spear Motors'!L47,'30.07 URA-Spear Motors'!L47,'31.07 URA-Spear Motors'!L47,'02.08 URA-Spear Motors'!L47,'01.08 URA-Spear Motors-24h'!L47,'03.08 URA-Spear Motors-24h'!L47,'04.08 URA-Spear Motors'!L47)</f>
        <v>1.1428571428571428</v>
      </c>
      <c r="M47" s="49">
        <f>AVERAGE('29.07 URA-Spear Motors'!M47,'30.07 URA-Spear Motors'!M47,'31.07 URA-Spear Motors'!M47,'02.08 URA-Spear Motors'!M47,'01.08 URA-Spear Motors-24h'!M47,'03.08 URA-Spear Motors-24h'!M47,'04.08 URA-Spear Motors'!M47)</f>
        <v>87.285714285714292</v>
      </c>
      <c r="N47" s="49">
        <f>AVERAGE('29.07 URA-Spear Motors'!N47,'30.07 URA-Spear Motors'!N47,'31.07 URA-Spear Motors'!N47,'02.08 URA-Spear Motors'!N47,'01.08 URA-Spear Motors-24h'!N47,'03.08 URA-Spear Motors-24h'!N47,'04.08 URA-Spear Motors'!N47)</f>
        <v>0.14285714285714285</v>
      </c>
      <c r="O47" s="15">
        <f t="shared" si="0"/>
        <v>88.428571428571416</v>
      </c>
      <c r="P47" s="15">
        <f t="shared" si="1"/>
        <v>175.71428571428569</v>
      </c>
    </row>
    <row r="48" spans="2:32" ht="23.1" customHeight="1" x14ac:dyDescent="0.25">
      <c r="B48" s="24" t="s">
        <v>75</v>
      </c>
      <c r="C48" s="49">
        <f>AVERAGE('29.07 URA-Spear Motors'!C48,'30.07 URA-Spear Motors'!C48,'31.07 URA-Spear Motors'!C48,'02.08 URA-Spear Motors'!C48,'01.08 URA-Spear Motors-24h'!C48,'03.08 URA-Spear Motors-24h'!C48,'04.08 URA-Spear Motors'!C48)</f>
        <v>43.285714285714285</v>
      </c>
      <c r="D48" s="49">
        <f>AVERAGE('29.07 URA-Spear Motors'!D48,'30.07 URA-Spear Motors'!D48,'31.07 URA-Spear Motors'!D48,'02.08 URA-Spear Motors'!D48,'01.08 URA-Spear Motors-24h'!D48,'03.08 URA-Spear Motors-24h'!D48,'04.08 URA-Spear Motors'!D48)</f>
        <v>6.4285714285714288</v>
      </c>
      <c r="E48" s="49">
        <f>AVERAGE('29.07 URA-Spear Motors'!E48,'30.07 URA-Spear Motors'!E48,'31.07 URA-Spear Motors'!E48,'02.08 URA-Spear Motors'!E48,'01.08 URA-Spear Motors-24h'!E48,'03.08 URA-Spear Motors-24h'!E48,'04.08 URA-Spear Motors'!E48)</f>
        <v>4.5714285714285712</v>
      </c>
      <c r="F48" s="49">
        <f>AVERAGE('29.07 URA-Spear Motors'!F48,'30.07 URA-Spear Motors'!F48,'31.07 URA-Spear Motors'!F48,'02.08 URA-Spear Motors'!F48,'01.08 URA-Spear Motors-24h'!F48,'03.08 URA-Spear Motors-24h'!F48,'04.08 URA-Spear Motors'!F48)</f>
        <v>5.4285714285714288</v>
      </c>
      <c r="G48" s="49">
        <f>AVERAGE('29.07 URA-Spear Motors'!G48,'30.07 URA-Spear Motors'!G48,'31.07 URA-Spear Motors'!G48,'02.08 URA-Spear Motors'!G48,'01.08 URA-Spear Motors-24h'!G48,'03.08 URA-Spear Motors-24h'!G48,'04.08 URA-Spear Motors'!G48)</f>
        <v>0</v>
      </c>
      <c r="H48" s="49">
        <f>AVERAGE('29.07 URA-Spear Motors'!H48,'30.07 URA-Spear Motors'!H48,'31.07 URA-Spear Motors'!H48,'02.08 URA-Spear Motors'!H48,'01.08 URA-Spear Motors-24h'!H48,'03.08 URA-Spear Motors-24h'!H48,'04.08 URA-Spear Motors'!H48)</f>
        <v>0</v>
      </c>
      <c r="I48" s="49">
        <f>AVERAGE('29.07 URA-Spear Motors'!I48,'30.07 URA-Spear Motors'!I48,'31.07 URA-Spear Motors'!I48,'02.08 URA-Spear Motors'!I48,'01.08 URA-Spear Motors-24h'!I48,'03.08 URA-Spear Motors-24h'!I48,'04.08 URA-Spear Motors'!I48)</f>
        <v>6.2857142857142856</v>
      </c>
      <c r="J48" s="49">
        <f>AVERAGE('29.07 URA-Spear Motors'!J48,'30.07 URA-Spear Motors'!J48,'31.07 URA-Spear Motors'!J48,'02.08 URA-Spear Motors'!J48,'01.08 URA-Spear Motors-24h'!J48,'03.08 URA-Spear Motors-24h'!J48,'04.08 URA-Spear Motors'!J48)</f>
        <v>0.8571428571428571</v>
      </c>
      <c r="K48" s="49">
        <f>AVERAGE('29.07 URA-Spear Motors'!K48,'30.07 URA-Spear Motors'!K48,'31.07 URA-Spear Motors'!K48,'02.08 URA-Spear Motors'!K48,'01.08 URA-Spear Motors-24h'!K48,'03.08 URA-Spear Motors-24h'!K48,'04.08 URA-Spear Motors'!K48)</f>
        <v>1.2857142857142858</v>
      </c>
      <c r="L48" s="49">
        <f>AVERAGE('29.07 URA-Spear Motors'!L48,'30.07 URA-Spear Motors'!L48,'31.07 URA-Spear Motors'!L48,'02.08 URA-Spear Motors'!L48,'01.08 URA-Spear Motors-24h'!L48,'03.08 URA-Spear Motors-24h'!L48,'04.08 URA-Spear Motors'!L48)</f>
        <v>1.2857142857142858</v>
      </c>
      <c r="M48" s="49">
        <f>AVERAGE('29.07 URA-Spear Motors'!M48,'30.07 URA-Spear Motors'!M48,'31.07 URA-Spear Motors'!M48,'02.08 URA-Spear Motors'!M48,'01.08 URA-Spear Motors-24h'!M48,'03.08 URA-Spear Motors-24h'!M48,'04.08 URA-Spear Motors'!M48)</f>
        <v>76.285714285714292</v>
      </c>
      <c r="N48" s="49">
        <f>AVERAGE('29.07 URA-Spear Motors'!N48,'30.07 URA-Spear Motors'!N48,'31.07 URA-Spear Motors'!N48,'02.08 URA-Spear Motors'!N48,'01.08 URA-Spear Motors-24h'!N48,'03.08 URA-Spear Motors-24h'!N48,'04.08 URA-Spear Motors'!N48)</f>
        <v>0</v>
      </c>
      <c r="O48" s="15">
        <f t="shared" si="0"/>
        <v>69.428571428571445</v>
      </c>
      <c r="P48" s="15">
        <f t="shared" si="1"/>
        <v>145.71428571428572</v>
      </c>
    </row>
    <row r="49" spans="2:20" ht="23.1" customHeight="1" x14ac:dyDescent="0.25">
      <c r="B49" s="23" t="s">
        <v>76</v>
      </c>
      <c r="C49" s="49">
        <f>AVERAGE('29.07 URA-Spear Motors'!C49,'30.07 URA-Spear Motors'!C49,'31.07 URA-Spear Motors'!C49,'02.08 URA-Spear Motors'!C49,'01.08 URA-Spear Motors-24h'!C49,'03.08 URA-Spear Motors-24h'!C49,'04.08 URA-Spear Motors'!C49)</f>
        <v>63.142857142857146</v>
      </c>
      <c r="D49" s="49">
        <f>AVERAGE('29.07 URA-Spear Motors'!D49,'30.07 URA-Spear Motors'!D49,'31.07 URA-Spear Motors'!D49,'02.08 URA-Spear Motors'!D49,'01.08 URA-Spear Motors-24h'!D49,'03.08 URA-Spear Motors-24h'!D49,'04.08 URA-Spear Motors'!D49)</f>
        <v>10.142857142857142</v>
      </c>
      <c r="E49" s="49">
        <f>AVERAGE('29.07 URA-Spear Motors'!E49,'30.07 URA-Spear Motors'!E49,'31.07 URA-Spear Motors'!E49,'02.08 URA-Spear Motors'!E49,'01.08 URA-Spear Motors-24h'!E49,'03.08 URA-Spear Motors-24h'!E49,'04.08 URA-Spear Motors'!E49)</f>
        <v>7.2857142857142856</v>
      </c>
      <c r="F49" s="49">
        <f>AVERAGE('29.07 URA-Spear Motors'!F49,'30.07 URA-Spear Motors'!F49,'31.07 URA-Spear Motors'!F49,'02.08 URA-Spear Motors'!F49,'01.08 URA-Spear Motors-24h'!F49,'03.08 URA-Spear Motors-24h'!F49,'04.08 URA-Spear Motors'!F49)</f>
        <v>5.8571428571428568</v>
      </c>
      <c r="G49" s="49">
        <f>AVERAGE('29.07 URA-Spear Motors'!G49,'30.07 URA-Spear Motors'!G49,'31.07 URA-Spear Motors'!G49,'02.08 URA-Spear Motors'!G49,'01.08 URA-Spear Motors-24h'!G49,'03.08 URA-Spear Motors-24h'!G49,'04.08 URA-Spear Motors'!G49)</f>
        <v>0</v>
      </c>
      <c r="H49" s="49">
        <f>AVERAGE('29.07 URA-Spear Motors'!H49,'30.07 URA-Spear Motors'!H49,'31.07 URA-Spear Motors'!H49,'02.08 URA-Spear Motors'!H49,'01.08 URA-Spear Motors-24h'!H49,'03.08 URA-Spear Motors-24h'!H49,'04.08 URA-Spear Motors'!H49)</f>
        <v>0</v>
      </c>
      <c r="I49" s="49">
        <f>AVERAGE('29.07 URA-Spear Motors'!I49,'30.07 URA-Spear Motors'!I49,'31.07 URA-Spear Motors'!I49,'02.08 URA-Spear Motors'!I49,'01.08 URA-Spear Motors-24h'!I49,'03.08 URA-Spear Motors-24h'!I49,'04.08 URA-Spear Motors'!I49)</f>
        <v>4.5714285714285712</v>
      </c>
      <c r="J49" s="49">
        <f>AVERAGE('29.07 URA-Spear Motors'!J49,'30.07 URA-Spear Motors'!J49,'31.07 URA-Spear Motors'!J49,'02.08 URA-Spear Motors'!J49,'01.08 URA-Spear Motors-24h'!J49,'03.08 URA-Spear Motors-24h'!J49,'04.08 URA-Spear Motors'!J49)</f>
        <v>1</v>
      </c>
      <c r="K49" s="49">
        <f>AVERAGE('29.07 URA-Spear Motors'!K49,'30.07 URA-Spear Motors'!K49,'31.07 URA-Spear Motors'!K49,'02.08 URA-Spear Motors'!K49,'01.08 URA-Spear Motors-24h'!K49,'03.08 URA-Spear Motors-24h'!K49,'04.08 URA-Spear Motors'!K49)</f>
        <v>0.7142857142857143</v>
      </c>
      <c r="L49" s="49">
        <f>AVERAGE('29.07 URA-Spear Motors'!L49,'30.07 URA-Spear Motors'!L49,'31.07 URA-Spear Motors'!L49,'02.08 URA-Spear Motors'!L49,'01.08 URA-Spear Motors-24h'!L49,'03.08 URA-Spear Motors-24h'!L49,'04.08 URA-Spear Motors'!L49)</f>
        <v>0.7142857142857143</v>
      </c>
      <c r="M49" s="49">
        <f>AVERAGE('29.07 URA-Spear Motors'!M49,'30.07 URA-Spear Motors'!M49,'31.07 URA-Spear Motors'!M49,'02.08 URA-Spear Motors'!M49,'01.08 URA-Spear Motors-24h'!M49,'03.08 URA-Spear Motors-24h'!M49,'04.08 URA-Spear Motors'!M49)</f>
        <v>87.428571428571431</v>
      </c>
      <c r="N49" s="49">
        <f>AVERAGE('29.07 URA-Spear Motors'!N49,'30.07 URA-Spear Motors'!N49,'31.07 URA-Spear Motors'!N49,'02.08 URA-Spear Motors'!N49,'01.08 URA-Spear Motors-24h'!N49,'03.08 URA-Spear Motors-24h'!N49,'04.08 URA-Spear Motors'!N49)</f>
        <v>0</v>
      </c>
      <c r="O49" s="15">
        <f t="shared" si="0"/>
        <v>93.428571428571431</v>
      </c>
      <c r="P49" s="15">
        <f t="shared" si="1"/>
        <v>180.85714285714286</v>
      </c>
    </row>
    <row r="50" spans="2:20" ht="23.1" customHeight="1" x14ac:dyDescent="0.25">
      <c r="B50" s="24" t="s">
        <v>77</v>
      </c>
      <c r="C50" s="49">
        <f>AVERAGE('29.07 URA-Spear Motors'!C50,'30.07 URA-Spear Motors'!C50,'31.07 URA-Spear Motors'!C50,'02.08 URA-Spear Motors'!C50,'01.08 URA-Spear Motors-24h'!C50,'03.08 URA-Spear Motors-24h'!C50,'04.08 URA-Spear Motors'!C50)</f>
        <v>52</v>
      </c>
      <c r="D50" s="49">
        <f>AVERAGE('29.07 URA-Spear Motors'!D50,'30.07 URA-Spear Motors'!D50,'31.07 URA-Spear Motors'!D50,'02.08 URA-Spear Motors'!D50,'01.08 URA-Spear Motors-24h'!D50,'03.08 URA-Spear Motors-24h'!D50,'04.08 URA-Spear Motors'!D50)</f>
        <v>6.8571428571428568</v>
      </c>
      <c r="E50" s="49">
        <f>AVERAGE('29.07 URA-Spear Motors'!E50,'30.07 URA-Spear Motors'!E50,'31.07 URA-Spear Motors'!E50,'02.08 URA-Spear Motors'!E50,'01.08 URA-Spear Motors-24h'!E50,'03.08 URA-Spear Motors-24h'!E50,'04.08 URA-Spear Motors'!E50)</f>
        <v>5.7142857142857144</v>
      </c>
      <c r="F50" s="49">
        <f>AVERAGE('29.07 URA-Spear Motors'!F50,'30.07 URA-Spear Motors'!F50,'31.07 URA-Spear Motors'!F50,'02.08 URA-Spear Motors'!F50,'01.08 URA-Spear Motors-24h'!F50,'03.08 URA-Spear Motors-24h'!F50,'04.08 URA-Spear Motors'!F50)</f>
        <v>5.7142857142857144</v>
      </c>
      <c r="G50" s="49">
        <f>AVERAGE('29.07 URA-Spear Motors'!G50,'30.07 URA-Spear Motors'!G50,'31.07 URA-Spear Motors'!G50,'02.08 URA-Spear Motors'!G50,'01.08 URA-Spear Motors-24h'!G50,'03.08 URA-Spear Motors-24h'!G50,'04.08 URA-Spear Motors'!G50)</f>
        <v>3.7142857142857144</v>
      </c>
      <c r="H50" s="49">
        <f>AVERAGE('29.07 URA-Spear Motors'!H50,'30.07 URA-Spear Motors'!H50,'31.07 URA-Spear Motors'!H50,'02.08 URA-Spear Motors'!H50,'01.08 URA-Spear Motors-24h'!H50,'03.08 URA-Spear Motors-24h'!H50,'04.08 URA-Spear Motors'!H50)</f>
        <v>0.5714285714285714</v>
      </c>
      <c r="I50" s="49">
        <f>AVERAGE('29.07 URA-Spear Motors'!I50,'30.07 URA-Spear Motors'!I50,'31.07 URA-Spear Motors'!I50,'02.08 URA-Spear Motors'!I50,'01.08 URA-Spear Motors-24h'!I50,'03.08 URA-Spear Motors-24h'!I50,'04.08 URA-Spear Motors'!I50)</f>
        <v>2.7142857142857144</v>
      </c>
      <c r="J50" s="49">
        <f>AVERAGE('29.07 URA-Spear Motors'!J50,'30.07 URA-Spear Motors'!J50,'31.07 URA-Spear Motors'!J50,'02.08 URA-Spear Motors'!J50,'01.08 URA-Spear Motors-24h'!J50,'03.08 URA-Spear Motors-24h'!J50,'04.08 URA-Spear Motors'!J50)</f>
        <v>2.4285714285714284</v>
      </c>
      <c r="K50" s="49">
        <f>AVERAGE('29.07 URA-Spear Motors'!K50,'30.07 URA-Spear Motors'!K50,'31.07 URA-Spear Motors'!K50,'02.08 URA-Spear Motors'!K50,'01.08 URA-Spear Motors-24h'!K50,'03.08 URA-Spear Motors-24h'!K50,'04.08 URA-Spear Motors'!K50)</f>
        <v>0.14285714285714285</v>
      </c>
      <c r="L50" s="49">
        <f>AVERAGE('29.07 URA-Spear Motors'!L50,'30.07 URA-Spear Motors'!L50,'31.07 URA-Spear Motors'!L50,'02.08 URA-Spear Motors'!L50,'01.08 URA-Spear Motors-24h'!L50,'03.08 URA-Spear Motors-24h'!L50,'04.08 URA-Spear Motors'!L50)</f>
        <v>0.42857142857142855</v>
      </c>
      <c r="M50" s="49">
        <f>AVERAGE('29.07 URA-Spear Motors'!M50,'30.07 URA-Spear Motors'!M50,'31.07 URA-Spear Motors'!M50,'02.08 URA-Spear Motors'!M50,'01.08 URA-Spear Motors-24h'!M50,'03.08 URA-Spear Motors-24h'!M50,'04.08 URA-Spear Motors'!M50)</f>
        <v>63.857142857142854</v>
      </c>
      <c r="N50" s="49">
        <f>AVERAGE('29.07 URA-Spear Motors'!N50,'30.07 URA-Spear Motors'!N50,'31.07 URA-Spear Motors'!N50,'02.08 URA-Spear Motors'!N50,'01.08 URA-Spear Motors-24h'!N50,'03.08 URA-Spear Motors-24h'!N50,'04.08 URA-Spear Motors'!N50)</f>
        <v>0</v>
      </c>
      <c r="O50" s="15">
        <f t="shared" si="0"/>
        <v>80.285714285714263</v>
      </c>
      <c r="P50" s="15">
        <f t="shared" si="1"/>
        <v>144.14285714285711</v>
      </c>
    </row>
    <row r="51" spans="2:20" ht="23.1" customHeight="1" x14ac:dyDescent="0.25">
      <c r="B51" s="24" t="s">
        <v>78</v>
      </c>
      <c r="C51" s="49">
        <f>AVERAGE('29.07 URA-Spear Motors'!C51,'30.07 URA-Spear Motors'!C51,'31.07 URA-Spear Motors'!C51,'02.08 URA-Spear Motors'!C51,'01.08 URA-Spear Motors-24h'!C51,'03.08 URA-Spear Motors-24h'!C51,'04.08 URA-Spear Motors'!C51)</f>
        <v>81.857142857142861</v>
      </c>
      <c r="D51" s="49">
        <f>AVERAGE('29.07 URA-Spear Motors'!D51,'30.07 URA-Spear Motors'!D51,'31.07 URA-Spear Motors'!D51,'02.08 URA-Spear Motors'!D51,'01.08 URA-Spear Motors-24h'!D51,'03.08 URA-Spear Motors-24h'!D51,'04.08 URA-Spear Motors'!D51)</f>
        <v>11.285714285714286</v>
      </c>
      <c r="E51" s="49">
        <f>AVERAGE('29.07 URA-Spear Motors'!E51,'30.07 URA-Spear Motors'!E51,'31.07 URA-Spear Motors'!E51,'02.08 URA-Spear Motors'!E51,'01.08 URA-Spear Motors-24h'!E51,'03.08 URA-Spear Motors-24h'!E51,'04.08 URA-Spear Motors'!E51)</f>
        <v>9.7142857142857135</v>
      </c>
      <c r="F51" s="49">
        <f>AVERAGE('29.07 URA-Spear Motors'!F51,'30.07 URA-Spear Motors'!F51,'31.07 URA-Spear Motors'!F51,'02.08 URA-Spear Motors'!F51,'01.08 URA-Spear Motors-24h'!F51,'03.08 URA-Spear Motors-24h'!F51,'04.08 URA-Spear Motors'!F51)</f>
        <v>7</v>
      </c>
      <c r="G51" s="49">
        <f>AVERAGE('29.07 URA-Spear Motors'!G51,'30.07 URA-Spear Motors'!G51,'31.07 URA-Spear Motors'!G51,'02.08 URA-Spear Motors'!G51,'01.08 URA-Spear Motors-24h'!G51,'03.08 URA-Spear Motors-24h'!G51,'04.08 URA-Spear Motors'!G51)</f>
        <v>0.7142857142857143</v>
      </c>
      <c r="H51" s="49">
        <f>AVERAGE('29.07 URA-Spear Motors'!H51,'30.07 URA-Spear Motors'!H51,'31.07 URA-Spear Motors'!H51,'02.08 URA-Spear Motors'!H51,'01.08 URA-Spear Motors-24h'!H51,'03.08 URA-Spear Motors-24h'!H51,'04.08 URA-Spear Motors'!H51)</f>
        <v>0</v>
      </c>
      <c r="I51" s="49">
        <f>AVERAGE('29.07 URA-Spear Motors'!I51,'30.07 URA-Spear Motors'!I51,'31.07 URA-Spear Motors'!I51,'02.08 URA-Spear Motors'!I51,'01.08 URA-Spear Motors-24h'!I51,'03.08 URA-Spear Motors-24h'!I51,'04.08 URA-Spear Motors'!I51)</f>
        <v>4.1428571428571432</v>
      </c>
      <c r="J51" s="49">
        <f>AVERAGE('29.07 URA-Spear Motors'!J51,'30.07 URA-Spear Motors'!J51,'31.07 URA-Spear Motors'!J51,'02.08 URA-Spear Motors'!J51,'01.08 URA-Spear Motors-24h'!J51,'03.08 URA-Spear Motors-24h'!J51,'04.08 URA-Spear Motors'!J51)</f>
        <v>1.7142857142857142</v>
      </c>
      <c r="K51" s="49">
        <f>AVERAGE('29.07 URA-Spear Motors'!K51,'30.07 URA-Spear Motors'!K51,'31.07 URA-Spear Motors'!K51,'02.08 URA-Spear Motors'!K51,'01.08 URA-Spear Motors-24h'!K51,'03.08 URA-Spear Motors-24h'!K51,'04.08 URA-Spear Motors'!K51)</f>
        <v>1.1428571428571428</v>
      </c>
      <c r="L51" s="49">
        <f>AVERAGE('29.07 URA-Spear Motors'!L51,'30.07 URA-Spear Motors'!L51,'31.07 URA-Spear Motors'!L51,'02.08 URA-Spear Motors'!L51,'01.08 URA-Spear Motors-24h'!L51,'03.08 URA-Spear Motors-24h'!L51,'04.08 URA-Spear Motors'!L51)</f>
        <v>1.8571428571428572</v>
      </c>
      <c r="M51" s="49">
        <f>AVERAGE('29.07 URA-Spear Motors'!M51,'30.07 URA-Spear Motors'!M51,'31.07 URA-Spear Motors'!M51,'02.08 URA-Spear Motors'!M51,'01.08 URA-Spear Motors-24h'!M51,'03.08 URA-Spear Motors-24h'!M51,'04.08 URA-Spear Motors'!M51)</f>
        <v>85</v>
      </c>
      <c r="N51" s="49">
        <f>AVERAGE('29.07 URA-Spear Motors'!N51,'30.07 URA-Spear Motors'!N51,'31.07 URA-Spear Motors'!N51,'02.08 URA-Spear Motors'!N51,'01.08 URA-Spear Motors-24h'!N51,'03.08 URA-Spear Motors-24h'!N51,'04.08 URA-Spear Motors'!N51)</f>
        <v>0</v>
      </c>
      <c r="O51" s="15">
        <f t="shared" si="0"/>
        <v>119.42857142857142</v>
      </c>
      <c r="P51" s="15">
        <f t="shared" si="1"/>
        <v>204.42857142857142</v>
      </c>
    </row>
    <row r="52" spans="2:20" ht="23.1" customHeight="1" x14ac:dyDescent="0.25">
      <c r="B52" s="24" t="s">
        <v>79</v>
      </c>
      <c r="C52" s="49">
        <f>AVERAGE('29.07 URA-Spear Motors'!C52,'30.07 URA-Spear Motors'!C52,'31.07 URA-Spear Motors'!C52,'02.08 URA-Spear Motors'!C52,'01.08 URA-Spear Motors-24h'!C52,'03.08 URA-Spear Motors-24h'!C52,'04.08 URA-Spear Motors'!C52)</f>
        <v>59.285714285714285</v>
      </c>
      <c r="D52" s="49">
        <f>AVERAGE('29.07 URA-Spear Motors'!D52,'30.07 URA-Spear Motors'!D52,'31.07 URA-Spear Motors'!D52,'02.08 URA-Spear Motors'!D52,'01.08 URA-Spear Motors-24h'!D52,'03.08 URA-Spear Motors-24h'!D52,'04.08 URA-Spear Motors'!D52)</f>
        <v>8.1428571428571423</v>
      </c>
      <c r="E52" s="49">
        <f>AVERAGE('29.07 URA-Spear Motors'!E52,'30.07 URA-Spear Motors'!E52,'31.07 URA-Spear Motors'!E52,'02.08 URA-Spear Motors'!E52,'01.08 URA-Spear Motors-24h'!E52,'03.08 URA-Spear Motors-24h'!E52,'04.08 URA-Spear Motors'!E52)</f>
        <v>5.2857142857142856</v>
      </c>
      <c r="F52" s="49">
        <f>AVERAGE('29.07 URA-Spear Motors'!F52,'30.07 URA-Spear Motors'!F52,'31.07 URA-Spear Motors'!F52,'02.08 URA-Spear Motors'!F52,'01.08 URA-Spear Motors-24h'!F52,'03.08 URA-Spear Motors-24h'!F52,'04.08 URA-Spear Motors'!F52)</f>
        <v>5</v>
      </c>
      <c r="G52" s="49">
        <f>AVERAGE('29.07 URA-Spear Motors'!G52,'30.07 URA-Spear Motors'!G52,'31.07 URA-Spear Motors'!G52,'02.08 URA-Spear Motors'!G52,'01.08 URA-Spear Motors-24h'!G52,'03.08 URA-Spear Motors-24h'!G52,'04.08 URA-Spear Motors'!G52)</f>
        <v>0</v>
      </c>
      <c r="H52" s="49">
        <f>AVERAGE('29.07 URA-Spear Motors'!H52,'30.07 URA-Spear Motors'!H52,'31.07 URA-Spear Motors'!H52,'02.08 URA-Spear Motors'!H52,'01.08 URA-Spear Motors-24h'!H52,'03.08 URA-Spear Motors-24h'!H52,'04.08 URA-Spear Motors'!H52)</f>
        <v>0</v>
      </c>
      <c r="I52" s="49">
        <f>AVERAGE('29.07 URA-Spear Motors'!I52,'30.07 URA-Spear Motors'!I52,'31.07 URA-Spear Motors'!I52,'02.08 URA-Spear Motors'!I52,'01.08 URA-Spear Motors-24h'!I52,'03.08 URA-Spear Motors-24h'!I52,'04.08 URA-Spear Motors'!I52)</f>
        <v>1.4285714285714286</v>
      </c>
      <c r="J52" s="49">
        <f>AVERAGE('29.07 URA-Spear Motors'!J52,'30.07 URA-Spear Motors'!J52,'31.07 URA-Spear Motors'!J52,'02.08 URA-Spear Motors'!J52,'01.08 URA-Spear Motors-24h'!J52,'03.08 URA-Spear Motors-24h'!J52,'04.08 URA-Spear Motors'!J52)</f>
        <v>1</v>
      </c>
      <c r="K52" s="49">
        <f>AVERAGE('29.07 URA-Spear Motors'!K52,'30.07 URA-Spear Motors'!K52,'31.07 URA-Spear Motors'!K52,'02.08 URA-Spear Motors'!K52,'01.08 URA-Spear Motors-24h'!K52,'03.08 URA-Spear Motors-24h'!K52,'04.08 URA-Spear Motors'!K52)</f>
        <v>0.14285714285714285</v>
      </c>
      <c r="L52" s="49">
        <f>AVERAGE('29.07 URA-Spear Motors'!L52,'30.07 URA-Spear Motors'!L52,'31.07 URA-Spear Motors'!L52,'02.08 URA-Spear Motors'!L52,'01.08 URA-Spear Motors-24h'!L52,'03.08 URA-Spear Motors-24h'!L52,'04.08 URA-Spear Motors'!L52)</f>
        <v>0.2857142857142857</v>
      </c>
      <c r="M52" s="49">
        <f>AVERAGE('29.07 URA-Spear Motors'!M52,'30.07 URA-Spear Motors'!M52,'31.07 URA-Spear Motors'!M52,'02.08 URA-Spear Motors'!M52,'01.08 URA-Spear Motors-24h'!M52,'03.08 URA-Spear Motors-24h'!M52,'04.08 URA-Spear Motors'!M52)</f>
        <v>76.857142857142861</v>
      </c>
      <c r="N52" s="49">
        <f>AVERAGE('29.07 URA-Spear Motors'!N52,'30.07 URA-Spear Motors'!N52,'31.07 URA-Spear Motors'!N52,'02.08 URA-Spear Motors'!N52,'01.08 URA-Spear Motors-24h'!N52,'03.08 URA-Spear Motors-24h'!N52,'04.08 URA-Spear Motors'!N52)</f>
        <v>0</v>
      </c>
      <c r="O52" s="15">
        <f t="shared" si="0"/>
        <v>80.571428571428584</v>
      </c>
      <c r="P52" s="15">
        <f t="shared" si="1"/>
        <v>157.42857142857144</v>
      </c>
    </row>
    <row r="53" spans="2:20" ht="23.1" customHeight="1" x14ac:dyDescent="0.25">
      <c r="B53" s="23" t="s">
        <v>80</v>
      </c>
      <c r="C53" s="49">
        <f>AVERAGE('29.07 URA-Spear Motors'!C53,'30.07 URA-Spear Motors'!C53,'31.07 URA-Spear Motors'!C53,'02.08 URA-Spear Motors'!C53,'01.08 URA-Spear Motors-24h'!C53,'03.08 URA-Spear Motors-24h'!C53,'04.08 URA-Spear Motors'!C53)</f>
        <v>97.142857142857139</v>
      </c>
      <c r="D53" s="49">
        <f>AVERAGE('29.07 URA-Spear Motors'!D53,'30.07 URA-Spear Motors'!D53,'31.07 URA-Spear Motors'!D53,'02.08 URA-Spear Motors'!D53,'01.08 URA-Spear Motors-24h'!D53,'03.08 URA-Spear Motors-24h'!D53,'04.08 URA-Spear Motors'!D53)</f>
        <v>9.7142857142857135</v>
      </c>
      <c r="E53" s="49">
        <f>AVERAGE('29.07 URA-Spear Motors'!E53,'30.07 URA-Spear Motors'!E53,'31.07 URA-Spear Motors'!E53,'02.08 URA-Spear Motors'!E53,'01.08 URA-Spear Motors-24h'!E53,'03.08 URA-Spear Motors-24h'!E53,'04.08 URA-Spear Motors'!E53)</f>
        <v>7</v>
      </c>
      <c r="F53" s="49">
        <f>AVERAGE('29.07 URA-Spear Motors'!F53,'30.07 URA-Spear Motors'!F53,'31.07 URA-Spear Motors'!F53,'02.08 URA-Spear Motors'!F53,'01.08 URA-Spear Motors-24h'!F53,'03.08 URA-Spear Motors-24h'!F53,'04.08 URA-Spear Motors'!F53)</f>
        <v>6.7142857142857144</v>
      </c>
      <c r="G53" s="49">
        <f>AVERAGE('29.07 URA-Spear Motors'!G53,'30.07 URA-Spear Motors'!G53,'31.07 URA-Spear Motors'!G53,'02.08 URA-Spear Motors'!G53,'01.08 URA-Spear Motors-24h'!G53,'03.08 URA-Spear Motors-24h'!G53,'04.08 URA-Spear Motors'!G53)</f>
        <v>0.2857142857142857</v>
      </c>
      <c r="H53" s="49">
        <f>AVERAGE('29.07 URA-Spear Motors'!H53,'30.07 URA-Spear Motors'!H53,'31.07 URA-Spear Motors'!H53,'02.08 URA-Spear Motors'!H53,'01.08 URA-Spear Motors-24h'!H53,'03.08 URA-Spear Motors-24h'!H53,'04.08 URA-Spear Motors'!H53)</f>
        <v>0</v>
      </c>
      <c r="I53" s="49">
        <f>AVERAGE('29.07 URA-Spear Motors'!I53,'30.07 URA-Spear Motors'!I53,'31.07 URA-Spear Motors'!I53,'02.08 URA-Spear Motors'!I53,'01.08 URA-Spear Motors-24h'!I53,'03.08 URA-Spear Motors-24h'!I53,'04.08 URA-Spear Motors'!I53)</f>
        <v>3</v>
      </c>
      <c r="J53" s="49">
        <f>AVERAGE('29.07 URA-Spear Motors'!J53,'30.07 URA-Spear Motors'!J53,'31.07 URA-Spear Motors'!J53,'02.08 URA-Spear Motors'!J53,'01.08 URA-Spear Motors-24h'!J53,'03.08 URA-Spear Motors-24h'!J53,'04.08 URA-Spear Motors'!J53)</f>
        <v>2.8571428571428572</v>
      </c>
      <c r="K53" s="49">
        <f>AVERAGE('29.07 URA-Spear Motors'!K53,'30.07 URA-Spear Motors'!K53,'31.07 URA-Spear Motors'!K53,'02.08 URA-Spear Motors'!K53,'01.08 URA-Spear Motors-24h'!K53,'03.08 URA-Spear Motors-24h'!K53,'04.08 URA-Spear Motors'!K53)</f>
        <v>1</v>
      </c>
      <c r="L53" s="49">
        <f>AVERAGE('29.07 URA-Spear Motors'!L53,'30.07 URA-Spear Motors'!L53,'31.07 URA-Spear Motors'!L53,'02.08 URA-Spear Motors'!L53,'01.08 URA-Spear Motors-24h'!L53,'03.08 URA-Spear Motors-24h'!L53,'04.08 URA-Spear Motors'!L53)</f>
        <v>0.5714285714285714</v>
      </c>
      <c r="M53" s="49">
        <f>AVERAGE('29.07 URA-Spear Motors'!M53,'30.07 URA-Spear Motors'!M53,'31.07 URA-Spear Motors'!M53,'02.08 URA-Spear Motors'!M53,'01.08 URA-Spear Motors-24h'!M53,'03.08 URA-Spear Motors-24h'!M53,'04.08 URA-Spear Motors'!M53)</f>
        <v>77</v>
      </c>
      <c r="N53" s="49">
        <f>AVERAGE('29.07 URA-Spear Motors'!N53,'30.07 URA-Spear Motors'!N53,'31.07 URA-Spear Motors'!N53,'02.08 URA-Spear Motors'!N53,'01.08 URA-Spear Motors-24h'!N53,'03.08 URA-Spear Motors-24h'!N53,'04.08 URA-Spear Motors'!N53)</f>
        <v>0</v>
      </c>
      <c r="O53" s="15">
        <f t="shared" si="0"/>
        <v>128.28571428571428</v>
      </c>
      <c r="P53" s="15">
        <f t="shared" si="1"/>
        <v>205.28571428571428</v>
      </c>
    </row>
    <row r="54" spans="2:20" ht="23.1" customHeight="1" x14ac:dyDescent="0.25">
      <c r="B54" s="23" t="s">
        <v>81</v>
      </c>
      <c r="C54" s="49">
        <f>AVERAGE('29.07 URA-Spear Motors'!C54,'30.07 URA-Spear Motors'!C54,'31.07 URA-Spear Motors'!C54,'02.08 URA-Spear Motors'!C54,'01.08 URA-Spear Motors-24h'!C54,'03.08 URA-Spear Motors-24h'!C54,'04.08 URA-Spear Motors'!C54)</f>
        <v>55.285714285714285</v>
      </c>
      <c r="D54" s="49">
        <f>AVERAGE('29.07 URA-Spear Motors'!D54,'30.07 URA-Spear Motors'!D54,'31.07 URA-Spear Motors'!D54,'02.08 URA-Spear Motors'!D54,'01.08 URA-Spear Motors-24h'!D54,'03.08 URA-Spear Motors-24h'!D54,'04.08 URA-Spear Motors'!D54)</f>
        <v>7.4285714285714288</v>
      </c>
      <c r="E54" s="49">
        <f>AVERAGE('29.07 URA-Spear Motors'!E54,'30.07 URA-Spear Motors'!E54,'31.07 URA-Spear Motors'!E54,'02.08 URA-Spear Motors'!E54,'01.08 URA-Spear Motors-24h'!E54,'03.08 URA-Spear Motors-24h'!E54,'04.08 URA-Spear Motors'!E54)</f>
        <v>4.5714285714285712</v>
      </c>
      <c r="F54" s="49">
        <f>AVERAGE('29.07 URA-Spear Motors'!F54,'30.07 URA-Spear Motors'!F54,'31.07 URA-Spear Motors'!F54,'02.08 URA-Spear Motors'!F54,'01.08 URA-Spear Motors-24h'!F54,'03.08 URA-Spear Motors-24h'!F54,'04.08 URA-Spear Motors'!F54)</f>
        <v>5.2857142857142856</v>
      </c>
      <c r="G54" s="49">
        <f>AVERAGE('29.07 URA-Spear Motors'!G54,'30.07 URA-Spear Motors'!G54,'31.07 URA-Spear Motors'!G54,'02.08 URA-Spear Motors'!G54,'01.08 URA-Spear Motors-24h'!G54,'03.08 URA-Spear Motors-24h'!G54,'04.08 URA-Spear Motors'!G54)</f>
        <v>0.14285714285714285</v>
      </c>
      <c r="H54" s="49">
        <f>AVERAGE('29.07 URA-Spear Motors'!H54,'30.07 URA-Spear Motors'!H54,'31.07 URA-Spear Motors'!H54,'02.08 URA-Spear Motors'!H54,'01.08 URA-Spear Motors-24h'!H54,'03.08 URA-Spear Motors-24h'!H54,'04.08 URA-Spear Motors'!H54)</f>
        <v>0</v>
      </c>
      <c r="I54" s="49">
        <f>AVERAGE('29.07 URA-Spear Motors'!I54,'30.07 URA-Spear Motors'!I54,'31.07 URA-Spear Motors'!I54,'02.08 URA-Spear Motors'!I54,'01.08 URA-Spear Motors-24h'!I54,'03.08 URA-Spear Motors-24h'!I54,'04.08 URA-Spear Motors'!I54)</f>
        <v>3.7142857142857144</v>
      </c>
      <c r="J54" s="49">
        <f>AVERAGE('29.07 URA-Spear Motors'!J54,'30.07 URA-Spear Motors'!J54,'31.07 URA-Spear Motors'!J54,'02.08 URA-Spear Motors'!J54,'01.08 URA-Spear Motors-24h'!J54,'03.08 URA-Spear Motors-24h'!J54,'04.08 URA-Spear Motors'!J54)</f>
        <v>1.5714285714285714</v>
      </c>
      <c r="K54" s="49">
        <f>AVERAGE('29.07 URA-Spear Motors'!K54,'30.07 URA-Spear Motors'!K54,'31.07 URA-Spear Motors'!K54,'02.08 URA-Spear Motors'!K54,'01.08 URA-Spear Motors-24h'!K54,'03.08 URA-Spear Motors-24h'!K54,'04.08 URA-Spear Motors'!K54)</f>
        <v>0.5714285714285714</v>
      </c>
      <c r="L54" s="49">
        <f>AVERAGE('29.07 URA-Spear Motors'!L54,'30.07 URA-Spear Motors'!L54,'31.07 URA-Spear Motors'!L54,'02.08 URA-Spear Motors'!L54,'01.08 URA-Spear Motors-24h'!L54,'03.08 URA-Spear Motors-24h'!L54,'04.08 URA-Spear Motors'!L54)</f>
        <v>0.42857142857142855</v>
      </c>
      <c r="M54" s="49">
        <f>AVERAGE('29.07 URA-Spear Motors'!M54,'30.07 URA-Spear Motors'!M54,'31.07 URA-Spear Motors'!M54,'02.08 URA-Spear Motors'!M54,'01.08 URA-Spear Motors-24h'!M54,'03.08 URA-Spear Motors-24h'!M54,'04.08 URA-Spear Motors'!M54)</f>
        <v>64.571428571428569</v>
      </c>
      <c r="N54" s="49">
        <f>AVERAGE('29.07 URA-Spear Motors'!N54,'30.07 URA-Spear Motors'!N54,'31.07 URA-Spear Motors'!N54,'02.08 URA-Spear Motors'!N54,'01.08 URA-Spear Motors-24h'!N54,'03.08 URA-Spear Motors-24h'!N54,'04.08 URA-Spear Motors'!N54)</f>
        <v>0.14285714285714285</v>
      </c>
      <c r="O54" s="15">
        <f t="shared" si="0"/>
        <v>79.142857142857139</v>
      </c>
      <c r="P54" s="15">
        <f t="shared" si="1"/>
        <v>143.71428571428569</v>
      </c>
    </row>
    <row r="55" spans="2:20" ht="23.1" customHeight="1" x14ac:dyDescent="0.25">
      <c r="B55" s="23" t="s">
        <v>82</v>
      </c>
      <c r="C55" s="49">
        <f>AVERAGE('29.07 URA-Spear Motors'!C55,'30.07 URA-Spear Motors'!C55,'31.07 URA-Spear Motors'!C55,'02.08 URA-Spear Motors'!C55,'01.08 URA-Spear Motors-24h'!C55,'03.08 URA-Spear Motors-24h'!C55,'04.08 URA-Spear Motors'!C55)</f>
        <v>60.571428571428569</v>
      </c>
      <c r="D55" s="49">
        <f>AVERAGE('29.07 URA-Spear Motors'!D55,'30.07 URA-Spear Motors'!D55,'31.07 URA-Spear Motors'!D55,'02.08 URA-Spear Motors'!D55,'01.08 URA-Spear Motors-24h'!D55,'03.08 URA-Spear Motors-24h'!D55,'04.08 URA-Spear Motors'!D55)</f>
        <v>9.8571428571428577</v>
      </c>
      <c r="E55" s="49">
        <f>AVERAGE('29.07 URA-Spear Motors'!E55,'30.07 URA-Spear Motors'!E55,'31.07 URA-Spear Motors'!E55,'02.08 URA-Spear Motors'!E55,'01.08 URA-Spear Motors-24h'!E55,'03.08 URA-Spear Motors-24h'!E55,'04.08 URA-Spear Motors'!E55)</f>
        <v>5.1428571428571432</v>
      </c>
      <c r="F55" s="49">
        <f>AVERAGE('29.07 URA-Spear Motors'!F55,'30.07 URA-Spear Motors'!F55,'31.07 URA-Spear Motors'!F55,'02.08 URA-Spear Motors'!F55,'01.08 URA-Spear Motors-24h'!F55,'03.08 URA-Spear Motors-24h'!F55,'04.08 URA-Spear Motors'!F55)</f>
        <v>7.8571428571428568</v>
      </c>
      <c r="G55" s="49">
        <f>AVERAGE('29.07 URA-Spear Motors'!G55,'30.07 URA-Spear Motors'!G55,'31.07 URA-Spear Motors'!G55,'02.08 URA-Spear Motors'!G55,'01.08 URA-Spear Motors-24h'!G55,'03.08 URA-Spear Motors-24h'!G55,'04.08 URA-Spear Motors'!G55)</f>
        <v>0.7142857142857143</v>
      </c>
      <c r="H55" s="49">
        <f>AVERAGE('29.07 URA-Spear Motors'!H55,'30.07 URA-Spear Motors'!H55,'31.07 URA-Spear Motors'!H55,'02.08 URA-Spear Motors'!H55,'01.08 URA-Spear Motors-24h'!H55,'03.08 URA-Spear Motors-24h'!H55,'04.08 URA-Spear Motors'!H55)</f>
        <v>0</v>
      </c>
      <c r="I55" s="49">
        <f>AVERAGE('29.07 URA-Spear Motors'!I55,'30.07 URA-Spear Motors'!I55,'31.07 URA-Spear Motors'!I55,'02.08 URA-Spear Motors'!I55,'01.08 URA-Spear Motors-24h'!I55,'03.08 URA-Spear Motors-24h'!I55,'04.08 URA-Spear Motors'!I55)</f>
        <v>3.8571428571428572</v>
      </c>
      <c r="J55" s="49">
        <f>AVERAGE('29.07 URA-Spear Motors'!J55,'30.07 URA-Spear Motors'!J55,'31.07 URA-Spear Motors'!J55,'02.08 URA-Spear Motors'!J55,'01.08 URA-Spear Motors-24h'!J55,'03.08 URA-Spear Motors-24h'!J55,'04.08 URA-Spear Motors'!J55)</f>
        <v>1.1428571428571428</v>
      </c>
      <c r="K55" s="49">
        <f>AVERAGE('29.07 URA-Spear Motors'!K55,'30.07 URA-Spear Motors'!K55,'31.07 URA-Spear Motors'!K55,'02.08 URA-Spear Motors'!K55,'01.08 URA-Spear Motors-24h'!K55,'03.08 URA-Spear Motors-24h'!K55,'04.08 URA-Spear Motors'!K55)</f>
        <v>0.2857142857142857</v>
      </c>
      <c r="L55" s="49">
        <f>AVERAGE('29.07 URA-Spear Motors'!L55,'30.07 URA-Spear Motors'!L55,'31.07 URA-Spear Motors'!L55,'02.08 URA-Spear Motors'!L55,'01.08 URA-Spear Motors-24h'!L55,'03.08 URA-Spear Motors-24h'!L55,'04.08 URA-Spear Motors'!L55)</f>
        <v>0.2857142857142857</v>
      </c>
      <c r="M55" s="49">
        <f>AVERAGE('29.07 URA-Spear Motors'!M55,'30.07 URA-Spear Motors'!M55,'31.07 URA-Spear Motors'!M55,'02.08 URA-Spear Motors'!M55,'01.08 URA-Spear Motors-24h'!M55,'03.08 URA-Spear Motors-24h'!M55,'04.08 URA-Spear Motors'!M55)</f>
        <v>64.285714285714292</v>
      </c>
      <c r="N55" s="49">
        <f>AVERAGE('29.07 URA-Spear Motors'!N55,'30.07 URA-Spear Motors'!N55,'31.07 URA-Spear Motors'!N55,'02.08 URA-Spear Motors'!N55,'01.08 URA-Spear Motors-24h'!N55,'03.08 URA-Spear Motors-24h'!N55,'04.08 URA-Spear Motors'!N55)</f>
        <v>0</v>
      </c>
      <c r="O55" s="15">
        <f t="shared" si="0"/>
        <v>89.714285714285722</v>
      </c>
      <c r="P55" s="15">
        <f t="shared" si="1"/>
        <v>154</v>
      </c>
    </row>
    <row r="56" spans="2:20" ht="23.1" customHeight="1" x14ac:dyDescent="0.25">
      <c r="B56" s="23" t="s">
        <v>83</v>
      </c>
      <c r="C56" s="49">
        <f>AVERAGE('29.07 URA-Spear Motors'!C56,'30.07 URA-Spear Motors'!C56,'31.07 URA-Spear Motors'!C56,'02.08 URA-Spear Motors'!C56,'01.08 URA-Spear Motors-24h'!C56,'03.08 URA-Spear Motors-24h'!C56,'04.08 URA-Spear Motors'!C56)</f>
        <v>33.428571428571431</v>
      </c>
      <c r="D56" s="49">
        <f>AVERAGE('29.07 URA-Spear Motors'!D56,'30.07 URA-Spear Motors'!D56,'31.07 URA-Spear Motors'!D56,'02.08 URA-Spear Motors'!D56,'01.08 URA-Spear Motors-24h'!D56,'03.08 URA-Spear Motors-24h'!D56,'04.08 URA-Spear Motors'!D56)</f>
        <v>6</v>
      </c>
      <c r="E56" s="49">
        <f>AVERAGE('29.07 URA-Spear Motors'!E56,'30.07 URA-Spear Motors'!E56,'31.07 URA-Spear Motors'!E56,'02.08 URA-Spear Motors'!E56,'01.08 URA-Spear Motors-24h'!E56,'03.08 URA-Spear Motors-24h'!E56,'04.08 URA-Spear Motors'!E56)</f>
        <v>3.8571428571428572</v>
      </c>
      <c r="F56" s="49">
        <f>AVERAGE('29.07 URA-Spear Motors'!F56,'30.07 URA-Spear Motors'!F56,'31.07 URA-Spear Motors'!F56,'02.08 URA-Spear Motors'!F56,'01.08 URA-Spear Motors-24h'!F56,'03.08 URA-Spear Motors-24h'!F56,'04.08 URA-Spear Motors'!F56)</f>
        <v>7.1428571428571432</v>
      </c>
      <c r="G56" s="49">
        <f>AVERAGE('29.07 URA-Spear Motors'!G56,'30.07 URA-Spear Motors'!G56,'31.07 URA-Spear Motors'!G56,'02.08 URA-Spear Motors'!G56,'01.08 URA-Spear Motors-24h'!G56,'03.08 URA-Spear Motors-24h'!G56,'04.08 URA-Spear Motors'!G56)</f>
        <v>0.5714285714285714</v>
      </c>
      <c r="H56" s="49">
        <f>AVERAGE('29.07 URA-Spear Motors'!H56,'30.07 URA-Spear Motors'!H56,'31.07 URA-Spear Motors'!H56,'02.08 URA-Spear Motors'!H56,'01.08 URA-Spear Motors-24h'!H56,'03.08 URA-Spear Motors-24h'!H56,'04.08 URA-Spear Motors'!H56)</f>
        <v>0.14285714285714285</v>
      </c>
      <c r="I56" s="49">
        <f>AVERAGE('29.07 URA-Spear Motors'!I56,'30.07 URA-Spear Motors'!I56,'31.07 URA-Spear Motors'!I56,'02.08 URA-Spear Motors'!I56,'01.08 URA-Spear Motors-24h'!I56,'03.08 URA-Spear Motors-24h'!I56,'04.08 URA-Spear Motors'!I56)</f>
        <v>3.5714285714285716</v>
      </c>
      <c r="J56" s="49">
        <f>AVERAGE('29.07 URA-Spear Motors'!J56,'30.07 URA-Spear Motors'!J56,'31.07 URA-Spear Motors'!J56,'02.08 URA-Spear Motors'!J56,'01.08 URA-Spear Motors-24h'!J56,'03.08 URA-Spear Motors-24h'!J56,'04.08 URA-Spear Motors'!J56)</f>
        <v>0.14285714285714285</v>
      </c>
      <c r="K56" s="49">
        <f>AVERAGE('29.07 URA-Spear Motors'!K56,'30.07 URA-Spear Motors'!K56,'31.07 URA-Spear Motors'!K56,'02.08 URA-Spear Motors'!K56,'01.08 URA-Spear Motors-24h'!K56,'03.08 URA-Spear Motors-24h'!K56,'04.08 URA-Spear Motors'!K56)</f>
        <v>0</v>
      </c>
      <c r="L56" s="49">
        <f>AVERAGE('29.07 URA-Spear Motors'!L56,'30.07 URA-Spear Motors'!L56,'31.07 URA-Spear Motors'!L56,'02.08 URA-Spear Motors'!L56,'01.08 URA-Spear Motors-24h'!L56,'03.08 URA-Spear Motors-24h'!L56,'04.08 URA-Spear Motors'!L56)</f>
        <v>2.7142857142857144</v>
      </c>
      <c r="M56" s="49">
        <f>AVERAGE('29.07 URA-Spear Motors'!M56,'30.07 URA-Spear Motors'!M56,'31.07 URA-Spear Motors'!M56,'02.08 URA-Spear Motors'!M56,'01.08 URA-Spear Motors-24h'!M56,'03.08 URA-Spear Motors-24h'!M56,'04.08 URA-Spear Motors'!M56)</f>
        <v>70.857142857142861</v>
      </c>
      <c r="N56" s="49">
        <f>AVERAGE('29.07 URA-Spear Motors'!N56,'30.07 URA-Spear Motors'!N56,'31.07 URA-Spear Motors'!N56,'02.08 URA-Spear Motors'!N56,'01.08 URA-Spear Motors-24h'!N56,'03.08 URA-Spear Motors-24h'!N56,'04.08 URA-Spear Motors'!N56)</f>
        <v>0</v>
      </c>
      <c r="O56" s="15">
        <f t="shared" si="0"/>
        <v>57.571428571428577</v>
      </c>
      <c r="P56" s="15">
        <f t="shared" si="1"/>
        <v>128.42857142857144</v>
      </c>
    </row>
    <row r="57" spans="2:20" ht="23.1" customHeight="1" x14ac:dyDescent="0.25">
      <c r="B57" s="23" t="s">
        <v>84</v>
      </c>
      <c r="C57" s="49">
        <f>AVERAGE('29.07 URA-Spear Motors'!C57,'30.07 URA-Spear Motors'!C57,'31.07 URA-Spear Motors'!C57,'02.08 URA-Spear Motors'!C57,'01.08 URA-Spear Motors-24h'!C57,'03.08 URA-Spear Motors-24h'!C57,'04.08 URA-Spear Motors'!C57)</f>
        <v>65.428571428571431</v>
      </c>
      <c r="D57" s="49">
        <f>AVERAGE('29.07 URA-Spear Motors'!D57,'30.07 URA-Spear Motors'!D57,'31.07 URA-Spear Motors'!D57,'02.08 URA-Spear Motors'!D57,'01.08 URA-Spear Motors-24h'!D57,'03.08 URA-Spear Motors-24h'!D57,'04.08 URA-Spear Motors'!D57)</f>
        <v>6.1428571428571432</v>
      </c>
      <c r="E57" s="49">
        <f>AVERAGE('29.07 URA-Spear Motors'!E57,'30.07 URA-Spear Motors'!E57,'31.07 URA-Spear Motors'!E57,'02.08 URA-Spear Motors'!E57,'01.08 URA-Spear Motors-24h'!E57,'03.08 URA-Spear Motors-24h'!E57,'04.08 URA-Spear Motors'!E57)</f>
        <v>5.7142857142857144</v>
      </c>
      <c r="F57" s="49">
        <f>AVERAGE('29.07 URA-Spear Motors'!F57,'30.07 URA-Spear Motors'!F57,'31.07 URA-Spear Motors'!F57,'02.08 URA-Spear Motors'!F57,'01.08 URA-Spear Motors-24h'!F57,'03.08 URA-Spear Motors-24h'!F57,'04.08 URA-Spear Motors'!F57)</f>
        <v>6.2857142857142856</v>
      </c>
      <c r="G57" s="49">
        <f>AVERAGE('29.07 URA-Spear Motors'!G57,'30.07 URA-Spear Motors'!G57,'31.07 URA-Spear Motors'!G57,'02.08 URA-Spear Motors'!G57,'01.08 URA-Spear Motors-24h'!G57,'03.08 URA-Spear Motors-24h'!G57,'04.08 URA-Spear Motors'!G57)</f>
        <v>0.8571428571428571</v>
      </c>
      <c r="H57" s="49">
        <f>AVERAGE('29.07 URA-Spear Motors'!H57,'30.07 URA-Spear Motors'!H57,'31.07 URA-Spear Motors'!H57,'02.08 URA-Spear Motors'!H57,'01.08 URA-Spear Motors-24h'!H57,'03.08 URA-Spear Motors-24h'!H57,'04.08 URA-Spear Motors'!H57)</f>
        <v>0</v>
      </c>
      <c r="I57" s="49">
        <f>AVERAGE('29.07 URA-Spear Motors'!I57,'30.07 URA-Spear Motors'!I57,'31.07 URA-Spear Motors'!I57,'02.08 URA-Spear Motors'!I57,'01.08 URA-Spear Motors-24h'!I57,'03.08 URA-Spear Motors-24h'!I57,'04.08 URA-Spear Motors'!I57)</f>
        <v>5</v>
      </c>
      <c r="J57" s="49">
        <f>AVERAGE('29.07 URA-Spear Motors'!J57,'30.07 URA-Spear Motors'!J57,'31.07 URA-Spear Motors'!J57,'02.08 URA-Spear Motors'!J57,'01.08 URA-Spear Motors-24h'!J57,'03.08 URA-Spear Motors-24h'!J57,'04.08 URA-Spear Motors'!J57)</f>
        <v>0.7142857142857143</v>
      </c>
      <c r="K57" s="49">
        <f>AVERAGE('29.07 URA-Spear Motors'!K57,'30.07 URA-Spear Motors'!K57,'31.07 URA-Spear Motors'!K57,'02.08 URA-Spear Motors'!K57,'01.08 URA-Spear Motors-24h'!K57,'03.08 URA-Spear Motors-24h'!K57,'04.08 URA-Spear Motors'!K57)</f>
        <v>0.2857142857142857</v>
      </c>
      <c r="L57" s="49">
        <f>AVERAGE('29.07 URA-Spear Motors'!L57,'30.07 URA-Spear Motors'!L57,'31.07 URA-Spear Motors'!L57,'02.08 URA-Spear Motors'!L57,'01.08 URA-Spear Motors-24h'!L57,'03.08 URA-Spear Motors-24h'!L57,'04.08 URA-Spear Motors'!L57)</f>
        <v>1.5714285714285714</v>
      </c>
      <c r="M57" s="49">
        <f>AVERAGE('29.07 URA-Spear Motors'!M57,'30.07 URA-Spear Motors'!M57,'31.07 URA-Spear Motors'!M57,'02.08 URA-Spear Motors'!M57,'01.08 URA-Spear Motors-24h'!M57,'03.08 URA-Spear Motors-24h'!M57,'04.08 URA-Spear Motors'!M57)</f>
        <v>61.714285714285715</v>
      </c>
      <c r="N57" s="49">
        <f>AVERAGE('29.07 URA-Spear Motors'!N57,'30.07 URA-Spear Motors'!N57,'31.07 URA-Spear Motors'!N57,'02.08 URA-Spear Motors'!N57,'01.08 URA-Spear Motors-24h'!N57,'03.08 URA-Spear Motors-24h'!N57,'04.08 URA-Spear Motors'!N57)</f>
        <v>0</v>
      </c>
      <c r="O57" s="15">
        <f t="shared" si="0"/>
        <v>92</v>
      </c>
      <c r="P57" s="15">
        <f t="shared" si="1"/>
        <v>153.71428571428572</v>
      </c>
    </row>
    <row r="58" spans="2:20" ht="23.1" customHeight="1" x14ac:dyDescent="0.25">
      <c r="B58" s="23" t="s">
        <v>99</v>
      </c>
      <c r="C58" s="49">
        <f>AVERAGE('01.08 URA-Spear Motors-24h'!C58,'03.08 URA-Spear Motors-24h'!C58)</f>
        <v>5.5</v>
      </c>
      <c r="D58" s="49">
        <f>AVERAGE('01.08 URA-Spear Motors-24h'!D58,'03.08 URA-Spear Motors-24h'!D58)</f>
        <v>4</v>
      </c>
      <c r="E58" s="49">
        <f>AVERAGE('01.08 URA-Spear Motors-24h'!E58,'03.08 URA-Spear Motors-24h'!E58)</f>
        <v>1</v>
      </c>
      <c r="F58" s="49">
        <f>AVERAGE('01.08 URA-Spear Motors-24h'!F58,'03.08 URA-Spear Motors-24h'!F58)</f>
        <v>0.5</v>
      </c>
      <c r="G58" s="49">
        <f>AVERAGE('01.08 URA-Spear Motors-24h'!G58,'03.08 URA-Spear Motors-24h'!G58)</f>
        <v>0</v>
      </c>
      <c r="H58" s="49">
        <f>AVERAGE('01.08 URA-Spear Motors-24h'!H58,'03.08 URA-Spear Motors-24h'!H58)</f>
        <v>0</v>
      </c>
      <c r="I58" s="49">
        <f>AVERAGE('01.08 URA-Spear Motors-24h'!I58,'03.08 URA-Spear Motors-24h'!I58)</f>
        <v>1</v>
      </c>
      <c r="J58" s="49">
        <f>AVERAGE('01.08 URA-Spear Motors-24h'!J58,'03.08 URA-Spear Motors-24h'!J58)</f>
        <v>0</v>
      </c>
      <c r="K58" s="49">
        <f>AVERAGE('01.08 URA-Spear Motors-24h'!K58,'03.08 URA-Spear Motors-24h'!K58)</f>
        <v>0.5</v>
      </c>
      <c r="L58" s="49">
        <f>AVERAGE('01.08 URA-Spear Motors-24h'!L58,'03.08 URA-Spear Motors-24h'!L58)</f>
        <v>2</v>
      </c>
      <c r="M58" s="49">
        <f>AVERAGE('01.08 URA-Spear Motors-24h'!M58,'03.08 URA-Spear Motors-24h'!M58)</f>
        <v>107.5</v>
      </c>
      <c r="N58" s="49">
        <f>AVERAGE('01.08 URA-Spear Motors-24h'!N58,'03.08 URA-Spear Motors-24h'!N58)</f>
        <v>0</v>
      </c>
      <c r="O58" s="15">
        <f t="shared" si="0"/>
        <v>14.5</v>
      </c>
      <c r="P58" s="15">
        <f t="shared" si="1"/>
        <v>122</v>
      </c>
      <c r="R58" s="8"/>
      <c r="T58"/>
    </row>
    <row r="59" spans="2:20" ht="23.1" customHeight="1" x14ac:dyDescent="0.25">
      <c r="B59" s="23" t="s">
        <v>100</v>
      </c>
      <c r="C59" s="49">
        <f>AVERAGE('01.08 URA-Spear Motors-24h'!C59,'03.08 URA-Spear Motors-24h'!C59)</f>
        <v>22.5</v>
      </c>
      <c r="D59" s="49">
        <f>AVERAGE('01.08 URA-Spear Motors-24h'!D59,'03.08 URA-Spear Motors-24h'!D59)</f>
        <v>15</v>
      </c>
      <c r="E59" s="49">
        <f>AVERAGE('01.08 URA-Spear Motors-24h'!E59,'03.08 URA-Spear Motors-24h'!E59)</f>
        <v>1</v>
      </c>
      <c r="F59" s="49">
        <f>AVERAGE('01.08 URA-Spear Motors-24h'!F59,'03.08 URA-Spear Motors-24h'!F59)</f>
        <v>2</v>
      </c>
      <c r="G59" s="49">
        <f>AVERAGE('01.08 URA-Spear Motors-24h'!G59,'03.08 URA-Spear Motors-24h'!G59)</f>
        <v>0</v>
      </c>
      <c r="H59" s="49">
        <f>AVERAGE('01.08 URA-Spear Motors-24h'!H59,'03.08 URA-Spear Motors-24h'!H59)</f>
        <v>0</v>
      </c>
      <c r="I59" s="49">
        <f>AVERAGE('01.08 URA-Spear Motors-24h'!I59,'03.08 URA-Spear Motors-24h'!I59)</f>
        <v>0</v>
      </c>
      <c r="J59" s="49">
        <f>AVERAGE('01.08 URA-Spear Motors-24h'!J59,'03.08 URA-Spear Motors-24h'!J59)</f>
        <v>0.5</v>
      </c>
      <c r="K59" s="49">
        <f>AVERAGE('01.08 URA-Spear Motors-24h'!K59,'03.08 URA-Spear Motors-24h'!K59)</f>
        <v>2.5</v>
      </c>
      <c r="L59" s="49">
        <f>AVERAGE('01.08 URA-Spear Motors-24h'!L59,'03.08 URA-Spear Motors-24h'!L59)</f>
        <v>1.5</v>
      </c>
      <c r="M59" s="49">
        <f>AVERAGE('01.08 URA-Spear Motors-24h'!M59,'03.08 URA-Spear Motors-24h'!M59)</f>
        <v>198</v>
      </c>
      <c r="N59" s="49">
        <f>AVERAGE('01.08 URA-Spear Motors-24h'!N59,'03.08 URA-Spear Motors-24h'!N59)</f>
        <v>0</v>
      </c>
      <c r="O59" s="15">
        <f t="shared" si="0"/>
        <v>45</v>
      </c>
      <c r="P59" s="15">
        <f t="shared" si="1"/>
        <v>243</v>
      </c>
      <c r="R59" s="8"/>
      <c r="T59"/>
    </row>
    <row r="60" spans="2:20" ht="23.1" customHeight="1" x14ac:dyDescent="0.25">
      <c r="B60" s="23" t="s">
        <v>101</v>
      </c>
      <c r="C60" s="49">
        <f>AVERAGE('01.08 URA-Spear Motors-24h'!C60,'03.08 URA-Spear Motors-24h'!C60)</f>
        <v>15</v>
      </c>
      <c r="D60" s="49">
        <f>AVERAGE('01.08 URA-Spear Motors-24h'!D60,'03.08 URA-Spear Motors-24h'!D60)</f>
        <v>12</v>
      </c>
      <c r="E60" s="49">
        <f>AVERAGE('01.08 URA-Spear Motors-24h'!E60,'03.08 URA-Spear Motors-24h'!E60)</f>
        <v>3</v>
      </c>
      <c r="F60" s="49">
        <f>AVERAGE('01.08 URA-Spear Motors-24h'!F60,'03.08 URA-Spear Motors-24h'!F60)</f>
        <v>4.5</v>
      </c>
      <c r="G60" s="49">
        <f>AVERAGE('01.08 URA-Spear Motors-24h'!G60,'03.08 URA-Spear Motors-24h'!G60)</f>
        <v>0</v>
      </c>
      <c r="H60" s="49">
        <f>AVERAGE('01.08 URA-Spear Motors-24h'!H60,'03.08 URA-Spear Motors-24h'!H60)</f>
        <v>0</v>
      </c>
      <c r="I60" s="49">
        <f>AVERAGE('01.08 URA-Spear Motors-24h'!I60,'03.08 URA-Spear Motors-24h'!I60)</f>
        <v>1</v>
      </c>
      <c r="J60" s="49">
        <f>AVERAGE('01.08 URA-Spear Motors-24h'!J60,'03.08 URA-Spear Motors-24h'!J60)</f>
        <v>0.5</v>
      </c>
      <c r="K60" s="49">
        <f>AVERAGE('01.08 URA-Spear Motors-24h'!K60,'03.08 URA-Spear Motors-24h'!K60)</f>
        <v>2</v>
      </c>
      <c r="L60" s="49">
        <f>AVERAGE('01.08 URA-Spear Motors-24h'!L60,'03.08 URA-Spear Motors-24h'!L60)</f>
        <v>1</v>
      </c>
      <c r="M60" s="49">
        <f>AVERAGE('01.08 URA-Spear Motors-24h'!M60,'03.08 URA-Spear Motors-24h'!M60)</f>
        <v>260</v>
      </c>
      <c r="N60" s="49">
        <f>AVERAGE('01.08 URA-Spear Motors-24h'!N60,'03.08 URA-Spear Motors-24h'!N60)</f>
        <v>0</v>
      </c>
      <c r="O60" s="15">
        <f t="shared" si="0"/>
        <v>39</v>
      </c>
      <c r="P60" s="15">
        <f t="shared" si="1"/>
        <v>299</v>
      </c>
      <c r="R60" s="8"/>
      <c r="T60"/>
    </row>
    <row r="61" spans="2:20" ht="23.1" customHeight="1" x14ac:dyDescent="0.25">
      <c r="B61" s="23" t="s">
        <v>102</v>
      </c>
      <c r="C61" s="49">
        <f>AVERAGE('01.08 URA-Spear Motors-24h'!C61,'03.08 URA-Spear Motors-24h'!C61)</f>
        <v>17</v>
      </c>
      <c r="D61" s="49">
        <f>AVERAGE('01.08 URA-Spear Motors-24h'!D61,'03.08 URA-Spear Motors-24h'!D61)</f>
        <v>8</v>
      </c>
      <c r="E61" s="49">
        <f>AVERAGE('01.08 URA-Spear Motors-24h'!E61,'03.08 URA-Spear Motors-24h'!E61)</f>
        <v>2.5</v>
      </c>
      <c r="F61" s="49">
        <f>AVERAGE('01.08 URA-Spear Motors-24h'!F61,'03.08 URA-Spear Motors-24h'!F61)</f>
        <v>6</v>
      </c>
      <c r="G61" s="49">
        <f>AVERAGE('01.08 URA-Spear Motors-24h'!G61,'03.08 URA-Spear Motors-24h'!G61)</f>
        <v>0</v>
      </c>
      <c r="H61" s="49">
        <f>AVERAGE('01.08 URA-Spear Motors-24h'!H61,'03.08 URA-Spear Motors-24h'!H61)</f>
        <v>0</v>
      </c>
      <c r="I61" s="49">
        <f>AVERAGE('01.08 URA-Spear Motors-24h'!I61,'03.08 URA-Spear Motors-24h'!I61)</f>
        <v>0</v>
      </c>
      <c r="J61" s="49">
        <f>AVERAGE('01.08 URA-Spear Motors-24h'!J61,'03.08 URA-Spear Motors-24h'!J61)</f>
        <v>1.5</v>
      </c>
      <c r="K61" s="49">
        <f>AVERAGE('01.08 URA-Spear Motors-24h'!K61,'03.08 URA-Spear Motors-24h'!K61)</f>
        <v>0</v>
      </c>
      <c r="L61" s="49">
        <f>AVERAGE('01.08 URA-Spear Motors-24h'!L61,'03.08 URA-Spear Motors-24h'!L61)</f>
        <v>1</v>
      </c>
      <c r="M61" s="49">
        <f>AVERAGE('01.08 URA-Spear Motors-24h'!M61,'03.08 URA-Spear Motors-24h'!M61)</f>
        <v>148</v>
      </c>
      <c r="N61" s="49">
        <f>AVERAGE('01.08 URA-Spear Motors-24h'!N61,'03.08 URA-Spear Motors-24h'!N61)</f>
        <v>0</v>
      </c>
      <c r="O61" s="15">
        <f t="shared" si="0"/>
        <v>36</v>
      </c>
      <c r="P61" s="15">
        <f t="shared" si="1"/>
        <v>184</v>
      </c>
      <c r="R61" s="8"/>
      <c r="T61"/>
    </row>
    <row r="62" spans="2:20" ht="23.1" customHeight="1" x14ac:dyDescent="0.25">
      <c r="B62" s="23" t="s">
        <v>107</v>
      </c>
      <c r="C62" s="49">
        <f>AVERAGE('01.08 URA-Spear Motors-24h'!C62,'03.08 URA-Spear Motors-24h'!C62)</f>
        <v>24</v>
      </c>
      <c r="D62" s="49">
        <f>AVERAGE('01.08 URA-Spear Motors-24h'!D62,'03.08 URA-Spear Motors-24h'!D62)</f>
        <v>11.5</v>
      </c>
      <c r="E62" s="49">
        <f>AVERAGE('01.08 URA-Spear Motors-24h'!E62,'03.08 URA-Spear Motors-24h'!E62)</f>
        <v>4</v>
      </c>
      <c r="F62" s="49">
        <f>AVERAGE('01.08 URA-Spear Motors-24h'!F62,'03.08 URA-Spear Motors-24h'!F62)</f>
        <v>9.5</v>
      </c>
      <c r="G62" s="49">
        <f>AVERAGE('01.08 URA-Spear Motors-24h'!G62,'03.08 URA-Spear Motors-24h'!G62)</f>
        <v>1</v>
      </c>
      <c r="H62" s="49">
        <f>AVERAGE('01.08 URA-Spear Motors-24h'!H62,'03.08 URA-Spear Motors-24h'!H62)</f>
        <v>0</v>
      </c>
      <c r="I62" s="49">
        <f>AVERAGE('01.08 URA-Spear Motors-24h'!I62,'03.08 URA-Spear Motors-24h'!I62)</f>
        <v>0.5</v>
      </c>
      <c r="J62" s="49">
        <f>AVERAGE('01.08 URA-Spear Motors-24h'!J62,'03.08 URA-Spear Motors-24h'!J62)</f>
        <v>2</v>
      </c>
      <c r="K62" s="49">
        <f>AVERAGE('01.08 URA-Spear Motors-24h'!K62,'03.08 URA-Spear Motors-24h'!K62)</f>
        <v>1.5</v>
      </c>
      <c r="L62" s="49">
        <f>AVERAGE('01.08 URA-Spear Motors-24h'!L62,'03.08 URA-Spear Motors-24h'!L62)</f>
        <v>0</v>
      </c>
      <c r="M62" s="49">
        <f>AVERAGE('01.08 URA-Spear Motors-24h'!M62,'03.08 URA-Spear Motors-24h'!M62)</f>
        <v>144</v>
      </c>
      <c r="N62" s="49">
        <f>AVERAGE('01.08 URA-Spear Motors-24h'!N62,'03.08 URA-Spear Motors-24h'!N62)</f>
        <v>0</v>
      </c>
      <c r="O62" s="15">
        <f t="shared" si="0"/>
        <v>54</v>
      </c>
      <c r="P62" s="15">
        <f t="shared" si="1"/>
        <v>198</v>
      </c>
      <c r="R62" s="8"/>
      <c r="T62"/>
    </row>
    <row r="63" spans="2:20" ht="23.1" customHeight="1" x14ac:dyDescent="0.25">
      <c r="B63" s="23" t="s">
        <v>108</v>
      </c>
      <c r="C63" s="49">
        <f>AVERAGE('01.08 URA-Spear Motors-24h'!C63,'03.08 URA-Spear Motors-24h'!C63)</f>
        <v>22</v>
      </c>
      <c r="D63" s="49">
        <f>AVERAGE('01.08 URA-Spear Motors-24h'!D63,'03.08 URA-Spear Motors-24h'!D63)</f>
        <v>12.5</v>
      </c>
      <c r="E63" s="49">
        <f>AVERAGE('01.08 URA-Spear Motors-24h'!E63,'03.08 URA-Spear Motors-24h'!E63)</f>
        <v>7</v>
      </c>
      <c r="F63" s="49">
        <f>AVERAGE('01.08 URA-Spear Motors-24h'!F63,'03.08 URA-Spear Motors-24h'!F63)</f>
        <v>3</v>
      </c>
      <c r="G63" s="49">
        <f>AVERAGE('01.08 URA-Spear Motors-24h'!G63,'03.08 URA-Spear Motors-24h'!G63)</f>
        <v>0.5</v>
      </c>
      <c r="H63" s="49">
        <f>AVERAGE('01.08 URA-Spear Motors-24h'!H63,'03.08 URA-Spear Motors-24h'!H63)</f>
        <v>0</v>
      </c>
      <c r="I63" s="49">
        <f>AVERAGE('01.08 URA-Spear Motors-24h'!I63,'03.08 URA-Spear Motors-24h'!I63)</f>
        <v>0</v>
      </c>
      <c r="J63" s="49">
        <f>AVERAGE('01.08 URA-Spear Motors-24h'!J63,'03.08 URA-Spear Motors-24h'!J63)</f>
        <v>0</v>
      </c>
      <c r="K63" s="49">
        <f>AVERAGE('01.08 URA-Spear Motors-24h'!K63,'03.08 URA-Spear Motors-24h'!K63)</f>
        <v>0</v>
      </c>
      <c r="L63" s="49">
        <f>AVERAGE('01.08 URA-Spear Motors-24h'!L63,'03.08 URA-Spear Motors-24h'!L63)</f>
        <v>0</v>
      </c>
      <c r="M63" s="49">
        <f>AVERAGE('01.08 URA-Spear Motors-24h'!M63,'03.08 URA-Spear Motors-24h'!M63)</f>
        <v>160</v>
      </c>
      <c r="N63" s="49">
        <f>AVERAGE('01.08 URA-Spear Motors-24h'!N63,'03.08 URA-Spear Motors-24h'!N63)</f>
        <v>0</v>
      </c>
      <c r="O63" s="15">
        <f t="shared" si="0"/>
        <v>45</v>
      </c>
      <c r="P63" s="15">
        <f t="shared" si="1"/>
        <v>205</v>
      </c>
      <c r="R63" s="8"/>
      <c r="T63"/>
    </row>
    <row r="64" spans="2:20" ht="23.1" customHeight="1" x14ac:dyDescent="0.25">
      <c r="B64" s="23" t="s">
        <v>109</v>
      </c>
      <c r="C64" s="49">
        <f>AVERAGE('01.08 URA-Spear Motors-24h'!C64,'03.08 URA-Spear Motors-24h'!C64)</f>
        <v>28</v>
      </c>
      <c r="D64" s="49">
        <f>AVERAGE('01.08 URA-Spear Motors-24h'!D64,'03.08 URA-Spear Motors-24h'!D64)</f>
        <v>12</v>
      </c>
      <c r="E64" s="49">
        <f>AVERAGE('01.08 URA-Spear Motors-24h'!E64,'03.08 URA-Spear Motors-24h'!E64)</f>
        <v>3.5</v>
      </c>
      <c r="F64" s="49">
        <f>AVERAGE('01.08 URA-Spear Motors-24h'!F64,'03.08 URA-Spear Motors-24h'!F64)</f>
        <v>10.5</v>
      </c>
      <c r="G64" s="49">
        <f>AVERAGE('01.08 URA-Spear Motors-24h'!G64,'03.08 URA-Spear Motors-24h'!G64)</f>
        <v>1</v>
      </c>
      <c r="H64" s="49">
        <f>AVERAGE('01.08 URA-Spear Motors-24h'!H64,'03.08 URA-Spear Motors-24h'!H64)</f>
        <v>0</v>
      </c>
      <c r="I64" s="49">
        <f>AVERAGE('01.08 URA-Spear Motors-24h'!I64,'03.08 URA-Spear Motors-24h'!I64)</f>
        <v>1.5</v>
      </c>
      <c r="J64" s="49">
        <f>AVERAGE('01.08 URA-Spear Motors-24h'!J64,'03.08 URA-Spear Motors-24h'!J64)</f>
        <v>0.5</v>
      </c>
      <c r="K64" s="49">
        <f>AVERAGE('01.08 URA-Spear Motors-24h'!K64,'03.08 URA-Spear Motors-24h'!K64)</f>
        <v>0</v>
      </c>
      <c r="L64" s="49">
        <f>AVERAGE('01.08 URA-Spear Motors-24h'!L64,'03.08 URA-Spear Motors-24h'!L64)</f>
        <v>0</v>
      </c>
      <c r="M64" s="49">
        <f>AVERAGE('01.08 URA-Spear Motors-24h'!M64,'03.08 URA-Spear Motors-24h'!M64)</f>
        <v>129</v>
      </c>
      <c r="N64" s="49">
        <f>AVERAGE('01.08 URA-Spear Motors-24h'!N64,'03.08 URA-Spear Motors-24h'!N64)</f>
        <v>0</v>
      </c>
      <c r="O64" s="15">
        <f t="shared" si="0"/>
        <v>57</v>
      </c>
      <c r="P64" s="15">
        <f t="shared" si="1"/>
        <v>186</v>
      </c>
      <c r="R64" s="8"/>
      <c r="T64"/>
    </row>
    <row r="65" spans="2:20" ht="23.1" customHeight="1" x14ac:dyDescent="0.25">
      <c r="B65" s="23" t="s">
        <v>158</v>
      </c>
      <c r="C65" s="49">
        <f>AVERAGE('01.08 URA-Spear Motors-24h'!C65,'03.08 URA-Spear Motors-24h'!C65)</f>
        <v>25.5</v>
      </c>
      <c r="D65" s="49">
        <f>AVERAGE('01.08 URA-Spear Motors-24h'!D65,'03.08 URA-Spear Motors-24h'!D65)</f>
        <v>18</v>
      </c>
      <c r="E65" s="49">
        <f>AVERAGE('01.08 URA-Spear Motors-24h'!E65,'03.08 URA-Spear Motors-24h'!E65)</f>
        <v>2.5</v>
      </c>
      <c r="F65" s="49">
        <f>AVERAGE('01.08 URA-Spear Motors-24h'!F65,'03.08 URA-Spear Motors-24h'!F65)</f>
        <v>4</v>
      </c>
      <c r="G65" s="49">
        <f>AVERAGE('01.08 URA-Spear Motors-24h'!G65,'03.08 URA-Spear Motors-24h'!G65)</f>
        <v>0</v>
      </c>
      <c r="H65" s="49">
        <f>AVERAGE('01.08 URA-Spear Motors-24h'!H65,'03.08 URA-Spear Motors-24h'!H65)</f>
        <v>0</v>
      </c>
      <c r="I65" s="49">
        <f>AVERAGE('01.08 URA-Spear Motors-24h'!I65,'03.08 URA-Spear Motors-24h'!I65)</f>
        <v>1.5</v>
      </c>
      <c r="J65" s="49">
        <f>AVERAGE('01.08 URA-Spear Motors-24h'!J65,'03.08 URA-Spear Motors-24h'!J65)</f>
        <v>0.5</v>
      </c>
      <c r="K65" s="49">
        <f>AVERAGE('01.08 URA-Spear Motors-24h'!K65,'03.08 URA-Spear Motors-24h'!K65)</f>
        <v>0</v>
      </c>
      <c r="L65" s="49">
        <f>AVERAGE('01.08 URA-Spear Motors-24h'!L65,'03.08 URA-Spear Motors-24h'!L65)</f>
        <v>0</v>
      </c>
      <c r="M65" s="49">
        <f>AVERAGE('01.08 URA-Spear Motors-24h'!M65,'03.08 URA-Spear Motors-24h'!M65)</f>
        <v>104</v>
      </c>
      <c r="N65" s="49">
        <f>AVERAGE('01.08 URA-Spear Motors-24h'!N65,'03.08 URA-Spear Motors-24h'!N65)</f>
        <v>0</v>
      </c>
      <c r="O65" s="15">
        <f t="shared" si="0"/>
        <v>52</v>
      </c>
      <c r="P65" s="15">
        <f t="shared" si="1"/>
        <v>156</v>
      </c>
      <c r="R65" s="8"/>
      <c r="T65"/>
    </row>
    <row r="66" spans="2:20" ht="23.1" customHeight="1" x14ac:dyDescent="0.25">
      <c r="B66" s="23" t="s">
        <v>103</v>
      </c>
      <c r="C66" s="49">
        <f>AVERAGE('01.08 URA-Spear Motors-24h'!C66,'03.08 URA-Spear Motors-24h'!C66)</f>
        <v>34</v>
      </c>
      <c r="D66" s="49">
        <f>AVERAGE('01.08 URA-Spear Motors-24h'!D66,'03.08 URA-Spear Motors-24h'!D66)</f>
        <v>16</v>
      </c>
      <c r="E66" s="49">
        <f>AVERAGE('01.08 URA-Spear Motors-24h'!E66,'03.08 URA-Spear Motors-24h'!E66)</f>
        <v>3.5</v>
      </c>
      <c r="F66" s="49">
        <f>AVERAGE('01.08 URA-Spear Motors-24h'!F66,'03.08 URA-Spear Motors-24h'!F66)</f>
        <v>12</v>
      </c>
      <c r="G66" s="49">
        <f>AVERAGE('01.08 URA-Spear Motors-24h'!G66,'03.08 URA-Spear Motors-24h'!G66)</f>
        <v>1</v>
      </c>
      <c r="H66" s="49">
        <f>AVERAGE('01.08 URA-Spear Motors-24h'!H66,'03.08 URA-Spear Motors-24h'!H66)</f>
        <v>0</v>
      </c>
      <c r="I66" s="49">
        <f>AVERAGE('01.08 URA-Spear Motors-24h'!I66,'03.08 URA-Spear Motors-24h'!I66)</f>
        <v>1</v>
      </c>
      <c r="J66" s="49">
        <f>AVERAGE('01.08 URA-Spear Motors-24h'!J66,'03.08 URA-Spear Motors-24h'!J66)</f>
        <v>0</v>
      </c>
      <c r="K66" s="49">
        <f>AVERAGE('01.08 URA-Spear Motors-24h'!K66,'03.08 URA-Spear Motors-24h'!K66)</f>
        <v>0.5</v>
      </c>
      <c r="L66" s="49">
        <f>AVERAGE('01.08 URA-Spear Motors-24h'!L66,'03.08 URA-Spear Motors-24h'!L66)</f>
        <v>0</v>
      </c>
      <c r="M66" s="49">
        <f>AVERAGE('01.08 URA-Spear Motors-24h'!M66,'03.08 URA-Spear Motors-24h'!M66)</f>
        <v>100</v>
      </c>
      <c r="N66" s="49">
        <f>AVERAGE('01.08 URA-Spear Motors-24h'!N66,'03.08 URA-Spear Motors-24h'!N66)</f>
        <v>0</v>
      </c>
      <c r="O66" s="15">
        <f t="shared" si="0"/>
        <v>68</v>
      </c>
      <c r="P66" s="15">
        <f t="shared" si="1"/>
        <v>168</v>
      </c>
      <c r="R66" s="8"/>
      <c r="T66"/>
    </row>
    <row r="67" spans="2:20" ht="23.1" customHeight="1" x14ac:dyDescent="0.25">
      <c r="B67" s="23" t="s">
        <v>104</v>
      </c>
      <c r="C67" s="49">
        <f>AVERAGE('01.08 URA-Spear Motors-24h'!C67,'03.08 URA-Spear Motors-24h'!C67)</f>
        <v>26.5</v>
      </c>
      <c r="D67" s="49">
        <f>AVERAGE('01.08 URA-Spear Motors-24h'!D67,'03.08 URA-Spear Motors-24h'!D67)</f>
        <v>20</v>
      </c>
      <c r="E67" s="49">
        <f>AVERAGE('01.08 URA-Spear Motors-24h'!E67,'03.08 URA-Spear Motors-24h'!E67)</f>
        <v>3</v>
      </c>
      <c r="F67" s="49">
        <f>AVERAGE('01.08 URA-Spear Motors-24h'!F67,'03.08 URA-Spear Motors-24h'!F67)</f>
        <v>11.5</v>
      </c>
      <c r="G67" s="49">
        <f>AVERAGE('01.08 URA-Spear Motors-24h'!G67,'03.08 URA-Spear Motors-24h'!G67)</f>
        <v>0</v>
      </c>
      <c r="H67" s="49">
        <f>AVERAGE('01.08 URA-Spear Motors-24h'!H67,'03.08 URA-Spear Motors-24h'!H67)</f>
        <v>0</v>
      </c>
      <c r="I67" s="49">
        <f>AVERAGE('01.08 URA-Spear Motors-24h'!I67,'03.08 URA-Spear Motors-24h'!I67)</f>
        <v>4</v>
      </c>
      <c r="J67" s="49">
        <f>AVERAGE('01.08 URA-Spear Motors-24h'!J67,'03.08 URA-Spear Motors-24h'!J67)</f>
        <v>0.5</v>
      </c>
      <c r="K67" s="49">
        <f>AVERAGE('01.08 URA-Spear Motors-24h'!K67,'03.08 URA-Spear Motors-24h'!K67)</f>
        <v>0</v>
      </c>
      <c r="L67" s="49">
        <f>AVERAGE('01.08 URA-Spear Motors-24h'!L67,'03.08 URA-Spear Motors-24h'!L67)</f>
        <v>0.5</v>
      </c>
      <c r="M67" s="49">
        <f>AVERAGE('01.08 URA-Spear Motors-24h'!M67,'03.08 URA-Spear Motors-24h'!M67)</f>
        <v>105</v>
      </c>
      <c r="N67" s="49">
        <f>AVERAGE('01.08 URA-Spear Motors-24h'!N67,'03.08 URA-Spear Motors-24h'!N67)</f>
        <v>0</v>
      </c>
      <c r="O67" s="15">
        <f t="shared" si="0"/>
        <v>66</v>
      </c>
      <c r="P67" s="15">
        <f t="shared" si="1"/>
        <v>171</v>
      </c>
      <c r="R67" s="8"/>
      <c r="T67"/>
    </row>
    <row r="68" spans="2:20" ht="23.1" customHeight="1" x14ac:dyDescent="0.25">
      <c r="B68" s="23" t="s">
        <v>105</v>
      </c>
      <c r="C68" s="49">
        <f>AVERAGE('01.08 URA-Spear Motors-24h'!C68,'03.08 URA-Spear Motors-24h'!C68)</f>
        <v>32.5</v>
      </c>
      <c r="D68" s="49">
        <f>AVERAGE('01.08 URA-Spear Motors-24h'!D68,'03.08 URA-Spear Motors-24h'!D68)</f>
        <v>12</v>
      </c>
      <c r="E68" s="49">
        <f>AVERAGE('01.08 URA-Spear Motors-24h'!E68,'03.08 URA-Spear Motors-24h'!E68)</f>
        <v>4.5</v>
      </c>
      <c r="F68" s="49">
        <f>AVERAGE('01.08 URA-Spear Motors-24h'!F68,'03.08 URA-Spear Motors-24h'!F68)</f>
        <v>14.5</v>
      </c>
      <c r="G68" s="49">
        <f>AVERAGE('01.08 URA-Spear Motors-24h'!G68,'03.08 URA-Spear Motors-24h'!G68)</f>
        <v>0</v>
      </c>
      <c r="H68" s="49">
        <f>AVERAGE('01.08 URA-Spear Motors-24h'!H68,'03.08 URA-Spear Motors-24h'!H68)</f>
        <v>0</v>
      </c>
      <c r="I68" s="49">
        <f>AVERAGE('01.08 URA-Spear Motors-24h'!I68,'03.08 URA-Spear Motors-24h'!I68)</f>
        <v>0.5</v>
      </c>
      <c r="J68" s="49">
        <f>AVERAGE('01.08 URA-Spear Motors-24h'!J68,'03.08 URA-Spear Motors-24h'!J68)</f>
        <v>1</v>
      </c>
      <c r="K68" s="49">
        <f>AVERAGE('01.08 URA-Spear Motors-24h'!K68,'03.08 URA-Spear Motors-24h'!K68)</f>
        <v>0.5</v>
      </c>
      <c r="L68" s="49">
        <f>AVERAGE('01.08 URA-Spear Motors-24h'!L68,'03.08 URA-Spear Motors-24h'!L68)</f>
        <v>0</v>
      </c>
      <c r="M68" s="49">
        <f>AVERAGE('01.08 URA-Spear Motors-24h'!M68,'03.08 URA-Spear Motors-24h'!M68)</f>
        <v>83.5</v>
      </c>
      <c r="N68" s="49">
        <f>AVERAGE('01.08 URA-Spear Motors-24h'!N68,'03.08 URA-Spear Motors-24h'!N68)</f>
        <v>0</v>
      </c>
      <c r="O68" s="15">
        <f t="shared" si="0"/>
        <v>65.5</v>
      </c>
      <c r="P68" s="15">
        <f t="shared" si="1"/>
        <v>149</v>
      </c>
      <c r="R68" s="8"/>
      <c r="T68"/>
    </row>
    <row r="69" spans="2:20" ht="23.1" customHeight="1" x14ac:dyDescent="0.25">
      <c r="B69" s="23" t="s">
        <v>106</v>
      </c>
      <c r="C69" s="49">
        <f>AVERAGE('01.08 URA-Spear Motors-24h'!C69,'03.08 URA-Spear Motors-24h'!C69)</f>
        <v>32</v>
      </c>
      <c r="D69" s="49">
        <f>AVERAGE('01.08 URA-Spear Motors-24h'!D69,'03.08 URA-Spear Motors-24h'!D69)</f>
        <v>16</v>
      </c>
      <c r="E69" s="49">
        <f>AVERAGE('01.08 URA-Spear Motors-24h'!E69,'03.08 URA-Spear Motors-24h'!E69)</f>
        <v>4.5</v>
      </c>
      <c r="F69" s="49">
        <f>AVERAGE('01.08 URA-Spear Motors-24h'!F69,'03.08 URA-Spear Motors-24h'!F69)</f>
        <v>12.5</v>
      </c>
      <c r="G69" s="49">
        <f>AVERAGE('01.08 URA-Spear Motors-24h'!G69,'03.08 URA-Spear Motors-24h'!G69)</f>
        <v>0.5</v>
      </c>
      <c r="H69" s="49">
        <f>AVERAGE('01.08 URA-Spear Motors-24h'!H69,'03.08 URA-Spear Motors-24h'!H69)</f>
        <v>0</v>
      </c>
      <c r="I69" s="49">
        <f>AVERAGE('01.08 URA-Spear Motors-24h'!I69,'03.08 URA-Spear Motors-24h'!I69)</f>
        <v>0.5</v>
      </c>
      <c r="J69" s="49">
        <f>AVERAGE('01.08 URA-Spear Motors-24h'!J69,'03.08 URA-Spear Motors-24h'!J69)</f>
        <v>0.5</v>
      </c>
      <c r="K69" s="49">
        <f>AVERAGE('01.08 URA-Spear Motors-24h'!K69,'03.08 URA-Spear Motors-24h'!K69)</f>
        <v>0</v>
      </c>
      <c r="L69" s="49">
        <f>AVERAGE('01.08 URA-Spear Motors-24h'!L69,'03.08 URA-Spear Motors-24h'!L69)</f>
        <v>0</v>
      </c>
      <c r="M69" s="49">
        <f>AVERAGE('01.08 URA-Spear Motors-24h'!M69,'03.08 URA-Spear Motors-24h'!M69)</f>
        <v>102</v>
      </c>
      <c r="N69" s="49">
        <f>AVERAGE('01.08 URA-Spear Motors-24h'!N69,'03.08 URA-Spear Motors-24h'!N69)</f>
        <v>0</v>
      </c>
      <c r="O69" s="15">
        <f t="shared" si="0"/>
        <v>66.5</v>
      </c>
      <c r="P69" s="15">
        <f t="shared" si="1"/>
        <v>168.5</v>
      </c>
      <c r="R69" s="8"/>
      <c r="T69"/>
    </row>
    <row r="70" spans="2:20" ht="23.1" customHeight="1" x14ac:dyDescent="0.25">
      <c r="B70" s="23" t="s">
        <v>110</v>
      </c>
      <c r="C70" s="49">
        <f>AVERAGE('01.08 URA-Spear Motors-24h'!C70,'03.08 URA-Spear Motors-24h'!C70)</f>
        <v>14.5</v>
      </c>
      <c r="D70" s="49">
        <f>AVERAGE('01.08 URA-Spear Motors-24h'!D70,'03.08 URA-Spear Motors-24h'!D70)</f>
        <v>13.5</v>
      </c>
      <c r="E70" s="49">
        <f>AVERAGE('01.08 URA-Spear Motors-24h'!E70,'03.08 URA-Spear Motors-24h'!E70)</f>
        <v>0.5</v>
      </c>
      <c r="F70" s="49">
        <f>AVERAGE('01.08 URA-Spear Motors-24h'!F70,'03.08 URA-Spear Motors-24h'!F70)</f>
        <v>11</v>
      </c>
      <c r="G70" s="49">
        <f>AVERAGE('01.08 URA-Spear Motors-24h'!G70,'03.08 URA-Spear Motors-24h'!G70)</f>
        <v>0</v>
      </c>
      <c r="H70" s="49">
        <f>AVERAGE('01.08 URA-Spear Motors-24h'!H70,'03.08 URA-Spear Motors-24h'!H70)</f>
        <v>0</v>
      </c>
      <c r="I70" s="49">
        <f>AVERAGE('01.08 URA-Spear Motors-24h'!I70,'03.08 URA-Spear Motors-24h'!I70)</f>
        <v>1</v>
      </c>
      <c r="J70" s="49">
        <f>AVERAGE('01.08 URA-Spear Motors-24h'!J70,'03.08 URA-Spear Motors-24h'!J70)</f>
        <v>1</v>
      </c>
      <c r="K70" s="49">
        <f>AVERAGE('01.08 URA-Spear Motors-24h'!K70,'03.08 URA-Spear Motors-24h'!K70)</f>
        <v>0</v>
      </c>
      <c r="L70" s="49">
        <f>AVERAGE('01.08 URA-Spear Motors-24h'!L70,'03.08 URA-Spear Motors-24h'!L70)</f>
        <v>0</v>
      </c>
      <c r="M70" s="49">
        <f>AVERAGE('01.08 URA-Spear Motors-24h'!M70,'03.08 URA-Spear Motors-24h'!M70)</f>
        <v>71</v>
      </c>
      <c r="N70" s="49">
        <f>AVERAGE('01.08 URA-Spear Motors-24h'!N70,'03.08 URA-Spear Motors-24h'!N70)</f>
        <v>0</v>
      </c>
      <c r="O70" s="15">
        <f t="shared" si="0"/>
        <v>41.5</v>
      </c>
      <c r="P70" s="15">
        <f t="shared" si="1"/>
        <v>112.5</v>
      </c>
      <c r="R70" s="8"/>
      <c r="T70"/>
    </row>
    <row r="71" spans="2:20" ht="23.1" customHeight="1" x14ac:dyDescent="0.25">
      <c r="B71" s="23" t="s">
        <v>111</v>
      </c>
      <c r="C71" s="49">
        <f>AVERAGE('01.08 URA-Spear Motors-24h'!C71,'03.08 URA-Spear Motors-24h'!C71)</f>
        <v>22.5</v>
      </c>
      <c r="D71" s="49">
        <f>AVERAGE('01.08 URA-Spear Motors-24h'!D71,'03.08 URA-Spear Motors-24h'!D71)</f>
        <v>19</v>
      </c>
      <c r="E71" s="49">
        <f>AVERAGE('01.08 URA-Spear Motors-24h'!E71,'03.08 URA-Spear Motors-24h'!E71)</f>
        <v>2</v>
      </c>
      <c r="F71" s="49">
        <f>AVERAGE('01.08 URA-Spear Motors-24h'!F71,'03.08 URA-Spear Motors-24h'!F71)</f>
        <v>6.5</v>
      </c>
      <c r="G71" s="49">
        <f>AVERAGE('01.08 URA-Spear Motors-24h'!G71,'03.08 URA-Spear Motors-24h'!G71)</f>
        <v>0</v>
      </c>
      <c r="H71" s="49">
        <f>AVERAGE('01.08 URA-Spear Motors-24h'!H71,'03.08 URA-Spear Motors-24h'!H71)</f>
        <v>0</v>
      </c>
      <c r="I71" s="49">
        <f>AVERAGE('01.08 URA-Spear Motors-24h'!I71,'03.08 URA-Spear Motors-24h'!I71)</f>
        <v>0</v>
      </c>
      <c r="J71" s="49">
        <f>AVERAGE('01.08 URA-Spear Motors-24h'!J71,'03.08 URA-Spear Motors-24h'!J71)</f>
        <v>1</v>
      </c>
      <c r="K71" s="49">
        <f>AVERAGE('01.08 URA-Spear Motors-24h'!K71,'03.08 URA-Spear Motors-24h'!K71)</f>
        <v>0.5</v>
      </c>
      <c r="L71" s="49">
        <f>AVERAGE('01.08 URA-Spear Motors-24h'!L71,'03.08 URA-Spear Motors-24h'!L71)</f>
        <v>0.5</v>
      </c>
      <c r="M71" s="49">
        <f>AVERAGE('01.08 URA-Spear Motors-24h'!M71,'03.08 URA-Spear Motors-24h'!M71)</f>
        <v>66</v>
      </c>
      <c r="N71" s="49">
        <f>AVERAGE('01.08 URA-Spear Motors-24h'!N71,'03.08 URA-Spear Motors-24h'!N71)</f>
        <v>0</v>
      </c>
      <c r="O71" s="15">
        <f t="shared" si="0"/>
        <v>52</v>
      </c>
      <c r="P71" s="15">
        <f t="shared" si="1"/>
        <v>118</v>
      </c>
      <c r="R71" s="8"/>
      <c r="T71"/>
    </row>
    <row r="72" spans="2:20" ht="23.1" customHeight="1" x14ac:dyDescent="0.25">
      <c r="B72" s="23" t="s">
        <v>112</v>
      </c>
      <c r="C72" s="49">
        <f>AVERAGE('01.08 URA-Spear Motors-24h'!C72,'03.08 URA-Spear Motors-24h'!C72)</f>
        <v>9.5</v>
      </c>
      <c r="D72" s="49">
        <f>AVERAGE('01.08 URA-Spear Motors-24h'!D72,'03.08 URA-Spear Motors-24h'!D72)</f>
        <v>7.5</v>
      </c>
      <c r="E72" s="49">
        <f>AVERAGE('01.08 URA-Spear Motors-24h'!E72,'03.08 URA-Spear Motors-24h'!E72)</f>
        <v>1</v>
      </c>
      <c r="F72" s="49">
        <f>AVERAGE('01.08 URA-Spear Motors-24h'!F72,'03.08 URA-Spear Motors-24h'!F72)</f>
        <v>1.5</v>
      </c>
      <c r="G72" s="49">
        <f>AVERAGE('01.08 URA-Spear Motors-24h'!G72,'03.08 URA-Spear Motors-24h'!G72)</f>
        <v>0</v>
      </c>
      <c r="H72" s="49">
        <f>AVERAGE('01.08 URA-Spear Motors-24h'!H72,'03.08 URA-Spear Motors-24h'!H72)</f>
        <v>0</v>
      </c>
      <c r="I72" s="49">
        <f>AVERAGE('01.08 URA-Spear Motors-24h'!I72,'03.08 URA-Spear Motors-24h'!I72)</f>
        <v>1</v>
      </c>
      <c r="J72" s="49">
        <f>AVERAGE('01.08 URA-Spear Motors-24h'!J72,'03.08 URA-Spear Motors-24h'!J72)</f>
        <v>0.5</v>
      </c>
      <c r="K72" s="49">
        <f>AVERAGE('01.08 URA-Spear Motors-24h'!K72,'03.08 URA-Spear Motors-24h'!K72)</f>
        <v>0</v>
      </c>
      <c r="L72" s="49">
        <f>AVERAGE('01.08 URA-Spear Motors-24h'!L72,'03.08 URA-Spear Motors-24h'!L72)</f>
        <v>0.5</v>
      </c>
      <c r="M72" s="49">
        <f>AVERAGE('01.08 URA-Spear Motors-24h'!M72,'03.08 URA-Spear Motors-24h'!M72)</f>
        <v>52</v>
      </c>
      <c r="N72" s="49">
        <f>AVERAGE('01.08 URA-Spear Motors-24h'!N72,'03.08 URA-Spear Motors-24h'!N72)</f>
        <v>0</v>
      </c>
      <c r="O72" s="15">
        <f t="shared" si="0"/>
        <v>21.5</v>
      </c>
      <c r="P72" s="15">
        <f t="shared" si="1"/>
        <v>73.5</v>
      </c>
      <c r="R72" s="8"/>
      <c r="T72"/>
    </row>
    <row r="73" spans="2:20" ht="23.1" customHeight="1" x14ac:dyDescent="0.25">
      <c r="B73" s="23" t="s">
        <v>113</v>
      </c>
      <c r="C73" s="49">
        <f>AVERAGE('01.08 URA-Spear Motors-24h'!C73,'03.08 URA-Spear Motors-24h'!C73)</f>
        <v>15</v>
      </c>
      <c r="D73" s="49">
        <f>AVERAGE('01.08 URA-Spear Motors-24h'!D73,'03.08 URA-Spear Motors-24h'!D73)</f>
        <v>8.5</v>
      </c>
      <c r="E73" s="49">
        <f>AVERAGE('01.08 URA-Spear Motors-24h'!E73,'03.08 URA-Spear Motors-24h'!E73)</f>
        <v>5</v>
      </c>
      <c r="F73" s="49">
        <f>AVERAGE('01.08 URA-Spear Motors-24h'!F73,'03.08 URA-Spear Motors-24h'!F73)</f>
        <v>3</v>
      </c>
      <c r="G73" s="49">
        <f>AVERAGE('01.08 URA-Spear Motors-24h'!G73,'03.08 URA-Spear Motors-24h'!G73)</f>
        <v>0</v>
      </c>
      <c r="H73" s="49">
        <f>AVERAGE('01.08 URA-Spear Motors-24h'!H73,'03.08 URA-Spear Motors-24h'!H73)</f>
        <v>0</v>
      </c>
      <c r="I73" s="49">
        <f>AVERAGE('01.08 URA-Spear Motors-24h'!I73,'03.08 URA-Spear Motors-24h'!I73)</f>
        <v>0</v>
      </c>
      <c r="J73" s="49">
        <f>AVERAGE('01.08 URA-Spear Motors-24h'!J73,'03.08 URA-Spear Motors-24h'!J73)</f>
        <v>0</v>
      </c>
      <c r="K73" s="49">
        <f>AVERAGE('01.08 URA-Spear Motors-24h'!K73,'03.08 URA-Spear Motors-24h'!K73)</f>
        <v>0</v>
      </c>
      <c r="L73" s="49">
        <f>AVERAGE('01.08 URA-Spear Motors-24h'!L73,'03.08 URA-Spear Motors-24h'!L73)</f>
        <v>0</v>
      </c>
      <c r="M73" s="49">
        <f>AVERAGE('01.08 URA-Spear Motors-24h'!M73,'03.08 URA-Spear Motors-24h'!M73)</f>
        <v>25.5</v>
      </c>
      <c r="N73" s="49">
        <f>AVERAGE('01.08 URA-Spear Motors-24h'!N73,'03.08 URA-Spear Motors-24h'!N73)</f>
        <v>0</v>
      </c>
      <c r="O73" s="15">
        <f t="shared" si="0"/>
        <v>31.5</v>
      </c>
      <c r="P73" s="15">
        <f t="shared" si="1"/>
        <v>57</v>
      </c>
      <c r="R73" s="8"/>
      <c r="T73"/>
    </row>
    <row r="74" spans="2:20" ht="23.1" customHeight="1" x14ac:dyDescent="0.25">
      <c r="B74" s="23" t="s">
        <v>114</v>
      </c>
      <c r="C74" s="49">
        <f>AVERAGE('01.08 URA-Spear Motors-24h'!C74,'03.08 URA-Spear Motors-24h'!C74)</f>
        <v>27</v>
      </c>
      <c r="D74" s="49">
        <f>AVERAGE('01.08 URA-Spear Motors-24h'!D74,'03.08 URA-Spear Motors-24h'!D74)</f>
        <v>11</v>
      </c>
      <c r="E74" s="49">
        <f>AVERAGE('01.08 URA-Spear Motors-24h'!E74,'03.08 URA-Spear Motors-24h'!E74)</f>
        <v>1.5</v>
      </c>
      <c r="F74" s="49">
        <f>AVERAGE('01.08 URA-Spear Motors-24h'!F74,'03.08 URA-Spear Motors-24h'!F74)</f>
        <v>3.5</v>
      </c>
      <c r="G74" s="49">
        <f>AVERAGE('01.08 URA-Spear Motors-24h'!G74,'03.08 URA-Spear Motors-24h'!G74)</f>
        <v>0</v>
      </c>
      <c r="H74" s="49">
        <f>AVERAGE('01.08 URA-Spear Motors-24h'!H74,'03.08 URA-Spear Motors-24h'!H74)</f>
        <v>0</v>
      </c>
      <c r="I74" s="49">
        <f>AVERAGE('01.08 URA-Spear Motors-24h'!I74,'03.08 URA-Spear Motors-24h'!I74)</f>
        <v>0.5</v>
      </c>
      <c r="J74" s="49">
        <f>AVERAGE('01.08 URA-Spear Motors-24h'!J74,'03.08 URA-Spear Motors-24h'!J74)</f>
        <v>0.5</v>
      </c>
      <c r="K74" s="49">
        <f>AVERAGE('01.08 URA-Spear Motors-24h'!K74,'03.08 URA-Spear Motors-24h'!K74)</f>
        <v>0</v>
      </c>
      <c r="L74" s="49">
        <f>AVERAGE('01.08 URA-Spear Motors-24h'!L74,'03.08 URA-Spear Motors-24h'!L74)</f>
        <v>0</v>
      </c>
      <c r="M74" s="49">
        <f>AVERAGE('01.08 URA-Spear Motors-24h'!M74,'03.08 URA-Spear Motors-24h'!M74)</f>
        <v>34.5</v>
      </c>
      <c r="N74" s="49">
        <f>AVERAGE('01.08 URA-Spear Motors-24h'!N74,'03.08 URA-Spear Motors-24h'!N74)</f>
        <v>0</v>
      </c>
      <c r="O74" s="15">
        <f t="shared" ref="O74:O105" si="35">SUM(C74:L74,N74)</f>
        <v>44</v>
      </c>
      <c r="P74" s="15">
        <f t="shared" ref="P74:P105" si="36">SUM(C74:N74)</f>
        <v>78.5</v>
      </c>
      <c r="R74" s="8"/>
      <c r="T74"/>
    </row>
    <row r="75" spans="2:20" ht="23.1" customHeight="1" x14ac:dyDescent="0.25">
      <c r="B75" s="23" t="s">
        <v>115</v>
      </c>
      <c r="C75" s="49">
        <f>AVERAGE('01.08 URA-Spear Motors-24h'!C75,'03.08 URA-Spear Motors-24h'!C75)</f>
        <v>9</v>
      </c>
      <c r="D75" s="49">
        <f>AVERAGE('01.08 URA-Spear Motors-24h'!D75,'03.08 URA-Spear Motors-24h'!D75)</f>
        <v>8</v>
      </c>
      <c r="E75" s="49">
        <f>AVERAGE('01.08 URA-Spear Motors-24h'!E75,'03.08 URA-Spear Motors-24h'!E75)</f>
        <v>4</v>
      </c>
      <c r="F75" s="49">
        <f>AVERAGE('01.08 URA-Spear Motors-24h'!F75,'03.08 URA-Spear Motors-24h'!F75)</f>
        <v>0.5</v>
      </c>
      <c r="G75" s="49">
        <f>AVERAGE('01.08 URA-Spear Motors-24h'!G75,'03.08 URA-Spear Motors-24h'!G75)</f>
        <v>0.5</v>
      </c>
      <c r="H75" s="49">
        <f>AVERAGE('01.08 URA-Spear Motors-24h'!H75,'03.08 URA-Spear Motors-24h'!H75)</f>
        <v>0</v>
      </c>
      <c r="I75" s="49">
        <f>AVERAGE('01.08 URA-Spear Motors-24h'!I75,'03.08 URA-Spear Motors-24h'!I75)</f>
        <v>0</v>
      </c>
      <c r="J75" s="49">
        <f>AVERAGE('01.08 URA-Spear Motors-24h'!J75,'03.08 URA-Spear Motors-24h'!J75)</f>
        <v>0</v>
      </c>
      <c r="K75" s="49">
        <f>AVERAGE('01.08 URA-Spear Motors-24h'!K75,'03.08 URA-Spear Motors-24h'!K75)</f>
        <v>0</v>
      </c>
      <c r="L75" s="49">
        <f>AVERAGE('01.08 URA-Spear Motors-24h'!L75,'03.08 URA-Spear Motors-24h'!L75)</f>
        <v>0</v>
      </c>
      <c r="M75" s="49">
        <f>AVERAGE('01.08 URA-Spear Motors-24h'!M75,'03.08 URA-Spear Motors-24h'!M75)</f>
        <v>44.5</v>
      </c>
      <c r="N75" s="49">
        <f>AVERAGE('01.08 URA-Spear Motors-24h'!N75,'03.08 URA-Spear Motors-24h'!N75)</f>
        <v>0</v>
      </c>
      <c r="O75" s="15">
        <f t="shared" si="35"/>
        <v>22</v>
      </c>
      <c r="P75" s="15">
        <f t="shared" si="36"/>
        <v>66.5</v>
      </c>
      <c r="R75" s="8"/>
      <c r="T75"/>
    </row>
    <row r="76" spans="2:20" ht="23.1" customHeight="1" x14ac:dyDescent="0.25">
      <c r="B76" s="23" t="s">
        <v>116</v>
      </c>
      <c r="C76" s="49">
        <f>AVERAGE('01.08 URA-Spear Motors-24h'!C76,'03.08 URA-Spear Motors-24h'!C76)</f>
        <v>15.5</v>
      </c>
      <c r="D76" s="49">
        <f>AVERAGE('01.08 URA-Spear Motors-24h'!D76,'03.08 URA-Spear Motors-24h'!D76)</f>
        <v>14</v>
      </c>
      <c r="E76" s="49">
        <f>AVERAGE('01.08 URA-Spear Motors-24h'!E76,'03.08 URA-Spear Motors-24h'!E76)</f>
        <v>1.5</v>
      </c>
      <c r="F76" s="49">
        <f>AVERAGE('01.08 URA-Spear Motors-24h'!F76,'03.08 URA-Spear Motors-24h'!F76)</f>
        <v>6</v>
      </c>
      <c r="G76" s="49">
        <f>AVERAGE('01.08 URA-Spear Motors-24h'!G76,'03.08 URA-Spear Motors-24h'!G76)</f>
        <v>0</v>
      </c>
      <c r="H76" s="49">
        <f>AVERAGE('01.08 URA-Spear Motors-24h'!H76,'03.08 URA-Spear Motors-24h'!H76)</f>
        <v>0</v>
      </c>
      <c r="I76" s="49">
        <f>AVERAGE('01.08 URA-Spear Motors-24h'!I76,'03.08 URA-Spear Motors-24h'!I76)</f>
        <v>0</v>
      </c>
      <c r="J76" s="49">
        <f>AVERAGE('01.08 URA-Spear Motors-24h'!J76,'03.08 URA-Spear Motors-24h'!J76)</f>
        <v>0</v>
      </c>
      <c r="K76" s="49">
        <f>AVERAGE('01.08 URA-Spear Motors-24h'!K76,'03.08 URA-Spear Motors-24h'!K76)</f>
        <v>0</v>
      </c>
      <c r="L76" s="49">
        <f>AVERAGE('01.08 URA-Spear Motors-24h'!L76,'03.08 URA-Spear Motors-24h'!L76)</f>
        <v>0.5</v>
      </c>
      <c r="M76" s="49">
        <f>AVERAGE('01.08 URA-Spear Motors-24h'!M76,'03.08 URA-Spear Motors-24h'!M76)</f>
        <v>50.5</v>
      </c>
      <c r="N76" s="49">
        <f>AVERAGE('01.08 URA-Spear Motors-24h'!N76,'03.08 URA-Spear Motors-24h'!N76)</f>
        <v>0</v>
      </c>
      <c r="O76" s="15">
        <f t="shared" si="35"/>
        <v>37.5</v>
      </c>
      <c r="P76" s="15">
        <f t="shared" si="36"/>
        <v>88</v>
      </c>
      <c r="R76" s="8"/>
      <c r="T76"/>
    </row>
    <row r="77" spans="2:20" ht="23.1" customHeight="1" x14ac:dyDescent="0.25">
      <c r="B77" s="23" t="s">
        <v>117</v>
      </c>
      <c r="C77" s="49">
        <f>AVERAGE('01.08 URA-Spear Motors-24h'!C77,'03.08 URA-Spear Motors-24h'!C77)</f>
        <v>9.5</v>
      </c>
      <c r="D77" s="49">
        <f>AVERAGE('01.08 URA-Spear Motors-24h'!D77,'03.08 URA-Spear Motors-24h'!D77)</f>
        <v>6.5</v>
      </c>
      <c r="E77" s="49">
        <f>AVERAGE('01.08 URA-Spear Motors-24h'!E77,'03.08 URA-Spear Motors-24h'!E77)</f>
        <v>2</v>
      </c>
      <c r="F77" s="49">
        <f>AVERAGE('01.08 URA-Spear Motors-24h'!F77,'03.08 URA-Spear Motors-24h'!F77)</f>
        <v>0</v>
      </c>
      <c r="G77" s="49">
        <f>AVERAGE('01.08 URA-Spear Motors-24h'!G77,'03.08 URA-Spear Motors-24h'!G77)</f>
        <v>0</v>
      </c>
      <c r="H77" s="49">
        <f>AVERAGE('01.08 URA-Spear Motors-24h'!H77,'03.08 URA-Spear Motors-24h'!H77)</f>
        <v>0</v>
      </c>
      <c r="I77" s="49">
        <f>AVERAGE('01.08 URA-Spear Motors-24h'!I77,'03.08 URA-Spear Motors-24h'!I77)</f>
        <v>1.5</v>
      </c>
      <c r="J77" s="49">
        <f>AVERAGE('01.08 URA-Spear Motors-24h'!J77,'03.08 URA-Spear Motors-24h'!J77)</f>
        <v>0</v>
      </c>
      <c r="K77" s="49">
        <f>AVERAGE('01.08 URA-Spear Motors-24h'!K77,'03.08 URA-Spear Motors-24h'!K77)</f>
        <v>0</v>
      </c>
      <c r="L77" s="49">
        <f>AVERAGE('01.08 URA-Spear Motors-24h'!L77,'03.08 URA-Spear Motors-24h'!L77)</f>
        <v>0</v>
      </c>
      <c r="M77" s="49">
        <f>AVERAGE('01.08 URA-Spear Motors-24h'!M77,'03.08 URA-Spear Motors-24h'!M77)</f>
        <v>48.5</v>
      </c>
      <c r="N77" s="49">
        <f>AVERAGE('01.08 URA-Spear Motors-24h'!N77,'03.08 URA-Spear Motors-24h'!N77)</f>
        <v>0</v>
      </c>
      <c r="O77" s="15">
        <f t="shared" si="35"/>
        <v>19.5</v>
      </c>
      <c r="P77" s="15">
        <f t="shared" si="36"/>
        <v>68</v>
      </c>
      <c r="R77" s="8"/>
      <c r="T77"/>
    </row>
    <row r="78" spans="2:20" ht="23.1" customHeight="1" x14ac:dyDescent="0.25">
      <c r="B78" s="24" t="s">
        <v>118</v>
      </c>
      <c r="C78" s="49">
        <f>AVERAGE('01.08 URA-Spear Motors-24h'!C78,'03.08 URA-Spear Motors-24h'!C78)</f>
        <v>13</v>
      </c>
      <c r="D78" s="49">
        <f>AVERAGE('01.08 URA-Spear Motors-24h'!D78,'03.08 URA-Spear Motors-24h'!D78)</f>
        <v>5.5</v>
      </c>
      <c r="E78" s="49">
        <f>AVERAGE('01.08 URA-Spear Motors-24h'!E78,'03.08 URA-Spear Motors-24h'!E78)</f>
        <v>1</v>
      </c>
      <c r="F78" s="49">
        <f>AVERAGE('01.08 URA-Spear Motors-24h'!F78,'03.08 URA-Spear Motors-24h'!F78)</f>
        <v>0.5</v>
      </c>
      <c r="G78" s="49">
        <f>AVERAGE('01.08 URA-Spear Motors-24h'!G78,'03.08 URA-Spear Motors-24h'!G78)</f>
        <v>0</v>
      </c>
      <c r="H78" s="49">
        <f>AVERAGE('01.08 URA-Spear Motors-24h'!H78,'03.08 URA-Spear Motors-24h'!H78)</f>
        <v>0</v>
      </c>
      <c r="I78" s="49">
        <f>AVERAGE('01.08 URA-Spear Motors-24h'!I78,'03.08 URA-Spear Motors-24h'!I78)</f>
        <v>0</v>
      </c>
      <c r="J78" s="49">
        <f>AVERAGE('01.08 URA-Spear Motors-24h'!J78,'03.08 URA-Spear Motors-24h'!J78)</f>
        <v>0</v>
      </c>
      <c r="K78" s="49">
        <f>AVERAGE('01.08 URA-Spear Motors-24h'!K78,'03.08 URA-Spear Motors-24h'!K78)</f>
        <v>0</v>
      </c>
      <c r="L78" s="49">
        <f>AVERAGE('01.08 URA-Spear Motors-24h'!L78,'03.08 URA-Spear Motors-24h'!L78)</f>
        <v>0.5</v>
      </c>
      <c r="M78" s="49">
        <f>AVERAGE('01.08 URA-Spear Motors-24h'!M78,'03.08 URA-Spear Motors-24h'!M78)</f>
        <v>42</v>
      </c>
      <c r="N78" s="49">
        <f>AVERAGE('01.08 URA-Spear Motors-24h'!N78,'03.08 URA-Spear Motors-24h'!N78)</f>
        <v>0</v>
      </c>
      <c r="O78" s="15">
        <f t="shared" si="35"/>
        <v>20.5</v>
      </c>
      <c r="P78" s="15">
        <f t="shared" si="36"/>
        <v>62.5</v>
      </c>
      <c r="R78" s="8"/>
      <c r="T78"/>
    </row>
    <row r="79" spans="2:20" ht="23.1" customHeight="1" x14ac:dyDescent="0.25">
      <c r="B79" s="23" t="s">
        <v>119</v>
      </c>
      <c r="C79" s="49">
        <f>AVERAGE('01.08 URA-Spear Motors-24h'!C79,'03.08 URA-Spear Motors-24h'!C79)</f>
        <v>13.5</v>
      </c>
      <c r="D79" s="49">
        <f>AVERAGE('01.08 URA-Spear Motors-24h'!D79,'03.08 URA-Spear Motors-24h'!D79)</f>
        <v>5</v>
      </c>
      <c r="E79" s="49">
        <f>AVERAGE('01.08 URA-Spear Motors-24h'!E79,'03.08 URA-Spear Motors-24h'!E79)</f>
        <v>0.5</v>
      </c>
      <c r="F79" s="49">
        <f>AVERAGE('01.08 URA-Spear Motors-24h'!F79,'03.08 URA-Spear Motors-24h'!F79)</f>
        <v>0</v>
      </c>
      <c r="G79" s="49">
        <f>AVERAGE('01.08 URA-Spear Motors-24h'!G79,'03.08 URA-Spear Motors-24h'!G79)</f>
        <v>0</v>
      </c>
      <c r="H79" s="49">
        <f>AVERAGE('01.08 URA-Spear Motors-24h'!H79,'03.08 URA-Spear Motors-24h'!H79)</f>
        <v>0</v>
      </c>
      <c r="I79" s="49">
        <f>AVERAGE('01.08 URA-Spear Motors-24h'!I79,'03.08 URA-Spear Motors-24h'!I79)</f>
        <v>0.5</v>
      </c>
      <c r="J79" s="49">
        <f>AVERAGE('01.08 URA-Spear Motors-24h'!J79,'03.08 URA-Spear Motors-24h'!J79)</f>
        <v>0</v>
      </c>
      <c r="K79" s="49">
        <f>AVERAGE('01.08 URA-Spear Motors-24h'!K79,'03.08 URA-Spear Motors-24h'!K79)</f>
        <v>0</v>
      </c>
      <c r="L79" s="49">
        <f>AVERAGE('01.08 URA-Spear Motors-24h'!L79,'03.08 URA-Spear Motors-24h'!L79)</f>
        <v>0</v>
      </c>
      <c r="M79" s="49">
        <f>AVERAGE('01.08 URA-Spear Motors-24h'!M79,'03.08 URA-Spear Motors-24h'!M79)</f>
        <v>30</v>
      </c>
      <c r="N79" s="49">
        <f>AVERAGE('01.08 URA-Spear Motors-24h'!N79,'03.08 URA-Spear Motors-24h'!N79)</f>
        <v>0</v>
      </c>
      <c r="O79" s="15">
        <f t="shared" si="35"/>
        <v>19.5</v>
      </c>
      <c r="P79" s="15">
        <f t="shared" si="36"/>
        <v>49.5</v>
      </c>
      <c r="R79" s="8"/>
      <c r="T79"/>
    </row>
    <row r="80" spans="2:20" ht="23.1" customHeight="1" x14ac:dyDescent="0.25">
      <c r="B80" s="25" t="s">
        <v>120</v>
      </c>
      <c r="C80" s="49">
        <f>AVERAGE('01.08 URA-Spear Motors-24h'!C80,'03.08 URA-Spear Motors-24h'!C80)</f>
        <v>10.5</v>
      </c>
      <c r="D80" s="49">
        <f>AVERAGE('01.08 URA-Spear Motors-24h'!D80,'03.08 URA-Spear Motors-24h'!D80)</f>
        <v>3</v>
      </c>
      <c r="E80" s="49">
        <f>AVERAGE('01.08 URA-Spear Motors-24h'!E80,'03.08 URA-Spear Motors-24h'!E80)</f>
        <v>1.5</v>
      </c>
      <c r="F80" s="49">
        <f>AVERAGE('01.08 URA-Spear Motors-24h'!F80,'03.08 URA-Spear Motors-24h'!F80)</f>
        <v>0</v>
      </c>
      <c r="G80" s="49">
        <f>AVERAGE('01.08 URA-Spear Motors-24h'!G80,'03.08 URA-Spear Motors-24h'!G80)</f>
        <v>0</v>
      </c>
      <c r="H80" s="49">
        <f>AVERAGE('01.08 URA-Spear Motors-24h'!H80,'03.08 URA-Spear Motors-24h'!H80)</f>
        <v>0</v>
      </c>
      <c r="I80" s="49">
        <f>AVERAGE('01.08 URA-Spear Motors-24h'!I80,'03.08 URA-Spear Motors-24h'!I80)</f>
        <v>0</v>
      </c>
      <c r="J80" s="49">
        <f>AVERAGE('01.08 URA-Spear Motors-24h'!J80,'03.08 URA-Spear Motors-24h'!J80)</f>
        <v>0</v>
      </c>
      <c r="K80" s="49">
        <f>AVERAGE('01.08 URA-Spear Motors-24h'!K80,'03.08 URA-Spear Motors-24h'!K80)</f>
        <v>0</v>
      </c>
      <c r="L80" s="49">
        <f>AVERAGE('01.08 URA-Spear Motors-24h'!L80,'03.08 URA-Spear Motors-24h'!L80)</f>
        <v>0.5</v>
      </c>
      <c r="M80" s="49">
        <f>AVERAGE('01.08 URA-Spear Motors-24h'!M80,'03.08 URA-Spear Motors-24h'!M80)</f>
        <v>43</v>
      </c>
      <c r="N80" s="49">
        <f>AVERAGE('01.08 URA-Spear Motors-24h'!N80,'03.08 URA-Spear Motors-24h'!N80)</f>
        <v>0</v>
      </c>
      <c r="O80" s="15">
        <f t="shared" si="35"/>
        <v>15.5</v>
      </c>
      <c r="P80" s="15">
        <f t="shared" si="36"/>
        <v>58.5</v>
      </c>
      <c r="R80" s="8"/>
      <c r="T80"/>
    </row>
    <row r="81" spans="2:20" ht="23.1" customHeight="1" x14ac:dyDescent="0.25">
      <c r="B81" s="23" t="s">
        <v>121</v>
      </c>
      <c r="C81" s="49">
        <f>AVERAGE('01.08 URA-Spear Motors-24h'!C81,'03.08 URA-Spear Motors-24h'!C81)</f>
        <v>8</v>
      </c>
      <c r="D81" s="49">
        <f>AVERAGE('01.08 URA-Spear Motors-24h'!D81,'03.08 URA-Spear Motors-24h'!D81)</f>
        <v>2.5</v>
      </c>
      <c r="E81" s="49">
        <f>AVERAGE('01.08 URA-Spear Motors-24h'!E81,'03.08 URA-Spear Motors-24h'!E81)</f>
        <v>0</v>
      </c>
      <c r="F81" s="49">
        <f>AVERAGE('01.08 URA-Spear Motors-24h'!F81,'03.08 URA-Spear Motors-24h'!F81)</f>
        <v>1</v>
      </c>
      <c r="G81" s="49">
        <f>AVERAGE('01.08 URA-Spear Motors-24h'!G81,'03.08 URA-Spear Motors-24h'!G81)</f>
        <v>0</v>
      </c>
      <c r="H81" s="49">
        <f>AVERAGE('01.08 URA-Spear Motors-24h'!H81,'03.08 URA-Spear Motors-24h'!H81)</f>
        <v>0</v>
      </c>
      <c r="I81" s="49">
        <f>AVERAGE('01.08 URA-Spear Motors-24h'!I81,'03.08 URA-Spear Motors-24h'!I81)</f>
        <v>0</v>
      </c>
      <c r="J81" s="49">
        <f>AVERAGE('01.08 URA-Spear Motors-24h'!J81,'03.08 URA-Spear Motors-24h'!J81)</f>
        <v>0</v>
      </c>
      <c r="K81" s="49">
        <f>AVERAGE('01.08 URA-Spear Motors-24h'!K81,'03.08 URA-Spear Motors-24h'!K81)</f>
        <v>0</v>
      </c>
      <c r="L81" s="49">
        <f>AVERAGE('01.08 URA-Spear Motors-24h'!L81,'03.08 URA-Spear Motors-24h'!L81)</f>
        <v>0.5</v>
      </c>
      <c r="M81" s="49">
        <f>AVERAGE('01.08 URA-Spear Motors-24h'!M81,'03.08 URA-Spear Motors-24h'!M81)</f>
        <v>24.5</v>
      </c>
      <c r="N81" s="49">
        <f>AVERAGE('01.08 URA-Spear Motors-24h'!N81,'03.08 URA-Spear Motors-24h'!N81)</f>
        <v>0</v>
      </c>
      <c r="O81" s="15">
        <f t="shared" si="35"/>
        <v>12</v>
      </c>
      <c r="P81" s="15">
        <f t="shared" si="36"/>
        <v>36.5</v>
      </c>
      <c r="R81" s="8"/>
      <c r="T81"/>
    </row>
    <row r="82" spans="2:20" ht="23.1" customHeight="1" x14ac:dyDescent="0.25">
      <c r="B82" s="24" t="s">
        <v>122</v>
      </c>
      <c r="C82" s="49">
        <f>AVERAGE('01.08 URA-Spear Motors-24h'!C82,'03.08 URA-Spear Motors-24h'!C82)</f>
        <v>6.5</v>
      </c>
      <c r="D82" s="49">
        <f>AVERAGE('01.08 URA-Spear Motors-24h'!D82,'03.08 URA-Spear Motors-24h'!D82)</f>
        <v>2</v>
      </c>
      <c r="E82" s="49">
        <f>AVERAGE('01.08 URA-Spear Motors-24h'!E82,'03.08 URA-Spear Motors-24h'!E82)</f>
        <v>1.5</v>
      </c>
      <c r="F82" s="49">
        <f>AVERAGE('01.08 URA-Spear Motors-24h'!F82,'03.08 URA-Spear Motors-24h'!F82)</f>
        <v>0</v>
      </c>
      <c r="G82" s="49">
        <f>AVERAGE('01.08 URA-Spear Motors-24h'!G82,'03.08 URA-Spear Motors-24h'!G82)</f>
        <v>0</v>
      </c>
      <c r="H82" s="49">
        <f>AVERAGE('01.08 URA-Spear Motors-24h'!H82,'03.08 URA-Spear Motors-24h'!H82)</f>
        <v>0</v>
      </c>
      <c r="I82" s="49">
        <f>AVERAGE('01.08 URA-Spear Motors-24h'!I82,'03.08 URA-Spear Motors-24h'!I82)</f>
        <v>0</v>
      </c>
      <c r="J82" s="49">
        <f>AVERAGE('01.08 URA-Spear Motors-24h'!J82,'03.08 URA-Spear Motors-24h'!J82)</f>
        <v>0</v>
      </c>
      <c r="K82" s="49">
        <f>AVERAGE('01.08 URA-Spear Motors-24h'!K82,'03.08 URA-Spear Motors-24h'!K82)</f>
        <v>0</v>
      </c>
      <c r="L82" s="49">
        <f>AVERAGE('01.08 URA-Spear Motors-24h'!L82,'03.08 URA-Spear Motors-24h'!L82)</f>
        <v>0</v>
      </c>
      <c r="M82" s="49">
        <f>AVERAGE('01.08 URA-Spear Motors-24h'!M82,'03.08 URA-Spear Motors-24h'!M82)</f>
        <v>30.5</v>
      </c>
      <c r="N82" s="49">
        <f>AVERAGE('01.08 URA-Spear Motors-24h'!N82,'03.08 URA-Spear Motors-24h'!N82)</f>
        <v>0</v>
      </c>
      <c r="O82" s="15">
        <f t="shared" si="35"/>
        <v>10</v>
      </c>
      <c r="P82" s="15">
        <f t="shared" si="36"/>
        <v>40.5</v>
      </c>
      <c r="R82" s="8"/>
      <c r="T82"/>
    </row>
    <row r="83" spans="2:20" ht="23.1" customHeight="1" x14ac:dyDescent="0.25">
      <c r="B83" s="23" t="s">
        <v>123</v>
      </c>
      <c r="C83" s="49">
        <f>AVERAGE('01.08 URA-Spear Motors-24h'!C83,'03.08 URA-Spear Motors-24h'!C83)</f>
        <v>5.5</v>
      </c>
      <c r="D83" s="49">
        <f>AVERAGE('01.08 URA-Spear Motors-24h'!D83,'03.08 URA-Spear Motors-24h'!D83)</f>
        <v>1.5</v>
      </c>
      <c r="E83" s="49">
        <f>AVERAGE('01.08 URA-Spear Motors-24h'!E83,'03.08 URA-Spear Motors-24h'!E83)</f>
        <v>0</v>
      </c>
      <c r="F83" s="49">
        <f>AVERAGE('01.08 URA-Spear Motors-24h'!F83,'03.08 URA-Spear Motors-24h'!F83)</f>
        <v>1.5</v>
      </c>
      <c r="G83" s="49">
        <f>AVERAGE('01.08 URA-Spear Motors-24h'!G83,'03.08 URA-Spear Motors-24h'!G83)</f>
        <v>0</v>
      </c>
      <c r="H83" s="49">
        <f>AVERAGE('01.08 URA-Spear Motors-24h'!H83,'03.08 URA-Spear Motors-24h'!H83)</f>
        <v>0</v>
      </c>
      <c r="I83" s="49">
        <f>AVERAGE('01.08 URA-Spear Motors-24h'!I83,'03.08 URA-Spear Motors-24h'!I83)</f>
        <v>1</v>
      </c>
      <c r="J83" s="49">
        <f>AVERAGE('01.08 URA-Spear Motors-24h'!J83,'03.08 URA-Spear Motors-24h'!J83)</f>
        <v>0</v>
      </c>
      <c r="K83" s="49">
        <f>AVERAGE('01.08 URA-Spear Motors-24h'!K83,'03.08 URA-Spear Motors-24h'!K83)</f>
        <v>0</v>
      </c>
      <c r="L83" s="49">
        <f>AVERAGE('01.08 URA-Spear Motors-24h'!L83,'03.08 URA-Spear Motors-24h'!L83)</f>
        <v>0</v>
      </c>
      <c r="M83" s="49">
        <f>AVERAGE('01.08 URA-Spear Motors-24h'!M83,'03.08 URA-Spear Motors-24h'!M83)</f>
        <v>16.5</v>
      </c>
      <c r="N83" s="49">
        <f>AVERAGE('01.08 URA-Spear Motors-24h'!N83,'03.08 URA-Spear Motors-24h'!N83)</f>
        <v>0</v>
      </c>
      <c r="O83" s="15">
        <f t="shared" si="35"/>
        <v>9.5</v>
      </c>
      <c r="P83" s="15">
        <f t="shared" si="36"/>
        <v>26</v>
      </c>
      <c r="R83" s="8"/>
      <c r="T83"/>
    </row>
    <row r="84" spans="2:20" ht="23.1" customHeight="1" x14ac:dyDescent="0.25">
      <c r="B84" s="25" t="s">
        <v>124</v>
      </c>
      <c r="C84" s="49">
        <f>AVERAGE('01.08 URA-Spear Motors-24h'!C84,'03.08 URA-Spear Motors-24h'!C84)</f>
        <v>7</v>
      </c>
      <c r="D84" s="49">
        <f>AVERAGE('01.08 URA-Spear Motors-24h'!D84,'03.08 URA-Spear Motors-24h'!D84)</f>
        <v>3.5</v>
      </c>
      <c r="E84" s="49">
        <f>AVERAGE('01.08 URA-Spear Motors-24h'!E84,'03.08 URA-Spear Motors-24h'!E84)</f>
        <v>1</v>
      </c>
      <c r="F84" s="49">
        <f>AVERAGE('01.08 URA-Spear Motors-24h'!F84,'03.08 URA-Spear Motors-24h'!F84)</f>
        <v>1</v>
      </c>
      <c r="G84" s="49">
        <f>AVERAGE('01.08 URA-Spear Motors-24h'!G84,'03.08 URA-Spear Motors-24h'!G84)</f>
        <v>0.5</v>
      </c>
      <c r="H84" s="49">
        <f>AVERAGE('01.08 URA-Spear Motors-24h'!H84,'03.08 URA-Spear Motors-24h'!H84)</f>
        <v>0</v>
      </c>
      <c r="I84" s="49">
        <f>AVERAGE('01.08 URA-Spear Motors-24h'!I84,'03.08 URA-Spear Motors-24h'!I84)</f>
        <v>1.5</v>
      </c>
      <c r="J84" s="49">
        <f>AVERAGE('01.08 URA-Spear Motors-24h'!J84,'03.08 URA-Spear Motors-24h'!J84)</f>
        <v>0.5</v>
      </c>
      <c r="K84" s="49">
        <f>AVERAGE('01.08 URA-Spear Motors-24h'!K84,'03.08 URA-Spear Motors-24h'!K84)</f>
        <v>0</v>
      </c>
      <c r="L84" s="49">
        <f>AVERAGE('01.08 URA-Spear Motors-24h'!L84,'03.08 URA-Spear Motors-24h'!L84)</f>
        <v>0</v>
      </c>
      <c r="M84" s="49">
        <f>AVERAGE('01.08 URA-Spear Motors-24h'!M84,'03.08 URA-Spear Motors-24h'!M84)</f>
        <v>14</v>
      </c>
      <c r="N84" s="49">
        <f>AVERAGE('01.08 URA-Spear Motors-24h'!N84,'03.08 URA-Spear Motors-24h'!N84)</f>
        <v>0</v>
      </c>
      <c r="O84" s="15">
        <f t="shared" si="35"/>
        <v>15</v>
      </c>
      <c r="P84" s="15">
        <f t="shared" si="36"/>
        <v>29</v>
      </c>
      <c r="R84" s="8"/>
      <c r="T84"/>
    </row>
    <row r="85" spans="2:20" ht="23.1" customHeight="1" x14ac:dyDescent="0.25">
      <c r="B85" s="23" t="s">
        <v>125</v>
      </c>
      <c r="C85" s="49">
        <f>AVERAGE('01.08 URA-Spear Motors-24h'!C85,'03.08 URA-Spear Motors-24h'!C85)</f>
        <v>4.5</v>
      </c>
      <c r="D85" s="49">
        <f>AVERAGE('01.08 URA-Spear Motors-24h'!D85,'03.08 URA-Spear Motors-24h'!D85)</f>
        <v>4.5</v>
      </c>
      <c r="E85" s="49">
        <f>AVERAGE('01.08 URA-Spear Motors-24h'!E85,'03.08 URA-Spear Motors-24h'!E85)</f>
        <v>0</v>
      </c>
      <c r="F85" s="49">
        <f>AVERAGE('01.08 URA-Spear Motors-24h'!F85,'03.08 URA-Spear Motors-24h'!F85)</f>
        <v>0</v>
      </c>
      <c r="G85" s="49">
        <f>AVERAGE('01.08 URA-Spear Motors-24h'!G85,'03.08 URA-Spear Motors-24h'!G85)</f>
        <v>0</v>
      </c>
      <c r="H85" s="49">
        <f>AVERAGE('01.08 URA-Spear Motors-24h'!H85,'03.08 URA-Spear Motors-24h'!H85)</f>
        <v>0</v>
      </c>
      <c r="I85" s="49">
        <f>AVERAGE('01.08 URA-Spear Motors-24h'!I85,'03.08 URA-Spear Motors-24h'!I85)</f>
        <v>0</v>
      </c>
      <c r="J85" s="49">
        <f>AVERAGE('01.08 URA-Spear Motors-24h'!J85,'03.08 URA-Spear Motors-24h'!J85)</f>
        <v>0</v>
      </c>
      <c r="K85" s="49">
        <f>AVERAGE('01.08 URA-Spear Motors-24h'!K85,'03.08 URA-Spear Motors-24h'!K85)</f>
        <v>0</v>
      </c>
      <c r="L85" s="49">
        <f>AVERAGE('01.08 URA-Spear Motors-24h'!L85,'03.08 URA-Spear Motors-24h'!L85)</f>
        <v>0</v>
      </c>
      <c r="M85" s="49">
        <f>AVERAGE('01.08 URA-Spear Motors-24h'!M85,'03.08 URA-Spear Motors-24h'!M85)</f>
        <v>17</v>
      </c>
      <c r="N85" s="49">
        <f>AVERAGE('01.08 URA-Spear Motors-24h'!N85,'03.08 URA-Spear Motors-24h'!N85)</f>
        <v>0</v>
      </c>
      <c r="O85" s="15">
        <f t="shared" si="35"/>
        <v>9</v>
      </c>
      <c r="P85" s="15">
        <f t="shared" si="36"/>
        <v>26</v>
      </c>
      <c r="R85" s="8"/>
      <c r="T85"/>
    </row>
    <row r="86" spans="2:20" ht="23.1" customHeight="1" x14ac:dyDescent="0.25">
      <c r="B86" s="24" t="s">
        <v>126</v>
      </c>
      <c r="C86" s="49">
        <f>AVERAGE('01.08 URA-Spear Motors-24h'!C86,'03.08 URA-Spear Motors-24h'!C86)</f>
        <v>5</v>
      </c>
      <c r="D86" s="49">
        <f>AVERAGE('01.08 URA-Spear Motors-24h'!D86,'03.08 URA-Spear Motors-24h'!D86)</f>
        <v>4.5</v>
      </c>
      <c r="E86" s="49">
        <f>AVERAGE('01.08 URA-Spear Motors-24h'!E86,'03.08 URA-Spear Motors-24h'!E86)</f>
        <v>1</v>
      </c>
      <c r="F86" s="49">
        <f>AVERAGE('01.08 URA-Spear Motors-24h'!F86,'03.08 URA-Spear Motors-24h'!F86)</f>
        <v>0.5</v>
      </c>
      <c r="G86" s="49">
        <f>AVERAGE('01.08 URA-Spear Motors-24h'!G86,'03.08 URA-Spear Motors-24h'!G86)</f>
        <v>0</v>
      </c>
      <c r="H86" s="49">
        <f>AVERAGE('01.08 URA-Spear Motors-24h'!H86,'03.08 URA-Spear Motors-24h'!H86)</f>
        <v>0</v>
      </c>
      <c r="I86" s="49">
        <f>AVERAGE('01.08 URA-Spear Motors-24h'!I86,'03.08 URA-Spear Motors-24h'!I86)</f>
        <v>0</v>
      </c>
      <c r="J86" s="49">
        <f>AVERAGE('01.08 URA-Spear Motors-24h'!J86,'03.08 URA-Spear Motors-24h'!J86)</f>
        <v>0</v>
      </c>
      <c r="K86" s="49">
        <f>AVERAGE('01.08 URA-Spear Motors-24h'!K86,'03.08 URA-Spear Motors-24h'!K86)</f>
        <v>0</v>
      </c>
      <c r="L86" s="49">
        <f>AVERAGE('01.08 URA-Spear Motors-24h'!L86,'03.08 URA-Spear Motors-24h'!L86)</f>
        <v>0</v>
      </c>
      <c r="M86" s="49">
        <f>AVERAGE('01.08 URA-Spear Motors-24h'!M86,'03.08 URA-Spear Motors-24h'!M86)</f>
        <v>21.5</v>
      </c>
      <c r="N86" s="49">
        <f>AVERAGE('01.08 URA-Spear Motors-24h'!N86,'03.08 URA-Spear Motors-24h'!N86)</f>
        <v>0</v>
      </c>
      <c r="O86" s="15">
        <f t="shared" si="35"/>
        <v>11</v>
      </c>
      <c r="P86" s="15">
        <f t="shared" si="36"/>
        <v>32.5</v>
      </c>
      <c r="R86" s="8"/>
      <c r="T86"/>
    </row>
    <row r="87" spans="2:20" ht="23.1" customHeight="1" x14ac:dyDescent="0.25">
      <c r="B87" s="23" t="s">
        <v>127</v>
      </c>
      <c r="C87" s="49">
        <f>AVERAGE('01.08 URA-Spear Motors-24h'!C87,'03.08 URA-Spear Motors-24h'!C87)</f>
        <v>2</v>
      </c>
      <c r="D87" s="49">
        <f>AVERAGE('01.08 URA-Spear Motors-24h'!D87,'03.08 URA-Spear Motors-24h'!D87)</f>
        <v>1.5</v>
      </c>
      <c r="E87" s="49">
        <f>AVERAGE('01.08 URA-Spear Motors-24h'!E87,'03.08 URA-Spear Motors-24h'!E87)</f>
        <v>0</v>
      </c>
      <c r="F87" s="49">
        <f>AVERAGE('01.08 URA-Spear Motors-24h'!F87,'03.08 URA-Spear Motors-24h'!F87)</f>
        <v>1</v>
      </c>
      <c r="G87" s="49">
        <f>AVERAGE('01.08 URA-Spear Motors-24h'!G87,'03.08 URA-Spear Motors-24h'!G87)</f>
        <v>0</v>
      </c>
      <c r="H87" s="49">
        <f>AVERAGE('01.08 URA-Spear Motors-24h'!H87,'03.08 URA-Spear Motors-24h'!H87)</f>
        <v>0</v>
      </c>
      <c r="I87" s="49">
        <f>AVERAGE('01.08 URA-Spear Motors-24h'!I87,'03.08 URA-Spear Motors-24h'!I87)</f>
        <v>0</v>
      </c>
      <c r="J87" s="49">
        <f>AVERAGE('01.08 URA-Spear Motors-24h'!J87,'03.08 URA-Spear Motors-24h'!J87)</f>
        <v>0</v>
      </c>
      <c r="K87" s="49">
        <f>AVERAGE('01.08 URA-Spear Motors-24h'!K87,'03.08 URA-Spear Motors-24h'!K87)</f>
        <v>0</v>
      </c>
      <c r="L87" s="49">
        <f>AVERAGE('01.08 URA-Spear Motors-24h'!L87,'03.08 URA-Spear Motors-24h'!L87)</f>
        <v>0</v>
      </c>
      <c r="M87" s="49">
        <f>AVERAGE('01.08 URA-Spear Motors-24h'!M87,'03.08 URA-Spear Motors-24h'!M87)</f>
        <v>12</v>
      </c>
      <c r="N87" s="49">
        <f>AVERAGE('01.08 URA-Spear Motors-24h'!N87,'03.08 URA-Spear Motors-24h'!N87)</f>
        <v>0</v>
      </c>
      <c r="O87" s="15">
        <f t="shared" si="35"/>
        <v>4.5</v>
      </c>
      <c r="P87" s="15">
        <f t="shared" si="36"/>
        <v>16.5</v>
      </c>
      <c r="R87" s="8"/>
      <c r="T87"/>
    </row>
    <row r="88" spans="2:20" ht="23.1" customHeight="1" x14ac:dyDescent="0.25">
      <c r="B88" s="25" t="s">
        <v>128</v>
      </c>
      <c r="C88" s="49">
        <f>AVERAGE('01.08 URA-Spear Motors-24h'!C88,'03.08 URA-Spear Motors-24h'!C88)</f>
        <v>5</v>
      </c>
      <c r="D88" s="49">
        <f>AVERAGE('01.08 URA-Spear Motors-24h'!D88,'03.08 URA-Spear Motors-24h'!D88)</f>
        <v>0.5</v>
      </c>
      <c r="E88" s="49">
        <f>AVERAGE('01.08 URA-Spear Motors-24h'!E88,'03.08 URA-Spear Motors-24h'!E88)</f>
        <v>0.5</v>
      </c>
      <c r="F88" s="49">
        <f>AVERAGE('01.08 URA-Spear Motors-24h'!F88,'03.08 URA-Spear Motors-24h'!F88)</f>
        <v>0.5</v>
      </c>
      <c r="G88" s="49">
        <f>AVERAGE('01.08 URA-Spear Motors-24h'!G88,'03.08 URA-Spear Motors-24h'!G88)</f>
        <v>0</v>
      </c>
      <c r="H88" s="49">
        <f>AVERAGE('01.08 URA-Spear Motors-24h'!H88,'03.08 URA-Spear Motors-24h'!H88)</f>
        <v>0</v>
      </c>
      <c r="I88" s="49">
        <f>AVERAGE('01.08 URA-Spear Motors-24h'!I88,'03.08 URA-Spear Motors-24h'!I88)</f>
        <v>0</v>
      </c>
      <c r="J88" s="49">
        <f>AVERAGE('01.08 URA-Spear Motors-24h'!J88,'03.08 URA-Spear Motors-24h'!J88)</f>
        <v>0.5</v>
      </c>
      <c r="K88" s="49">
        <f>AVERAGE('01.08 URA-Spear Motors-24h'!K88,'03.08 URA-Spear Motors-24h'!K88)</f>
        <v>0</v>
      </c>
      <c r="L88" s="49">
        <f>AVERAGE('01.08 URA-Spear Motors-24h'!L88,'03.08 URA-Spear Motors-24h'!L88)</f>
        <v>0</v>
      </c>
      <c r="M88" s="49">
        <f>AVERAGE('01.08 URA-Spear Motors-24h'!M88,'03.08 URA-Spear Motors-24h'!M88)</f>
        <v>10.5</v>
      </c>
      <c r="N88" s="49">
        <f>AVERAGE('01.08 URA-Spear Motors-24h'!N88,'03.08 URA-Spear Motors-24h'!N88)</f>
        <v>0</v>
      </c>
      <c r="O88" s="15">
        <f t="shared" si="35"/>
        <v>7</v>
      </c>
      <c r="P88" s="15">
        <f t="shared" si="36"/>
        <v>17.5</v>
      </c>
      <c r="R88" s="8"/>
      <c r="T88"/>
    </row>
    <row r="89" spans="2:20" ht="23.1" customHeight="1" x14ac:dyDescent="0.25">
      <c r="B89" s="23" t="s">
        <v>129</v>
      </c>
      <c r="C89" s="49">
        <f>AVERAGE('01.08 URA-Spear Motors-24h'!C89,'03.08 URA-Spear Motors-24h'!C89)</f>
        <v>4</v>
      </c>
      <c r="D89" s="49">
        <f>AVERAGE('01.08 URA-Spear Motors-24h'!D89,'03.08 URA-Spear Motors-24h'!D89)</f>
        <v>2</v>
      </c>
      <c r="E89" s="49">
        <f>AVERAGE('01.08 URA-Spear Motors-24h'!E89,'03.08 URA-Spear Motors-24h'!E89)</f>
        <v>0</v>
      </c>
      <c r="F89" s="49">
        <f>AVERAGE('01.08 URA-Spear Motors-24h'!F89,'03.08 URA-Spear Motors-24h'!F89)</f>
        <v>1</v>
      </c>
      <c r="G89" s="49">
        <f>AVERAGE('01.08 URA-Spear Motors-24h'!G89,'03.08 URA-Spear Motors-24h'!G89)</f>
        <v>0</v>
      </c>
      <c r="H89" s="49">
        <f>AVERAGE('01.08 URA-Spear Motors-24h'!H89,'03.08 URA-Spear Motors-24h'!H89)</f>
        <v>0</v>
      </c>
      <c r="I89" s="49">
        <f>AVERAGE('01.08 URA-Spear Motors-24h'!I89,'03.08 URA-Spear Motors-24h'!I89)</f>
        <v>0</v>
      </c>
      <c r="J89" s="49">
        <f>AVERAGE('01.08 URA-Spear Motors-24h'!J89,'03.08 URA-Spear Motors-24h'!J89)</f>
        <v>0</v>
      </c>
      <c r="K89" s="49">
        <f>AVERAGE('01.08 URA-Spear Motors-24h'!K89,'03.08 URA-Spear Motors-24h'!K89)</f>
        <v>0</v>
      </c>
      <c r="L89" s="49">
        <f>AVERAGE('01.08 URA-Spear Motors-24h'!L89,'03.08 URA-Spear Motors-24h'!L89)</f>
        <v>0</v>
      </c>
      <c r="M89" s="49">
        <f>AVERAGE('01.08 URA-Spear Motors-24h'!M89,'03.08 URA-Spear Motors-24h'!M89)</f>
        <v>10.5</v>
      </c>
      <c r="N89" s="49">
        <f>AVERAGE('01.08 URA-Spear Motors-24h'!N89,'03.08 URA-Spear Motors-24h'!N89)</f>
        <v>0</v>
      </c>
      <c r="O89" s="15">
        <f t="shared" si="35"/>
        <v>7</v>
      </c>
      <c r="P89" s="15">
        <f t="shared" si="36"/>
        <v>17.5</v>
      </c>
      <c r="R89" s="8"/>
      <c r="T89"/>
    </row>
    <row r="90" spans="2:20" ht="23.1" customHeight="1" x14ac:dyDescent="0.25">
      <c r="B90" s="24" t="s">
        <v>130</v>
      </c>
      <c r="C90" s="49">
        <f>AVERAGE('01.08 URA-Spear Motors-24h'!C90,'03.08 URA-Spear Motors-24h'!C90)</f>
        <v>5</v>
      </c>
      <c r="D90" s="49">
        <f>AVERAGE('01.08 URA-Spear Motors-24h'!D90,'03.08 URA-Spear Motors-24h'!D90)</f>
        <v>1</v>
      </c>
      <c r="E90" s="49">
        <f>AVERAGE('01.08 URA-Spear Motors-24h'!E90,'03.08 URA-Spear Motors-24h'!E90)</f>
        <v>0</v>
      </c>
      <c r="F90" s="49">
        <f>AVERAGE('01.08 URA-Spear Motors-24h'!F90,'03.08 URA-Spear Motors-24h'!F90)</f>
        <v>0.5</v>
      </c>
      <c r="G90" s="49">
        <f>AVERAGE('01.08 URA-Spear Motors-24h'!G90,'03.08 URA-Spear Motors-24h'!G90)</f>
        <v>0</v>
      </c>
      <c r="H90" s="49">
        <f>AVERAGE('01.08 URA-Spear Motors-24h'!H90,'03.08 URA-Spear Motors-24h'!H90)</f>
        <v>0</v>
      </c>
      <c r="I90" s="49">
        <f>AVERAGE('01.08 URA-Spear Motors-24h'!I90,'03.08 URA-Spear Motors-24h'!I90)</f>
        <v>0</v>
      </c>
      <c r="J90" s="49">
        <f>AVERAGE('01.08 URA-Spear Motors-24h'!J90,'03.08 URA-Spear Motors-24h'!J90)</f>
        <v>0</v>
      </c>
      <c r="K90" s="49">
        <f>AVERAGE('01.08 URA-Spear Motors-24h'!K90,'03.08 URA-Spear Motors-24h'!K90)</f>
        <v>0</v>
      </c>
      <c r="L90" s="49">
        <f>AVERAGE('01.08 URA-Spear Motors-24h'!L90,'03.08 URA-Spear Motors-24h'!L90)</f>
        <v>0</v>
      </c>
      <c r="M90" s="49">
        <f>AVERAGE('01.08 URA-Spear Motors-24h'!M90,'03.08 URA-Spear Motors-24h'!M90)</f>
        <v>10.5</v>
      </c>
      <c r="N90" s="49">
        <f>AVERAGE('01.08 URA-Spear Motors-24h'!N90,'03.08 URA-Spear Motors-24h'!N90)</f>
        <v>0</v>
      </c>
      <c r="O90" s="15">
        <f t="shared" si="35"/>
        <v>6.5</v>
      </c>
      <c r="P90" s="15">
        <f t="shared" si="36"/>
        <v>17</v>
      </c>
      <c r="R90" s="8"/>
      <c r="T90"/>
    </row>
    <row r="91" spans="2:20" ht="23.1" customHeight="1" x14ac:dyDescent="0.25">
      <c r="B91" s="23" t="s">
        <v>131</v>
      </c>
      <c r="C91" s="49">
        <f>AVERAGE('01.08 URA-Spear Motors-24h'!C91,'03.08 URA-Spear Motors-24h'!C91)</f>
        <v>1.5</v>
      </c>
      <c r="D91" s="49">
        <f>AVERAGE('01.08 URA-Spear Motors-24h'!D91,'03.08 URA-Spear Motors-24h'!D91)</f>
        <v>2.5</v>
      </c>
      <c r="E91" s="49">
        <f>AVERAGE('01.08 URA-Spear Motors-24h'!E91,'03.08 URA-Spear Motors-24h'!E91)</f>
        <v>0.5</v>
      </c>
      <c r="F91" s="49">
        <f>AVERAGE('01.08 URA-Spear Motors-24h'!F91,'03.08 URA-Spear Motors-24h'!F91)</f>
        <v>0.5</v>
      </c>
      <c r="G91" s="49">
        <f>AVERAGE('01.08 URA-Spear Motors-24h'!G91,'03.08 URA-Spear Motors-24h'!G91)</f>
        <v>0</v>
      </c>
      <c r="H91" s="49">
        <f>AVERAGE('01.08 URA-Spear Motors-24h'!H91,'03.08 URA-Spear Motors-24h'!H91)</f>
        <v>0</v>
      </c>
      <c r="I91" s="49">
        <f>AVERAGE('01.08 URA-Spear Motors-24h'!I91,'03.08 URA-Spear Motors-24h'!I91)</f>
        <v>0</v>
      </c>
      <c r="J91" s="49">
        <f>AVERAGE('01.08 URA-Spear Motors-24h'!J91,'03.08 URA-Spear Motors-24h'!J91)</f>
        <v>0</v>
      </c>
      <c r="K91" s="49">
        <f>AVERAGE('01.08 URA-Spear Motors-24h'!K91,'03.08 URA-Spear Motors-24h'!K91)</f>
        <v>0</v>
      </c>
      <c r="L91" s="49">
        <f>AVERAGE('01.08 URA-Spear Motors-24h'!L91,'03.08 URA-Spear Motors-24h'!L91)</f>
        <v>0</v>
      </c>
      <c r="M91" s="49">
        <f>AVERAGE('01.08 URA-Spear Motors-24h'!M91,'03.08 URA-Spear Motors-24h'!M91)</f>
        <v>5.5</v>
      </c>
      <c r="N91" s="49">
        <f>AVERAGE('01.08 URA-Spear Motors-24h'!N91,'03.08 URA-Spear Motors-24h'!N91)</f>
        <v>0</v>
      </c>
      <c r="O91" s="15">
        <f t="shared" si="35"/>
        <v>5</v>
      </c>
      <c r="P91" s="15">
        <f t="shared" si="36"/>
        <v>10.5</v>
      </c>
      <c r="R91" s="8"/>
      <c r="T91"/>
    </row>
    <row r="92" spans="2:20" ht="23.1" customHeight="1" x14ac:dyDescent="0.25">
      <c r="B92" s="25" t="s">
        <v>132</v>
      </c>
      <c r="C92" s="49">
        <f>AVERAGE('01.08 URA-Spear Motors-24h'!C92,'03.08 URA-Spear Motors-24h'!C92)</f>
        <v>5</v>
      </c>
      <c r="D92" s="49">
        <f>AVERAGE('01.08 URA-Spear Motors-24h'!D92,'03.08 URA-Spear Motors-24h'!D92)</f>
        <v>1</v>
      </c>
      <c r="E92" s="49">
        <f>AVERAGE('01.08 URA-Spear Motors-24h'!E92,'03.08 URA-Spear Motors-24h'!E92)</f>
        <v>0</v>
      </c>
      <c r="F92" s="49">
        <f>AVERAGE('01.08 URA-Spear Motors-24h'!F92,'03.08 URA-Spear Motors-24h'!F92)</f>
        <v>1</v>
      </c>
      <c r="G92" s="49">
        <f>AVERAGE('01.08 URA-Spear Motors-24h'!G92,'03.08 URA-Spear Motors-24h'!G92)</f>
        <v>0</v>
      </c>
      <c r="H92" s="49">
        <f>AVERAGE('01.08 URA-Spear Motors-24h'!H92,'03.08 URA-Spear Motors-24h'!H92)</f>
        <v>0</v>
      </c>
      <c r="I92" s="49">
        <f>AVERAGE('01.08 URA-Spear Motors-24h'!I92,'03.08 URA-Spear Motors-24h'!I92)</f>
        <v>0.5</v>
      </c>
      <c r="J92" s="49">
        <f>AVERAGE('01.08 URA-Spear Motors-24h'!J92,'03.08 URA-Spear Motors-24h'!J92)</f>
        <v>0</v>
      </c>
      <c r="K92" s="49">
        <f>AVERAGE('01.08 URA-Spear Motors-24h'!K92,'03.08 URA-Spear Motors-24h'!K92)</f>
        <v>0</v>
      </c>
      <c r="L92" s="49">
        <f>AVERAGE('01.08 URA-Spear Motors-24h'!L92,'03.08 URA-Spear Motors-24h'!L92)</f>
        <v>0</v>
      </c>
      <c r="M92" s="49">
        <f>AVERAGE('01.08 URA-Spear Motors-24h'!M92,'03.08 URA-Spear Motors-24h'!M92)</f>
        <v>9.5</v>
      </c>
      <c r="N92" s="49">
        <f>AVERAGE('01.08 URA-Spear Motors-24h'!N92,'03.08 URA-Spear Motors-24h'!N92)</f>
        <v>0</v>
      </c>
      <c r="O92" s="15">
        <f t="shared" si="35"/>
        <v>7.5</v>
      </c>
      <c r="P92" s="15">
        <f t="shared" si="36"/>
        <v>17</v>
      </c>
      <c r="R92" s="8"/>
      <c r="T92"/>
    </row>
    <row r="93" spans="2:20" ht="23.1" customHeight="1" x14ac:dyDescent="0.25">
      <c r="B93" s="23" t="s">
        <v>133</v>
      </c>
      <c r="C93" s="49">
        <f>AVERAGE('01.08 URA-Spear Motors-24h'!C93,'03.08 URA-Spear Motors-24h'!C93)</f>
        <v>2</v>
      </c>
      <c r="D93" s="49">
        <f>AVERAGE('01.08 URA-Spear Motors-24h'!D93,'03.08 URA-Spear Motors-24h'!D93)</f>
        <v>3</v>
      </c>
      <c r="E93" s="49">
        <f>AVERAGE('01.08 URA-Spear Motors-24h'!E93,'03.08 URA-Spear Motors-24h'!E93)</f>
        <v>0.5</v>
      </c>
      <c r="F93" s="49">
        <f>AVERAGE('01.08 URA-Spear Motors-24h'!F93,'03.08 URA-Spear Motors-24h'!F93)</f>
        <v>0</v>
      </c>
      <c r="G93" s="49">
        <f>AVERAGE('01.08 URA-Spear Motors-24h'!G93,'03.08 URA-Spear Motors-24h'!G93)</f>
        <v>0</v>
      </c>
      <c r="H93" s="49">
        <f>AVERAGE('01.08 URA-Spear Motors-24h'!H93,'03.08 URA-Spear Motors-24h'!H93)</f>
        <v>0</v>
      </c>
      <c r="I93" s="49">
        <f>AVERAGE('01.08 URA-Spear Motors-24h'!I93,'03.08 URA-Spear Motors-24h'!I93)</f>
        <v>0</v>
      </c>
      <c r="J93" s="49">
        <f>AVERAGE('01.08 URA-Spear Motors-24h'!J93,'03.08 URA-Spear Motors-24h'!J93)</f>
        <v>0</v>
      </c>
      <c r="K93" s="49">
        <f>AVERAGE('01.08 URA-Spear Motors-24h'!K93,'03.08 URA-Spear Motors-24h'!K93)</f>
        <v>0</v>
      </c>
      <c r="L93" s="49">
        <f>AVERAGE('01.08 URA-Spear Motors-24h'!L93,'03.08 URA-Spear Motors-24h'!L93)</f>
        <v>0</v>
      </c>
      <c r="M93" s="49">
        <f>AVERAGE('01.08 URA-Spear Motors-24h'!M93,'03.08 URA-Spear Motors-24h'!M93)</f>
        <v>17.5</v>
      </c>
      <c r="N93" s="49">
        <f>AVERAGE('01.08 URA-Spear Motors-24h'!N93,'03.08 URA-Spear Motors-24h'!N93)</f>
        <v>0</v>
      </c>
      <c r="O93" s="15">
        <f t="shared" si="35"/>
        <v>5.5</v>
      </c>
      <c r="P93" s="15">
        <f t="shared" si="36"/>
        <v>23</v>
      </c>
      <c r="R93" s="8"/>
      <c r="T93"/>
    </row>
    <row r="94" spans="2:20" ht="23.1" customHeight="1" x14ac:dyDescent="0.25">
      <c r="B94" s="24" t="s">
        <v>134</v>
      </c>
      <c r="C94" s="49">
        <f>AVERAGE('01.08 URA-Spear Motors-24h'!C94,'03.08 URA-Spear Motors-24h'!C94)</f>
        <v>2.5</v>
      </c>
      <c r="D94" s="49">
        <f>AVERAGE('01.08 URA-Spear Motors-24h'!D94,'03.08 URA-Spear Motors-24h'!D94)</f>
        <v>0.5</v>
      </c>
      <c r="E94" s="49">
        <f>AVERAGE('01.08 URA-Spear Motors-24h'!E94,'03.08 URA-Spear Motors-24h'!E94)</f>
        <v>0.5</v>
      </c>
      <c r="F94" s="49">
        <f>AVERAGE('01.08 URA-Spear Motors-24h'!F94,'03.08 URA-Spear Motors-24h'!F94)</f>
        <v>0</v>
      </c>
      <c r="G94" s="49">
        <f>AVERAGE('01.08 URA-Spear Motors-24h'!G94,'03.08 URA-Spear Motors-24h'!G94)</f>
        <v>0</v>
      </c>
      <c r="H94" s="49">
        <f>AVERAGE('01.08 URA-Spear Motors-24h'!H94,'03.08 URA-Spear Motors-24h'!H94)</f>
        <v>0</v>
      </c>
      <c r="I94" s="49">
        <f>AVERAGE('01.08 URA-Spear Motors-24h'!I94,'03.08 URA-Spear Motors-24h'!I94)</f>
        <v>0.5</v>
      </c>
      <c r="J94" s="49">
        <f>AVERAGE('01.08 URA-Spear Motors-24h'!J94,'03.08 URA-Spear Motors-24h'!J94)</f>
        <v>0</v>
      </c>
      <c r="K94" s="49">
        <f>AVERAGE('01.08 URA-Spear Motors-24h'!K94,'03.08 URA-Spear Motors-24h'!K94)</f>
        <v>0</v>
      </c>
      <c r="L94" s="49">
        <f>AVERAGE('01.08 URA-Spear Motors-24h'!L94,'03.08 URA-Spear Motors-24h'!L94)</f>
        <v>0.5</v>
      </c>
      <c r="M94" s="49">
        <f>AVERAGE('01.08 URA-Spear Motors-24h'!M94,'03.08 URA-Spear Motors-24h'!M94)</f>
        <v>12.5</v>
      </c>
      <c r="N94" s="49">
        <f>AVERAGE('01.08 URA-Spear Motors-24h'!N94,'03.08 URA-Spear Motors-24h'!N94)</f>
        <v>0</v>
      </c>
      <c r="O94" s="15">
        <f t="shared" si="35"/>
        <v>4.5</v>
      </c>
      <c r="P94" s="15">
        <f t="shared" si="36"/>
        <v>17</v>
      </c>
      <c r="R94" s="8"/>
      <c r="T94"/>
    </row>
    <row r="95" spans="2:20" ht="23.1" customHeight="1" x14ac:dyDescent="0.25">
      <c r="B95" s="23" t="s">
        <v>135</v>
      </c>
      <c r="C95" s="49">
        <f>AVERAGE('01.08 URA-Spear Motors-24h'!C95,'03.08 URA-Spear Motors-24h'!C95)</f>
        <v>3.5</v>
      </c>
      <c r="D95" s="49">
        <f>AVERAGE('01.08 URA-Spear Motors-24h'!D95,'03.08 URA-Spear Motors-24h'!D95)</f>
        <v>1</v>
      </c>
      <c r="E95" s="49">
        <f>AVERAGE('01.08 URA-Spear Motors-24h'!E95,'03.08 URA-Spear Motors-24h'!E95)</f>
        <v>1</v>
      </c>
      <c r="F95" s="49">
        <f>AVERAGE('01.08 URA-Spear Motors-24h'!F95,'03.08 URA-Spear Motors-24h'!F95)</f>
        <v>0</v>
      </c>
      <c r="G95" s="49">
        <f>AVERAGE('01.08 URA-Spear Motors-24h'!G95,'03.08 URA-Spear Motors-24h'!G95)</f>
        <v>0</v>
      </c>
      <c r="H95" s="49">
        <f>AVERAGE('01.08 URA-Spear Motors-24h'!H95,'03.08 URA-Spear Motors-24h'!H95)</f>
        <v>0</v>
      </c>
      <c r="I95" s="49">
        <f>AVERAGE('01.08 URA-Spear Motors-24h'!I95,'03.08 URA-Spear Motors-24h'!I95)</f>
        <v>0.5</v>
      </c>
      <c r="J95" s="49">
        <f>AVERAGE('01.08 URA-Spear Motors-24h'!J95,'03.08 URA-Spear Motors-24h'!J95)</f>
        <v>0</v>
      </c>
      <c r="K95" s="49">
        <f>AVERAGE('01.08 URA-Spear Motors-24h'!K95,'03.08 URA-Spear Motors-24h'!K95)</f>
        <v>0</v>
      </c>
      <c r="L95" s="49">
        <f>AVERAGE('01.08 URA-Spear Motors-24h'!L95,'03.08 URA-Spear Motors-24h'!L95)</f>
        <v>0</v>
      </c>
      <c r="M95" s="49">
        <f>AVERAGE('01.08 URA-Spear Motors-24h'!M95,'03.08 URA-Spear Motors-24h'!M95)</f>
        <v>17.5</v>
      </c>
      <c r="N95" s="49">
        <f>AVERAGE('01.08 URA-Spear Motors-24h'!N95,'03.08 URA-Spear Motors-24h'!N95)</f>
        <v>0</v>
      </c>
      <c r="O95" s="15">
        <f t="shared" si="35"/>
        <v>6</v>
      </c>
      <c r="P95" s="15">
        <f t="shared" si="36"/>
        <v>23.5</v>
      </c>
      <c r="R95" s="8"/>
      <c r="T95"/>
    </row>
    <row r="96" spans="2:20" ht="23.1" customHeight="1" x14ac:dyDescent="0.25">
      <c r="B96" s="25" t="s">
        <v>136</v>
      </c>
      <c r="C96" s="49">
        <f>AVERAGE('01.08 URA-Spear Motors-24h'!C96,'03.08 URA-Spear Motors-24h'!C96)</f>
        <v>2</v>
      </c>
      <c r="D96" s="49">
        <f>AVERAGE('01.08 URA-Spear Motors-24h'!D96,'03.08 URA-Spear Motors-24h'!D96)</f>
        <v>2</v>
      </c>
      <c r="E96" s="49">
        <f>AVERAGE('01.08 URA-Spear Motors-24h'!E96,'03.08 URA-Spear Motors-24h'!E96)</f>
        <v>0.5</v>
      </c>
      <c r="F96" s="49">
        <f>AVERAGE('01.08 URA-Spear Motors-24h'!F96,'03.08 URA-Spear Motors-24h'!F96)</f>
        <v>1</v>
      </c>
      <c r="G96" s="49">
        <f>AVERAGE('01.08 URA-Spear Motors-24h'!G96,'03.08 URA-Spear Motors-24h'!G96)</f>
        <v>0</v>
      </c>
      <c r="H96" s="49">
        <f>AVERAGE('01.08 URA-Spear Motors-24h'!H96,'03.08 URA-Spear Motors-24h'!H96)</f>
        <v>0</v>
      </c>
      <c r="I96" s="49">
        <f>AVERAGE('01.08 URA-Spear Motors-24h'!I96,'03.08 URA-Spear Motors-24h'!I96)</f>
        <v>0.5</v>
      </c>
      <c r="J96" s="49">
        <f>AVERAGE('01.08 URA-Spear Motors-24h'!J96,'03.08 URA-Spear Motors-24h'!J96)</f>
        <v>0</v>
      </c>
      <c r="K96" s="49">
        <f>AVERAGE('01.08 URA-Spear Motors-24h'!K96,'03.08 URA-Spear Motors-24h'!K96)</f>
        <v>0</v>
      </c>
      <c r="L96" s="49">
        <f>AVERAGE('01.08 URA-Spear Motors-24h'!L96,'03.08 URA-Spear Motors-24h'!L96)</f>
        <v>0</v>
      </c>
      <c r="M96" s="49">
        <f>AVERAGE('01.08 URA-Spear Motors-24h'!M96,'03.08 URA-Spear Motors-24h'!M96)</f>
        <v>20</v>
      </c>
      <c r="N96" s="49">
        <f>AVERAGE('01.08 URA-Spear Motors-24h'!N96,'03.08 URA-Spear Motors-24h'!N96)</f>
        <v>0</v>
      </c>
      <c r="O96" s="15">
        <f t="shared" si="35"/>
        <v>6</v>
      </c>
      <c r="P96" s="15">
        <f t="shared" si="36"/>
        <v>26</v>
      </c>
      <c r="R96" s="8"/>
      <c r="T96"/>
    </row>
    <row r="97" spans="2:20" ht="23.1" customHeight="1" x14ac:dyDescent="0.25">
      <c r="B97" s="23" t="s">
        <v>137</v>
      </c>
      <c r="C97" s="49">
        <f>AVERAGE('01.08 URA-Spear Motors-24h'!C97,'03.08 URA-Spear Motors-24h'!C97)</f>
        <v>3</v>
      </c>
      <c r="D97" s="49">
        <f>AVERAGE('01.08 URA-Spear Motors-24h'!D97,'03.08 URA-Spear Motors-24h'!D97)</f>
        <v>1</v>
      </c>
      <c r="E97" s="49">
        <f>AVERAGE('01.08 URA-Spear Motors-24h'!E97,'03.08 URA-Spear Motors-24h'!E97)</f>
        <v>0.5</v>
      </c>
      <c r="F97" s="49">
        <f>AVERAGE('01.08 URA-Spear Motors-24h'!F97,'03.08 URA-Spear Motors-24h'!F97)</f>
        <v>2.5</v>
      </c>
      <c r="G97" s="49">
        <f>AVERAGE('01.08 URA-Spear Motors-24h'!G97,'03.08 URA-Spear Motors-24h'!G97)</f>
        <v>0</v>
      </c>
      <c r="H97" s="49">
        <f>AVERAGE('01.08 URA-Spear Motors-24h'!H97,'03.08 URA-Spear Motors-24h'!H97)</f>
        <v>0</v>
      </c>
      <c r="I97" s="49">
        <f>AVERAGE('01.08 URA-Spear Motors-24h'!I97,'03.08 URA-Spear Motors-24h'!I97)</f>
        <v>0</v>
      </c>
      <c r="J97" s="49">
        <f>AVERAGE('01.08 URA-Spear Motors-24h'!J97,'03.08 URA-Spear Motors-24h'!J97)</f>
        <v>0.5</v>
      </c>
      <c r="K97" s="49">
        <f>AVERAGE('01.08 URA-Spear Motors-24h'!K97,'03.08 URA-Spear Motors-24h'!K97)</f>
        <v>0</v>
      </c>
      <c r="L97" s="49">
        <f>AVERAGE('01.08 URA-Spear Motors-24h'!L97,'03.08 URA-Spear Motors-24h'!L97)</f>
        <v>0</v>
      </c>
      <c r="M97" s="49">
        <f>AVERAGE('01.08 URA-Spear Motors-24h'!M97,'03.08 URA-Spear Motors-24h'!M97)</f>
        <v>19</v>
      </c>
      <c r="N97" s="49">
        <f>AVERAGE('01.08 URA-Spear Motors-24h'!N97,'03.08 URA-Spear Motors-24h'!N97)</f>
        <v>0</v>
      </c>
      <c r="O97" s="15">
        <f t="shared" si="35"/>
        <v>7.5</v>
      </c>
      <c r="P97" s="15">
        <f t="shared" si="36"/>
        <v>26.5</v>
      </c>
      <c r="R97" s="8"/>
      <c r="T97"/>
    </row>
    <row r="98" spans="2:20" ht="23.1" customHeight="1" x14ac:dyDescent="0.25">
      <c r="B98" s="24" t="s">
        <v>138</v>
      </c>
      <c r="C98" s="49">
        <f>AVERAGE('01.08 URA-Spear Motors-24h'!C98,'03.08 URA-Spear Motors-24h'!C98)</f>
        <v>2</v>
      </c>
      <c r="D98" s="49">
        <f>AVERAGE('01.08 URA-Spear Motors-24h'!D98,'03.08 URA-Spear Motors-24h'!D98)</f>
        <v>0</v>
      </c>
      <c r="E98" s="49">
        <f>AVERAGE('01.08 URA-Spear Motors-24h'!E98,'03.08 URA-Spear Motors-24h'!E98)</f>
        <v>0</v>
      </c>
      <c r="F98" s="49">
        <f>AVERAGE('01.08 URA-Spear Motors-24h'!F98,'03.08 URA-Spear Motors-24h'!F98)</f>
        <v>2</v>
      </c>
      <c r="G98" s="49">
        <f>AVERAGE('01.08 URA-Spear Motors-24h'!G98,'03.08 URA-Spear Motors-24h'!G98)</f>
        <v>0</v>
      </c>
      <c r="H98" s="49">
        <f>AVERAGE('01.08 URA-Spear Motors-24h'!H98,'03.08 URA-Spear Motors-24h'!H98)</f>
        <v>0</v>
      </c>
      <c r="I98" s="49">
        <f>AVERAGE('01.08 URA-Spear Motors-24h'!I98,'03.08 URA-Spear Motors-24h'!I98)</f>
        <v>1</v>
      </c>
      <c r="J98" s="49">
        <f>AVERAGE('01.08 URA-Spear Motors-24h'!J98,'03.08 URA-Spear Motors-24h'!J98)</f>
        <v>1.5</v>
      </c>
      <c r="K98" s="49">
        <f>AVERAGE('01.08 URA-Spear Motors-24h'!K98,'03.08 URA-Spear Motors-24h'!K98)</f>
        <v>0</v>
      </c>
      <c r="L98" s="49">
        <f>AVERAGE('01.08 URA-Spear Motors-24h'!L98,'03.08 URA-Spear Motors-24h'!L98)</f>
        <v>0</v>
      </c>
      <c r="M98" s="49">
        <f>AVERAGE('01.08 URA-Spear Motors-24h'!M98,'03.08 URA-Spear Motors-24h'!M98)</f>
        <v>29</v>
      </c>
      <c r="N98" s="49">
        <f>AVERAGE('01.08 URA-Spear Motors-24h'!N98,'03.08 URA-Spear Motors-24h'!N98)</f>
        <v>0</v>
      </c>
      <c r="O98" s="15">
        <f t="shared" si="35"/>
        <v>6.5</v>
      </c>
      <c r="P98" s="15">
        <f t="shared" si="36"/>
        <v>35.5</v>
      </c>
      <c r="R98" s="8"/>
      <c r="T98"/>
    </row>
    <row r="99" spans="2:20" ht="23.1" customHeight="1" x14ac:dyDescent="0.25">
      <c r="B99" s="23" t="s">
        <v>139</v>
      </c>
      <c r="C99" s="49">
        <f>AVERAGE('01.08 URA-Spear Motors-24h'!C99,'03.08 URA-Spear Motors-24h'!C99)</f>
        <v>4</v>
      </c>
      <c r="D99" s="49">
        <f>AVERAGE('01.08 URA-Spear Motors-24h'!D99,'03.08 URA-Spear Motors-24h'!D99)</f>
        <v>0</v>
      </c>
      <c r="E99" s="49">
        <f>AVERAGE('01.08 URA-Spear Motors-24h'!E99,'03.08 URA-Spear Motors-24h'!E99)</f>
        <v>2</v>
      </c>
      <c r="F99" s="49">
        <f>AVERAGE('01.08 URA-Spear Motors-24h'!F99,'03.08 URA-Spear Motors-24h'!F99)</f>
        <v>5.5</v>
      </c>
      <c r="G99" s="49">
        <f>AVERAGE('01.08 URA-Spear Motors-24h'!G99,'03.08 URA-Spear Motors-24h'!G99)</f>
        <v>0</v>
      </c>
      <c r="H99" s="49">
        <f>AVERAGE('01.08 URA-Spear Motors-24h'!H99,'03.08 URA-Spear Motors-24h'!H99)</f>
        <v>0</v>
      </c>
      <c r="I99" s="49">
        <f>AVERAGE('01.08 URA-Spear Motors-24h'!I99,'03.08 URA-Spear Motors-24h'!I99)</f>
        <v>0.5</v>
      </c>
      <c r="J99" s="49">
        <f>AVERAGE('01.08 URA-Spear Motors-24h'!J99,'03.08 URA-Spear Motors-24h'!J99)</f>
        <v>1</v>
      </c>
      <c r="K99" s="49">
        <f>AVERAGE('01.08 URA-Spear Motors-24h'!K99,'03.08 URA-Spear Motors-24h'!K99)</f>
        <v>0</v>
      </c>
      <c r="L99" s="49">
        <f>AVERAGE('01.08 URA-Spear Motors-24h'!L99,'03.08 URA-Spear Motors-24h'!L99)</f>
        <v>0.5</v>
      </c>
      <c r="M99" s="49">
        <f>AVERAGE('01.08 URA-Spear Motors-24h'!M99,'03.08 URA-Spear Motors-24h'!M99)</f>
        <v>35</v>
      </c>
      <c r="N99" s="49">
        <f>AVERAGE('01.08 URA-Spear Motors-24h'!N99,'03.08 URA-Spear Motors-24h'!N99)</f>
        <v>0</v>
      </c>
      <c r="O99" s="15">
        <f t="shared" si="35"/>
        <v>13.5</v>
      </c>
      <c r="P99" s="15">
        <f t="shared" si="36"/>
        <v>48.5</v>
      </c>
      <c r="R99" s="8"/>
      <c r="T99"/>
    </row>
    <row r="100" spans="2:20" ht="23.1" customHeight="1" x14ac:dyDescent="0.25">
      <c r="B100" s="25" t="s">
        <v>140</v>
      </c>
      <c r="C100" s="49">
        <f>AVERAGE('01.08 URA-Spear Motors-24h'!C100,'03.08 URA-Spear Motors-24h'!C100)</f>
        <v>0.5</v>
      </c>
      <c r="D100" s="49">
        <f>AVERAGE('01.08 URA-Spear Motors-24h'!D100,'03.08 URA-Spear Motors-24h'!D100)</f>
        <v>1.5</v>
      </c>
      <c r="E100" s="49">
        <f>AVERAGE('01.08 URA-Spear Motors-24h'!E100,'03.08 URA-Spear Motors-24h'!E100)</f>
        <v>0.5</v>
      </c>
      <c r="F100" s="49">
        <f>AVERAGE('01.08 URA-Spear Motors-24h'!F100,'03.08 URA-Spear Motors-24h'!F100)</f>
        <v>9</v>
      </c>
      <c r="G100" s="49">
        <f>AVERAGE('01.08 URA-Spear Motors-24h'!G100,'03.08 URA-Spear Motors-24h'!G100)</f>
        <v>0</v>
      </c>
      <c r="H100" s="49">
        <f>AVERAGE('01.08 URA-Spear Motors-24h'!H100,'03.08 URA-Spear Motors-24h'!H100)</f>
        <v>0</v>
      </c>
      <c r="I100" s="49">
        <f>AVERAGE('01.08 URA-Spear Motors-24h'!I100,'03.08 URA-Spear Motors-24h'!I100)</f>
        <v>0.5</v>
      </c>
      <c r="J100" s="49">
        <f>AVERAGE('01.08 URA-Spear Motors-24h'!J100,'03.08 URA-Spear Motors-24h'!J100)</f>
        <v>0.5</v>
      </c>
      <c r="K100" s="49">
        <f>AVERAGE('01.08 URA-Spear Motors-24h'!K100,'03.08 URA-Spear Motors-24h'!K100)</f>
        <v>0</v>
      </c>
      <c r="L100" s="49">
        <f>AVERAGE('01.08 URA-Spear Motors-24h'!L100,'03.08 URA-Spear Motors-24h'!L100)</f>
        <v>0</v>
      </c>
      <c r="M100" s="49">
        <f>AVERAGE('01.08 URA-Spear Motors-24h'!M100,'03.08 URA-Spear Motors-24h'!M100)</f>
        <v>39.5</v>
      </c>
      <c r="N100" s="49">
        <f>AVERAGE('01.08 URA-Spear Motors-24h'!N100,'03.08 URA-Spear Motors-24h'!N100)</f>
        <v>0</v>
      </c>
      <c r="O100" s="15">
        <f t="shared" si="35"/>
        <v>12.5</v>
      </c>
      <c r="P100" s="15">
        <f t="shared" si="36"/>
        <v>52</v>
      </c>
      <c r="R100" s="8"/>
      <c r="T100"/>
    </row>
    <row r="101" spans="2:20" ht="23.1" customHeight="1" x14ac:dyDescent="0.25">
      <c r="B101" s="23" t="s">
        <v>141</v>
      </c>
      <c r="C101" s="49">
        <f>AVERAGE('01.08 URA-Spear Motors-24h'!C101,'03.08 URA-Spear Motors-24h'!C101)</f>
        <v>2</v>
      </c>
      <c r="D101" s="49">
        <f>AVERAGE('01.08 URA-Spear Motors-24h'!D101,'03.08 URA-Spear Motors-24h'!D101)</f>
        <v>1</v>
      </c>
      <c r="E101" s="49">
        <f>AVERAGE('01.08 URA-Spear Motors-24h'!E101,'03.08 URA-Spear Motors-24h'!E101)</f>
        <v>0.5</v>
      </c>
      <c r="F101" s="49">
        <f>AVERAGE('01.08 URA-Spear Motors-24h'!F101,'03.08 URA-Spear Motors-24h'!F101)</f>
        <v>7</v>
      </c>
      <c r="G101" s="49">
        <f>AVERAGE('01.08 URA-Spear Motors-24h'!G101,'03.08 URA-Spear Motors-24h'!G101)</f>
        <v>0</v>
      </c>
      <c r="H101" s="49">
        <f>AVERAGE('01.08 URA-Spear Motors-24h'!H101,'03.08 URA-Spear Motors-24h'!H101)</f>
        <v>0</v>
      </c>
      <c r="I101" s="49">
        <f>AVERAGE('01.08 URA-Spear Motors-24h'!I101,'03.08 URA-Spear Motors-24h'!I101)</f>
        <v>0.5</v>
      </c>
      <c r="J101" s="49">
        <f>AVERAGE('01.08 URA-Spear Motors-24h'!J101,'03.08 URA-Spear Motors-24h'!J101)</f>
        <v>0</v>
      </c>
      <c r="K101" s="49">
        <f>AVERAGE('01.08 URA-Spear Motors-24h'!K101,'03.08 URA-Spear Motors-24h'!K101)</f>
        <v>0</v>
      </c>
      <c r="L101" s="49">
        <f>AVERAGE('01.08 URA-Spear Motors-24h'!L101,'03.08 URA-Spear Motors-24h'!L101)</f>
        <v>5</v>
      </c>
      <c r="M101" s="49">
        <f>AVERAGE('01.08 URA-Spear Motors-24h'!M101,'03.08 URA-Spear Motors-24h'!M101)</f>
        <v>49</v>
      </c>
      <c r="N101" s="49">
        <f>AVERAGE('01.08 URA-Spear Motors-24h'!N101,'03.08 URA-Spear Motors-24h'!N101)</f>
        <v>0</v>
      </c>
      <c r="O101" s="15">
        <f t="shared" si="35"/>
        <v>16</v>
      </c>
      <c r="P101" s="15">
        <f t="shared" si="36"/>
        <v>65</v>
      </c>
      <c r="R101" s="8"/>
      <c r="T101"/>
    </row>
    <row r="102" spans="2:20" ht="23.1" customHeight="1" x14ac:dyDescent="0.25">
      <c r="B102" s="24" t="s">
        <v>142</v>
      </c>
      <c r="C102" s="49">
        <f>AVERAGE('01.08 URA-Spear Motors-24h'!C102,'03.08 URA-Spear Motors-24h'!C102)</f>
        <v>5</v>
      </c>
      <c r="D102" s="49">
        <f>AVERAGE('01.08 URA-Spear Motors-24h'!D102,'03.08 URA-Spear Motors-24h'!D102)</f>
        <v>2.5</v>
      </c>
      <c r="E102" s="49">
        <f>AVERAGE('01.08 URA-Spear Motors-24h'!E102,'03.08 URA-Spear Motors-24h'!E102)</f>
        <v>0.5</v>
      </c>
      <c r="F102" s="49">
        <f>AVERAGE('01.08 URA-Spear Motors-24h'!F102,'03.08 URA-Spear Motors-24h'!F102)</f>
        <v>6.5</v>
      </c>
      <c r="G102" s="49">
        <f>AVERAGE('01.08 URA-Spear Motors-24h'!G102,'03.08 URA-Spear Motors-24h'!G102)</f>
        <v>0</v>
      </c>
      <c r="H102" s="49">
        <f>AVERAGE('01.08 URA-Spear Motors-24h'!H102,'03.08 URA-Spear Motors-24h'!H102)</f>
        <v>0</v>
      </c>
      <c r="I102" s="49">
        <f>AVERAGE('01.08 URA-Spear Motors-24h'!I102,'03.08 URA-Spear Motors-24h'!I102)</f>
        <v>1</v>
      </c>
      <c r="J102" s="49">
        <f>AVERAGE('01.08 URA-Spear Motors-24h'!J102,'03.08 URA-Spear Motors-24h'!J102)</f>
        <v>0</v>
      </c>
      <c r="K102" s="49">
        <f>AVERAGE('01.08 URA-Spear Motors-24h'!K102,'03.08 URA-Spear Motors-24h'!K102)</f>
        <v>0</v>
      </c>
      <c r="L102" s="49">
        <f>AVERAGE('01.08 URA-Spear Motors-24h'!L102,'03.08 URA-Spear Motors-24h'!L102)</f>
        <v>8</v>
      </c>
      <c r="M102" s="49">
        <f>AVERAGE('01.08 URA-Spear Motors-24h'!M102,'03.08 URA-Spear Motors-24h'!M102)</f>
        <v>52.5</v>
      </c>
      <c r="N102" s="49">
        <f>AVERAGE('01.08 URA-Spear Motors-24h'!N102,'03.08 URA-Spear Motors-24h'!N102)</f>
        <v>0</v>
      </c>
      <c r="O102" s="15">
        <f t="shared" si="35"/>
        <v>23.5</v>
      </c>
      <c r="P102" s="15">
        <f t="shared" si="36"/>
        <v>76</v>
      </c>
      <c r="R102" s="8"/>
      <c r="T102"/>
    </row>
    <row r="103" spans="2:20" ht="23.1" customHeight="1" x14ac:dyDescent="0.25">
      <c r="B103" s="23" t="s">
        <v>143</v>
      </c>
      <c r="C103" s="49">
        <f>AVERAGE('01.08 URA-Spear Motors-24h'!C103,'03.08 URA-Spear Motors-24h'!C103)</f>
        <v>4.5</v>
      </c>
      <c r="D103" s="49">
        <f>AVERAGE('01.08 URA-Spear Motors-24h'!D103,'03.08 URA-Spear Motors-24h'!D103)</f>
        <v>3</v>
      </c>
      <c r="E103" s="49">
        <f>AVERAGE('01.08 URA-Spear Motors-24h'!E103,'03.08 URA-Spear Motors-24h'!E103)</f>
        <v>2</v>
      </c>
      <c r="F103" s="49">
        <f>AVERAGE('01.08 URA-Spear Motors-24h'!F103,'03.08 URA-Spear Motors-24h'!F103)</f>
        <v>8</v>
      </c>
      <c r="G103" s="49">
        <f>AVERAGE('01.08 URA-Spear Motors-24h'!G103,'03.08 URA-Spear Motors-24h'!G103)</f>
        <v>0.5</v>
      </c>
      <c r="H103" s="49">
        <f>AVERAGE('01.08 URA-Spear Motors-24h'!H103,'03.08 URA-Spear Motors-24h'!H103)</f>
        <v>0</v>
      </c>
      <c r="I103" s="49">
        <f>AVERAGE('01.08 URA-Spear Motors-24h'!I103,'03.08 URA-Spear Motors-24h'!I103)</f>
        <v>0.5</v>
      </c>
      <c r="J103" s="49">
        <f>AVERAGE('01.08 URA-Spear Motors-24h'!J103,'03.08 URA-Spear Motors-24h'!J103)</f>
        <v>0</v>
      </c>
      <c r="K103" s="49">
        <f>AVERAGE('01.08 URA-Spear Motors-24h'!K103,'03.08 URA-Spear Motors-24h'!K103)</f>
        <v>0</v>
      </c>
      <c r="L103" s="49">
        <f>AVERAGE('01.08 URA-Spear Motors-24h'!L103,'03.08 URA-Spear Motors-24h'!L103)</f>
        <v>3.5</v>
      </c>
      <c r="M103" s="49">
        <f>AVERAGE('01.08 URA-Spear Motors-24h'!M103,'03.08 URA-Spear Motors-24h'!M103)</f>
        <v>77.5</v>
      </c>
      <c r="N103" s="49">
        <f>AVERAGE('01.08 URA-Spear Motors-24h'!N103,'03.08 URA-Spear Motors-24h'!N103)</f>
        <v>0</v>
      </c>
      <c r="O103" s="15">
        <f t="shared" si="35"/>
        <v>22</v>
      </c>
      <c r="P103" s="15">
        <f t="shared" si="36"/>
        <v>99.5</v>
      </c>
      <c r="R103" s="8"/>
      <c r="T103"/>
    </row>
    <row r="104" spans="2:20" ht="23.1" customHeight="1" x14ac:dyDescent="0.25">
      <c r="B104" s="25" t="s">
        <v>144</v>
      </c>
      <c r="C104" s="49">
        <f>AVERAGE('01.08 URA-Spear Motors-24h'!C104,'03.08 URA-Spear Motors-24h'!C104)</f>
        <v>19</v>
      </c>
      <c r="D104" s="49">
        <f>AVERAGE('01.08 URA-Spear Motors-24h'!D104,'03.08 URA-Spear Motors-24h'!D104)</f>
        <v>10.5</v>
      </c>
      <c r="E104" s="49">
        <f>AVERAGE('01.08 URA-Spear Motors-24h'!E104,'03.08 URA-Spear Motors-24h'!E104)</f>
        <v>8</v>
      </c>
      <c r="F104" s="49">
        <f>AVERAGE('01.08 URA-Spear Motors-24h'!F104,'03.08 URA-Spear Motors-24h'!F104)</f>
        <v>26.5</v>
      </c>
      <c r="G104" s="49">
        <f>AVERAGE('01.08 URA-Spear Motors-24h'!G104,'03.08 URA-Spear Motors-24h'!G104)</f>
        <v>0.5</v>
      </c>
      <c r="H104" s="49">
        <f>AVERAGE('01.08 URA-Spear Motors-24h'!H104,'03.08 URA-Spear Motors-24h'!H104)</f>
        <v>0</v>
      </c>
      <c r="I104" s="49">
        <f>AVERAGE('01.08 URA-Spear Motors-24h'!I104,'03.08 URA-Spear Motors-24h'!I104)</f>
        <v>0.5</v>
      </c>
      <c r="J104" s="49">
        <f>AVERAGE('01.08 URA-Spear Motors-24h'!J104,'03.08 URA-Spear Motors-24h'!J104)</f>
        <v>0</v>
      </c>
      <c r="K104" s="49">
        <f>AVERAGE('01.08 URA-Spear Motors-24h'!K104,'03.08 URA-Spear Motors-24h'!K104)</f>
        <v>0</v>
      </c>
      <c r="L104" s="49">
        <f>AVERAGE('01.08 URA-Spear Motors-24h'!L104,'03.08 URA-Spear Motors-24h'!L104)</f>
        <v>1</v>
      </c>
      <c r="M104" s="49">
        <f>AVERAGE('01.08 URA-Spear Motors-24h'!M104,'03.08 URA-Spear Motors-24h'!M104)</f>
        <v>111.5</v>
      </c>
      <c r="N104" s="49">
        <f>AVERAGE('01.08 URA-Spear Motors-24h'!N104,'03.08 URA-Spear Motors-24h'!N104)</f>
        <v>0</v>
      </c>
      <c r="O104" s="15">
        <f t="shared" si="35"/>
        <v>66</v>
      </c>
      <c r="P104" s="15">
        <f t="shared" si="36"/>
        <v>177.5</v>
      </c>
      <c r="R104" s="8"/>
      <c r="T104"/>
    </row>
    <row r="105" spans="2:20" ht="23.1" customHeight="1" x14ac:dyDescent="0.25">
      <c r="B105" s="23" t="s">
        <v>145</v>
      </c>
      <c r="C105" s="49">
        <f>AVERAGE('01.08 URA-Spear Motors-24h'!C105,'03.08 URA-Spear Motors-24h'!C105)</f>
        <v>7.5</v>
      </c>
      <c r="D105" s="49">
        <f>AVERAGE('01.08 URA-Spear Motors-24h'!D105,'03.08 URA-Spear Motors-24h'!D105)</f>
        <v>5.5</v>
      </c>
      <c r="E105" s="49">
        <f>AVERAGE('01.08 URA-Spear Motors-24h'!E105,'03.08 URA-Spear Motors-24h'!E105)</f>
        <v>2</v>
      </c>
      <c r="F105" s="49">
        <f>AVERAGE('01.08 URA-Spear Motors-24h'!F105,'03.08 URA-Spear Motors-24h'!F105)</f>
        <v>17</v>
      </c>
      <c r="G105" s="49">
        <f>AVERAGE('01.08 URA-Spear Motors-24h'!G105,'03.08 URA-Spear Motors-24h'!G105)</f>
        <v>0.5</v>
      </c>
      <c r="H105" s="49">
        <f>AVERAGE('01.08 URA-Spear Motors-24h'!H105,'03.08 URA-Spear Motors-24h'!H105)</f>
        <v>0</v>
      </c>
      <c r="I105" s="49">
        <f>AVERAGE('01.08 URA-Spear Motors-24h'!I105,'03.08 URA-Spear Motors-24h'!I105)</f>
        <v>0.5</v>
      </c>
      <c r="J105" s="49">
        <f>AVERAGE('01.08 URA-Spear Motors-24h'!J105,'03.08 URA-Spear Motors-24h'!J105)</f>
        <v>0</v>
      </c>
      <c r="K105" s="49">
        <f>AVERAGE('01.08 URA-Spear Motors-24h'!K105,'03.08 URA-Spear Motors-24h'!K105)</f>
        <v>0.5</v>
      </c>
      <c r="L105" s="49">
        <f>AVERAGE('01.08 URA-Spear Motors-24h'!L105,'03.08 URA-Spear Motors-24h'!L105)</f>
        <v>0.5</v>
      </c>
      <c r="M105" s="49">
        <f>AVERAGE('01.08 URA-Spear Motors-24h'!M105,'03.08 URA-Spear Motors-24h'!M105)</f>
        <v>80</v>
      </c>
      <c r="N105" s="49">
        <f>AVERAGE('01.08 URA-Spear Motors-24h'!N105,'03.08 URA-Spear Motors-24h'!N105)</f>
        <v>0</v>
      </c>
      <c r="O105" s="15">
        <f t="shared" si="35"/>
        <v>34</v>
      </c>
      <c r="P105" s="15">
        <f t="shared" si="36"/>
        <v>114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2565.6428571428569</v>
      </c>
      <c r="D106" s="16">
        <f t="shared" ref="D106:P106" si="37">SUM(D10:D105)</f>
        <v>668.42857142857144</v>
      </c>
      <c r="E106" s="16">
        <f t="shared" si="37"/>
        <v>358.5</v>
      </c>
      <c r="F106" s="16">
        <f t="shared" si="37"/>
        <v>555.35714285714289</v>
      </c>
      <c r="G106" s="16">
        <f t="shared" si="37"/>
        <v>33.499999999999993</v>
      </c>
      <c r="H106" s="16">
        <f t="shared" si="37"/>
        <v>5</v>
      </c>
      <c r="I106" s="16">
        <f t="shared" si="37"/>
        <v>238.92857142857144</v>
      </c>
      <c r="J106" s="16">
        <f t="shared" si="37"/>
        <v>74.714285714285708</v>
      </c>
      <c r="K106" s="16">
        <f t="shared" si="37"/>
        <v>40.642857142857139</v>
      </c>
      <c r="L106" s="16">
        <f t="shared" si="37"/>
        <v>85.428571428571416</v>
      </c>
      <c r="M106" s="16">
        <f t="shared" si="37"/>
        <v>6842.4999999999991</v>
      </c>
      <c r="N106" s="16">
        <f t="shared" si="37"/>
        <v>0.42857142857142855</v>
      </c>
      <c r="O106" s="16">
        <f t="shared" si="37"/>
        <v>4626.5714285714294</v>
      </c>
      <c r="P106" s="16">
        <f t="shared" si="37"/>
        <v>11469.071428571428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0.22370100954741634</v>
      </c>
      <c r="D107" s="43">
        <f t="shared" si="38"/>
        <v>5.8280966823818101E-2</v>
      </c>
      <c r="E107" s="43">
        <f t="shared" si="38"/>
        <v>3.1257979535022767E-2</v>
      </c>
      <c r="F107" s="43">
        <f t="shared" si="38"/>
        <v>4.8422153991791596E-2</v>
      </c>
      <c r="G107" s="43">
        <f t="shared" si="38"/>
        <v>2.9208990639421548E-3</v>
      </c>
      <c r="H107" s="43">
        <f t="shared" si="38"/>
        <v>4.3595508417047091E-4</v>
      </c>
      <c r="I107" s="43">
        <f t="shared" si="38"/>
        <v>2.083242509357465E-2</v>
      </c>
      <c r="J107" s="43">
        <f t="shared" si="38"/>
        <v>6.5144145434616078E-3</v>
      </c>
      <c r="K107" s="43">
        <f t="shared" si="38"/>
        <v>3.5436920413285419E-3</v>
      </c>
      <c r="L107" s="43">
        <f t="shared" si="38"/>
        <v>7.4486040095411883E-3</v>
      </c>
      <c r="M107" s="43">
        <f t="shared" si="38"/>
        <v>0.59660453268728941</v>
      </c>
      <c r="N107" s="43">
        <f t="shared" si="38"/>
        <v>3.7367578643183217E-5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0.55454517384054824</v>
      </c>
      <c r="D108" s="44">
        <f t="shared" ref="D108:N108" si="39">D106/$O$106</f>
        <v>0.14447600815167044</v>
      </c>
      <c r="E108" s="44">
        <f t="shared" si="39"/>
        <v>7.7487185821033769E-2</v>
      </c>
      <c r="F108" s="44">
        <f t="shared" si="39"/>
        <v>0.1200364354968196</v>
      </c>
      <c r="G108" s="44">
        <f t="shared" si="39"/>
        <v>7.2407830544062224E-3</v>
      </c>
      <c r="H108" s="44">
        <f t="shared" si="39"/>
        <v>1.0807138887173467E-3</v>
      </c>
      <c r="I108" s="44">
        <f t="shared" si="39"/>
        <v>5.1642685110850364E-2</v>
      </c>
      <c r="J108" s="44">
        <f t="shared" si="39"/>
        <v>1.6148953251404925E-2</v>
      </c>
      <c r="K108" s="44">
        <f t="shared" si="39"/>
        <v>8.7846600382881466E-3</v>
      </c>
      <c r="L108" s="44">
        <f t="shared" si="39"/>
        <v>1.8464768727227809E-2</v>
      </c>
      <c r="M108" s="44"/>
      <c r="N108" s="44">
        <f t="shared" si="39"/>
        <v>9.2632619032915439E-5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O43" zoomScale="60" workbookViewId="0">
      <selection activeCell="AH65" sqref="AH6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1" width="10.7109375" customWidth="1"/>
    <col min="32" max="32" width="11.85546875" bestFit="1" customWidth="1"/>
    <col min="33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URA-Spear Motors'!C3:G3</f>
        <v>MCC - C1 - STN44- NAKAWA-JINJA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'Avg Week URA_SpearMotors'!G5:H5</f>
        <v>Spear Motors Limited</v>
      </c>
      <c r="H5" s="64"/>
      <c r="I5" s="14"/>
      <c r="J5" s="2" t="s">
        <v>5</v>
      </c>
      <c r="K5" s="63" t="str">
        <f>'Avg Week URA_SpearMotors'!K5:L5</f>
        <v>Asibazuyo &amp; Ahimbisibwe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7" t="s">
        <v>161</v>
      </c>
      <c r="E6" s="68"/>
      <c r="F6" s="2" t="s">
        <v>2</v>
      </c>
      <c r="G6" s="67" t="s">
        <v>161</v>
      </c>
      <c r="H6" s="68"/>
      <c r="J6" s="2" t="s">
        <v>21</v>
      </c>
      <c r="K6" s="63" t="str">
        <f>'Avg Week URA_SpearMotors'!K6:L6</f>
        <v>Nusurah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SpearMotors-URA'!C10+'Avg Week URA_SpearMotors'!C10</f>
        <v>52</v>
      </c>
      <c r="D10" s="49">
        <f>'Avg Week SpearMotors-URA'!D10+'Avg Week URA_SpearMotors'!D10</f>
        <v>15.428571428571429</v>
      </c>
      <c r="E10" s="49">
        <f>'Avg Week SpearMotors-URA'!E10+'Avg Week URA_SpearMotors'!E10</f>
        <v>12.142857142857142</v>
      </c>
      <c r="F10" s="49">
        <f>'Avg Week SpearMotors-URA'!F10+'Avg Week URA_SpearMotors'!F10</f>
        <v>13</v>
      </c>
      <c r="G10" s="49">
        <f>'Avg Week SpearMotors-URA'!G10+'Avg Week URA_SpearMotors'!G10</f>
        <v>2.5714285714285716</v>
      </c>
      <c r="H10" s="49">
        <f>'Avg Week SpearMotors-URA'!H10+'Avg Week URA_SpearMotors'!H10</f>
        <v>0.2857142857142857</v>
      </c>
      <c r="I10" s="49">
        <f>'Avg Week SpearMotors-URA'!I10+'Avg Week URA_SpearMotors'!I10</f>
        <v>4</v>
      </c>
      <c r="J10" s="49">
        <f>'Avg Week SpearMotors-URA'!J10+'Avg Week URA_SpearMotors'!J10</f>
        <v>1.5714285714285714</v>
      </c>
      <c r="K10" s="49">
        <f>'Avg Week SpearMotors-URA'!K10+'Avg Week URA_SpearMotors'!K10</f>
        <v>1.8571428571428572</v>
      </c>
      <c r="L10" s="49">
        <f>'Avg Week SpearMotors-URA'!L10+'Avg Week URA_SpearMotors'!L10</f>
        <v>3.1428571428571432</v>
      </c>
      <c r="M10" s="49">
        <f>'Avg Week SpearMotors-URA'!M10+'Avg Week URA_SpearMotors'!M10</f>
        <v>187.42857142857144</v>
      </c>
      <c r="N10" s="49">
        <f>'Avg Week SpearMotors-URA'!N10+'Avg Week URA_SpearMotors'!N10</f>
        <v>0</v>
      </c>
      <c r="O10" s="15">
        <f t="shared" ref="O10:O73" si="0">SUM(C10:L10,N10)</f>
        <v>106</v>
      </c>
      <c r="P10" s="15">
        <f t="shared" ref="P10:P73" si="1">SUM(C10:N10)</f>
        <v>293.42857142857144</v>
      </c>
      <c r="R10" s="1" t="s">
        <v>6</v>
      </c>
      <c r="S10" s="17">
        <f t="shared" ref="S10:AF10" si="2">SUM(C10:C13)</f>
        <v>230.71428571428572</v>
      </c>
      <c r="T10" s="17">
        <f t="shared" si="2"/>
        <v>57.857142857142861</v>
      </c>
      <c r="U10" s="17">
        <f t="shared" si="2"/>
        <v>43</v>
      </c>
      <c r="V10" s="17">
        <f t="shared" si="2"/>
        <v>59.857142857142854</v>
      </c>
      <c r="W10" s="17">
        <f t="shared" si="2"/>
        <v>8.7142857142857153</v>
      </c>
      <c r="X10" s="17">
        <f t="shared" si="2"/>
        <v>0.8571428571428571</v>
      </c>
      <c r="Y10" s="17">
        <f t="shared" si="2"/>
        <v>17.714285714285715</v>
      </c>
      <c r="Z10" s="17">
        <f t="shared" si="2"/>
        <v>5.7142857142857144</v>
      </c>
      <c r="AA10" s="17">
        <f t="shared" si="2"/>
        <v>6.2857142857142856</v>
      </c>
      <c r="AB10" s="17">
        <f t="shared" si="2"/>
        <v>11.714285714285715</v>
      </c>
      <c r="AC10" s="17">
        <f t="shared" si="2"/>
        <v>1040.8571428571429</v>
      </c>
      <c r="AD10" s="17">
        <f t="shared" si="2"/>
        <v>0</v>
      </c>
      <c r="AE10" s="31">
        <f t="shared" si="2"/>
        <v>442.42857142857144</v>
      </c>
      <c r="AF10" s="31">
        <f t="shared" si="2"/>
        <v>1483.2857142857142</v>
      </c>
    </row>
    <row r="11" spans="2:32" s="6" customFormat="1" ht="23.1" customHeight="1" x14ac:dyDescent="0.25">
      <c r="B11" s="23" t="s">
        <v>38</v>
      </c>
      <c r="C11" s="49">
        <f>'Avg Week SpearMotors-URA'!C11+'Avg Week URA_SpearMotors'!C11</f>
        <v>54.857142857142861</v>
      </c>
      <c r="D11" s="49">
        <f>'Avg Week SpearMotors-URA'!D11+'Avg Week URA_SpearMotors'!D11</f>
        <v>14.857142857142858</v>
      </c>
      <c r="E11" s="49">
        <f>'Avg Week SpearMotors-URA'!E11+'Avg Week URA_SpearMotors'!E11</f>
        <v>10.428571428571429</v>
      </c>
      <c r="F11" s="49">
        <f>'Avg Week SpearMotors-URA'!F11+'Avg Week URA_SpearMotors'!F11</f>
        <v>15.285714285714286</v>
      </c>
      <c r="G11" s="49">
        <f>'Avg Week SpearMotors-URA'!G11+'Avg Week URA_SpearMotors'!G11</f>
        <v>1.7142857142857144</v>
      </c>
      <c r="H11" s="49">
        <f>'Avg Week SpearMotors-URA'!H11+'Avg Week URA_SpearMotors'!H11</f>
        <v>0</v>
      </c>
      <c r="I11" s="49">
        <f>'Avg Week SpearMotors-URA'!I11+'Avg Week URA_SpearMotors'!I11</f>
        <v>5.7142857142857144</v>
      </c>
      <c r="J11" s="49">
        <f>'Avg Week SpearMotors-URA'!J11+'Avg Week URA_SpearMotors'!J11</f>
        <v>1.1428571428571428</v>
      </c>
      <c r="K11" s="49">
        <f>'Avg Week SpearMotors-URA'!K11+'Avg Week URA_SpearMotors'!K11</f>
        <v>1.8571428571428572</v>
      </c>
      <c r="L11" s="49">
        <f>'Avg Week SpearMotors-URA'!L11+'Avg Week URA_SpearMotors'!L11</f>
        <v>2.714285714285714</v>
      </c>
      <c r="M11" s="49">
        <f>'Avg Week SpearMotors-URA'!M11+'Avg Week URA_SpearMotors'!M11</f>
        <v>216.71428571428572</v>
      </c>
      <c r="N11" s="49">
        <f>'Avg Week SpearMotors-URA'!N11+'Avg Week URA_SpearMotors'!N11</f>
        <v>0</v>
      </c>
      <c r="O11" s="15">
        <f t="shared" si="0"/>
        <v>108.57142857142857</v>
      </c>
      <c r="P11" s="15">
        <f t="shared" si="1"/>
        <v>325.28571428571428</v>
      </c>
      <c r="R11" s="1" t="s">
        <v>7</v>
      </c>
      <c r="S11" s="17">
        <f t="shared" ref="S11:AF11" si="3">SUM(C14:C17)</f>
        <v>288</v>
      </c>
      <c r="T11" s="17">
        <f t="shared" si="3"/>
        <v>55.285714285714285</v>
      </c>
      <c r="U11" s="17">
        <f t="shared" si="3"/>
        <v>38.857142857142861</v>
      </c>
      <c r="V11" s="17">
        <f t="shared" si="3"/>
        <v>66.142857142857139</v>
      </c>
      <c r="W11" s="17">
        <f t="shared" si="3"/>
        <v>10</v>
      </c>
      <c r="X11" s="17">
        <f t="shared" si="3"/>
        <v>0.2857142857142857</v>
      </c>
      <c r="Y11" s="17">
        <f t="shared" si="3"/>
        <v>24.571428571428569</v>
      </c>
      <c r="Z11" s="17">
        <f t="shared" si="3"/>
        <v>6.4285714285714288</v>
      </c>
      <c r="AA11" s="17">
        <f t="shared" si="3"/>
        <v>9</v>
      </c>
      <c r="AB11" s="17">
        <f t="shared" si="3"/>
        <v>14.428571428571429</v>
      </c>
      <c r="AC11" s="17">
        <f t="shared" si="3"/>
        <v>1198.5714285714284</v>
      </c>
      <c r="AD11" s="17">
        <f t="shared" si="3"/>
        <v>0</v>
      </c>
      <c r="AE11" s="31">
        <f t="shared" si="3"/>
        <v>513.00000000000011</v>
      </c>
      <c r="AF11" s="31">
        <f t="shared" si="3"/>
        <v>1711.5714285714287</v>
      </c>
    </row>
    <row r="12" spans="2:32" ht="23.1" customHeight="1" x14ac:dyDescent="0.25">
      <c r="B12" s="23" t="s">
        <v>39</v>
      </c>
      <c r="C12" s="49">
        <f>'Avg Week SpearMotors-URA'!C12+'Avg Week URA_SpearMotors'!C12</f>
        <v>60</v>
      </c>
      <c r="D12" s="49">
        <f>'Avg Week SpearMotors-URA'!D12+'Avg Week URA_SpearMotors'!D12</f>
        <v>14.714285714285714</v>
      </c>
      <c r="E12" s="49">
        <f>'Avg Week SpearMotors-URA'!E12+'Avg Week URA_SpearMotors'!E12</f>
        <v>8.571428571428573</v>
      </c>
      <c r="F12" s="49">
        <f>'Avg Week SpearMotors-URA'!F12+'Avg Week URA_SpearMotors'!F12</f>
        <v>17.285714285714285</v>
      </c>
      <c r="G12" s="49">
        <f>'Avg Week SpearMotors-URA'!G12+'Avg Week URA_SpearMotors'!G12</f>
        <v>2.7142857142857144</v>
      </c>
      <c r="H12" s="49">
        <f>'Avg Week SpearMotors-URA'!H12+'Avg Week URA_SpearMotors'!H12</f>
        <v>0.2857142857142857</v>
      </c>
      <c r="I12" s="49">
        <f>'Avg Week SpearMotors-URA'!I12+'Avg Week URA_SpearMotors'!I12</f>
        <v>3.7142857142857144</v>
      </c>
      <c r="J12" s="49">
        <f>'Avg Week SpearMotors-URA'!J12+'Avg Week URA_SpearMotors'!J12</f>
        <v>1.4285714285714286</v>
      </c>
      <c r="K12" s="49">
        <f>'Avg Week SpearMotors-URA'!K12+'Avg Week URA_SpearMotors'!K12</f>
        <v>1.2857142857142856</v>
      </c>
      <c r="L12" s="49">
        <f>'Avg Week SpearMotors-URA'!L12+'Avg Week URA_SpearMotors'!L12</f>
        <v>2.4285714285714284</v>
      </c>
      <c r="M12" s="49">
        <f>'Avg Week SpearMotors-URA'!M12+'Avg Week URA_SpearMotors'!M12</f>
        <v>282.71428571428572</v>
      </c>
      <c r="N12" s="49">
        <f>'Avg Week SpearMotors-URA'!N12+'Avg Week URA_SpearMotors'!N12</f>
        <v>0</v>
      </c>
      <c r="O12" s="15">
        <f t="shared" si="0"/>
        <v>112.42857142857142</v>
      </c>
      <c r="P12" s="15">
        <f t="shared" si="1"/>
        <v>395.14285714285711</v>
      </c>
      <c r="R12" s="1" t="s">
        <v>8</v>
      </c>
      <c r="S12" s="17">
        <f t="shared" ref="S12:AF12" si="4">SUM(C18:C21)</f>
        <v>289.85714285714283</v>
      </c>
      <c r="T12" s="17">
        <f t="shared" si="4"/>
        <v>57.714285714285715</v>
      </c>
      <c r="U12" s="17">
        <f t="shared" si="4"/>
        <v>48</v>
      </c>
      <c r="V12" s="17">
        <f t="shared" si="4"/>
        <v>64</v>
      </c>
      <c r="W12" s="17">
        <f t="shared" si="4"/>
        <v>7.2857142857142856</v>
      </c>
      <c r="X12" s="17">
        <f t="shared" si="4"/>
        <v>2.1428571428571428</v>
      </c>
      <c r="Y12" s="17">
        <f t="shared" si="4"/>
        <v>25.428571428571431</v>
      </c>
      <c r="Z12" s="17">
        <f t="shared" si="4"/>
        <v>15.857142857142858</v>
      </c>
      <c r="AA12" s="17">
        <f t="shared" si="4"/>
        <v>7.5714285714285712</v>
      </c>
      <c r="AB12" s="17">
        <f t="shared" si="4"/>
        <v>16.571428571428573</v>
      </c>
      <c r="AC12" s="17">
        <f t="shared" si="4"/>
        <v>1264.4285714285713</v>
      </c>
      <c r="AD12" s="17">
        <f t="shared" si="4"/>
        <v>0.14285714285714285</v>
      </c>
      <c r="AE12" s="31">
        <f t="shared" si="4"/>
        <v>534.57142857142856</v>
      </c>
      <c r="AF12" s="31">
        <f t="shared" si="4"/>
        <v>1799</v>
      </c>
    </row>
    <row r="13" spans="2:32" ht="23.1" customHeight="1" x14ac:dyDescent="0.25">
      <c r="B13" s="23" t="s">
        <v>40</v>
      </c>
      <c r="C13" s="49">
        <f>'Avg Week SpearMotors-URA'!C13+'Avg Week URA_SpearMotors'!C13</f>
        <v>63.857142857142861</v>
      </c>
      <c r="D13" s="49">
        <f>'Avg Week SpearMotors-URA'!D13+'Avg Week URA_SpearMotors'!D13</f>
        <v>12.857142857142858</v>
      </c>
      <c r="E13" s="49">
        <f>'Avg Week SpearMotors-URA'!E13+'Avg Week URA_SpearMotors'!E13</f>
        <v>11.857142857142858</v>
      </c>
      <c r="F13" s="49">
        <f>'Avg Week SpearMotors-URA'!F13+'Avg Week URA_SpearMotors'!F13</f>
        <v>14.285714285714285</v>
      </c>
      <c r="G13" s="49">
        <f>'Avg Week SpearMotors-URA'!G13+'Avg Week URA_SpearMotors'!G13</f>
        <v>1.7142857142857142</v>
      </c>
      <c r="H13" s="49">
        <f>'Avg Week SpearMotors-URA'!H13+'Avg Week URA_SpearMotors'!H13</f>
        <v>0.2857142857142857</v>
      </c>
      <c r="I13" s="49">
        <f>'Avg Week SpearMotors-URA'!I13+'Avg Week URA_SpearMotors'!I13</f>
        <v>4.2857142857142856</v>
      </c>
      <c r="J13" s="49">
        <f>'Avg Week SpearMotors-URA'!J13+'Avg Week URA_SpearMotors'!J13</f>
        <v>1.5714285714285714</v>
      </c>
      <c r="K13" s="49">
        <f>'Avg Week SpearMotors-URA'!K13+'Avg Week URA_SpearMotors'!K13</f>
        <v>1.2857142857142856</v>
      </c>
      <c r="L13" s="49">
        <f>'Avg Week SpearMotors-URA'!L13+'Avg Week URA_SpearMotors'!L13</f>
        <v>3.4285714285714284</v>
      </c>
      <c r="M13" s="49">
        <f>'Avg Week SpearMotors-URA'!M13+'Avg Week URA_SpearMotors'!M13</f>
        <v>354</v>
      </c>
      <c r="N13" s="49">
        <f>'Avg Week SpearMotors-URA'!N13+'Avg Week URA_SpearMotors'!N13</f>
        <v>0</v>
      </c>
      <c r="O13" s="15">
        <f t="shared" si="0"/>
        <v>115.42857142857144</v>
      </c>
      <c r="P13" s="15">
        <f t="shared" si="1"/>
        <v>469.42857142857144</v>
      </c>
      <c r="R13" s="1" t="s">
        <v>9</v>
      </c>
      <c r="S13" s="17">
        <f t="shared" ref="S13:AF13" si="5">SUM(C22:C25)</f>
        <v>260</v>
      </c>
      <c r="T13" s="17">
        <f t="shared" si="5"/>
        <v>57.142857142857146</v>
      </c>
      <c r="U13" s="17">
        <f t="shared" si="5"/>
        <v>48.428571428571423</v>
      </c>
      <c r="V13" s="17">
        <f t="shared" si="5"/>
        <v>57.142857142857139</v>
      </c>
      <c r="W13" s="17">
        <f t="shared" si="5"/>
        <v>7.428571428571427</v>
      </c>
      <c r="X13" s="17">
        <f t="shared" si="5"/>
        <v>0.8571428571428571</v>
      </c>
      <c r="Y13" s="17">
        <f t="shared" si="5"/>
        <v>30.571428571428573</v>
      </c>
      <c r="Z13" s="17">
        <f t="shared" si="5"/>
        <v>12.428571428571429</v>
      </c>
      <c r="AA13" s="17">
        <f t="shared" si="5"/>
        <v>9.7142857142857135</v>
      </c>
      <c r="AB13" s="17">
        <f t="shared" si="5"/>
        <v>22.857142857142854</v>
      </c>
      <c r="AC13" s="17">
        <f t="shared" si="5"/>
        <v>1025.1428571428571</v>
      </c>
      <c r="AD13" s="17">
        <f t="shared" si="5"/>
        <v>0.14285714285714285</v>
      </c>
      <c r="AE13" s="31">
        <f t="shared" si="5"/>
        <v>506.71428571428567</v>
      </c>
      <c r="AF13" s="31">
        <f t="shared" si="5"/>
        <v>1531.8571428571431</v>
      </c>
    </row>
    <row r="14" spans="2:32" ht="23.1" customHeight="1" x14ac:dyDescent="0.25">
      <c r="B14" s="23" t="s">
        <v>41</v>
      </c>
      <c r="C14" s="49">
        <f>'Avg Week SpearMotors-URA'!C14+'Avg Week URA_SpearMotors'!C14</f>
        <v>68.714285714285722</v>
      </c>
      <c r="D14" s="49">
        <f>'Avg Week SpearMotors-URA'!D14+'Avg Week URA_SpearMotors'!D14</f>
        <v>13.571428571428571</v>
      </c>
      <c r="E14" s="49">
        <f>'Avg Week SpearMotors-URA'!E14+'Avg Week URA_SpearMotors'!E14</f>
        <v>10.285714285714286</v>
      </c>
      <c r="F14" s="49">
        <f>'Avg Week SpearMotors-URA'!F14+'Avg Week URA_SpearMotors'!F14</f>
        <v>17.571428571428569</v>
      </c>
      <c r="G14" s="49">
        <f>'Avg Week SpearMotors-URA'!G14+'Avg Week URA_SpearMotors'!G14</f>
        <v>2.4285714285714288</v>
      </c>
      <c r="H14" s="49">
        <f>'Avg Week SpearMotors-URA'!H14+'Avg Week URA_SpearMotors'!H14</f>
        <v>0</v>
      </c>
      <c r="I14" s="49">
        <f>'Avg Week SpearMotors-URA'!I14+'Avg Week URA_SpearMotors'!I14</f>
        <v>4.1428571428571423</v>
      </c>
      <c r="J14" s="49">
        <f>'Avg Week SpearMotors-URA'!J14+'Avg Week URA_SpearMotors'!J14</f>
        <v>1.4285714285714286</v>
      </c>
      <c r="K14" s="49">
        <f>'Avg Week SpearMotors-URA'!K14+'Avg Week URA_SpearMotors'!K14</f>
        <v>1.2857142857142856</v>
      </c>
      <c r="L14" s="49">
        <f>'Avg Week SpearMotors-URA'!L14+'Avg Week URA_SpearMotors'!L14</f>
        <v>3</v>
      </c>
      <c r="M14" s="49">
        <f>'Avg Week SpearMotors-URA'!M14+'Avg Week URA_SpearMotors'!M14</f>
        <v>309</v>
      </c>
      <c r="N14" s="49">
        <f>'Avg Week SpearMotors-URA'!N14+'Avg Week URA_SpearMotors'!N14</f>
        <v>0</v>
      </c>
      <c r="O14" s="15">
        <f t="shared" si="0"/>
        <v>122.42857142857144</v>
      </c>
      <c r="P14" s="15">
        <f t="shared" si="1"/>
        <v>431.42857142857144</v>
      </c>
      <c r="R14" s="1" t="s">
        <v>10</v>
      </c>
      <c r="S14" s="17">
        <f t="shared" ref="S14:AF14" si="6">SUM(C26:C29)</f>
        <v>281</v>
      </c>
      <c r="T14" s="17">
        <f t="shared" si="6"/>
        <v>84.857142857142861</v>
      </c>
      <c r="U14" s="17">
        <f t="shared" si="6"/>
        <v>52.714285714285715</v>
      </c>
      <c r="V14" s="17">
        <f t="shared" si="6"/>
        <v>61.142857142857139</v>
      </c>
      <c r="W14" s="17">
        <f t="shared" si="6"/>
        <v>7.8571428571428559</v>
      </c>
      <c r="X14" s="17">
        <f t="shared" si="6"/>
        <v>0.5714285714285714</v>
      </c>
      <c r="Y14" s="17">
        <f t="shared" si="6"/>
        <v>27.285714285714285</v>
      </c>
      <c r="Z14" s="17">
        <f t="shared" si="6"/>
        <v>16</v>
      </c>
      <c r="AA14" s="17">
        <f t="shared" si="6"/>
        <v>17</v>
      </c>
      <c r="AB14" s="17">
        <f t="shared" si="6"/>
        <v>19.142857142857142</v>
      </c>
      <c r="AC14" s="17">
        <f t="shared" si="6"/>
        <v>889.57142857142844</v>
      </c>
      <c r="AD14" s="17">
        <f t="shared" si="6"/>
        <v>0.14285714285714285</v>
      </c>
      <c r="AE14" s="31">
        <f t="shared" si="6"/>
        <v>567.71428571428567</v>
      </c>
      <c r="AF14" s="31">
        <f t="shared" si="6"/>
        <v>1457.2857142857142</v>
      </c>
    </row>
    <row r="15" spans="2:32" ht="23.1" customHeight="1" x14ac:dyDescent="0.25">
      <c r="B15" s="23" t="s">
        <v>42</v>
      </c>
      <c r="C15" s="49">
        <f>'Avg Week SpearMotors-URA'!C15+'Avg Week URA_SpearMotors'!C15</f>
        <v>72.428571428571431</v>
      </c>
      <c r="D15" s="49">
        <f>'Avg Week SpearMotors-URA'!D15+'Avg Week URA_SpearMotors'!D15</f>
        <v>16.142857142857142</v>
      </c>
      <c r="E15" s="49">
        <f>'Avg Week SpearMotors-URA'!E15+'Avg Week URA_SpearMotors'!E15</f>
        <v>9.4285714285714288</v>
      </c>
      <c r="F15" s="49">
        <f>'Avg Week SpearMotors-URA'!F15+'Avg Week URA_SpearMotors'!F15</f>
        <v>16.571428571428573</v>
      </c>
      <c r="G15" s="49">
        <f>'Avg Week SpearMotors-URA'!G15+'Avg Week URA_SpearMotors'!G15</f>
        <v>2</v>
      </c>
      <c r="H15" s="49">
        <f>'Avg Week SpearMotors-URA'!H15+'Avg Week URA_SpearMotors'!H15</f>
        <v>0</v>
      </c>
      <c r="I15" s="49">
        <f>'Avg Week SpearMotors-URA'!I15+'Avg Week URA_SpearMotors'!I15</f>
        <v>7.8571428571428577</v>
      </c>
      <c r="J15" s="49">
        <f>'Avg Week SpearMotors-URA'!J15+'Avg Week URA_SpearMotors'!J15</f>
        <v>1.7142857142857144</v>
      </c>
      <c r="K15" s="49">
        <f>'Avg Week SpearMotors-URA'!K15+'Avg Week URA_SpearMotors'!K15</f>
        <v>1.5714285714285714</v>
      </c>
      <c r="L15" s="49">
        <f>'Avg Week SpearMotors-URA'!L15+'Avg Week URA_SpearMotors'!L15</f>
        <v>4.1428571428571423</v>
      </c>
      <c r="M15" s="49">
        <f>'Avg Week SpearMotors-URA'!M15+'Avg Week URA_SpearMotors'!M15</f>
        <v>309.14285714285717</v>
      </c>
      <c r="N15" s="49">
        <f>'Avg Week SpearMotors-URA'!N15+'Avg Week URA_SpearMotors'!N15</f>
        <v>0</v>
      </c>
      <c r="O15" s="15">
        <f t="shared" si="0"/>
        <v>131.85714285714286</v>
      </c>
      <c r="P15" s="15">
        <f t="shared" si="1"/>
        <v>441</v>
      </c>
      <c r="R15" s="1" t="s">
        <v>11</v>
      </c>
      <c r="S15" s="17">
        <f t="shared" ref="S15:AF15" si="7">SUM(C30:C33)</f>
        <v>275.57142857142856</v>
      </c>
      <c r="T15" s="17">
        <f t="shared" si="7"/>
        <v>62.285714285714292</v>
      </c>
      <c r="U15" s="17">
        <f t="shared" si="7"/>
        <v>45.857142857142861</v>
      </c>
      <c r="V15" s="17">
        <f t="shared" si="7"/>
        <v>43.714285714285715</v>
      </c>
      <c r="W15" s="17">
        <f t="shared" si="7"/>
        <v>5.2857142857142856</v>
      </c>
      <c r="X15" s="17">
        <f t="shared" si="7"/>
        <v>0.14285714285714285</v>
      </c>
      <c r="Y15" s="17">
        <f t="shared" si="7"/>
        <v>31.571428571428573</v>
      </c>
      <c r="Z15" s="17">
        <f t="shared" si="7"/>
        <v>13.571428571428571</v>
      </c>
      <c r="AA15" s="17">
        <f t="shared" si="7"/>
        <v>12.142857142857142</v>
      </c>
      <c r="AB15" s="17">
        <f t="shared" si="7"/>
        <v>25.714285714285715</v>
      </c>
      <c r="AC15" s="17">
        <f t="shared" si="7"/>
        <v>705</v>
      </c>
      <c r="AD15" s="17">
        <f t="shared" si="7"/>
        <v>0</v>
      </c>
      <c r="AE15" s="31">
        <f t="shared" si="7"/>
        <v>515.85714285714289</v>
      </c>
      <c r="AF15" s="31">
        <f t="shared" si="7"/>
        <v>1220.8571428571427</v>
      </c>
    </row>
    <row r="16" spans="2:32" ht="23.1" customHeight="1" x14ac:dyDescent="0.25">
      <c r="B16" s="23" t="s">
        <v>43</v>
      </c>
      <c r="C16" s="49">
        <f>'Avg Week SpearMotors-URA'!C16+'Avg Week URA_SpearMotors'!C16</f>
        <v>78</v>
      </c>
      <c r="D16" s="49">
        <f>'Avg Week SpearMotors-URA'!D16+'Avg Week URA_SpearMotors'!D16</f>
        <v>14</v>
      </c>
      <c r="E16" s="49">
        <f>'Avg Week SpearMotors-URA'!E16+'Avg Week URA_SpearMotors'!E16</f>
        <v>9.7142857142857153</v>
      </c>
      <c r="F16" s="49">
        <f>'Avg Week SpearMotors-URA'!F16+'Avg Week URA_SpearMotors'!F16</f>
        <v>16.428571428571431</v>
      </c>
      <c r="G16" s="49">
        <f>'Avg Week SpearMotors-URA'!G16+'Avg Week URA_SpearMotors'!G16</f>
        <v>3.2857142857142856</v>
      </c>
      <c r="H16" s="49">
        <f>'Avg Week SpearMotors-URA'!H16+'Avg Week URA_SpearMotors'!H16</f>
        <v>0.2857142857142857</v>
      </c>
      <c r="I16" s="49">
        <f>'Avg Week SpearMotors-URA'!I16+'Avg Week URA_SpearMotors'!I16</f>
        <v>6.2857142857142856</v>
      </c>
      <c r="J16" s="49">
        <f>'Avg Week SpearMotors-URA'!J16+'Avg Week URA_SpearMotors'!J16</f>
        <v>0.8571428571428571</v>
      </c>
      <c r="K16" s="49">
        <f>'Avg Week SpearMotors-URA'!K16+'Avg Week URA_SpearMotors'!K16</f>
        <v>2.5714285714285716</v>
      </c>
      <c r="L16" s="49">
        <f>'Avg Week SpearMotors-URA'!L16+'Avg Week URA_SpearMotors'!L16</f>
        <v>2.8571428571428568</v>
      </c>
      <c r="M16" s="49">
        <f>'Avg Week SpearMotors-URA'!M16+'Avg Week URA_SpearMotors'!M16</f>
        <v>310.85714285714283</v>
      </c>
      <c r="N16" s="49">
        <f>'Avg Week SpearMotors-URA'!N16+'Avg Week URA_SpearMotors'!N16</f>
        <v>0</v>
      </c>
      <c r="O16" s="15">
        <f t="shared" si="0"/>
        <v>134.28571428571433</v>
      </c>
      <c r="P16" s="15">
        <f t="shared" si="1"/>
        <v>445.14285714285717</v>
      </c>
      <c r="R16" s="1" t="s">
        <v>12</v>
      </c>
      <c r="S16" s="17">
        <f t="shared" ref="S16:AF16" si="8">SUM(C34:C37)</f>
        <v>282.28571428571422</v>
      </c>
      <c r="T16" s="17">
        <f t="shared" si="8"/>
        <v>62</v>
      </c>
      <c r="U16" s="17">
        <f t="shared" si="8"/>
        <v>44.285714285714285</v>
      </c>
      <c r="V16" s="17">
        <f t="shared" si="8"/>
        <v>41.857142857142861</v>
      </c>
      <c r="W16" s="17">
        <f t="shared" si="8"/>
        <v>4.4285714285714279</v>
      </c>
      <c r="X16" s="17">
        <f t="shared" si="8"/>
        <v>0.8571428571428571</v>
      </c>
      <c r="Y16" s="17">
        <f t="shared" si="8"/>
        <v>23.999999999999996</v>
      </c>
      <c r="Z16" s="17">
        <f t="shared" si="8"/>
        <v>13</v>
      </c>
      <c r="AA16" s="17">
        <f t="shared" si="8"/>
        <v>10.142857142857142</v>
      </c>
      <c r="AB16" s="17">
        <f t="shared" si="8"/>
        <v>18.571428571428573</v>
      </c>
      <c r="AC16" s="17">
        <f t="shared" si="8"/>
        <v>638.42857142857144</v>
      </c>
      <c r="AD16" s="17">
        <f t="shared" si="8"/>
        <v>0.14285714285714285</v>
      </c>
      <c r="AE16" s="31">
        <f t="shared" si="8"/>
        <v>501.57142857142856</v>
      </c>
      <c r="AF16" s="31">
        <f t="shared" si="8"/>
        <v>1140</v>
      </c>
    </row>
    <row r="17" spans="2:32" ht="23.1" customHeight="1" x14ac:dyDescent="0.25">
      <c r="B17" s="23" t="s">
        <v>44</v>
      </c>
      <c r="C17" s="49">
        <f>'Avg Week SpearMotors-URA'!C17+'Avg Week URA_SpearMotors'!C17</f>
        <v>68.857142857142861</v>
      </c>
      <c r="D17" s="49">
        <f>'Avg Week SpearMotors-URA'!D17+'Avg Week URA_SpearMotors'!D17</f>
        <v>11.571428571428571</v>
      </c>
      <c r="E17" s="49">
        <f>'Avg Week SpearMotors-URA'!E17+'Avg Week URA_SpearMotors'!E17</f>
        <v>9.4285714285714288</v>
      </c>
      <c r="F17" s="49">
        <f>'Avg Week SpearMotors-URA'!F17+'Avg Week URA_SpearMotors'!F17</f>
        <v>15.571428571428571</v>
      </c>
      <c r="G17" s="49">
        <f>'Avg Week SpearMotors-URA'!G17+'Avg Week URA_SpearMotors'!G17</f>
        <v>2.2857142857142856</v>
      </c>
      <c r="H17" s="49">
        <f>'Avg Week SpearMotors-URA'!H17+'Avg Week URA_SpearMotors'!H17</f>
        <v>0</v>
      </c>
      <c r="I17" s="49">
        <f>'Avg Week SpearMotors-URA'!I17+'Avg Week URA_SpearMotors'!I17</f>
        <v>6.2857142857142865</v>
      </c>
      <c r="J17" s="49">
        <f>'Avg Week SpearMotors-URA'!J17+'Avg Week URA_SpearMotors'!J17</f>
        <v>2.4285714285714284</v>
      </c>
      <c r="K17" s="49">
        <f>'Avg Week SpearMotors-URA'!K17+'Avg Week URA_SpearMotors'!K17</f>
        <v>3.5714285714285716</v>
      </c>
      <c r="L17" s="49">
        <f>'Avg Week SpearMotors-URA'!L17+'Avg Week URA_SpearMotors'!L17</f>
        <v>4.4285714285714288</v>
      </c>
      <c r="M17" s="49">
        <f>'Avg Week SpearMotors-URA'!M17+'Avg Week URA_SpearMotors'!M17</f>
        <v>269.57142857142856</v>
      </c>
      <c r="N17" s="49">
        <f>'Avg Week SpearMotors-URA'!N17+'Avg Week URA_SpearMotors'!N17</f>
        <v>0</v>
      </c>
      <c r="O17" s="15">
        <f t="shared" si="0"/>
        <v>124.42857142857144</v>
      </c>
      <c r="P17" s="15">
        <f t="shared" si="1"/>
        <v>394</v>
      </c>
      <c r="R17" s="1" t="s">
        <v>13</v>
      </c>
      <c r="S17" s="17">
        <f t="shared" ref="S17:AF17" si="9">SUM(C38:C41)</f>
        <v>292.57142857142856</v>
      </c>
      <c r="T17" s="17">
        <f t="shared" si="9"/>
        <v>66.571428571428569</v>
      </c>
      <c r="U17" s="17">
        <f t="shared" si="9"/>
        <v>50.285714285714285</v>
      </c>
      <c r="V17" s="17">
        <f t="shared" si="9"/>
        <v>42.428571428571431</v>
      </c>
      <c r="W17" s="17">
        <f t="shared" si="9"/>
        <v>5.7142857142857135</v>
      </c>
      <c r="X17" s="17">
        <f t="shared" si="9"/>
        <v>0.14285714285714285</v>
      </c>
      <c r="Y17" s="17">
        <f t="shared" si="9"/>
        <v>28</v>
      </c>
      <c r="Z17" s="17">
        <f t="shared" si="9"/>
        <v>15.428571428571431</v>
      </c>
      <c r="AA17" s="17">
        <f t="shared" si="9"/>
        <v>9.4285714285714288</v>
      </c>
      <c r="AB17" s="17">
        <f t="shared" si="9"/>
        <v>17.857142857142858</v>
      </c>
      <c r="AC17" s="17">
        <f t="shared" si="9"/>
        <v>588.85714285714289</v>
      </c>
      <c r="AD17" s="17">
        <f t="shared" si="9"/>
        <v>0</v>
      </c>
      <c r="AE17" s="31">
        <f t="shared" si="9"/>
        <v>528.42857142857156</v>
      </c>
      <c r="AF17" s="31">
        <f t="shared" si="9"/>
        <v>1117.2857142857142</v>
      </c>
    </row>
    <row r="18" spans="2:32" ht="23.1" customHeight="1" x14ac:dyDescent="0.25">
      <c r="B18" s="23" t="s">
        <v>45</v>
      </c>
      <c r="C18" s="49">
        <f>'Avg Week SpearMotors-URA'!C18+'Avg Week URA_SpearMotors'!C18</f>
        <v>67.142857142857139</v>
      </c>
      <c r="D18" s="49">
        <f>'Avg Week SpearMotors-URA'!D18+'Avg Week URA_SpearMotors'!D18</f>
        <v>14.857142857142858</v>
      </c>
      <c r="E18" s="49">
        <f>'Avg Week SpearMotors-URA'!E18+'Avg Week URA_SpearMotors'!E18</f>
        <v>10.571428571428571</v>
      </c>
      <c r="F18" s="49">
        <f>'Avg Week SpearMotors-URA'!F18+'Avg Week URA_SpearMotors'!F18</f>
        <v>16</v>
      </c>
      <c r="G18" s="49">
        <f>'Avg Week SpearMotors-URA'!G18+'Avg Week URA_SpearMotors'!G18</f>
        <v>2.2857142857142856</v>
      </c>
      <c r="H18" s="49">
        <f>'Avg Week SpearMotors-URA'!H18+'Avg Week URA_SpearMotors'!H18</f>
        <v>0</v>
      </c>
      <c r="I18" s="49">
        <f>'Avg Week SpearMotors-URA'!I18+'Avg Week URA_SpearMotors'!I18</f>
        <v>8.2857142857142865</v>
      </c>
      <c r="J18" s="49">
        <f>'Avg Week SpearMotors-URA'!J18+'Avg Week URA_SpearMotors'!J18</f>
        <v>5.1428571428571423</v>
      </c>
      <c r="K18" s="49">
        <f>'Avg Week SpearMotors-URA'!K18+'Avg Week URA_SpearMotors'!K18</f>
        <v>1.2857142857142856</v>
      </c>
      <c r="L18" s="49">
        <f>'Avg Week SpearMotors-URA'!L18+'Avg Week URA_SpearMotors'!L18</f>
        <v>3.1428571428571432</v>
      </c>
      <c r="M18" s="49">
        <f>'Avg Week SpearMotors-URA'!M18+'Avg Week URA_SpearMotors'!M18</f>
        <v>333.71428571428572</v>
      </c>
      <c r="N18" s="49">
        <f>'Avg Week SpearMotors-URA'!N18+'Avg Week URA_SpearMotors'!N18</f>
        <v>0.14285714285714285</v>
      </c>
      <c r="O18" s="15">
        <f t="shared" si="0"/>
        <v>128.85714285714286</v>
      </c>
      <c r="P18" s="15">
        <f t="shared" si="1"/>
        <v>462.57142857142861</v>
      </c>
      <c r="R18" s="1" t="s">
        <v>14</v>
      </c>
      <c r="S18" s="17">
        <f t="shared" ref="S18:AF18" si="10">SUM(C42:C45)</f>
        <v>295.71428571428572</v>
      </c>
      <c r="T18" s="17">
        <f t="shared" si="10"/>
        <v>61.428571428571431</v>
      </c>
      <c r="U18" s="17">
        <f t="shared" si="10"/>
        <v>50.571428571428569</v>
      </c>
      <c r="V18" s="17">
        <f t="shared" si="10"/>
        <v>46.571428571428562</v>
      </c>
      <c r="W18" s="17">
        <f t="shared" si="10"/>
        <v>6.8571428571428568</v>
      </c>
      <c r="X18" s="17">
        <f t="shared" si="10"/>
        <v>0</v>
      </c>
      <c r="Y18" s="17">
        <f t="shared" si="10"/>
        <v>35</v>
      </c>
      <c r="Z18" s="17">
        <f t="shared" si="10"/>
        <v>13.714285714285715</v>
      </c>
      <c r="AA18" s="17">
        <f t="shared" si="10"/>
        <v>10.714285714285714</v>
      </c>
      <c r="AB18" s="17">
        <f t="shared" si="10"/>
        <v>26.142857142857142</v>
      </c>
      <c r="AC18" s="17">
        <f t="shared" si="10"/>
        <v>648.14285714285711</v>
      </c>
      <c r="AD18" s="17">
        <f t="shared" si="10"/>
        <v>0</v>
      </c>
      <c r="AE18" s="31">
        <f t="shared" si="10"/>
        <v>546.71428571428578</v>
      </c>
      <c r="AF18" s="31">
        <f t="shared" si="10"/>
        <v>1194.8571428571429</v>
      </c>
    </row>
    <row r="19" spans="2:32" ht="23.1" customHeight="1" x14ac:dyDescent="0.25">
      <c r="B19" s="23" t="s">
        <v>46</v>
      </c>
      <c r="C19" s="49">
        <f>'Avg Week SpearMotors-URA'!C19+'Avg Week URA_SpearMotors'!C19</f>
        <v>74.714285714285722</v>
      </c>
      <c r="D19" s="49">
        <f>'Avg Week SpearMotors-URA'!D19+'Avg Week URA_SpearMotors'!D19</f>
        <v>13.571428571428573</v>
      </c>
      <c r="E19" s="49">
        <f>'Avg Week SpearMotors-URA'!E19+'Avg Week URA_SpearMotors'!E19</f>
        <v>11.571428571428571</v>
      </c>
      <c r="F19" s="49">
        <f>'Avg Week SpearMotors-URA'!F19+'Avg Week URA_SpearMotors'!F19</f>
        <v>15.428571428571429</v>
      </c>
      <c r="G19" s="49">
        <f>'Avg Week SpearMotors-URA'!G19+'Avg Week URA_SpearMotors'!G19</f>
        <v>1.5714285714285714</v>
      </c>
      <c r="H19" s="49">
        <f>'Avg Week SpearMotors-URA'!H19+'Avg Week URA_SpearMotors'!H19</f>
        <v>0</v>
      </c>
      <c r="I19" s="49">
        <f>'Avg Week SpearMotors-URA'!I19+'Avg Week URA_SpearMotors'!I19</f>
        <v>6.2857142857142856</v>
      </c>
      <c r="J19" s="49">
        <f>'Avg Week SpearMotors-URA'!J19+'Avg Week URA_SpearMotors'!J19</f>
        <v>2.4285714285714284</v>
      </c>
      <c r="K19" s="49">
        <f>'Avg Week SpearMotors-URA'!K19+'Avg Week URA_SpearMotors'!K19</f>
        <v>1.7142857142857142</v>
      </c>
      <c r="L19" s="49">
        <f>'Avg Week SpearMotors-URA'!L19+'Avg Week URA_SpearMotors'!L19</f>
        <v>2.7142857142857144</v>
      </c>
      <c r="M19" s="49">
        <f>'Avg Week SpearMotors-URA'!M19+'Avg Week URA_SpearMotors'!M19</f>
        <v>328.28571428571428</v>
      </c>
      <c r="N19" s="49">
        <f>'Avg Week SpearMotors-URA'!N19+'Avg Week URA_SpearMotors'!N19</f>
        <v>0</v>
      </c>
      <c r="O19" s="15">
        <f t="shared" si="0"/>
        <v>130</v>
      </c>
      <c r="P19" s="15">
        <f t="shared" si="1"/>
        <v>458.28571428571428</v>
      </c>
      <c r="R19" s="1" t="s">
        <v>15</v>
      </c>
      <c r="S19" s="17">
        <f t="shared" ref="S19:AF19" si="11">SUM(C46:C49)</f>
        <v>329.57142857142861</v>
      </c>
      <c r="T19" s="17">
        <f t="shared" si="11"/>
        <v>65.428571428571416</v>
      </c>
      <c r="U19" s="17">
        <f t="shared" si="11"/>
        <v>52.857142857142861</v>
      </c>
      <c r="V19" s="17">
        <f t="shared" si="11"/>
        <v>45</v>
      </c>
      <c r="W19" s="17">
        <f t="shared" si="11"/>
        <v>4.4285714285714279</v>
      </c>
      <c r="X19" s="17">
        <f t="shared" si="11"/>
        <v>0</v>
      </c>
      <c r="Y19" s="17">
        <f t="shared" si="11"/>
        <v>33.428571428571431</v>
      </c>
      <c r="Z19" s="17">
        <f t="shared" si="11"/>
        <v>14.714285714285712</v>
      </c>
      <c r="AA19" s="17">
        <f t="shared" si="11"/>
        <v>9.4285714285714288</v>
      </c>
      <c r="AB19" s="17">
        <f t="shared" si="11"/>
        <v>21.142857142857146</v>
      </c>
      <c r="AC19" s="17">
        <f t="shared" si="11"/>
        <v>700.85714285714289</v>
      </c>
      <c r="AD19" s="17">
        <f t="shared" si="11"/>
        <v>0.14285714285714285</v>
      </c>
      <c r="AE19" s="31">
        <f t="shared" si="11"/>
        <v>576.14285714285711</v>
      </c>
      <c r="AF19" s="31">
        <f t="shared" si="11"/>
        <v>1277</v>
      </c>
    </row>
    <row r="20" spans="2:32" ht="23.1" customHeight="1" x14ac:dyDescent="0.25">
      <c r="B20" s="23" t="s">
        <v>47</v>
      </c>
      <c r="C20" s="49">
        <f>'Avg Week SpearMotors-URA'!C20+'Avg Week URA_SpearMotors'!C20</f>
        <v>71.428571428571431</v>
      </c>
      <c r="D20" s="49">
        <f>'Avg Week SpearMotors-URA'!D20+'Avg Week URA_SpearMotors'!D20</f>
        <v>12.714285714285714</v>
      </c>
      <c r="E20" s="49">
        <f>'Avg Week SpearMotors-URA'!E20+'Avg Week URA_SpearMotors'!E20</f>
        <v>12.142857142857142</v>
      </c>
      <c r="F20" s="49">
        <f>'Avg Week SpearMotors-URA'!F20+'Avg Week URA_SpearMotors'!F20</f>
        <v>17</v>
      </c>
      <c r="G20" s="49">
        <f>'Avg Week SpearMotors-URA'!G20+'Avg Week URA_SpearMotors'!G20</f>
        <v>1.4285714285714286</v>
      </c>
      <c r="H20" s="49">
        <f>'Avg Week SpearMotors-URA'!H20+'Avg Week URA_SpearMotors'!H20</f>
        <v>2</v>
      </c>
      <c r="I20" s="49">
        <f>'Avg Week SpearMotors-URA'!I20+'Avg Week URA_SpearMotors'!I20</f>
        <v>6</v>
      </c>
      <c r="J20" s="49">
        <f>'Avg Week SpearMotors-URA'!J20+'Avg Week URA_SpearMotors'!J20</f>
        <v>5.8571428571428577</v>
      </c>
      <c r="K20" s="49">
        <f>'Avg Week SpearMotors-URA'!K20+'Avg Week URA_SpearMotors'!K20</f>
        <v>2.4285714285714288</v>
      </c>
      <c r="L20" s="49">
        <f>'Avg Week SpearMotors-URA'!L20+'Avg Week URA_SpearMotors'!L20</f>
        <v>6</v>
      </c>
      <c r="M20" s="49">
        <f>'Avg Week SpearMotors-URA'!M20+'Avg Week URA_SpearMotors'!M20</f>
        <v>314.57142857142856</v>
      </c>
      <c r="N20" s="49">
        <f>'Avg Week SpearMotors-URA'!N20+'Avg Week URA_SpearMotors'!N20</f>
        <v>0</v>
      </c>
      <c r="O20" s="15">
        <f t="shared" si="0"/>
        <v>136.99999999999997</v>
      </c>
      <c r="P20" s="15">
        <f t="shared" si="1"/>
        <v>451.57142857142856</v>
      </c>
      <c r="R20" s="1" t="s">
        <v>16</v>
      </c>
      <c r="S20" s="17">
        <f t="shared" ref="S20:AF20" si="12">SUM(C50:C53)</f>
        <v>423</v>
      </c>
      <c r="T20" s="17">
        <f t="shared" si="12"/>
        <v>66.857142857142861</v>
      </c>
      <c r="U20" s="17">
        <f t="shared" si="12"/>
        <v>52.285714285714285</v>
      </c>
      <c r="V20" s="17">
        <f t="shared" si="12"/>
        <v>37.571428571428569</v>
      </c>
      <c r="W20" s="17">
        <f t="shared" si="12"/>
        <v>8.571428571428573</v>
      </c>
      <c r="X20" s="17">
        <f t="shared" si="12"/>
        <v>0.5714285714285714</v>
      </c>
      <c r="Y20" s="17">
        <f t="shared" si="12"/>
        <v>18.571428571428573</v>
      </c>
      <c r="Z20" s="17">
        <f t="shared" si="12"/>
        <v>15</v>
      </c>
      <c r="AA20" s="17">
        <f t="shared" si="12"/>
        <v>7.2857142857142865</v>
      </c>
      <c r="AB20" s="17">
        <f t="shared" si="12"/>
        <v>19</v>
      </c>
      <c r="AC20" s="17">
        <f t="shared" si="12"/>
        <v>726.14285714285711</v>
      </c>
      <c r="AD20" s="17">
        <f t="shared" si="12"/>
        <v>0</v>
      </c>
      <c r="AE20" s="31">
        <f t="shared" si="12"/>
        <v>648.71428571428578</v>
      </c>
      <c r="AF20" s="31">
        <f t="shared" si="12"/>
        <v>1374.8571428571429</v>
      </c>
    </row>
    <row r="21" spans="2:32" ht="23.1" customHeight="1" x14ac:dyDescent="0.25">
      <c r="B21" s="23" t="s">
        <v>48</v>
      </c>
      <c r="C21" s="49">
        <f>'Avg Week SpearMotors-URA'!C21+'Avg Week URA_SpearMotors'!C21</f>
        <v>76.571428571428569</v>
      </c>
      <c r="D21" s="49">
        <f>'Avg Week SpearMotors-URA'!D21+'Avg Week URA_SpearMotors'!D21</f>
        <v>16.571428571428569</v>
      </c>
      <c r="E21" s="49">
        <f>'Avg Week SpearMotors-URA'!E21+'Avg Week URA_SpearMotors'!E21</f>
        <v>13.714285714285715</v>
      </c>
      <c r="F21" s="49">
        <f>'Avg Week SpearMotors-URA'!F21+'Avg Week URA_SpearMotors'!F21</f>
        <v>15.571428571428573</v>
      </c>
      <c r="G21" s="49">
        <f>'Avg Week SpearMotors-URA'!G21+'Avg Week URA_SpearMotors'!G21</f>
        <v>2</v>
      </c>
      <c r="H21" s="49">
        <f>'Avg Week SpearMotors-URA'!H21+'Avg Week URA_SpearMotors'!H21</f>
        <v>0.14285714285714285</v>
      </c>
      <c r="I21" s="49">
        <f>'Avg Week SpearMotors-URA'!I21+'Avg Week URA_SpearMotors'!I21</f>
        <v>4.8571428571428577</v>
      </c>
      <c r="J21" s="49">
        <f>'Avg Week SpearMotors-URA'!J21+'Avg Week URA_SpearMotors'!J21</f>
        <v>2.4285714285714284</v>
      </c>
      <c r="K21" s="49">
        <f>'Avg Week SpearMotors-URA'!K21+'Avg Week URA_SpearMotors'!K21</f>
        <v>2.1428571428571428</v>
      </c>
      <c r="L21" s="49">
        <f>'Avg Week SpearMotors-URA'!L21+'Avg Week URA_SpearMotors'!L21</f>
        <v>4.7142857142857144</v>
      </c>
      <c r="M21" s="49">
        <f>'Avg Week SpearMotors-URA'!M21+'Avg Week URA_SpearMotors'!M21</f>
        <v>287.85714285714283</v>
      </c>
      <c r="N21" s="49">
        <f>'Avg Week SpearMotors-URA'!N21+'Avg Week URA_SpearMotors'!N21</f>
        <v>0</v>
      </c>
      <c r="O21" s="15">
        <f t="shared" si="0"/>
        <v>138.71428571428569</v>
      </c>
      <c r="P21" s="15">
        <f t="shared" si="1"/>
        <v>426.57142857142856</v>
      </c>
      <c r="R21" s="36" t="s">
        <v>20</v>
      </c>
      <c r="S21" s="34">
        <f t="shared" ref="S21:AF21" si="13">SUM(C54:C57)</f>
        <v>343.28571428571433</v>
      </c>
      <c r="T21" s="17">
        <f t="shared" si="13"/>
        <v>66.857142857142861</v>
      </c>
      <c r="U21" s="17">
        <f t="shared" si="13"/>
        <v>38</v>
      </c>
      <c r="V21" s="17">
        <f t="shared" si="13"/>
        <v>41.571428571428569</v>
      </c>
      <c r="W21" s="17">
        <f t="shared" si="13"/>
        <v>5.4285714285714288</v>
      </c>
      <c r="X21" s="17">
        <f t="shared" si="13"/>
        <v>0.14285714285714285</v>
      </c>
      <c r="Y21" s="17">
        <f t="shared" si="13"/>
        <v>22.428571428571427</v>
      </c>
      <c r="Z21" s="17">
        <f t="shared" si="13"/>
        <v>10</v>
      </c>
      <c r="AA21" s="17">
        <f t="shared" si="13"/>
        <v>6.1428571428571423</v>
      </c>
      <c r="AB21" s="17">
        <f t="shared" si="13"/>
        <v>16.571428571428573</v>
      </c>
      <c r="AC21" s="17">
        <f t="shared" si="13"/>
        <v>755.14285714285711</v>
      </c>
      <c r="AD21" s="17">
        <f t="shared" si="13"/>
        <v>0.14285714285714285</v>
      </c>
      <c r="AE21" s="31">
        <f t="shared" si="13"/>
        <v>550.57142857142856</v>
      </c>
      <c r="AF21" s="31">
        <f t="shared" si="13"/>
        <v>1305.7142857142858</v>
      </c>
    </row>
    <row r="22" spans="2:32" ht="23.1" customHeight="1" x14ac:dyDescent="0.25">
      <c r="B22" s="23" t="s">
        <v>49</v>
      </c>
      <c r="C22" s="49">
        <f>'Avg Week SpearMotors-URA'!C22+'Avg Week URA_SpearMotors'!C22</f>
        <v>58.571428571428569</v>
      </c>
      <c r="D22" s="49">
        <f>'Avg Week SpearMotors-URA'!D22+'Avg Week URA_SpearMotors'!D22</f>
        <v>15.428571428571431</v>
      </c>
      <c r="E22" s="49">
        <f>'Avg Week SpearMotors-URA'!E22+'Avg Week URA_SpearMotors'!E22</f>
        <v>11.142857142857142</v>
      </c>
      <c r="F22" s="49">
        <f>'Avg Week SpearMotors-URA'!F22+'Avg Week URA_SpearMotors'!F22</f>
        <v>14.142857142857142</v>
      </c>
      <c r="G22" s="49">
        <f>'Avg Week SpearMotors-URA'!G22+'Avg Week URA_SpearMotors'!G22</f>
        <v>2</v>
      </c>
      <c r="H22" s="49">
        <f>'Avg Week SpearMotors-URA'!H22+'Avg Week URA_SpearMotors'!H22</f>
        <v>0.2857142857142857</v>
      </c>
      <c r="I22" s="49">
        <f>'Avg Week SpearMotors-URA'!I22+'Avg Week URA_SpearMotors'!I22</f>
        <v>7.5714285714285712</v>
      </c>
      <c r="J22" s="49">
        <f>'Avg Week SpearMotors-URA'!J22+'Avg Week URA_SpearMotors'!J22</f>
        <v>4.4285714285714288</v>
      </c>
      <c r="K22" s="49">
        <f>'Avg Week SpearMotors-URA'!K22+'Avg Week URA_SpearMotors'!K22</f>
        <v>2.4285714285714284</v>
      </c>
      <c r="L22" s="49">
        <f>'Avg Week SpearMotors-URA'!L22+'Avg Week URA_SpearMotors'!L22</f>
        <v>6</v>
      </c>
      <c r="M22" s="49">
        <f>'Avg Week SpearMotors-URA'!M22+'Avg Week URA_SpearMotors'!M22</f>
        <v>267.28571428571428</v>
      </c>
      <c r="N22" s="49">
        <f>'Avg Week SpearMotors-URA'!N22+'Avg Week URA_SpearMotors'!N22</f>
        <v>0</v>
      </c>
      <c r="O22" s="15">
        <f t="shared" si="0"/>
        <v>122</v>
      </c>
      <c r="P22" s="15">
        <f t="shared" si="1"/>
        <v>389.28571428571428</v>
      </c>
      <c r="R22" s="1" t="s">
        <v>146</v>
      </c>
      <c r="S22" s="34">
        <f>SUM(C58:C61)</f>
        <v>208</v>
      </c>
      <c r="T22" s="34">
        <f t="shared" ref="T22:AF22" si="14">SUM(D58:D61)</f>
        <v>69.5</v>
      </c>
      <c r="U22" s="34">
        <f t="shared" si="14"/>
        <v>35</v>
      </c>
      <c r="V22" s="34">
        <f t="shared" si="14"/>
        <v>42.5</v>
      </c>
      <c r="W22" s="34">
        <f t="shared" si="14"/>
        <v>5.5</v>
      </c>
      <c r="X22" s="34">
        <f t="shared" si="14"/>
        <v>2</v>
      </c>
      <c r="Y22" s="34">
        <f t="shared" si="14"/>
        <v>14</v>
      </c>
      <c r="Z22" s="34">
        <f t="shared" si="14"/>
        <v>7</v>
      </c>
      <c r="AA22" s="34">
        <f t="shared" si="14"/>
        <v>5</v>
      </c>
      <c r="AB22" s="34">
        <f t="shared" si="14"/>
        <v>6.5</v>
      </c>
      <c r="AC22" s="34">
        <f t="shared" si="14"/>
        <v>1437.5</v>
      </c>
      <c r="AD22" s="34">
        <f t="shared" si="14"/>
        <v>0</v>
      </c>
      <c r="AE22" s="31">
        <f t="shared" si="14"/>
        <v>395</v>
      </c>
      <c r="AF22" s="31">
        <f t="shared" si="14"/>
        <v>1832.5</v>
      </c>
    </row>
    <row r="23" spans="2:32" ht="23.1" customHeight="1" x14ac:dyDescent="0.25">
      <c r="B23" s="23" t="s">
        <v>50</v>
      </c>
      <c r="C23" s="49">
        <f>'Avg Week SpearMotors-URA'!C23+'Avg Week URA_SpearMotors'!C23</f>
        <v>61.857142857142854</v>
      </c>
      <c r="D23" s="49">
        <f>'Avg Week SpearMotors-URA'!D23+'Avg Week URA_SpearMotors'!D23</f>
        <v>13.571428571428573</v>
      </c>
      <c r="E23" s="49">
        <f>'Avg Week SpearMotors-URA'!E23+'Avg Week URA_SpearMotors'!E23</f>
        <v>11.142857142857142</v>
      </c>
      <c r="F23" s="49">
        <f>'Avg Week SpearMotors-URA'!F23+'Avg Week URA_SpearMotors'!F23</f>
        <v>15</v>
      </c>
      <c r="G23" s="49">
        <f>'Avg Week SpearMotors-URA'!G23+'Avg Week URA_SpearMotors'!G23</f>
        <v>2.1428571428571428</v>
      </c>
      <c r="H23" s="49">
        <f>'Avg Week SpearMotors-URA'!H23+'Avg Week URA_SpearMotors'!H23</f>
        <v>0.14285714285714285</v>
      </c>
      <c r="I23" s="49">
        <f>'Avg Week SpearMotors-URA'!I23+'Avg Week URA_SpearMotors'!I23</f>
        <v>8.2857142857142865</v>
      </c>
      <c r="J23" s="49">
        <f>'Avg Week SpearMotors-URA'!J23+'Avg Week URA_SpearMotors'!J23</f>
        <v>2.4285714285714284</v>
      </c>
      <c r="K23" s="49">
        <f>'Avg Week SpearMotors-URA'!K23+'Avg Week URA_SpearMotors'!K23</f>
        <v>2.7142857142857144</v>
      </c>
      <c r="L23" s="49">
        <f>'Avg Week SpearMotors-URA'!L23+'Avg Week URA_SpearMotors'!L23</f>
        <v>5.4285714285714288</v>
      </c>
      <c r="M23" s="49">
        <f>'Avg Week SpearMotors-URA'!M23+'Avg Week URA_SpearMotors'!M23</f>
        <v>225.42857142857144</v>
      </c>
      <c r="N23" s="49">
        <f>'Avg Week SpearMotors-URA'!N23+'Avg Week URA_SpearMotors'!N23</f>
        <v>0</v>
      </c>
      <c r="O23" s="15">
        <f t="shared" si="0"/>
        <v>122.71428571428571</v>
      </c>
      <c r="P23" s="15">
        <f t="shared" si="1"/>
        <v>348.14285714285717</v>
      </c>
      <c r="R23" s="1" t="s">
        <v>147</v>
      </c>
      <c r="S23" s="34">
        <f>SUM(C62:C65)</f>
        <v>265</v>
      </c>
      <c r="T23" s="34">
        <f t="shared" ref="T23:AF23" si="15">SUM(D62:D65)</f>
        <v>88.5</v>
      </c>
      <c r="U23" s="34">
        <f t="shared" si="15"/>
        <v>40.5</v>
      </c>
      <c r="V23" s="34">
        <f t="shared" si="15"/>
        <v>61.5</v>
      </c>
      <c r="W23" s="34">
        <f t="shared" si="15"/>
        <v>11</v>
      </c>
      <c r="X23" s="34">
        <f t="shared" si="15"/>
        <v>0.5</v>
      </c>
      <c r="Y23" s="34">
        <f t="shared" si="15"/>
        <v>12.5</v>
      </c>
      <c r="Z23" s="34">
        <f t="shared" si="15"/>
        <v>7</v>
      </c>
      <c r="AA23" s="34">
        <f t="shared" si="15"/>
        <v>4</v>
      </c>
      <c r="AB23" s="34">
        <f t="shared" si="15"/>
        <v>0</v>
      </c>
      <c r="AC23" s="34">
        <f t="shared" si="15"/>
        <v>1271</v>
      </c>
      <c r="AD23" s="34">
        <f t="shared" si="15"/>
        <v>0</v>
      </c>
      <c r="AE23" s="31">
        <f t="shared" si="15"/>
        <v>490.5</v>
      </c>
      <c r="AF23" s="31">
        <f t="shared" si="15"/>
        <v>1761.5</v>
      </c>
    </row>
    <row r="24" spans="2:32" ht="23.1" customHeight="1" x14ac:dyDescent="0.25">
      <c r="B24" s="23" t="s">
        <v>51</v>
      </c>
      <c r="C24" s="49">
        <f>'Avg Week SpearMotors-URA'!C24+'Avg Week URA_SpearMotors'!C24</f>
        <v>68.428571428571431</v>
      </c>
      <c r="D24" s="49">
        <f>'Avg Week SpearMotors-URA'!D24+'Avg Week URA_SpearMotors'!D24</f>
        <v>13.428571428571429</v>
      </c>
      <c r="E24" s="49">
        <f>'Avg Week SpearMotors-URA'!E24+'Avg Week URA_SpearMotors'!E24</f>
        <v>12.857142857142858</v>
      </c>
      <c r="F24" s="49">
        <f>'Avg Week SpearMotors-URA'!F24+'Avg Week URA_SpearMotors'!F24</f>
        <v>14</v>
      </c>
      <c r="G24" s="49">
        <f>'Avg Week SpearMotors-URA'!G24+'Avg Week URA_SpearMotors'!G24</f>
        <v>1.1428571428571428</v>
      </c>
      <c r="H24" s="49">
        <f>'Avg Week SpearMotors-URA'!H24+'Avg Week URA_SpearMotors'!H24</f>
        <v>0.14285714285714285</v>
      </c>
      <c r="I24" s="49">
        <f>'Avg Week SpearMotors-URA'!I24+'Avg Week URA_SpearMotors'!I24</f>
        <v>7.5714285714285712</v>
      </c>
      <c r="J24" s="49">
        <f>'Avg Week SpearMotors-URA'!J24+'Avg Week URA_SpearMotors'!J24</f>
        <v>3.4285714285714288</v>
      </c>
      <c r="K24" s="49">
        <f>'Avg Week SpearMotors-URA'!K24+'Avg Week URA_SpearMotors'!K24</f>
        <v>2.1428571428571428</v>
      </c>
      <c r="L24" s="49">
        <f>'Avg Week SpearMotors-URA'!L24+'Avg Week URA_SpearMotors'!L24</f>
        <v>6.1428571428571423</v>
      </c>
      <c r="M24" s="49">
        <f>'Avg Week SpearMotors-URA'!M24+'Avg Week URA_SpearMotors'!M24</f>
        <v>272.71428571428572</v>
      </c>
      <c r="N24" s="49">
        <f>'Avg Week SpearMotors-URA'!N24+'Avg Week URA_SpearMotors'!N24</f>
        <v>0</v>
      </c>
      <c r="O24" s="15">
        <f t="shared" si="0"/>
        <v>129.28571428571428</v>
      </c>
      <c r="P24" s="15">
        <f t="shared" si="1"/>
        <v>402</v>
      </c>
      <c r="R24" s="1" t="s">
        <v>148</v>
      </c>
      <c r="S24" s="34">
        <f>SUM(C66:C69)</f>
        <v>289</v>
      </c>
      <c r="T24" s="34">
        <f t="shared" ref="T24:AF24" si="16">SUM(D66:D69)</f>
        <v>99.5</v>
      </c>
      <c r="U24" s="34">
        <f t="shared" si="16"/>
        <v>40.5</v>
      </c>
      <c r="V24" s="34">
        <f t="shared" si="16"/>
        <v>81</v>
      </c>
      <c r="W24" s="34">
        <f t="shared" si="16"/>
        <v>8.5</v>
      </c>
      <c r="X24" s="34">
        <f t="shared" si="16"/>
        <v>0</v>
      </c>
      <c r="Y24" s="34">
        <f t="shared" si="16"/>
        <v>17.5</v>
      </c>
      <c r="Z24" s="34">
        <f t="shared" si="16"/>
        <v>7</v>
      </c>
      <c r="AA24" s="34">
        <f t="shared" si="16"/>
        <v>2</v>
      </c>
      <c r="AB24" s="34">
        <f t="shared" si="16"/>
        <v>7</v>
      </c>
      <c r="AC24" s="34">
        <f t="shared" si="16"/>
        <v>811.5</v>
      </c>
      <c r="AD24" s="34">
        <f t="shared" si="16"/>
        <v>0</v>
      </c>
      <c r="AE24" s="31">
        <f t="shared" si="16"/>
        <v>552</v>
      </c>
      <c r="AF24" s="31">
        <f t="shared" si="16"/>
        <v>1363.5</v>
      </c>
    </row>
    <row r="25" spans="2:32" ht="23.1" customHeight="1" x14ac:dyDescent="0.25">
      <c r="B25" s="23" t="s">
        <v>52</v>
      </c>
      <c r="C25" s="49">
        <f>'Avg Week SpearMotors-URA'!C25+'Avg Week URA_SpearMotors'!C25</f>
        <v>71.142857142857139</v>
      </c>
      <c r="D25" s="49">
        <f>'Avg Week SpearMotors-URA'!D25+'Avg Week URA_SpearMotors'!D25</f>
        <v>14.714285714285714</v>
      </c>
      <c r="E25" s="49">
        <f>'Avg Week SpearMotors-URA'!E25+'Avg Week URA_SpearMotors'!E25</f>
        <v>13.285714285714286</v>
      </c>
      <c r="F25" s="49">
        <f>'Avg Week SpearMotors-URA'!F25+'Avg Week URA_SpearMotors'!F25</f>
        <v>14</v>
      </c>
      <c r="G25" s="49">
        <f>'Avg Week SpearMotors-URA'!G25+'Avg Week URA_SpearMotors'!G25</f>
        <v>2.1428571428571428</v>
      </c>
      <c r="H25" s="49">
        <f>'Avg Week SpearMotors-URA'!H25+'Avg Week URA_SpearMotors'!H25</f>
        <v>0.2857142857142857</v>
      </c>
      <c r="I25" s="49">
        <f>'Avg Week SpearMotors-URA'!I25+'Avg Week URA_SpearMotors'!I25</f>
        <v>7.1428571428571432</v>
      </c>
      <c r="J25" s="49">
        <f>'Avg Week SpearMotors-URA'!J25+'Avg Week URA_SpearMotors'!J25</f>
        <v>2.1428571428571428</v>
      </c>
      <c r="K25" s="49">
        <f>'Avg Week SpearMotors-URA'!K25+'Avg Week URA_SpearMotors'!K25</f>
        <v>2.4285714285714288</v>
      </c>
      <c r="L25" s="49">
        <f>'Avg Week SpearMotors-URA'!L25+'Avg Week URA_SpearMotors'!L25</f>
        <v>5.2857142857142856</v>
      </c>
      <c r="M25" s="49">
        <f>'Avg Week SpearMotors-URA'!M25+'Avg Week URA_SpearMotors'!M25</f>
        <v>259.71428571428572</v>
      </c>
      <c r="N25" s="49">
        <f>'Avg Week SpearMotors-URA'!N25+'Avg Week URA_SpearMotors'!N25</f>
        <v>0.14285714285714285</v>
      </c>
      <c r="O25" s="15">
        <f t="shared" si="0"/>
        <v>132.71428571428569</v>
      </c>
      <c r="P25" s="15">
        <f t="shared" si="1"/>
        <v>392.42857142857144</v>
      </c>
      <c r="R25" s="1" t="s">
        <v>149</v>
      </c>
      <c r="S25" s="34">
        <f>SUM(C70:C73)</f>
        <v>172.5</v>
      </c>
      <c r="T25" s="34">
        <f t="shared" ref="T25:AF25" si="17">SUM(D70:D73)</f>
        <v>73</v>
      </c>
      <c r="U25" s="34">
        <f t="shared" si="17"/>
        <v>21.5</v>
      </c>
      <c r="V25" s="34">
        <f t="shared" si="17"/>
        <v>40</v>
      </c>
      <c r="W25" s="34">
        <f t="shared" si="17"/>
        <v>4.5</v>
      </c>
      <c r="X25" s="34">
        <f t="shared" si="17"/>
        <v>0</v>
      </c>
      <c r="Y25" s="34">
        <f t="shared" si="17"/>
        <v>5</v>
      </c>
      <c r="Z25" s="34">
        <f t="shared" si="17"/>
        <v>6</v>
      </c>
      <c r="AA25" s="34">
        <f t="shared" si="17"/>
        <v>1.5</v>
      </c>
      <c r="AB25" s="34">
        <f t="shared" si="17"/>
        <v>4.5</v>
      </c>
      <c r="AC25" s="34">
        <f t="shared" si="17"/>
        <v>552.5</v>
      </c>
      <c r="AD25" s="34">
        <f t="shared" si="17"/>
        <v>0</v>
      </c>
      <c r="AE25" s="31">
        <f t="shared" si="17"/>
        <v>328.5</v>
      </c>
      <c r="AF25" s="31">
        <f t="shared" si="17"/>
        <v>881</v>
      </c>
    </row>
    <row r="26" spans="2:32" ht="23.1" customHeight="1" x14ac:dyDescent="0.25">
      <c r="B26" s="23" t="s">
        <v>53</v>
      </c>
      <c r="C26" s="49">
        <f>'Avg Week SpearMotors-URA'!C26+'Avg Week URA_SpearMotors'!C26</f>
        <v>63.571428571428569</v>
      </c>
      <c r="D26" s="49">
        <f>'Avg Week SpearMotors-URA'!D26+'Avg Week URA_SpearMotors'!D26</f>
        <v>14.142857142857142</v>
      </c>
      <c r="E26" s="49">
        <f>'Avg Week SpearMotors-URA'!E26+'Avg Week URA_SpearMotors'!E26</f>
        <v>16.142857142857142</v>
      </c>
      <c r="F26" s="49">
        <f>'Avg Week SpearMotors-URA'!F26+'Avg Week URA_SpearMotors'!F26</f>
        <v>17.571428571428569</v>
      </c>
      <c r="G26" s="49">
        <f>'Avg Week SpearMotors-URA'!G26+'Avg Week URA_SpearMotors'!G26</f>
        <v>1.2857142857142856</v>
      </c>
      <c r="H26" s="49">
        <f>'Avg Week SpearMotors-URA'!H26+'Avg Week URA_SpearMotors'!H26</f>
        <v>0</v>
      </c>
      <c r="I26" s="49">
        <f>'Avg Week SpearMotors-URA'!I26+'Avg Week URA_SpearMotors'!I26</f>
        <v>6.4285714285714288</v>
      </c>
      <c r="J26" s="49">
        <f>'Avg Week SpearMotors-URA'!J26+'Avg Week URA_SpearMotors'!J26</f>
        <v>4.4285714285714288</v>
      </c>
      <c r="K26" s="49">
        <f>'Avg Week SpearMotors-URA'!K26+'Avg Week URA_SpearMotors'!K26</f>
        <v>4.1428571428571432</v>
      </c>
      <c r="L26" s="49">
        <f>'Avg Week SpearMotors-URA'!L26+'Avg Week URA_SpearMotors'!L26</f>
        <v>4.5714285714285712</v>
      </c>
      <c r="M26" s="49">
        <f>'Avg Week SpearMotors-URA'!M26+'Avg Week URA_SpearMotors'!M26</f>
        <v>246.57142857142856</v>
      </c>
      <c r="N26" s="49">
        <f>'Avg Week SpearMotors-URA'!N26+'Avg Week URA_SpearMotors'!N26</f>
        <v>0.14285714285714285</v>
      </c>
      <c r="O26" s="15">
        <f t="shared" si="0"/>
        <v>132.42857142857142</v>
      </c>
      <c r="P26" s="15">
        <f t="shared" si="1"/>
        <v>379</v>
      </c>
      <c r="R26" s="1" t="s">
        <v>150</v>
      </c>
      <c r="S26" s="34">
        <f>SUM(C74:C77)</f>
        <v>140</v>
      </c>
      <c r="T26" s="34">
        <f t="shared" ref="T26:AF26" si="18">SUM(D74:D77)</f>
        <v>60</v>
      </c>
      <c r="U26" s="34">
        <f t="shared" si="18"/>
        <v>17</v>
      </c>
      <c r="V26" s="34">
        <f t="shared" si="18"/>
        <v>17</v>
      </c>
      <c r="W26" s="34">
        <f t="shared" si="18"/>
        <v>1.5</v>
      </c>
      <c r="X26" s="34">
        <f t="shared" si="18"/>
        <v>0</v>
      </c>
      <c r="Y26" s="34">
        <f t="shared" si="18"/>
        <v>5</v>
      </c>
      <c r="Z26" s="34">
        <f t="shared" si="18"/>
        <v>2</v>
      </c>
      <c r="AA26" s="34">
        <f t="shared" si="18"/>
        <v>2.5</v>
      </c>
      <c r="AB26" s="34">
        <f t="shared" si="18"/>
        <v>2</v>
      </c>
      <c r="AC26" s="34">
        <f t="shared" si="18"/>
        <v>382</v>
      </c>
      <c r="AD26" s="34">
        <f t="shared" si="18"/>
        <v>0</v>
      </c>
      <c r="AE26" s="31">
        <f t="shared" si="18"/>
        <v>247</v>
      </c>
      <c r="AF26" s="31">
        <f t="shared" si="18"/>
        <v>629</v>
      </c>
    </row>
    <row r="27" spans="2:32" ht="23.1" customHeight="1" x14ac:dyDescent="0.25">
      <c r="B27" s="23" t="s">
        <v>54</v>
      </c>
      <c r="C27" s="49">
        <f>'Avg Week SpearMotors-URA'!C27+'Avg Week URA_SpearMotors'!C27</f>
        <v>73</v>
      </c>
      <c r="D27" s="49">
        <f>'Avg Week SpearMotors-URA'!D27+'Avg Week URA_SpearMotors'!D27</f>
        <v>38.428571428571431</v>
      </c>
      <c r="E27" s="49">
        <f>'Avg Week SpearMotors-URA'!E27+'Avg Week URA_SpearMotors'!E27</f>
        <v>13.714285714285715</v>
      </c>
      <c r="F27" s="49">
        <f>'Avg Week SpearMotors-URA'!F27+'Avg Week URA_SpearMotors'!F27</f>
        <v>18.571428571428569</v>
      </c>
      <c r="G27" s="49">
        <f>'Avg Week SpearMotors-URA'!G27+'Avg Week URA_SpearMotors'!G27</f>
        <v>2.8571428571428572</v>
      </c>
      <c r="H27" s="49">
        <f>'Avg Week SpearMotors-URA'!H27+'Avg Week URA_SpearMotors'!H27</f>
        <v>0.42857142857142855</v>
      </c>
      <c r="I27" s="49">
        <f>'Avg Week SpearMotors-URA'!I27+'Avg Week URA_SpearMotors'!I27</f>
        <v>7.2857142857142865</v>
      </c>
      <c r="J27" s="49">
        <f>'Avg Week SpearMotors-URA'!J27+'Avg Week URA_SpearMotors'!J27</f>
        <v>4.4285714285714288</v>
      </c>
      <c r="K27" s="49">
        <f>'Avg Week SpearMotors-URA'!K27+'Avg Week URA_SpearMotors'!K27</f>
        <v>4.5714285714285712</v>
      </c>
      <c r="L27" s="49">
        <f>'Avg Week SpearMotors-URA'!L27+'Avg Week URA_SpearMotors'!L27</f>
        <v>4.4285714285714288</v>
      </c>
      <c r="M27" s="49">
        <f>'Avg Week SpearMotors-URA'!M27+'Avg Week URA_SpearMotors'!M27</f>
        <v>246.28571428571428</v>
      </c>
      <c r="N27" s="49">
        <f>'Avg Week SpearMotors-URA'!N27+'Avg Week URA_SpearMotors'!N27</f>
        <v>0</v>
      </c>
      <c r="O27" s="15">
        <f t="shared" si="0"/>
        <v>167.71428571428569</v>
      </c>
      <c r="P27" s="15">
        <f t="shared" si="1"/>
        <v>414</v>
      </c>
      <c r="R27" s="1" t="s">
        <v>151</v>
      </c>
      <c r="S27" s="34">
        <f>SUM(C78:C81)</f>
        <v>77.5</v>
      </c>
      <c r="T27" s="34">
        <f t="shared" ref="T27:AF27" si="19">SUM(D78:D81)</f>
        <v>26</v>
      </c>
      <c r="U27" s="34">
        <f t="shared" si="19"/>
        <v>11</v>
      </c>
      <c r="V27" s="34">
        <f t="shared" si="19"/>
        <v>8.5</v>
      </c>
      <c r="W27" s="34">
        <f t="shared" si="19"/>
        <v>0</v>
      </c>
      <c r="X27" s="34">
        <f t="shared" si="19"/>
        <v>0</v>
      </c>
      <c r="Y27" s="34">
        <f t="shared" si="19"/>
        <v>3.5</v>
      </c>
      <c r="Z27" s="34">
        <f t="shared" si="19"/>
        <v>3</v>
      </c>
      <c r="AA27" s="34">
        <f t="shared" si="19"/>
        <v>1.5</v>
      </c>
      <c r="AB27" s="34">
        <f t="shared" si="19"/>
        <v>3</v>
      </c>
      <c r="AC27" s="34">
        <f t="shared" si="19"/>
        <v>282</v>
      </c>
      <c r="AD27" s="34">
        <f t="shared" si="19"/>
        <v>0</v>
      </c>
      <c r="AE27" s="31">
        <f t="shared" si="19"/>
        <v>134</v>
      </c>
      <c r="AF27" s="31">
        <f t="shared" si="19"/>
        <v>416</v>
      </c>
    </row>
    <row r="28" spans="2:32" ht="23.1" customHeight="1" x14ac:dyDescent="0.25">
      <c r="B28" s="23" t="s">
        <v>55</v>
      </c>
      <c r="C28" s="49">
        <f>'Avg Week SpearMotors-URA'!C28+'Avg Week URA_SpearMotors'!C28</f>
        <v>68.428571428571416</v>
      </c>
      <c r="D28" s="49">
        <f>'Avg Week SpearMotors-URA'!D28+'Avg Week URA_SpearMotors'!D28</f>
        <v>13.857142857142858</v>
      </c>
      <c r="E28" s="49">
        <f>'Avg Week SpearMotors-URA'!E28+'Avg Week URA_SpearMotors'!E28</f>
        <v>11.142857142857142</v>
      </c>
      <c r="F28" s="49">
        <f>'Avg Week SpearMotors-URA'!F28+'Avg Week URA_SpearMotors'!F28</f>
        <v>12.285714285714285</v>
      </c>
      <c r="G28" s="49">
        <f>'Avg Week SpearMotors-URA'!G28+'Avg Week URA_SpearMotors'!G28</f>
        <v>1.2857142857142856</v>
      </c>
      <c r="H28" s="49">
        <f>'Avg Week SpearMotors-URA'!H28+'Avg Week URA_SpearMotors'!H28</f>
        <v>0.14285714285714285</v>
      </c>
      <c r="I28" s="49">
        <f>'Avg Week SpearMotors-URA'!I28+'Avg Week URA_SpearMotors'!I28</f>
        <v>7</v>
      </c>
      <c r="J28" s="49">
        <f>'Avg Week SpearMotors-URA'!J28+'Avg Week URA_SpearMotors'!J28</f>
        <v>3.8571428571428568</v>
      </c>
      <c r="K28" s="49">
        <f>'Avg Week SpearMotors-URA'!K28+'Avg Week URA_SpearMotors'!K28</f>
        <v>3.7142857142857144</v>
      </c>
      <c r="L28" s="49">
        <f>'Avg Week SpearMotors-URA'!L28+'Avg Week URA_SpearMotors'!L28</f>
        <v>5</v>
      </c>
      <c r="M28" s="49">
        <f>'Avg Week SpearMotors-URA'!M28+'Avg Week URA_SpearMotors'!M28</f>
        <v>204.42857142857142</v>
      </c>
      <c r="N28" s="49">
        <f>'Avg Week SpearMotors-URA'!N28+'Avg Week URA_SpearMotors'!N28</f>
        <v>0</v>
      </c>
      <c r="O28" s="15">
        <f t="shared" si="0"/>
        <v>126.71428571428569</v>
      </c>
      <c r="P28" s="15">
        <f t="shared" si="1"/>
        <v>331.14285714285711</v>
      </c>
      <c r="R28" s="1" t="s">
        <v>152</v>
      </c>
      <c r="S28" s="34">
        <f>SUM(C82:C85)</f>
        <v>55.5</v>
      </c>
      <c r="T28" s="34">
        <f t="shared" ref="T28:AF28" si="20">SUM(D82:D85)</f>
        <v>15</v>
      </c>
      <c r="U28" s="34">
        <f t="shared" si="20"/>
        <v>5</v>
      </c>
      <c r="V28" s="34">
        <f t="shared" si="20"/>
        <v>4.5</v>
      </c>
      <c r="W28" s="34">
        <f t="shared" si="20"/>
        <v>0.5</v>
      </c>
      <c r="X28" s="34">
        <f t="shared" si="20"/>
        <v>0</v>
      </c>
      <c r="Y28" s="34">
        <f t="shared" si="20"/>
        <v>6</v>
      </c>
      <c r="Z28" s="34">
        <f t="shared" si="20"/>
        <v>2.5</v>
      </c>
      <c r="AA28" s="34">
        <f t="shared" si="20"/>
        <v>1.5</v>
      </c>
      <c r="AB28" s="34">
        <f t="shared" si="20"/>
        <v>2.5</v>
      </c>
      <c r="AC28" s="34">
        <f t="shared" si="20"/>
        <v>151</v>
      </c>
      <c r="AD28" s="34">
        <f t="shared" si="20"/>
        <v>0</v>
      </c>
      <c r="AE28" s="31">
        <f t="shared" si="20"/>
        <v>93</v>
      </c>
      <c r="AF28" s="31">
        <f t="shared" si="20"/>
        <v>244</v>
      </c>
    </row>
    <row r="29" spans="2:32" ht="23.1" customHeight="1" x14ac:dyDescent="0.25">
      <c r="B29" s="23" t="s">
        <v>56</v>
      </c>
      <c r="C29" s="49">
        <f>'Avg Week SpearMotors-URA'!C29+'Avg Week URA_SpearMotors'!C29</f>
        <v>76</v>
      </c>
      <c r="D29" s="49">
        <f>'Avg Week SpearMotors-URA'!D29+'Avg Week URA_SpearMotors'!D29</f>
        <v>18.428571428571431</v>
      </c>
      <c r="E29" s="49">
        <f>'Avg Week SpearMotors-URA'!E29+'Avg Week URA_SpearMotors'!E29</f>
        <v>11.714285714285715</v>
      </c>
      <c r="F29" s="49">
        <f>'Avg Week SpearMotors-URA'!F29+'Avg Week URA_SpearMotors'!F29</f>
        <v>12.714285714285715</v>
      </c>
      <c r="G29" s="49">
        <f>'Avg Week SpearMotors-URA'!G29+'Avg Week URA_SpearMotors'!G29</f>
        <v>2.4285714285714284</v>
      </c>
      <c r="H29" s="49">
        <f>'Avg Week SpearMotors-URA'!H29+'Avg Week URA_SpearMotors'!H29</f>
        <v>0</v>
      </c>
      <c r="I29" s="49">
        <f>'Avg Week SpearMotors-URA'!I29+'Avg Week URA_SpearMotors'!I29</f>
        <v>6.5714285714285712</v>
      </c>
      <c r="J29" s="49">
        <f>'Avg Week SpearMotors-URA'!J29+'Avg Week URA_SpearMotors'!J29</f>
        <v>3.2857142857142856</v>
      </c>
      <c r="K29" s="49">
        <f>'Avg Week SpearMotors-URA'!K29+'Avg Week URA_SpearMotors'!K29</f>
        <v>4.5714285714285712</v>
      </c>
      <c r="L29" s="49">
        <f>'Avg Week SpearMotors-URA'!L29+'Avg Week URA_SpearMotors'!L29</f>
        <v>5.1428571428571432</v>
      </c>
      <c r="M29" s="49">
        <f>'Avg Week SpearMotors-URA'!M29+'Avg Week URA_SpearMotors'!M29</f>
        <v>192.28571428571428</v>
      </c>
      <c r="N29" s="49">
        <f>'Avg Week SpearMotors-URA'!N29+'Avg Week URA_SpearMotors'!N29</f>
        <v>0</v>
      </c>
      <c r="O29" s="15">
        <f t="shared" si="0"/>
        <v>140.85714285714286</v>
      </c>
      <c r="P29" s="15">
        <f t="shared" si="1"/>
        <v>333.14285714285711</v>
      </c>
      <c r="R29" s="1" t="s">
        <v>153</v>
      </c>
      <c r="S29" s="34">
        <f>SUM(C86:C89)</f>
        <v>42.5</v>
      </c>
      <c r="T29" s="34">
        <f t="shared" ref="T29:AF29" si="21">SUM(D86:D89)</f>
        <v>11</v>
      </c>
      <c r="U29" s="34">
        <f t="shared" si="21"/>
        <v>3.5</v>
      </c>
      <c r="V29" s="34">
        <f t="shared" si="21"/>
        <v>7</v>
      </c>
      <c r="W29" s="34">
        <f t="shared" si="21"/>
        <v>0</v>
      </c>
      <c r="X29" s="34">
        <f t="shared" si="21"/>
        <v>0</v>
      </c>
      <c r="Y29" s="34">
        <f t="shared" si="21"/>
        <v>1.5</v>
      </c>
      <c r="Z29" s="34">
        <f t="shared" si="21"/>
        <v>1.5</v>
      </c>
      <c r="AA29" s="34">
        <f t="shared" si="21"/>
        <v>1.5</v>
      </c>
      <c r="AB29" s="34">
        <f t="shared" si="21"/>
        <v>1</v>
      </c>
      <c r="AC29" s="34">
        <f t="shared" si="21"/>
        <v>99</v>
      </c>
      <c r="AD29" s="34">
        <f t="shared" si="21"/>
        <v>0</v>
      </c>
      <c r="AE29" s="31">
        <f t="shared" si="21"/>
        <v>69.5</v>
      </c>
      <c r="AF29" s="31">
        <f t="shared" si="21"/>
        <v>168.5</v>
      </c>
    </row>
    <row r="30" spans="2:32" ht="23.1" customHeight="1" x14ac:dyDescent="0.25">
      <c r="B30" s="23" t="s">
        <v>57</v>
      </c>
      <c r="C30" s="49">
        <f>'Avg Week SpearMotors-URA'!C30+'Avg Week URA_SpearMotors'!C30</f>
        <v>68.714285714285722</v>
      </c>
      <c r="D30" s="49">
        <f>'Avg Week SpearMotors-URA'!D30+'Avg Week URA_SpearMotors'!D30</f>
        <v>16.571428571428573</v>
      </c>
      <c r="E30" s="49">
        <f>'Avg Week SpearMotors-URA'!E30+'Avg Week URA_SpearMotors'!E30</f>
        <v>13</v>
      </c>
      <c r="F30" s="49">
        <f>'Avg Week SpearMotors-URA'!F30+'Avg Week URA_SpearMotors'!F30</f>
        <v>14.142857142857142</v>
      </c>
      <c r="G30" s="49">
        <f>'Avg Week SpearMotors-URA'!G30+'Avg Week URA_SpearMotors'!G30</f>
        <v>0.42857142857142855</v>
      </c>
      <c r="H30" s="49">
        <f>'Avg Week SpearMotors-URA'!H30+'Avg Week URA_SpearMotors'!H30</f>
        <v>0</v>
      </c>
      <c r="I30" s="49">
        <f>'Avg Week SpearMotors-URA'!I30+'Avg Week URA_SpearMotors'!I30</f>
        <v>11.714285714285715</v>
      </c>
      <c r="J30" s="49">
        <f>'Avg Week SpearMotors-URA'!J30+'Avg Week URA_SpearMotors'!J30</f>
        <v>2.1428571428571428</v>
      </c>
      <c r="K30" s="49">
        <f>'Avg Week SpearMotors-URA'!K30+'Avg Week URA_SpearMotors'!K30</f>
        <v>3.4285714285714284</v>
      </c>
      <c r="L30" s="49">
        <f>'Avg Week SpearMotors-URA'!L30+'Avg Week URA_SpearMotors'!L30</f>
        <v>7.1428571428571432</v>
      </c>
      <c r="M30" s="49">
        <f>'Avg Week SpearMotors-URA'!M30+'Avg Week URA_SpearMotors'!M30</f>
        <v>176.57142857142856</v>
      </c>
      <c r="N30" s="49">
        <f>'Avg Week SpearMotors-URA'!N30+'Avg Week URA_SpearMotors'!N30</f>
        <v>0</v>
      </c>
      <c r="O30" s="15">
        <f t="shared" si="0"/>
        <v>137.28571428571428</v>
      </c>
      <c r="P30" s="15">
        <f t="shared" si="1"/>
        <v>313.85714285714283</v>
      </c>
      <c r="R30" s="1" t="s">
        <v>154</v>
      </c>
      <c r="S30" s="34">
        <f>SUM(C90:C93)</f>
        <v>27</v>
      </c>
      <c r="T30" s="34">
        <f t="shared" ref="T30:AF30" si="22">SUM(D90:D93)</f>
        <v>9.5</v>
      </c>
      <c r="U30" s="34">
        <f t="shared" si="22"/>
        <v>2</v>
      </c>
      <c r="V30" s="34">
        <f t="shared" si="22"/>
        <v>2.5</v>
      </c>
      <c r="W30" s="34">
        <f t="shared" si="22"/>
        <v>0</v>
      </c>
      <c r="X30" s="34">
        <f t="shared" si="22"/>
        <v>0</v>
      </c>
      <c r="Y30" s="34">
        <f t="shared" si="22"/>
        <v>1.5</v>
      </c>
      <c r="Z30" s="34">
        <f t="shared" si="22"/>
        <v>2.5</v>
      </c>
      <c r="AA30" s="34">
        <f t="shared" si="22"/>
        <v>1.5</v>
      </c>
      <c r="AB30" s="34">
        <f t="shared" si="22"/>
        <v>2.5</v>
      </c>
      <c r="AC30" s="34">
        <f t="shared" si="22"/>
        <v>78.5</v>
      </c>
      <c r="AD30" s="34">
        <f t="shared" si="22"/>
        <v>0</v>
      </c>
      <c r="AE30" s="31">
        <f t="shared" si="22"/>
        <v>49</v>
      </c>
      <c r="AF30" s="31">
        <f t="shared" si="22"/>
        <v>127.5</v>
      </c>
    </row>
    <row r="31" spans="2:32" ht="23.1" customHeight="1" x14ac:dyDescent="0.25">
      <c r="B31" s="24" t="s">
        <v>58</v>
      </c>
      <c r="C31" s="49">
        <f>'Avg Week SpearMotors-URA'!C31+'Avg Week URA_SpearMotors'!C31</f>
        <v>61.571428571428569</v>
      </c>
      <c r="D31" s="49">
        <f>'Avg Week SpearMotors-URA'!D31+'Avg Week URA_SpearMotors'!D31</f>
        <v>15.142857142857142</v>
      </c>
      <c r="E31" s="49">
        <f>'Avg Week SpearMotors-URA'!E31+'Avg Week URA_SpearMotors'!E31</f>
        <v>14.142857142857142</v>
      </c>
      <c r="F31" s="49">
        <f>'Avg Week SpearMotors-URA'!F31+'Avg Week URA_SpearMotors'!F31</f>
        <v>10.571428571428571</v>
      </c>
      <c r="G31" s="49">
        <f>'Avg Week SpearMotors-URA'!G31+'Avg Week URA_SpearMotors'!G31</f>
        <v>1.7142857142857142</v>
      </c>
      <c r="H31" s="49">
        <f>'Avg Week SpearMotors-URA'!H31+'Avg Week URA_SpearMotors'!H31</f>
        <v>0.14285714285714285</v>
      </c>
      <c r="I31" s="49">
        <f>'Avg Week SpearMotors-URA'!I31+'Avg Week URA_SpearMotors'!I31</f>
        <v>8.7142857142857153</v>
      </c>
      <c r="J31" s="49">
        <f>'Avg Week SpearMotors-URA'!J31+'Avg Week URA_SpearMotors'!J31</f>
        <v>4</v>
      </c>
      <c r="K31" s="49">
        <f>'Avg Week SpearMotors-URA'!K31+'Avg Week URA_SpearMotors'!K31</f>
        <v>3</v>
      </c>
      <c r="L31" s="49">
        <f>'Avg Week SpearMotors-URA'!L31+'Avg Week URA_SpearMotors'!L31</f>
        <v>8.4285714285714288</v>
      </c>
      <c r="M31" s="49">
        <f>'Avg Week SpearMotors-URA'!M31+'Avg Week URA_SpearMotors'!M31</f>
        <v>198</v>
      </c>
      <c r="N31" s="49">
        <f>'Avg Week SpearMotors-URA'!N31+'Avg Week URA_SpearMotors'!N31</f>
        <v>0</v>
      </c>
      <c r="O31" s="15">
        <f t="shared" si="0"/>
        <v>127.4285714285714</v>
      </c>
      <c r="P31" s="15">
        <f t="shared" si="1"/>
        <v>325.42857142857139</v>
      </c>
      <c r="R31" s="1" t="s">
        <v>155</v>
      </c>
      <c r="S31" s="34">
        <f>SUM(C94:C97)</f>
        <v>26</v>
      </c>
      <c r="T31" s="34">
        <f t="shared" ref="T31:AF31" si="23">SUM(D94:D97)</f>
        <v>6.5</v>
      </c>
      <c r="U31" s="34">
        <f t="shared" si="23"/>
        <v>4</v>
      </c>
      <c r="V31" s="34">
        <f t="shared" si="23"/>
        <v>5</v>
      </c>
      <c r="W31" s="34">
        <f t="shared" si="23"/>
        <v>0.5</v>
      </c>
      <c r="X31" s="34">
        <f t="shared" si="23"/>
        <v>0</v>
      </c>
      <c r="Y31" s="34">
        <f t="shared" si="23"/>
        <v>3.5</v>
      </c>
      <c r="Z31" s="34">
        <f t="shared" si="23"/>
        <v>1.5</v>
      </c>
      <c r="AA31" s="34">
        <f t="shared" si="23"/>
        <v>0.5</v>
      </c>
      <c r="AB31" s="34">
        <f t="shared" si="23"/>
        <v>2</v>
      </c>
      <c r="AC31" s="34">
        <f t="shared" si="23"/>
        <v>135.5</v>
      </c>
      <c r="AD31" s="34">
        <f t="shared" si="23"/>
        <v>0</v>
      </c>
      <c r="AE31" s="31">
        <f t="shared" si="23"/>
        <v>49.5</v>
      </c>
      <c r="AF31" s="31">
        <f t="shared" si="23"/>
        <v>185</v>
      </c>
    </row>
    <row r="32" spans="2:32" ht="23.1" customHeight="1" x14ac:dyDescent="0.25">
      <c r="B32" s="24" t="s">
        <v>59</v>
      </c>
      <c r="C32" s="49">
        <f>'Avg Week SpearMotors-URA'!C32+'Avg Week URA_SpearMotors'!C32</f>
        <v>64</v>
      </c>
      <c r="D32" s="49">
        <f>'Avg Week SpearMotors-URA'!D32+'Avg Week URA_SpearMotors'!D32</f>
        <v>14.142857142857142</v>
      </c>
      <c r="E32" s="49">
        <f>'Avg Week SpearMotors-URA'!E32+'Avg Week URA_SpearMotors'!E32</f>
        <v>8.2857142857142847</v>
      </c>
      <c r="F32" s="49">
        <f>'Avg Week SpearMotors-URA'!F32+'Avg Week URA_SpearMotors'!F32</f>
        <v>8.4285714285714288</v>
      </c>
      <c r="G32" s="49">
        <f>'Avg Week SpearMotors-URA'!G32+'Avg Week URA_SpearMotors'!G32</f>
        <v>0.5714285714285714</v>
      </c>
      <c r="H32" s="49">
        <f>'Avg Week SpearMotors-URA'!H32+'Avg Week URA_SpearMotors'!H32</f>
        <v>0</v>
      </c>
      <c r="I32" s="49">
        <f>'Avg Week SpearMotors-URA'!I32+'Avg Week URA_SpearMotors'!I32</f>
        <v>4.8571428571428568</v>
      </c>
      <c r="J32" s="49">
        <f>'Avg Week SpearMotors-URA'!J32+'Avg Week URA_SpearMotors'!J32</f>
        <v>2.8571428571428572</v>
      </c>
      <c r="K32" s="49">
        <f>'Avg Week SpearMotors-URA'!K32+'Avg Week URA_SpearMotors'!K32</f>
        <v>2.7142857142857144</v>
      </c>
      <c r="L32" s="49">
        <f>'Avg Week SpearMotors-URA'!L32+'Avg Week URA_SpearMotors'!L32</f>
        <v>4.5714285714285712</v>
      </c>
      <c r="M32" s="49">
        <f>'Avg Week SpearMotors-URA'!M32+'Avg Week URA_SpearMotors'!M32</f>
        <v>168.14285714285717</v>
      </c>
      <c r="N32" s="49">
        <f>'Avg Week SpearMotors-URA'!N32+'Avg Week URA_SpearMotors'!N32</f>
        <v>0</v>
      </c>
      <c r="O32" s="15">
        <f t="shared" si="0"/>
        <v>110.42857142857142</v>
      </c>
      <c r="P32" s="15">
        <f t="shared" si="1"/>
        <v>278.57142857142856</v>
      </c>
      <c r="R32" s="1" t="s">
        <v>156</v>
      </c>
      <c r="S32" s="34">
        <f>SUM(C98:C101)</f>
        <v>21</v>
      </c>
      <c r="T32" s="34">
        <f t="shared" ref="T32:AF32" si="24">SUM(D98:D101)</f>
        <v>4.5</v>
      </c>
      <c r="U32" s="34">
        <f t="shared" si="24"/>
        <v>5</v>
      </c>
      <c r="V32" s="34">
        <f t="shared" si="24"/>
        <v>31</v>
      </c>
      <c r="W32" s="34">
        <f t="shared" si="24"/>
        <v>0</v>
      </c>
      <c r="X32" s="34">
        <f t="shared" si="24"/>
        <v>0</v>
      </c>
      <c r="Y32" s="34">
        <f t="shared" si="24"/>
        <v>7.5</v>
      </c>
      <c r="Z32" s="34">
        <f t="shared" si="24"/>
        <v>6.5</v>
      </c>
      <c r="AA32" s="34">
        <f t="shared" si="24"/>
        <v>3</v>
      </c>
      <c r="AB32" s="34">
        <f t="shared" si="24"/>
        <v>10.5</v>
      </c>
      <c r="AC32" s="34">
        <f t="shared" si="24"/>
        <v>294.5</v>
      </c>
      <c r="AD32" s="34">
        <f t="shared" si="24"/>
        <v>0</v>
      </c>
      <c r="AE32" s="31">
        <f t="shared" si="24"/>
        <v>89</v>
      </c>
      <c r="AF32" s="31">
        <f t="shared" si="24"/>
        <v>383.5</v>
      </c>
    </row>
    <row r="33" spans="2:32" ht="23.1" customHeight="1" x14ac:dyDescent="0.25">
      <c r="B33" s="23" t="s">
        <v>60</v>
      </c>
      <c r="C33" s="49">
        <f>'Avg Week SpearMotors-URA'!C33+'Avg Week URA_SpearMotors'!C33</f>
        <v>81.285714285714278</v>
      </c>
      <c r="D33" s="49">
        <f>'Avg Week SpearMotors-URA'!D33+'Avg Week URA_SpearMotors'!D33</f>
        <v>16.428571428571431</v>
      </c>
      <c r="E33" s="49">
        <f>'Avg Week SpearMotors-URA'!E33+'Avg Week URA_SpearMotors'!E33</f>
        <v>10.428571428571429</v>
      </c>
      <c r="F33" s="49">
        <f>'Avg Week SpearMotors-URA'!F33+'Avg Week URA_SpearMotors'!F33</f>
        <v>10.571428571428571</v>
      </c>
      <c r="G33" s="49">
        <f>'Avg Week SpearMotors-URA'!G33+'Avg Week URA_SpearMotors'!G33</f>
        <v>2.5714285714285712</v>
      </c>
      <c r="H33" s="49">
        <f>'Avg Week SpearMotors-URA'!H33+'Avg Week URA_SpearMotors'!H33</f>
        <v>0</v>
      </c>
      <c r="I33" s="49">
        <f>'Avg Week SpearMotors-URA'!I33+'Avg Week URA_SpearMotors'!I33</f>
        <v>6.2857142857142856</v>
      </c>
      <c r="J33" s="49">
        <f>'Avg Week SpearMotors-URA'!J33+'Avg Week URA_SpearMotors'!J33</f>
        <v>4.5714285714285712</v>
      </c>
      <c r="K33" s="49">
        <f>'Avg Week SpearMotors-URA'!K33+'Avg Week URA_SpearMotors'!K33</f>
        <v>3</v>
      </c>
      <c r="L33" s="49">
        <f>'Avg Week SpearMotors-URA'!L33+'Avg Week URA_SpearMotors'!L33</f>
        <v>5.5714285714285712</v>
      </c>
      <c r="M33" s="49">
        <f>'Avg Week SpearMotors-URA'!M33+'Avg Week URA_SpearMotors'!M33</f>
        <v>162.28571428571428</v>
      </c>
      <c r="N33" s="49">
        <f>'Avg Week SpearMotors-URA'!N33+'Avg Week URA_SpearMotors'!N33</f>
        <v>0</v>
      </c>
      <c r="O33" s="15">
        <f t="shared" si="0"/>
        <v>140.71428571428572</v>
      </c>
      <c r="P33" s="15">
        <f t="shared" si="1"/>
        <v>303</v>
      </c>
      <c r="R33" s="1" t="s">
        <v>157</v>
      </c>
      <c r="S33" s="34">
        <f>SUM(C102:C105)</f>
        <v>114</v>
      </c>
      <c r="T33" s="34">
        <f t="shared" ref="T33:AF33" si="25">SUM(D102:D105)</f>
        <v>37</v>
      </c>
      <c r="U33" s="34">
        <f t="shared" si="25"/>
        <v>24</v>
      </c>
      <c r="V33" s="34">
        <f t="shared" si="25"/>
        <v>101.5</v>
      </c>
      <c r="W33" s="34">
        <f t="shared" si="25"/>
        <v>4</v>
      </c>
      <c r="X33" s="34">
        <f t="shared" si="25"/>
        <v>0</v>
      </c>
      <c r="Y33" s="34">
        <f t="shared" si="25"/>
        <v>5.5</v>
      </c>
      <c r="Z33" s="34">
        <f t="shared" si="25"/>
        <v>4</v>
      </c>
      <c r="AA33" s="34">
        <f t="shared" si="25"/>
        <v>2</v>
      </c>
      <c r="AB33" s="34">
        <f t="shared" si="25"/>
        <v>22.5</v>
      </c>
      <c r="AC33" s="34">
        <f t="shared" si="25"/>
        <v>653</v>
      </c>
      <c r="AD33" s="34">
        <f t="shared" si="25"/>
        <v>0</v>
      </c>
      <c r="AE33" s="31">
        <f t="shared" si="25"/>
        <v>314.5</v>
      </c>
      <c r="AF33" s="31">
        <f t="shared" si="25"/>
        <v>967.5</v>
      </c>
    </row>
    <row r="34" spans="2:32" ht="23.1" customHeight="1" x14ac:dyDescent="0.25">
      <c r="B34" s="24" t="s">
        <v>61</v>
      </c>
      <c r="C34" s="49">
        <f>'Avg Week SpearMotors-URA'!C34+'Avg Week URA_SpearMotors'!C34</f>
        <v>72.285714285714278</v>
      </c>
      <c r="D34" s="49">
        <f>'Avg Week SpearMotors-URA'!D34+'Avg Week URA_SpearMotors'!D34</f>
        <v>13</v>
      </c>
      <c r="E34" s="49">
        <f>'Avg Week SpearMotors-URA'!E34+'Avg Week URA_SpearMotors'!E34</f>
        <v>10.714285714285715</v>
      </c>
      <c r="F34" s="49">
        <f>'Avg Week SpearMotors-URA'!F34+'Avg Week URA_SpearMotors'!F34</f>
        <v>10.714285714285715</v>
      </c>
      <c r="G34" s="49">
        <f>'Avg Week SpearMotors-URA'!G34+'Avg Week URA_SpearMotors'!G34</f>
        <v>0.71428571428571419</v>
      </c>
      <c r="H34" s="49">
        <f>'Avg Week SpearMotors-URA'!H34+'Avg Week URA_SpearMotors'!H34</f>
        <v>0.14285714285714285</v>
      </c>
      <c r="I34" s="49">
        <f>'Avg Week SpearMotors-URA'!I34+'Avg Week URA_SpearMotors'!I34</f>
        <v>8.4285714285714288</v>
      </c>
      <c r="J34" s="49">
        <f>'Avg Week SpearMotors-URA'!J34+'Avg Week URA_SpearMotors'!J34</f>
        <v>3</v>
      </c>
      <c r="K34" s="49">
        <f>'Avg Week SpearMotors-URA'!K34+'Avg Week URA_SpearMotors'!K34</f>
        <v>2.7142857142857144</v>
      </c>
      <c r="L34" s="49">
        <f>'Avg Week SpearMotors-URA'!L34+'Avg Week URA_SpearMotors'!L34</f>
        <v>5.5714285714285721</v>
      </c>
      <c r="M34" s="49">
        <f>'Avg Week SpearMotors-URA'!M34+'Avg Week URA_SpearMotors'!M34</f>
        <v>169.42857142857144</v>
      </c>
      <c r="N34" s="49">
        <f>'Avg Week SpearMotors-URA'!N34+'Avg Week URA_SpearMotors'!N34</f>
        <v>0</v>
      </c>
      <c r="O34" s="15">
        <f t="shared" si="0"/>
        <v>127.28571428571428</v>
      </c>
      <c r="P34" s="15">
        <f t="shared" si="1"/>
        <v>296.71428571428572</v>
      </c>
      <c r="R34" s="38" t="s">
        <v>90</v>
      </c>
      <c r="S34" s="39">
        <f t="shared" ref="S34:AF34" si="26">MAX(S10:S12)</f>
        <v>289.85714285714283</v>
      </c>
      <c r="T34" s="39">
        <f t="shared" si="26"/>
        <v>57.857142857142861</v>
      </c>
      <c r="U34" s="39">
        <f t="shared" si="26"/>
        <v>48</v>
      </c>
      <c r="V34" s="39">
        <f t="shared" si="26"/>
        <v>66.142857142857139</v>
      </c>
      <c r="W34" s="39">
        <f t="shared" si="26"/>
        <v>10</v>
      </c>
      <c r="X34" s="39">
        <f t="shared" si="26"/>
        <v>2.1428571428571428</v>
      </c>
      <c r="Y34" s="39">
        <f t="shared" si="26"/>
        <v>25.428571428571431</v>
      </c>
      <c r="Z34" s="39">
        <f t="shared" si="26"/>
        <v>15.857142857142858</v>
      </c>
      <c r="AA34" s="39">
        <f t="shared" si="26"/>
        <v>9</v>
      </c>
      <c r="AB34" s="39">
        <f t="shared" si="26"/>
        <v>16.571428571428573</v>
      </c>
      <c r="AC34" s="39">
        <f t="shared" si="26"/>
        <v>1264.4285714285713</v>
      </c>
      <c r="AD34" s="39">
        <f t="shared" si="26"/>
        <v>0.14285714285714285</v>
      </c>
      <c r="AE34" s="40">
        <f t="shared" si="26"/>
        <v>534.57142857142856</v>
      </c>
      <c r="AF34" s="40">
        <f t="shared" si="26"/>
        <v>1799</v>
      </c>
    </row>
    <row r="35" spans="2:32" ht="23.1" customHeight="1" x14ac:dyDescent="0.25">
      <c r="B35" s="24" t="s">
        <v>62</v>
      </c>
      <c r="C35" s="49">
        <f>'Avg Week SpearMotors-URA'!C35+'Avg Week URA_SpearMotors'!C35</f>
        <v>75.571428571428569</v>
      </c>
      <c r="D35" s="49">
        <f>'Avg Week SpearMotors-URA'!D35+'Avg Week URA_SpearMotors'!D35</f>
        <v>18.571428571428569</v>
      </c>
      <c r="E35" s="49">
        <f>'Avg Week SpearMotors-URA'!E35+'Avg Week URA_SpearMotors'!E35</f>
        <v>11</v>
      </c>
      <c r="F35" s="49">
        <f>'Avg Week SpearMotors-URA'!F35+'Avg Week URA_SpearMotors'!F35</f>
        <v>11.714285714285715</v>
      </c>
      <c r="G35" s="49">
        <f>'Avg Week SpearMotors-URA'!G35+'Avg Week URA_SpearMotors'!G35</f>
        <v>1.2857142857142856</v>
      </c>
      <c r="H35" s="49">
        <f>'Avg Week SpearMotors-URA'!H35+'Avg Week URA_SpearMotors'!H35</f>
        <v>0</v>
      </c>
      <c r="I35" s="49">
        <f>'Avg Week SpearMotors-URA'!I35+'Avg Week URA_SpearMotors'!I35</f>
        <v>7.8571428571428577</v>
      </c>
      <c r="J35" s="49">
        <f>'Avg Week SpearMotors-URA'!J35+'Avg Week URA_SpearMotors'!J35</f>
        <v>3.2857142857142856</v>
      </c>
      <c r="K35" s="49">
        <f>'Avg Week SpearMotors-URA'!K35+'Avg Week URA_SpearMotors'!K35</f>
        <v>2.1428571428571428</v>
      </c>
      <c r="L35" s="49">
        <f>'Avg Week SpearMotors-URA'!L35+'Avg Week URA_SpearMotors'!L35</f>
        <v>3.7142857142857144</v>
      </c>
      <c r="M35" s="49">
        <f>'Avg Week SpearMotors-URA'!M35+'Avg Week URA_SpearMotors'!M35</f>
        <v>170.85714285714283</v>
      </c>
      <c r="N35" s="49">
        <f>'Avg Week SpearMotors-URA'!N35+'Avg Week URA_SpearMotors'!N35</f>
        <v>0.14285714285714285</v>
      </c>
      <c r="O35" s="15">
        <f t="shared" si="0"/>
        <v>135.28571428571431</v>
      </c>
      <c r="P35" s="15">
        <f t="shared" si="1"/>
        <v>306.14285714285717</v>
      </c>
      <c r="R35" s="38" t="s">
        <v>91</v>
      </c>
      <c r="S35" s="39">
        <f t="shared" ref="S35:AF35" si="27">MAX(S13:S18)</f>
        <v>295.71428571428572</v>
      </c>
      <c r="T35" s="39">
        <f t="shared" si="27"/>
        <v>84.857142857142861</v>
      </c>
      <c r="U35" s="39">
        <f t="shared" si="27"/>
        <v>52.714285714285715</v>
      </c>
      <c r="V35" s="39">
        <f t="shared" si="27"/>
        <v>61.142857142857139</v>
      </c>
      <c r="W35" s="39">
        <f t="shared" si="27"/>
        <v>7.8571428571428559</v>
      </c>
      <c r="X35" s="39">
        <f t="shared" si="27"/>
        <v>0.8571428571428571</v>
      </c>
      <c r="Y35" s="39">
        <f t="shared" si="27"/>
        <v>35</v>
      </c>
      <c r="Z35" s="39">
        <f t="shared" si="27"/>
        <v>16</v>
      </c>
      <c r="AA35" s="39">
        <f t="shared" si="27"/>
        <v>17</v>
      </c>
      <c r="AB35" s="39">
        <f t="shared" si="27"/>
        <v>26.142857142857142</v>
      </c>
      <c r="AC35" s="39">
        <f t="shared" si="27"/>
        <v>1025.1428571428571</v>
      </c>
      <c r="AD35" s="39">
        <f t="shared" si="27"/>
        <v>0.14285714285714285</v>
      </c>
      <c r="AE35" s="40">
        <f t="shared" si="27"/>
        <v>567.71428571428567</v>
      </c>
      <c r="AF35" s="40">
        <f t="shared" si="27"/>
        <v>1531.8571428571431</v>
      </c>
    </row>
    <row r="36" spans="2:32" ht="23.1" customHeight="1" x14ac:dyDescent="0.25">
      <c r="B36" s="24" t="s">
        <v>63</v>
      </c>
      <c r="C36" s="49">
        <f>'Avg Week SpearMotors-URA'!C36+'Avg Week URA_SpearMotors'!C36</f>
        <v>66.285714285714278</v>
      </c>
      <c r="D36" s="49">
        <f>'Avg Week SpearMotors-URA'!D36+'Avg Week URA_SpearMotors'!D36</f>
        <v>12.714285714285715</v>
      </c>
      <c r="E36" s="49">
        <f>'Avg Week SpearMotors-URA'!E36+'Avg Week URA_SpearMotors'!E36</f>
        <v>11.285714285714285</v>
      </c>
      <c r="F36" s="49">
        <f>'Avg Week SpearMotors-URA'!F36+'Avg Week URA_SpearMotors'!F36</f>
        <v>10.428571428571429</v>
      </c>
      <c r="G36" s="49">
        <f>'Avg Week SpearMotors-URA'!G36+'Avg Week URA_SpearMotors'!G36</f>
        <v>0.8571428571428571</v>
      </c>
      <c r="H36" s="49">
        <f>'Avg Week SpearMotors-URA'!H36+'Avg Week URA_SpearMotors'!H36</f>
        <v>0.2857142857142857</v>
      </c>
      <c r="I36" s="49">
        <f>'Avg Week SpearMotors-URA'!I36+'Avg Week URA_SpearMotors'!I36</f>
        <v>3.5714285714285712</v>
      </c>
      <c r="J36" s="49">
        <f>'Avg Week SpearMotors-URA'!J36+'Avg Week URA_SpearMotors'!J36</f>
        <v>3.1428571428571428</v>
      </c>
      <c r="K36" s="49">
        <f>'Avg Week SpearMotors-URA'!K36+'Avg Week URA_SpearMotors'!K36</f>
        <v>2</v>
      </c>
      <c r="L36" s="49">
        <f>'Avg Week SpearMotors-URA'!L36+'Avg Week URA_SpearMotors'!L36</f>
        <v>4.2857142857142856</v>
      </c>
      <c r="M36" s="49">
        <f>'Avg Week SpearMotors-URA'!M36+'Avg Week URA_SpearMotors'!M36</f>
        <v>143.14285714285714</v>
      </c>
      <c r="N36" s="49">
        <f>'Avg Week SpearMotors-URA'!N36+'Avg Week URA_SpearMotors'!N36</f>
        <v>0</v>
      </c>
      <c r="O36" s="15">
        <f t="shared" si="0"/>
        <v>114.85714285714286</v>
      </c>
      <c r="P36" s="15">
        <f t="shared" si="1"/>
        <v>258</v>
      </c>
      <c r="R36" s="38" t="s">
        <v>92</v>
      </c>
      <c r="S36" s="39">
        <f t="shared" ref="S36:AF36" si="28">MAX(S19:S21)</f>
        <v>423</v>
      </c>
      <c r="T36" s="39">
        <f t="shared" si="28"/>
        <v>66.857142857142861</v>
      </c>
      <c r="U36" s="39">
        <f t="shared" si="28"/>
        <v>52.857142857142861</v>
      </c>
      <c r="V36" s="39">
        <f t="shared" si="28"/>
        <v>45</v>
      </c>
      <c r="W36" s="39">
        <f t="shared" si="28"/>
        <v>8.571428571428573</v>
      </c>
      <c r="X36" s="39">
        <f t="shared" si="28"/>
        <v>0.5714285714285714</v>
      </c>
      <c r="Y36" s="39">
        <f t="shared" si="28"/>
        <v>33.428571428571431</v>
      </c>
      <c r="Z36" s="39">
        <f t="shared" si="28"/>
        <v>15</v>
      </c>
      <c r="AA36" s="39">
        <f t="shared" si="28"/>
        <v>9.4285714285714288</v>
      </c>
      <c r="AB36" s="39">
        <f t="shared" si="28"/>
        <v>21.142857142857146</v>
      </c>
      <c r="AC36" s="39">
        <f t="shared" si="28"/>
        <v>755.14285714285711</v>
      </c>
      <c r="AD36" s="39">
        <f t="shared" si="28"/>
        <v>0.14285714285714285</v>
      </c>
      <c r="AE36" s="40">
        <f t="shared" si="28"/>
        <v>648.71428571428578</v>
      </c>
      <c r="AF36" s="40">
        <f t="shared" si="28"/>
        <v>1374.8571428571429</v>
      </c>
    </row>
    <row r="37" spans="2:32" ht="23.1" customHeight="1" x14ac:dyDescent="0.25">
      <c r="B37" s="23" t="s">
        <v>64</v>
      </c>
      <c r="C37" s="49">
        <f>'Avg Week SpearMotors-URA'!C37+'Avg Week URA_SpearMotors'!C37</f>
        <v>68.142857142857139</v>
      </c>
      <c r="D37" s="49">
        <f>'Avg Week SpearMotors-URA'!D37+'Avg Week URA_SpearMotors'!D37</f>
        <v>17.714285714285715</v>
      </c>
      <c r="E37" s="49">
        <f>'Avg Week SpearMotors-URA'!E37+'Avg Week URA_SpearMotors'!E37</f>
        <v>11.285714285714285</v>
      </c>
      <c r="F37" s="49">
        <f>'Avg Week SpearMotors-URA'!F37+'Avg Week URA_SpearMotors'!F37</f>
        <v>9</v>
      </c>
      <c r="G37" s="49">
        <f>'Avg Week SpearMotors-URA'!G37+'Avg Week URA_SpearMotors'!G37</f>
        <v>1.5714285714285714</v>
      </c>
      <c r="H37" s="49">
        <f>'Avg Week SpearMotors-URA'!H37+'Avg Week URA_SpearMotors'!H37</f>
        <v>0.42857142857142855</v>
      </c>
      <c r="I37" s="49">
        <f>'Avg Week SpearMotors-URA'!I37+'Avg Week URA_SpearMotors'!I37</f>
        <v>4.1428571428571432</v>
      </c>
      <c r="J37" s="49">
        <f>'Avg Week SpearMotors-URA'!J37+'Avg Week URA_SpearMotors'!J37</f>
        <v>3.5714285714285716</v>
      </c>
      <c r="K37" s="49">
        <f>'Avg Week SpearMotors-URA'!K37+'Avg Week URA_SpearMotors'!K37</f>
        <v>3.2857142857142856</v>
      </c>
      <c r="L37" s="49">
        <f>'Avg Week SpearMotors-URA'!L37+'Avg Week URA_SpearMotors'!L37</f>
        <v>5</v>
      </c>
      <c r="M37" s="49">
        <f>'Avg Week SpearMotors-URA'!M37+'Avg Week URA_SpearMotors'!M37</f>
        <v>155</v>
      </c>
      <c r="N37" s="49">
        <f>'Avg Week SpearMotors-URA'!N37+'Avg Week URA_SpearMotors'!N37</f>
        <v>0</v>
      </c>
      <c r="O37" s="15">
        <f t="shared" si="0"/>
        <v>124.14285714285714</v>
      </c>
      <c r="P37" s="15">
        <f t="shared" si="1"/>
        <v>279.14285714285711</v>
      </c>
      <c r="R37" s="37" t="s">
        <v>85</v>
      </c>
      <c r="S37" s="35">
        <f t="shared" ref="S37:AF37" si="29">SUM(S10:S12)</f>
        <v>808.57142857142867</v>
      </c>
      <c r="T37" s="16">
        <f t="shared" si="29"/>
        <v>170.85714285714286</v>
      </c>
      <c r="U37" s="16">
        <f t="shared" si="29"/>
        <v>129.85714285714286</v>
      </c>
      <c r="V37" s="16">
        <f t="shared" si="29"/>
        <v>190</v>
      </c>
      <c r="W37" s="16">
        <f t="shared" si="29"/>
        <v>26</v>
      </c>
      <c r="X37" s="16">
        <f t="shared" si="29"/>
        <v>3.2857142857142856</v>
      </c>
      <c r="Y37" s="16">
        <f t="shared" si="29"/>
        <v>67.714285714285722</v>
      </c>
      <c r="Z37" s="16">
        <f t="shared" si="29"/>
        <v>28</v>
      </c>
      <c r="AA37" s="16">
        <f t="shared" si="29"/>
        <v>22.857142857142854</v>
      </c>
      <c r="AB37" s="16">
        <f t="shared" si="29"/>
        <v>42.714285714285722</v>
      </c>
      <c r="AC37" s="16">
        <f t="shared" si="29"/>
        <v>3503.8571428571431</v>
      </c>
      <c r="AD37" s="16">
        <f t="shared" si="29"/>
        <v>0.14285714285714285</v>
      </c>
      <c r="AE37" s="32">
        <f t="shared" si="29"/>
        <v>1490</v>
      </c>
      <c r="AF37" s="32">
        <f t="shared" si="29"/>
        <v>4993.8571428571431</v>
      </c>
    </row>
    <row r="38" spans="2:32" ht="23.1" customHeight="1" x14ac:dyDescent="0.25">
      <c r="B38" s="24" t="s">
        <v>65</v>
      </c>
      <c r="C38" s="49">
        <f>'Avg Week SpearMotors-URA'!C38+'Avg Week URA_SpearMotors'!C38</f>
        <v>69.428571428571431</v>
      </c>
      <c r="D38" s="49">
        <f>'Avg Week SpearMotors-URA'!D38+'Avg Week URA_SpearMotors'!D38</f>
        <v>17</v>
      </c>
      <c r="E38" s="49">
        <f>'Avg Week SpearMotors-URA'!E38+'Avg Week URA_SpearMotors'!E38</f>
        <v>11.285714285714285</v>
      </c>
      <c r="F38" s="49">
        <f>'Avg Week SpearMotors-URA'!F38+'Avg Week URA_SpearMotors'!F38</f>
        <v>12.142857142857142</v>
      </c>
      <c r="G38" s="49">
        <f>'Avg Week SpearMotors-URA'!G38+'Avg Week URA_SpearMotors'!G38</f>
        <v>1.5714285714285716</v>
      </c>
      <c r="H38" s="49">
        <f>'Avg Week SpearMotors-URA'!H38+'Avg Week URA_SpearMotors'!H38</f>
        <v>0</v>
      </c>
      <c r="I38" s="49">
        <f>'Avg Week SpearMotors-URA'!I38+'Avg Week URA_SpearMotors'!I38</f>
        <v>7.7142857142857153</v>
      </c>
      <c r="J38" s="49">
        <f>'Avg Week SpearMotors-URA'!J38+'Avg Week URA_SpearMotors'!J38</f>
        <v>4</v>
      </c>
      <c r="K38" s="49">
        <f>'Avg Week SpearMotors-URA'!K38+'Avg Week URA_SpearMotors'!K38</f>
        <v>2.5714285714285712</v>
      </c>
      <c r="L38" s="49">
        <f>'Avg Week SpearMotors-URA'!L38+'Avg Week URA_SpearMotors'!L38</f>
        <v>4.1428571428571432</v>
      </c>
      <c r="M38" s="49">
        <f>'Avg Week SpearMotors-URA'!M38+'Avg Week URA_SpearMotors'!M38</f>
        <v>138.71428571428572</v>
      </c>
      <c r="N38" s="49">
        <f>'Avg Week SpearMotors-URA'!N38+'Avg Week URA_SpearMotors'!N38</f>
        <v>0</v>
      </c>
      <c r="O38" s="15">
        <f t="shared" si="0"/>
        <v>129.85714285714286</v>
      </c>
      <c r="P38" s="15">
        <f t="shared" si="1"/>
        <v>268.57142857142856</v>
      </c>
      <c r="R38" s="28" t="s">
        <v>86</v>
      </c>
      <c r="S38" s="16">
        <f t="shared" ref="S38:AF38" si="30">SUM(S13:S18)</f>
        <v>1687.1428571428569</v>
      </c>
      <c r="T38" s="16">
        <f t="shared" si="30"/>
        <v>394.28571428571428</v>
      </c>
      <c r="U38" s="16">
        <f t="shared" si="30"/>
        <v>292.14285714285711</v>
      </c>
      <c r="V38" s="16">
        <f t="shared" si="30"/>
        <v>292.85714285714283</v>
      </c>
      <c r="W38" s="16">
        <f t="shared" si="30"/>
        <v>37.571428571428562</v>
      </c>
      <c r="X38" s="16">
        <f t="shared" si="30"/>
        <v>2.5714285714285712</v>
      </c>
      <c r="Y38" s="16">
        <f t="shared" si="30"/>
        <v>176.42857142857144</v>
      </c>
      <c r="Z38" s="16">
        <f t="shared" si="30"/>
        <v>84.142857142857139</v>
      </c>
      <c r="AA38" s="16">
        <f t="shared" si="30"/>
        <v>69.142857142857139</v>
      </c>
      <c r="AB38" s="16">
        <f t="shared" si="30"/>
        <v>130.28571428571431</v>
      </c>
      <c r="AC38" s="16">
        <f t="shared" si="30"/>
        <v>4495.1428571428569</v>
      </c>
      <c r="AD38" s="16">
        <f t="shared" si="30"/>
        <v>0.42857142857142855</v>
      </c>
      <c r="AE38" s="32">
        <f t="shared" si="30"/>
        <v>3167</v>
      </c>
      <c r="AF38" s="32">
        <f t="shared" si="30"/>
        <v>7662.1428571428569</v>
      </c>
    </row>
    <row r="39" spans="2:32" ht="23.1" customHeight="1" x14ac:dyDescent="0.25">
      <c r="B39" s="24" t="s">
        <v>66</v>
      </c>
      <c r="C39" s="49">
        <f>'Avg Week SpearMotors-URA'!C39+'Avg Week URA_SpearMotors'!C39</f>
        <v>72.571428571428569</v>
      </c>
      <c r="D39" s="49">
        <f>'Avg Week SpearMotors-URA'!D39+'Avg Week URA_SpearMotors'!D39</f>
        <v>13.714285714285715</v>
      </c>
      <c r="E39" s="49">
        <f>'Avg Week SpearMotors-URA'!E39+'Avg Week URA_SpearMotors'!E39</f>
        <v>13.571428571428571</v>
      </c>
      <c r="F39" s="49">
        <f>'Avg Week SpearMotors-URA'!F39+'Avg Week URA_SpearMotors'!F39</f>
        <v>11.428571428571427</v>
      </c>
      <c r="G39" s="49">
        <f>'Avg Week SpearMotors-URA'!G39+'Avg Week URA_SpearMotors'!G39</f>
        <v>1.4285714285714286</v>
      </c>
      <c r="H39" s="49">
        <f>'Avg Week SpearMotors-URA'!H39+'Avg Week URA_SpearMotors'!H39</f>
        <v>0</v>
      </c>
      <c r="I39" s="49">
        <f>'Avg Week SpearMotors-URA'!I39+'Avg Week URA_SpearMotors'!I39</f>
        <v>8.1428571428571423</v>
      </c>
      <c r="J39" s="49">
        <f>'Avg Week SpearMotors-URA'!J39+'Avg Week URA_SpearMotors'!J39</f>
        <v>4.7142857142857144</v>
      </c>
      <c r="K39" s="49">
        <f>'Avg Week SpearMotors-URA'!K39+'Avg Week URA_SpearMotors'!K39</f>
        <v>2.4285714285714284</v>
      </c>
      <c r="L39" s="49">
        <f>'Avg Week SpearMotors-URA'!L39+'Avg Week URA_SpearMotors'!L39</f>
        <v>4.5714285714285712</v>
      </c>
      <c r="M39" s="49">
        <f>'Avg Week SpearMotors-URA'!M39+'Avg Week URA_SpearMotors'!M39</f>
        <v>158.28571428571428</v>
      </c>
      <c r="N39" s="49">
        <f>'Avg Week SpearMotors-URA'!N39+'Avg Week URA_SpearMotors'!N39</f>
        <v>0</v>
      </c>
      <c r="O39" s="15">
        <f t="shared" si="0"/>
        <v>132.57142857142856</v>
      </c>
      <c r="P39" s="15">
        <f t="shared" si="1"/>
        <v>290.85714285714283</v>
      </c>
      <c r="R39" s="29" t="s">
        <v>87</v>
      </c>
      <c r="S39" s="16">
        <f t="shared" ref="S39:AF39" si="31">SUM(S19:S21)</f>
        <v>1095.8571428571431</v>
      </c>
      <c r="T39" s="16">
        <f t="shared" si="31"/>
        <v>199.14285714285714</v>
      </c>
      <c r="U39" s="16">
        <f t="shared" si="31"/>
        <v>143.14285714285714</v>
      </c>
      <c r="V39" s="16">
        <f t="shared" si="31"/>
        <v>124.14285714285714</v>
      </c>
      <c r="W39" s="16">
        <f t="shared" si="31"/>
        <v>18.428571428571431</v>
      </c>
      <c r="X39" s="16">
        <f t="shared" si="31"/>
        <v>0.71428571428571419</v>
      </c>
      <c r="Y39" s="16">
        <f t="shared" si="31"/>
        <v>74.428571428571431</v>
      </c>
      <c r="Z39" s="16">
        <f t="shared" si="31"/>
        <v>39.714285714285708</v>
      </c>
      <c r="AA39" s="16">
        <f t="shared" si="31"/>
        <v>22.857142857142858</v>
      </c>
      <c r="AB39" s="16">
        <f t="shared" si="31"/>
        <v>56.714285714285722</v>
      </c>
      <c r="AC39" s="16">
        <f t="shared" si="31"/>
        <v>2182.1428571428569</v>
      </c>
      <c r="AD39" s="16">
        <f t="shared" si="31"/>
        <v>0.2857142857142857</v>
      </c>
      <c r="AE39" s="32">
        <f t="shared" si="31"/>
        <v>1775.4285714285716</v>
      </c>
      <c r="AF39" s="32">
        <f t="shared" si="31"/>
        <v>3957.5714285714289</v>
      </c>
    </row>
    <row r="40" spans="2:32" ht="23.1" customHeight="1" x14ac:dyDescent="0.25">
      <c r="B40" s="24" t="s">
        <v>67</v>
      </c>
      <c r="C40" s="49">
        <f>'Avg Week SpearMotors-URA'!C40+'Avg Week URA_SpearMotors'!C40</f>
        <v>80</v>
      </c>
      <c r="D40" s="49">
        <f>'Avg Week SpearMotors-URA'!D40+'Avg Week URA_SpearMotors'!D40</f>
        <v>22.714285714285715</v>
      </c>
      <c r="E40" s="49">
        <f>'Avg Week SpearMotors-URA'!E40+'Avg Week URA_SpearMotors'!E40</f>
        <v>11.714285714285715</v>
      </c>
      <c r="F40" s="49">
        <f>'Avg Week SpearMotors-URA'!F40+'Avg Week URA_SpearMotors'!F40</f>
        <v>9.4285714285714288</v>
      </c>
      <c r="G40" s="49">
        <f>'Avg Week SpearMotors-URA'!G40+'Avg Week URA_SpearMotors'!G40</f>
        <v>1.857142857142857</v>
      </c>
      <c r="H40" s="49">
        <f>'Avg Week SpearMotors-URA'!H40+'Avg Week URA_SpearMotors'!H40</f>
        <v>0.14285714285714285</v>
      </c>
      <c r="I40" s="49">
        <f>'Avg Week SpearMotors-URA'!I40+'Avg Week URA_SpearMotors'!I40</f>
        <v>4.7142857142857144</v>
      </c>
      <c r="J40" s="49">
        <f>'Avg Week SpearMotors-URA'!J40+'Avg Week URA_SpearMotors'!J40</f>
        <v>2.7142857142857144</v>
      </c>
      <c r="K40" s="49">
        <f>'Avg Week SpearMotors-URA'!K40+'Avg Week URA_SpearMotors'!K40</f>
        <v>2.2857142857142856</v>
      </c>
      <c r="L40" s="49">
        <f>'Avg Week SpearMotors-URA'!L40+'Avg Week URA_SpearMotors'!L40</f>
        <v>3.2857142857142856</v>
      </c>
      <c r="M40" s="49">
        <f>'Avg Week SpearMotors-URA'!M40+'Avg Week URA_SpearMotors'!M40</f>
        <v>144</v>
      </c>
      <c r="N40" s="49">
        <f>'Avg Week SpearMotors-URA'!N40+'Avg Week URA_SpearMotors'!N40</f>
        <v>0</v>
      </c>
      <c r="O40" s="15">
        <f t="shared" si="0"/>
        <v>138.85714285714286</v>
      </c>
      <c r="P40" s="15">
        <f t="shared" si="1"/>
        <v>282.85714285714289</v>
      </c>
      <c r="R40" s="5" t="s">
        <v>17</v>
      </c>
      <c r="S40" s="16">
        <f t="shared" ref="S40:AF40" si="32">SUM(S10:S21)</f>
        <v>3591.5714285714284</v>
      </c>
      <c r="T40" s="16">
        <f t="shared" si="32"/>
        <v>764.28571428571433</v>
      </c>
      <c r="U40" s="16">
        <f t="shared" si="32"/>
        <v>565.14285714285722</v>
      </c>
      <c r="V40" s="16">
        <f t="shared" si="32"/>
        <v>607</v>
      </c>
      <c r="W40" s="16">
        <f t="shared" si="32"/>
        <v>82</v>
      </c>
      <c r="X40" s="16">
        <f t="shared" si="32"/>
        <v>6.5714285714285712</v>
      </c>
      <c r="Y40" s="16">
        <f t="shared" si="32"/>
        <v>318.57142857142861</v>
      </c>
      <c r="Z40" s="16">
        <f t="shared" si="32"/>
        <v>151.85714285714283</v>
      </c>
      <c r="AA40" s="16">
        <f t="shared" si="32"/>
        <v>114.85714285714285</v>
      </c>
      <c r="AB40" s="16">
        <f t="shared" si="32"/>
        <v>229.71428571428575</v>
      </c>
      <c r="AC40" s="16">
        <f t="shared" si="32"/>
        <v>10181.142857142857</v>
      </c>
      <c r="AD40" s="16">
        <f t="shared" si="32"/>
        <v>0.85714285714285698</v>
      </c>
      <c r="AE40" s="32">
        <f t="shared" si="32"/>
        <v>6432.4285714285716</v>
      </c>
      <c r="AF40" s="32">
        <f t="shared" si="32"/>
        <v>16613.571428571428</v>
      </c>
    </row>
    <row r="41" spans="2:32" ht="23.1" customHeight="1" x14ac:dyDescent="0.25">
      <c r="B41" s="23" t="s">
        <v>68</v>
      </c>
      <c r="C41" s="49">
        <f>'Avg Week SpearMotors-URA'!C41+'Avg Week URA_SpearMotors'!C41</f>
        <v>70.571428571428584</v>
      </c>
      <c r="D41" s="49">
        <f>'Avg Week SpearMotors-URA'!D41+'Avg Week URA_SpearMotors'!D41</f>
        <v>13.142857142857142</v>
      </c>
      <c r="E41" s="49">
        <f>'Avg Week SpearMotors-URA'!E41+'Avg Week URA_SpearMotors'!E41</f>
        <v>13.714285714285715</v>
      </c>
      <c r="F41" s="49">
        <f>'Avg Week SpearMotors-URA'!F41+'Avg Week URA_SpearMotors'!F41</f>
        <v>9.4285714285714288</v>
      </c>
      <c r="G41" s="49">
        <f>'Avg Week SpearMotors-URA'!G41+'Avg Week URA_SpearMotors'!G41</f>
        <v>0.8571428571428571</v>
      </c>
      <c r="H41" s="49">
        <f>'Avg Week SpearMotors-URA'!H41+'Avg Week URA_SpearMotors'!H41</f>
        <v>0</v>
      </c>
      <c r="I41" s="49">
        <f>'Avg Week SpearMotors-URA'!I41+'Avg Week URA_SpearMotors'!I41</f>
        <v>7.4285714285714288</v>
      </c>
      <c r="J41" s="49">
        <f>'Avg Week SpearMotors-URA'!J41+'Avg Week URA_SpearMotors'!J41</f>
        <v>4</v>
      </c>
      <c r="K41" s="49">
        <f>'Avg Week SpearMotors-URA'!K41+'Avg Week URA_SpearMotors'!K41</f>
        <v>2.1428571428571428</v>
      </c>
      <c r="L41" s="49">
        <f>'Avg Week SpearMotors-URA'!L41+'Avg Week URA_SpearMotors'!L41</f>
        <v>5.8571428571428577</v>
      </c>
      <c r="M41" s="49">
        <f>'Avg Week SpearMotors-URA'!M41+'Avg Week URA_SpearMotors'!M41</f>
        <v>147.85714285714286</v>
      </c>
      <c r="N41" s="49">
        <f>'Avg Week SpearMotors-URA'!N41+'Avg Week URA_SpearMotors'!N41</f>
        <v>0</v>
      </c>
      <c r="O41" s="15">
        <f t="shared" si="0"/>
        <v>127.14285714285717</v>
      </c>
      <c r="P41" s="15">
        <f t="shared" si="1"/>
        <v>275</v>
      </c>
      <c r="R41" s="5" t="s">
        <v>193</v>
      </c>
      <c r="S41" s="51">
        <f>SUM(S10:S33)</f>
        <v>5029.5714285714284</v>
      </c>
      <c r="T41" s="51">
        <f t="shared" ref="T41:AD41" si="33">SUM(T10:T33)</f>
        <v>1264.2857142857142</v>
      </c>
      <c r="U41" s="51">
        <f t="shared" si="33"/>
        <v>774.14285714285722</v>
      </c>
      <c r="V41" s="51">
        <f t="shared" si="33"/>
        <v>1009</v>
      </c>
      <c r="W41" s="51">
        <f t="shared" si="33"/>
        <v>118</v>
      </c>
      <c r="X41" s="51">
        <f t="shared" si="33"/>
        <v>9.0714285714285712</v>
      </c>
      <c r="Y41" s="51">
        <f t="shared" si="33"/>
        <v>401.57142857142861</v>
      </c>
      <c r="Z41" s="51">
        <f t="shared" si="33"/>
        <v>202.35714285714283</v>
      </c>
      <c r="AA41" s="51">
        <f t="shared" si="33"/>
        <v>141.35714285714283</v>
      </c>
      <c r="AB41" s="51">
        <f t="shared" si="33"/>
        <v>293.71428571428578</v>
      </c>
      <c r="AC41" s="51">
        <f t="shared" si="33"/>
        <v>16329.142857142857</v>
      </c>
      <c r="AD41" s="51">
        <f t="shared" si="33"/>
        <v>0.85714285714285698</v>
      </c>
      <c r="AE41" s="52">
        <f>SUM(AE10:AE33)</f>
        <v>9243.9285714285725</v>
      </c>
      <c r="AF41" s="52">
        <f>SUM(AF10:AF33)</f>
        <v>25573.071428571428</v>
      </c>
    </row>
    <row r="42" spans="2:32" ht="23.1" customHeight="1" x14ac:dyDescent="0.25">
      <c r="B42" s="24" t="s">
        <v>69</v>
      </c>
      <c r="C42" s="49">
        <f>'Avg Week SpearMotors-URA'!C42+'Avg Week URA_SpearMotors'!C42</f>
        <v>77</v>
      </c>
      <c r="D42" s="49">
        <f>'Avg Week SpearMotors-URA'!D42+'Avg Week URA_SpearMotors'!D42</f>
        <v>17.285714285714285</v>
      </c>
      <c r="E42" s="49">
        <f>'Avg Week SpearMotors-URA'!E42+'Avg Week URA_SpearMotors'!E42</f>
        <v>11.857142857142858</v>
      </c>
      <c r="F42" s="49">
        <f>'Avg Week SpearMotors-URA'!F42+'Avg Week URA_SpearMotors'!F42</f>
        <v>12.571428571428571</v>
      </c>
      <c r="G42" s="49">
        <f>'Avg Week SpearMotors-URA'!G42+'Avg Week URA_SpearMotors'!G42</f>
        <v>1.5714285714285716</v>
      </c>
      <c r="H42" s="49">
        <f>'Avg Week SpearMotors-URA'!H42+'Avg Week URA_SpearMotors'!H42</f>
        <v>0</v>
      </c>
      <c r="I42" s="49">
        <f>'Avg Week SpearMotors-URA'!I42+'Avg Week URA_SpearMotors'!I42</f>
        <v>6.7142857142857153</v>
      </c>
      <c r="J42" s="49">
        <f>'Avg Week SpearMotors-URA'!J42+'Avg Week URA_SpearMotors'!J42</f>
        <v>3.4285714285714284</v>
      </c>
      <c r="K42" s="49">
        <f>'Avg Week SpearMotors-URA'!K42+'Avg Week URA_SpearMotors'!K42</f>
        <v>2.714285714285714</v>
      </c>
      <c r="L42" s="49">
        <f>'Avg Week SpearMotors-URA'!L42+'Avg Week URA_SpearMotors'!L42</f>
        <v>6.8571428571428577</v>
      </c>
      <c r="M42" s="49">
        <f>'Avg Week SpearMotors-URA'!M42+'Avg Week URA_SpearMotors'!M42</f>
        <v>164.42857142857144</v>
      </c>
      <c r="N42" s="49">
        <f>'Avg Week SpearMotors-URA'!N42+'Avg Week URA_SpearMotors'!N42</f>
        <v>0</v>
      </c>
      <c r="O42" s="15">
        <f t="shared" si="0"/>
        <v>140</v>
      </c>
      <c r="P42" s="15">
        <f t="shared" si="1"/>
        <v>304.42857142857144</v>
      </c>
      <c r="R42" s="5" t="s">
        <v>160</v>
      </c>
      <c r="S42" s="48">
        <f>S41/S40</f>
        <v>1.4003818463863809</v>
      </c>
      <c r="T42" s="48">
        <f t="shared" ref="T42:AF42" si="34">T41/T40</f>
        <v>1.6542056074766354</v>
      </c>
      <c r="U42" s="48">
        <f t="shared" si="34"/>
        <v>1.3698179979777552</v>
      </c>
      <c r="V42" s="48">
        <f t="shared" si="34"/>
        <v>1.6622734761120264</v>
      </c>
      <c r="W42" s="48">
        <f t="shared" si="34"/>
        <v>1.4390243902439024</v>
      </c>
      <c r="X42" s="48">
        <f t="shared" si="34"/>
        <v>1.3804347826086956</v>
      </c>
      <c r="Y42" s="48">
        <f t="shared" si="34"/>
        <v>1.2605381165919283</v>
      </c>
      <c r="Z42" s="48">
        <f t="shared" si="34"/>
        <v>1.3325493885230479</v>
      </c>
      <c r="AA42" s="48">
        <f t="shared" si="34"/>
        <v>1.2307213930348258</v>
      </c>
      <c r="AB42" s="48">
        <f t="shared" si="34"/>
        <v>1.2786069651741294</v>
      </c>
      <c r="AC42" s="48">
        <f t="shared" si="34"/>
        <v>1.6038614806084077</v>
      </c>
      <c r="AD42" s="48">
        <f t="shared" si="34"/>
        <v>1</v>
      </c>
      <c r="AE42" s="53">
        <f t="shared" si="34"/>
        <v>1.4370821951273682</v>
      </c>
      <c r="AF42" s="53">
        <f t="shared" si="34"/>
        <v>1.5392880175415968</v>
      </c>
    </row>
    <row r="43" spans="2:32" ht="23.1" customHeight="1" x14ac:dyDescent="0.25">
      <c r="B43" s="23" t="s">
        <v>70</v>
      </c>
      <c r="C43" s="49">
        <f>'Avg Week SpearMotors-URA'!C43+'Avg Week URA_SpearMotors'!C43</f>
        <v>67.285714285714292</v>
      </c>
      <c r="D43" s="49">
        <f>'Avg Week SpearMotors-URA'!D43+'Avg Week URA_SpearMotors'!D43</f>
        <v>14.714285714285715</v>
      </c>
      <c r="E43" s="49">
        <f>'Avg Week SpearMotors-URA'!E43+'Avg Week URA_SpearMotors'!E43</f>
        <v>15.285714285714285</v>
      </c>
      <c r="F43" s="49">
        <f>'Avg Week SpearMotors-URA'!F43+'Avg Week URA_SpearMotors'!F43</f>
        <v>10.285714285714285</v>
      </c>
      <c r="G43" s="49">
        <f>'Avg Week SpearMotors-URA'!G43+'Avg Week URA_SpearMotors'!G43</f>
        <v>0.5714285714285714</v>
      </c>
      <c r="H43" s="49">
        <f>'Avg Week SpearMotors-URA'!H43+'Avg Week URA_SpearMotors'!H43</f>
        <v>0</v>
      </c>
      <c r="I43" s="49">
        <f>'Avg Week SpearMotors-URA'!I43+'Avg Week URA_SpearMotors'!I43</f>
        <v>8.4285714285714288</v>
      </c>
      <c r="J43" s="49">
        <f>'Avg Week SpearMotors-URA'!J43+'Avg Week URA_SpearMotors'!J43</f>
        <v>2.5714285714285716</v>
      </c>
      <c r="K43" s="49">
        <f>'Avg Week SpearMotors-URA'!K43+'Avg Week URA_SpearMotors'!K43</f>
        <v>1.8571428571428572</v>
      </c>
      <c r="L43" s="49">
        <f>'Avg Week SpearMotors-URA'!L43+'Avg Week URA_SpearMotors'!L43</f>
        <v>7</v>
      </c>
      <c r="M43" s="49">
        <f>'Avg Week SpearMotors-URA'!M43+'Avg Week URA_SpearMotors'!M43</f>
        <v>154.28571428571428</v>
      </c>
      <c r="N43" s="49">
        <f>'Avg Week SpearMotors-URA'!N43+'Avg Week URA_SpearMotors'!N43</f>
        <v>0</v>
      </c>
      <c r="O43" s="15">
        <f t="shared" si="0"/>
        <v>127.99999999999999</v>
      </c>
      <c r="P43" s="15">
        <f t="shared" si="1"/>
        <v>282.28571428571428</v>
      </c>
    </row>
    <row r="44" spans="2:32" ht="23.1" customHeight="1" x14ac:dyDescent="0.25">
      <c r="B44" s="25" t="s">
        <v>71</v>
      </c>
      <c r="C44" s="49">
        <f>'Avg Week SpearMotors-URA'!C44+'Avg Week URA_SpearMotors'!C44</f>
        <v>72.857142857142861</v>
      </c>
      <c r="D44" s="49">
        <f>'Avg Week SpearMotors-URA'!D44+'Avg Week URA_SpearMotors'!D44</f>
        <v>14.428571428571429</v>
      </c>
      <c r="E44" s="49">
        <f>'Avg Week SpearMotors-URA'!E44+'Avg Week URA_SpearMotors'!E44</f>
        <v>12.142857142857142</v>
      </c>
      <c r="F44" s="49">
        <f>'Avg Week SpearMotors-URA'!F44+'Avg Week URA_SpearMotors'!F44</f>
        <v>11.428571428571427</v>
      </c>
      <c r="G44" s="49">
        <f>'Avg Week SpearMotors-URA'!G44+'Avg Week URA_SpearMotors'!G44</f>
        <v>2.8571428571428572</v>
      </c>
      <c r="H44" s="49">
        <f>'Avg Week SpearMotors-URA'!H44+'Avg Week URA_SpearMotors'!H44</f>
        <v>0</v>
      </c>
      <c r="I44" s="49">
        <f>'Avg Week SpearMotors-URA'!I44+'Avg Week URA_SpearMotors'!I44</f>
        <v>10.857142857142856</v>
      </c>
      <c r="J44" s="49">
        <f>'Avg Week SpearMotors-URA'!J44+'Avg Week URA_SpearMotors'!J44</f>
        <v>3.5714285714285712</v>
      </c>
      <c r="K44" s="49">
        <f>'Avg Week SpearMotors-URA'!K44+'Avg Week URA_SpearMotors'!K44</f>
        <v>3.5714285714285712</v>
      </c>
      <c r="L44" s="49">
        <f>'Avg Week SpearMotors-URA'!L44+'Avg Week URA_SpearMotors'!L44</f>
        <v>7</v>
      </c>
      <c r="M44" s="49">
        <f>'Avg Week SpearMotors-URA'!M44+'Avg Week URA_SpearMotors'!M44</f>
        <v>147.71428571428572</v>
      </c>
      <c r="N44" s="49">
        <f>'Avg Week SpearMotors-URA'!N44+'Avg Week URA_SpearMotors'!N44</f>
        <v>0</v>
      </c>
      <c r="O44" s="15">
        <f t="shared" si="0"/>
        <v>138.71428571428575</v>
      </c>
      <c r="P44" s="15">
        <f t="shared" si="1"/>
        <v>286.42857142857144</v>
      </c>
    </row>
    <row r="45" spans="2:32" ht="23.1" customHeight="1" x14ac:dyDescent="0.25">
      <c r="B45" s="23" t="s">
        <v>72</v>
      </c>
      <c r="C45" s="49">
        <f>'Avg Week SpearMotors-URA'!C45+'Avg Week URA_SpearMotors'!C45</f>
        <v>78.571428571428569</v>
      </c>
      <c r="D45" s="49">
        <f>'Avg Week SpearMotors-URA'!D45+'Avg Week URA_SpearMotors'!D45</f>
        <v>15</v>
      </c>
      <c r="E45" s="49">
        <f>'Avg Week SpearMotors-URA'!E45+'Avg Week URA_SpearMotors'!E45</f>
        <v>11.285714285714285</v>
      </c>
      <c r="F45" s="49">
        <f>'Avg Week SpearMotors-URA'!F45+'Avg Week URA_SpearMotors'!F45</f>
        <v>12.285714285714285</v>
      </c>
      <c r="G45" s="49">
        <f>'Avg Week SpearMotors-URA'!G45+'Avg Week URA_SpearMotors'!G45</f>
        <v>1.857142857142857</v>
      </c>
      <c r="H45" s="49">
        <f>'Avg Week SpearMotors-URA'!H45+'Avg Week URA_SpearMotors'!H45</f>
        <v>0</v>
      </c>
      <c r="I45" s="49">
        <f>'Avg Week SpearMotors-URA'!I45+'Avg Week URA_SpearMotors'!I45</f>
        <v>9</v>
      </c>
      <c r="J45" s="49">
        <f>'Avg Week SpearMotors-URA'!J45+'Avg Week URA_SpearMotors'!J45</f>
        <v>4.1428571428571432</v>
      </c>
      <c r="K45" s="49">
        <f>'Avg Week SpearMotors-URA'!K45+'Avg Week URA_SpearMotors'!K45</f>
        <v>2.5714285714285712</v>
      </c>
      <c r="L45" s="49">
        <f>'Avg Week SpearMotors-URA'!L45+'Avg Week URA_SpearMotors'!L45</f>
        <v>5.2857142857142856</v>
      </c>
      <c r="M45" s="49">
        <f>'Avg Week SpearMotors-URA'!M45+'Avg Week URA_SpearMotors'!M45</f>
        <v>181.71428571428572</v>
      </c>
      <c r="N45" s="49">
        <f>'Avg Week SpearMotors-URA'!N45+'Avg Week URA_SpearMotors'!N45</f>
        <v>0</v>
      </c>
      <c r="O45" s="15">
        <f t="shared" si="0"/>
        <v>140</v>
      </c>
      <c r="P45" s="15">
        <f t="shared" si="1"/>
        <v>321.71428571428572</v>
      </c>
    </row>
    <row r="46" spans="2:32" ht="23.1" customHeight="1" x14ac:dyDescent="0.25">
      <c r="B46" s="24" t="s">
        <v>73</v>
      </c>
      <c r="C46" s="49">
        <f>'Avg Week SpearMotors-URA'!C46+'Avg Week URA_SpearMotors'!C46</f>
        <v>68.857142857142861</v>
      </c>
      <c r="D46" s="49">
        <f>'Avg Week SpearMotors-URA'!D46+'Avg Week URA_SpearMotors'!D46</f>
        <v>12.142857142857142</v>
      </c>
      <c r="E46" s="49">
        <f>'Avg Week SpearMotors-URA'!E46+'Avg Week URA_SpearMotors'!E46</f>
        <v>13</v>
      </c>
      <c r="F46" s="49">
        <f>'Avg Week SpearMotors-URA'!F46+'Avg Week URA_SpearMotors'!F46</f>
        <v>12.142857142857142</v>
      </c>
      <c r="G46" s="49">
        <f>'Avg Week SpearMotors-URA'!G46+'Avg Week URA_SpearMotors'!G46</f>
        <v>1.5714285714285714</v>
      </c>
      <c r="H46" s="49">
        <f>'Avg Week SpearMotors-URA'!H46+'Avg Week URA_SpearMotors'!H46</f>
        <v>0</v>
      </c>
      <c r="I46" s="49">
        <f>'Avg Week SpearMotors-URA'!I46+'Avg Week URA_SpearMotors'!I46</f>
        <v>8.8571428571428577</v>
      </c>
      <c r="J46" s="49">
        <f>'Avg Week SpearMotors-URA'!J46+'Avg Week URA_SpearMotors'!J46</f>
        <v>4.7142857142857135</v>
      </c>
      <c r="K46" s="49">
        <f>'Avg Week SpearMotors-URA'!K46+'Avg Week URA_SpearMotors'!K46</f>
        <v>2.1428571428571428</v>
      </c>
      <c r="L46" s="49">
        <f>'Avg Week SpearMotors-URA'!L46+'Avg Week URA_SpearMotors'!L46</f>
        <v>4.4285714285714288</v>
      </c>
      <c r="M46" s="49">
        <f>'Avg Week SpearMotors-URA'!M46+'Avg Week URA_SpearMotors'!M46</f>
        <v>147</v>
      </c>
      <c r="N46" s="49">
        <f>'Avg Week SpearMotors-URA'!N46+'Avg Week URA_SpearMotors'!N46</f>
        <v>0</v>
      </c>
      <c r="O46" s="15">
        <f t="shared" si="0"/>
        <v>127.85714285714285</v>
      </c>
      <c r="P46" s="15">
        <f t="shared" si="1"/>
        <v>274.85714285714283</v>
      </c>
    </row>
    <row r="47" spans="2:32" ht="23.1" customHeight="1" x14ac:dyDescent="0.25">
      <c r="B47" s="24" t="s">
        <v>74</v>
      </c>
      <c r="C47" s="49">
        <f>'Avg Week SpearMotors-URA'!C47+'Avg Week URA_SpearMotors'!C47</f>
        <v>90.571428571428569</v>
      </c>
      <c r="D47" s="49">
        <f>'Avg Week SpearMotors-URA'!D47+'Avg Week URA_SpearMotors'!D47</f>
        <v>18.857142857142858</v>
      </c>
      <c r="E47" s="49">
        <f>'Avg Week SpearMotors-URA'!E47+'Avg Week URA_SpearMotors'!E47</f>
        <v>15</v>
      </c>
      <c r="F47" s="49">
        <f>'Avg Week SpearMotors-URA'!F47+'Avg Week URA_SpearMotors'!F47</f>
        <v>9.7142857142857153</v>
      </c>
      <c r="G47" s="49">
        <f>'Avg Week SpearMotors-URA'!G47+'Avg Week URA_SpearMotors'!G47</f>
        <v>1.5714285714285714</v>
      </c>
      <c r="H47" s="49">
        <f>'Avg Week SpearMotors-URA'!H47+'Avg Week URA_SpearMotors'!H47</f>
        <v>0</v>
      </c>
      <c r="I47" s="49">
        <f>'Avg Week SpearMotors-URA'!I47+'Avg Week URA_SpearMotors'!I47</f>
        <v>10.142857142857142</v>
      </c>
      <c r="J47" s="49">
        <f>'Avg Week SpearMotors-URA'!J47+'Avg Week URA_SpearMotors'!J47</f>
        <v>3.7142857142857144</v>
      </c>
      <c r="K47" s="49">
        <f>'Avg Week SpearMotors-URA'!K47+'Avg Week URA_SpearMotors'!K47</f>
        <v>3.1428571428571428</v>
      </c>
      <c r="L47" s="49">
        <f>'Avg Week SpearMotors-URA'!L47+'Avg Week URA_SpearMotors'!L47</f>
        <v>7.2857142857142865</v>
      </c>
      <c r="M47" s="49">
        <f>'Avg Week SpearMotors-URA'!M47+'Avg Week URA_SpearMotors'!M47</f>
        <v>192.14285714285717</v>
      </c>
      <c r="N47" s="49">
        <f>'Avg Week SpearMotors-URA'!N47+'Avg Week URA_SpearMotors'!N47</f>
        <v>0.14285714285714285</v>
      </c>
      <c r="O47" s="15">
        <f t="shared" si="0"/>
        <v>160.14285714285714</v>
      </c>
      <c r="P47" s="15">
        <f t="shared" si="1"/>
        <v>352.28571428571433</v>
      </c>
    </row>
    <row r="48" spans="2:32" ht="23.1" customHeight="1" x14ac:dyDescent="0.25">
      <c r="B48" s="24" t="s">
        <v>75</v>
      </c>
      <c r="C48" s="49">
        <f>'Avg Week SpearMotors-URA'!C48+'Avg Week URA_SpearMotors'!C48</f>
        <v>75.428571428571431</v>
      </c>
      <c r="D48" s="49">
        <f>'Avg Week SpearMotors-URA'!D48+'Avg Week URA_SpearMotors'!D48</f>
        <v>15.571428571428571</v>
      </c>
      <c r="E48" s="49">
        <f>'Avg Week SpearMotors-URA'!E48+'Avg Week URA_SpearMotors'!E48</f>
        <v>12.714285714285714</v>
      </c>
      <c r="F48" s="49">
        <f>'Avg Week SpearMotors-URA'!F48+'Avg Week URA_SpearMotors'!F48</f>
        <v>9.571428571428573</v>
      </c>
      <c r="G48" s="49">
        <f>'Avg Week SpearMotors-URA'!G48+'Avg Week URA_SpearMotors'!G48</f>
        <v>0.42857142857142855</v>
      </c>
      <c r="H48" s="49">
        <f>'Avg Week SpearMotors-URA'!H48+'Avg Week URA_SpearMotors'!H48</f>
        <v>0</v>
      </c>
      <c r="I48" s="49">
        <f>'Avg Week SpearMotors-URA'!I48+'Avg Week URA_SpearMotors'!I48</f>
        <v>8.2857142857142847</v>
      </c>
      <c r="J48" s="49">
        <f>'Avg Week SpearMotors-URA'!J48+'Avg Week URA_SpearMotors'!J48</f>
        <v>3.5714285714285716</v>
      </c>
      <c r="K48" s="49">
        <f>'Avg Week SpearMotors-URA'!K48+'Avg Week URA_SpearMotors'!K48</f>
        <v>2.4285714285714288</v>
      </c>
      <c r="L48" s="49">
        <f>'Avg Week SpearMotors-URA'!L48+'Avg Week URA_SpearMotors'!L48</f>
        <v>5</v>
      </c>
      <c r="M48" s="49">
        <f>'Avg Week SpearMotors-URA'!M48+'Avg Week URA_SpearMotors'!M48</f>
        <v>179.42857142857144</v>
      </c>
      <c r="N48" s="49">
        <f>'Avg Week SpearMotors-URA'!N48+'Avg Week URA_SpearMotors'!N48</f>
        <v>0</v>
      </c>
      <c r="O48" s="15">
        <f t="shared" si="0"/>
        <v>133</v>
      </c>
      <c r="P48" s="15">
        <f t="shared" si="1"/>
        <v>312.42857142857144</v>
      </c>
    </row>
    <row r="49" spans="2:20" ht="23.1" customHeight="1" x14ac:dyDescent="0.25">
      <c r="B49" s="23" t="s">
        <v>76</v>
      </c>
      <c r="C49" s="49">
        <f>'Avg Week SpearMotors-URA'!C49+'Avg Week URA_SpearMotors'!C49</f>
        <v>94.714285714285722</v>
      </c>
      <c r="D49" s="49">
        <f>'Avg Week SpearMotors-URA'!D49+'Avg Week URA_SpearMotors'!D49</f>
        <v>18.857142857142854</v>
      </c>
      <c r="E49" s="49">
        <f>'Avg Week SpearMotors-URA'!E49+'Avg Week URA_SpearMotors'!E49</f>
        <v>12.142857142857142</v>
      </c>
      <c r="F49" s="49">
        <f>'Avg Week SpearMotors-URA'!F49+'Avg Week URA_SpearMotors'!F49</f>
        <v>13.571428571428571</v>
      </c>
      <c r="G49" s="49">
        <f>'Avg Week SpearMotors-URA'!G49+'Avg Week URA_SpearMotors'!G49</f>
        <v>0.8571428571428571</v>
      </c>
      <c r="H49" s="49">
        <f>'Avg Week SpearMotors-URA'!H49+'Avg Week URA_SpearMotors'!H49</f>
        <v>0</v>
      </c>
      <c r="I49" s="49">
        <f>'Avg Week SpearMotors-URA'!I49+'Avg Week URA_SpearMotors'!I49</f>
        <v>6.1428571428571423</v>
      </c>
      <c r="J49" s="49">
        <f>'Avg Week SpearMotors-URA'!J49+'Avg Week URA_SpearMotors'!J49</f>
        <v>2.7142857142857144</v>
      </c>
      <c r="K49" s="49">
        <f>'Avg Week SpearMotors-URA'!K49+'Avg Week URA_SpearMotors'!K49</f>
        <v>1.7142857142857144</v>
      </c>
      <c r="L49" s="49">
        <f>'Avg Week SpearMotors-URA'!L49+'Avg Week URA_SpearMotors'!L49</f>
        <v>4.4285714285714288</v>
      </c>
      <c r="M49" s="49">
        <f>'Avg Week SpearMotors-URA'!M49+'Avg Week URA_SpearMotors'!M49</f>
        <v>182.28571428571428</v>
      </c>
      <c r="N49" s="49">
        <f>'Avg Week SpearMotors-URA'!N49+'Avg Week URA_SpearMotors'!N49</f>
        <v>0</v>
      </c>
      <c r="O49" s="15">
        <f t="shared" si="0"/>
        <v>155.14285714285717</v>
      </c>
      <c r="P49" s="15">
        <f t="shared" si="1"/>
        <v>337.42857142857144</v>
      </c>
    </row>
    <row r="50" spans="2:20" ht="23.1" customHeight="1" x14ac:dyDescent="0.25">
      <c r="B50" s="24" t="s">
        <v>77</v>
      </c>
      <c r="C50" s="49">
        <f>'Avg Week SpearMotors-URA'!C50+'Avg Week URA_SpearMotors'!C50</f>
        <v>87.857142857142861</v>
      </c>
      <c r="D50" s="49">
        <f>'Avg Week SpearMotors-URA'!D50+'Avg Week URA_SpearMotors'!D50</f>
        <v>14.857142857142858</v>
      </c>
      <c r="E50" s="49">
        <f>'Avg Week SpearMotors-URA'!E50+'Avg Week URA_SpearMotors'!E50</f>
        <v>12.142857142857142</v>
      </c>
      <c r="F50" s="49">
        <f>'Avg Week SpearMotors-URA'!F50+'Avg Week URA_SpearMotors'!F50</f>
        <v>10.714285714285715</v>
      </c>
      <c r="G50" s="49">
        <f>'Avg Week SpearMotors-URA'!G50+'Avg Week URA_SpearMotors'!G50</f>
        <v>5</v>
      </c>
      <c r="H50" s="49">
        <f>'Avg Week SpearMotors-URA'!H50+'Avg Week URA_SpearMotors'!H50</f>
        <v>0.5714285714285714</v>
      </c>
      <c r="I50" s="49">
        <f>'Avg Week SpearMotors-URA'!I50+'Avg Week URA_SpearMotors'!I50</f>
        <v>4.8571428571428577</v>
      </c>
      <c r="J50" s="49">
        <f>'Avg Week SpearMotors-URA'!J50+'Avg Week URA_SpearMotors'!J50</f>
        <v>3.8571428571428568</v>
      </c>
      <c r="K50" s="49">
        <f>'Avg Week SpearMotors-URA'!K50+'Avg Week URA_SpearMotors'!K50</f>
        <v>1.2857142857142856</v>
      </c>
      <c r="L50" s="49">
        <f>'Avg Week SpearMotors-URA'!L50+'Avg Week URA_SpearMotors'!L50</f>
        <v>4.1428571428571432</v>
      </c>
      <c r="M50" s="49">
        <f>'Avg Week SpearMotors-URA'!M50+'Avg Week URA_SpearMotors'!M50</f>
        <v>161.57142857142856</v>
      </c>
      <c r="N50" s="49">
        <f>'Avg Week SpearMotors-URA'!N50+'Avg Week URA_SpearMotors'!N50</f>
        <v>0</v>
      </c>
      <c r="O50" s="15">
        <f t="shared" si="0"/>
        <v>145.28571428571431</v>
      </c>
      <c r="P50" s="15">
        <f t="shared" si="1"/>
        <v>306.85714285714289</v>
      </c>
      <c r="R50" s="8"/>
      <c r="T50"/>
    </row>
    <row r="51" spans="2:20" ht="23.1" customHeight="1" x14ac:dyDescent="0.25">
      <c r="B51" s="24" t="s">
        <v>78</v>
      </c>
      <c r="C51" s="49">
        <f>'Avg Week SpearMotors-URA'!C51+'Avg Week URA_SpearMotors'!C51</f>
        <v>113.57142857142858</v>
      </c>
      <c r="D51" s="49">
        <f>'Avg Week SpearMotors-URA'!D51+'Avg Week URA_SpearMotors'!D51</f>
        <v>20.142857142857146</v>
      </c>
      <c r="E51" s="49">
        <f>'Avg Week SpearMotors-URA'!E51+'Avg Week URA_SpearMotors'!E51</f>
        <v>15.142857142857142</v>
      </c>
      <c r="F51" s="49">
        <f>'Avg Week SpearMotors-URA'!F51+'Avg Week URA_SpearMotors'!F51</f>
        <v>8.2857142857142865</v>
      </c>
      <c r="G51" s="49">
        <f>'Avg Week SpearMotors-URA'!G51+'Avg Week URA_SpearMotors'!G51</f>
        <v>0.85714285714285721</v>
      </c>
      <c r="H51" s="49">
        <f>'Avg Week SpearMotors-URA'!H51+'Avg Week URA_SpearMotors'!H51</f>
        <v>0</v>
      </c>
      <c r="I51" s="49">
        <f>'Avg Week SpearMotors-URA'!I51+'Avg Week URA_SpearMotors'!I51</f>
        <v>6.5714285714285712</v>
      </c>
      <c r="J51" s="49">
        <f>'Avg Week SpearMotors-URA'!J51+'Avg Week URA_SpearMotors'!J51</f>
        <v>3.4285714285714284</v>
      </c>
      <c r="K51" s="49">
        <f>'Avg Week SpearMotors-URA'!K51+'Avg Week URA_SpearMotors'!K51</f>
        <v>2.7142857142857144</v>
      </c>
      <c r="L51" s="49">
        <f>'Avg Week SpearMotors-URA'!L51+'Avg Week URA_SpearMotors'!L51</f>
        <v>7</v>
      </c>
      <c r="M51" s="49">
        <f>'Avg Week SpearMotors-URA'!M51+'Avg Week URA_SpearMotors'!M51</f>
        <v>170.14285714285714</v>
      </c>
      <c r="N51" s="49">
        <f>'Avg Week SpearMotors-URA'!N51+'Avg Week URA_SpearMotors'!N51</f>
        <v>0</v>
      </c>
      <c r="O51" s="15">
        <f t="shared" si="0"/>
        <v>177.71428571428572</v>
      </c>
      <c r="P51" s="15">
        <f t="shared" si="1"/>
        <v>347.85714285714289</v>
      </c>
      <c r="R51" s="8"/>
      <c r="T51"/>
    </row>
    <row r="52" spans="2:20" ht="23.1" customHeight="1" x14ac:dyDescent="0.25">
      <c r="B52" s="24" t="s">
        <v>79</v>
      </c>
      <c r="C52" s="49">
        <f>'Avg Week SpearMotors-URA'!C52+'Avg Week URA_SpearMotors'!C52</f>
        <v>94.571428571428569</v>
      </c>
      <c r="D52" s="49">
        <f>'Avg Week SpearMotors-URA'!D52+'Avg Week URA_SpearMotors'!D52</f>
        <v>15.142857142857142</v>
      </c>
      <c r="E52" s="49">
        <f>'Avg Week SpearMotors-URA'!E52+'Avg Week URA_SpearMotors'!E52</f>
        <v>11.285714285714285</v>
      </c>
      <c r="F52" s="49">
        <f>'Avg Week SpearMotors-URA'!F52+'Avg Week URA_SpearMotors'!F52</f>
        <v>9</v>
      </c>
      <c r="G52" s="49">
        <f>'Avg Week SpearMotors-URA'!G52+'Avg Week URA_SpearMotors'!G52</f>
        <v>1</v>
      </c>
      <c r="H52" s="49">
        <f>'Avg Week SpearMotors-URA'!H52+'Avg Week URA_SpearMotors'!H52</f>
        <v>0</v>
      </c>
      <c r="I52" s="49">
        <f>'Avg Week SpearMotors-URA'!I52+'Avg Week URA_SpearMotors'!I52</f>
        <v>2.8571428571428572</v>
      </c>
      <c r="J52" s="49">
        <f>'Avg Week SpearMotors-URA'!J52+'Avg Week URA_SpearMotors'!J52</f>
        <v>2.7142857142857144</v>
      </c>
      <c r="K52" s="49">
        <f>'Avg Week SpearMotors-URA'!K52+'Avg Week URA_SpearMotors'!K52</f>
        <v>1.4285714285714286</v>
      </c>
      <c r="L52" s="49">
        <f>'Avg Week SpearMotors-URA'!L52+'Avg Week URA_SpearMotors'!L52</f>
        <v>4</v>
      </c>
      <c r="M52" s="49">
        <f>'Avg Week SpearMotors-URA'!M52+'Avg Week URA_SpearMotors'!M52</f>
        <v>191.28571428571428</v>
      </c>
      <c r="N52" s="49">
        <f>'Avg Week SpearMotors-URA'!N52+'Avg Week URA_SpearMotors'!N52</f>
        <v>0</v>
      </c>
      <c r="O52" s="15">
        <f t="shared" si="0"/>
        <v>142</v>
      </c>
      <c r="P52" s="15">
        <f t="shared" si="1"/>
        <v>333.28571428571428</v>
      </c>
      <c r="R52" s="8"/>
      <c r="T52"/>
    </row>
    <row r="53" spans="2:20" ht="23.1" customHeight="1" x14ac:dyDescent="0.25">
      <c r="B53" s="23" t="s">
        <v>80</v>
      </c>
      <c r="C53" s="49">
        <f>'Avg Week SpearMotors-URA'!C53+'Avg Week URA_SpearMotors'!C53</f>
        <v>127</v>
      </c>
      <c r="D53" s="49">
        <f>'Avg Week SpearMotors-URA'!D53+'Avg Week URA_SpearMotors'!D53</f>
        <v>16.714285714285715</v>
      </c>
      <c r="E53" s="49">
        <f>'Avg Week SpearMotors-URA'!E53+'Avg Week URA_SpearMotors'!E53</f>
        <v>13.714285714285715</v>
      </c>
      <c r="F53" s="49">
        <f>'Avg Week SpearMotors-URA'!F53+'Avg Week URA_SpearMotors'!F53</f>
        <v>9.5714285714285712</v>
      </c>
      <c r="G53" s="49">
        <f>'Avg Week SpearMotors-URA'!G53+'Avg Week URA_SpearMotors'!G53</f>
        <v>1.7142857142857144</v>
      </c>
      <c r="H53" s="49">
        <f>'Avg Week SpearMotors-URA'!H53+'Avg Week URA_SpearMotors'!H53</f>
        <v>0</v>
      </c>
      <c r="I53" s="49">
        <f>'Avg Week SpearMotors-URA'!I53+'Avg Week URA_SpearMotors'!I53</f>
        <v>4.2857142857142856</v>
      </c>
      <c r="J53" s="49">
        <f>'Avg Week SpearMotors-URA'!J53+'Avg Week URA_SpearMotors'!J53</f>
        <v>5</v>
      </c>
      <c r="K53" s="49">
        <f>'Avg Week SpearMotors-URA'!K53+'Avg Week URA_SpearMotors'!K53</f>
        <v>1.8571428571428572</v>
      </c>
      <c r="L53" s="49">
        <f>'Avg Week SpearMotors-URA'!L53+'Avg Week URA_SpearMotors'!L53</f>
        <v>3.8571428571428568</v>
      </c>
      <c r="M53" s="49">
        <f>'Avg Week SpearMotors-URA'!M53+'Avg Week URA_SpearMotors'!M53</f>
        <v>203.14285714285714</v>
      </c>
      <c r="N53" s="49">
        <f>'Avg Week SpearMotors-URA'!N53+'Avg Week URA_SpearMotors'!N53</f>
        <v>0</v>
      </c>
      <c r="O53" s="15">
        <f t="shared" si="0"/>
        <v>183.71428571428575</v>
      </c>
      <c r="P53" s="15">
        <f t="shared" si="1"/>
        <v>386.85714285714289</v>
      </c>
      <c r="R53" s="8"/>
      <c r="T53"/>
    </row>
    <row r="54" spans="2:20" ht="23.1" customHeight="1" x14ac:dyDescent="0.25">
      <c r="B54" s="23" t="s">
        <v>81</v>
      </c>
      <c r="C54" s="49">
        <f>'Avg Week SpearMotors-URA'!C54+'Avg Week URA_SpearMotors'!C54</f>
        <v>87.571428571428569</v>
      </c>
      <c r="D54" s="49">
        <f>'Avg Week SpearMotors-URA'!D54+'Avg Week URA_SpearMotors'!D54</f>
        <v>16.428571428571431</v>
      </c>
      <c r="E54" s="49">
        <f>'Avg Week SpearMotors-URA'!E54+'Avg Week URA_SpearMotors'!E54</f>
        <v>9.7142857142857153</v>
      </c>
      <c r="F54" s="49">
        <f>'Avg Week SpearMotors-URA'!F54+'Avg Week URA_SpearMotors'!F54</f>
        <v>9.1428571428571423</v>
      </c>
      <c r="G54" s="49">
        <f>'Avg Week SpearMotors-URA'!G54+'Avg Week URA_SpearMotors'!G54</f>
        <v>0.2857142857142857</v>
      </c>
      <c r="H54" s="49">
        <f>'Avg Week SpearMotors-URA'!H54+'Avg Week URA_SpearMotors'!H54</f>
        <v>0</v>
      </c>
      <c r="I54" s="49">
        <f>'Avg Week SpearMotors-URA'!I54+'Avg Week URA_SpearMotors'!I54</f>
        <v>6.1428571428571423</v>
      </c>
      <c r="J54" s="49">
        <f>'Avg Week SpearMotors-URA'!J54+'Avg Week URA_SpearMotors'!J54</f>
        <v>3.4285714285714288</v>
      </c>
      <c r="K54" s="49">
        <f>'Avg Week SpearMotors-URA'!K54+'Avg Week URA_SpearMotors'!K54</f>
        <v>2</v>
      </c>
      <c r="L54" s="49">
        <f>'Avg Week SpearMotors-URA'!L54+'Avg Week URA_SpearMotors'!L54</f>
        <v>4.1428571428571432</v>
      </c>
      <c r="M54" s="49">
        <f>'Avg Week SpearMotors-URA'!M54+'Avg Week URA_SpearMotors'!M54</f>
        <v>189.71428571428572</v>
      </c>
      <c r="N54" s="49">
        <f>'Avg Week SpearMotors-URA'!N54+'Avg Week URA_SpearMotors'!N54</f>
        <v>0.14285714285714285</v>
      </c>
      <c r="O54" s="15">
        <f t="shared" si="0"/>
        <v>139</v>
      </c>
      <c r="P54" s="15">
        <f t="shared" si="1"/>
        <v>328.71428571428572</v>
      </c>
      <c r="R54" s="8"/>
      <c r="T54"/>
    </row>
    <row r="55" spans="2:20" ht="23.1" customHeight="1" x14ac:dyDescent="0.25">
      <c r="B55" s="23" t="s">
        <v>82</v>
      </c>
      <c r="C55" s="49">
        <f>'Avg Week SpearMotors-URA'!C55+'Avg Week URA_SpearMotors'!C55</f>
        <v>93.857142857142861</v>
      </c>
      <c r="D55" s="49">
        <f>'Avg Week SpearMotors-URA'!D55+'Avg Week URA_SpearMotors'!D55</f>
        <v>19.142857142857146</v>
      </c>
      <c r="E55" s="49">
        <f>'Avg Week SpearMotors-URA'!E55+'Avg Week URA_SpearMotors'!E55</f>
        <v>10.428571428571429</v>
      </c>
      <c r="F55" s="49">
        <f>'Avg Week SpearMotors-URA'!F55+'Avg Week URA_SpearMotors'!F55</f>
        <v>10.857142857142858</v>
      </c>
      <c r="G55" s="49">
        <f>'Avg Week SpearMotors-URA'!G55+'Avg Week URA_SpearMotors'!G55</f>
        <v>1.7142857142857144</v>
      </c>
      <c r="H55" s="49">
        <f>'Avg Week SpearMotors-URA'!H55+'Avg Week URA_SpearMotors'!H55</f>
        <v>0</v>
      </c>
      <c r="I55" s="49">
        <f>'Avg Week SpearMotors-URA'!I55+'Avg Week URA_SpearMotors'!I55</f>
        <v>6.4285714285714288</v>
      </c>
      <c r="J55" s="49">
        <f>'Avg Week SpearMotors-URA'!J55+'Avg Week URA_SpearMotors'!J55</f>
        <v>2.8571428571428568</v>
      </c>
      <c r="K55" s="49">
        <f>'Avg Week SpearMotors-URA'!K55+'Avg Week URA_SpearMotors'!K55</f>
        <v>1.1428571428571428</v>
      </c>
      <c r="L55" s="49">
        <f>'Avg Week SpearMotors-URA'!L55+'Avg Week URA_SpearMotors'!L55</f>
        <v>3.714285714285714</v>
      </c>
      <c r="M55" s="49">
        <f>'Avg Week SpearMotors-URA'!M55+'Avg Week URA_SpearMotors'!M55</f>
        <v>176.71428571428572</v>
      </c>
      <c r="N55" s="49">
        <f>'Avg Week SpearMotors-URA'!N55+'Avg Week URA_SpearMotors'!N55</f>
        <v>0</v>
      </c>
      <c r="O55" s="15">
        <f t="shared" si="0"/>
        <v>150.14285714285714</v>
      </c>
      <c r="P55" s="15">
        <f t="shared" si="1"/>
        <v>326.85714285714289</v>
      </c>
      <c r="R55" s="8"/>
      <c r="T55"/>
    </row>
    <row r="56" spans="2:20" ht="23.1" customHeight="1" x14ac:dyDescent="0.25">
      <c r="B56" s="23" t="s">
        <v>83</v>
      </c>
      <c r="C56" s="49">
        <f>'Avg Week SpearMotors-URA'!C56+'Avg Week URA_SpearMotors'!C56</f>
        <v>65</v>
      </c>
      <c r="D56" s="49">
        <f>'Avg Week SpearMotors-URA'!D56+'Avg Week URA_SpearMotors'!D56</f>
        <v>16.857142857142858</v>
      </c>
      <c r="E56" s="49">
        <f>'Avg Week SpearMotors-URA'!E56+'Avg Week URA_SpearMotors'!E56</f>
        <v>7.5714285714285712</v>
      </c>
      <c r="F56" s="49">
        <f>'Avg Week SpearMotors-URA'!F56+'Avg Week URA_SpearMotors'!F56</f>
        <v>10.714285714285715</v>
      </c>
      <c r="G56" s="49">
        <f>'Avg Week SpearMotors-URA'!G56+'Avg Week URA_SpearMotors'!G56</f>
        <v>1.8571428571428572</v>
      </c>
      <c r="H56" s="49">
        <f>'Avg Week SpearMotors-URA'!H56+'Avg Week URA_SpearMotors'!H56</f>
        <v>0.14285714285714285</v>
      </c>
      <c r="I56" s="49">
        <f>'Avg Week SpearMotors-URA'!I56+'Avg Week URA_SpearMotors'!I56</f>
        <v>4</v>
      </c>
      <c r="J56" s="49">
        <f>'Avg Week SpearMotors-URA'!J56+'Avg Week URA_SpearMotors'!J56</f>
        <v>1.5714285714285714</v>
      </c>
      <c r="K56" s="49">
        <f>'Avg Week SpearMotors-URA'!K56+'Avg Week URA_SpearMotors'!K56</f>
        <v>1.7142857142857142</v>
      </c>
      <c r="L56" s="49">
        <f>'Avg Week SpearMotors-URA'!L56+'Avg Week URA_SpearMotors'!L56</f>
        <v>4.7142857142857144</v>
      </c>
      <c r="M56" s="49">
        <f>'Avg Week SpearMotors-URA'!M56+'Avg Week URA_SpearMotors'!M56</f>
        <v>196</v>
      </c>
      <c r="N56" s="49">
        <f>'Avg Week SpearMotors-URA'!N56+'Avg Week URA_SpearMotors'!N56</f>
        <v>0</v>
      </c>
      <c r="O56" s="15">
        <f t="shared" si="0"/>
        <v>114.14285714285712</v>
      </c>
      <c r="P56" s="15">
        <f t="shared" si="1"/>
        <v>310.14285714285711</v>
      </c>
      <c r="R56" s="8"/>
      <c r="T56"/>
    </row>
    <row r="57" spans="2:20" ht="23.1" customHeight="1" x14ac:dyDescent="0.25">
      <c r="B57" s="23" t="s">
        <v>84</v>
      </c>
      <c r="C57" s="49">
        <f>'Avg Week SpearMotors-URA'!C57+'Avg Week URA_SpearMotors'!C57</f>
        <v>96.857142857142861</v>
      </c>
      <c r="D57" s="49">
        <f>'Avg Week SpearMotors-URA'!D57+'Avg Week URA_SpearMotors'!D57</f>
        <v>14.428571428571431</v>
      </c>
      <c r="E57" s="49">
        <f>'Avg Week SpearMotors-URA'!E57+'Avg Week URA_SpearMotors'!E57</f>
        <v>10.285714285714285</v>
      </c>
      <c r="F57" s="49">
        <f>'Avg Week SpearMotors-URA'!F57+'Avg Week URA_SpearMotors'!F57</f>
        <v>10.857142857142858</v>
      </c>
      <c r="G57" s="49">
        <f>'Avg Week SpearMotors-URA'!G57+'Avg Week URA_SpearMotors'!G57</f>
        <v>1.5714285714285714</v>
      </c>
      <c r="H57" s="49">
        <f>'Avg Week SpearMotors-URA'!H57+'Avg Week URA_SpearMotors'!H57</f>
        <v>0</v>
      </c>
      <c r="I57" s="49">
        <f>'Avg Week SpearMotors-URA'!I57+'Avg Week URA_SpearMotors'!I57</f>
        <v>5.8571428571428568</v>
      </c>
      <c r="J57" s="49">
        <f>'Avg Week SpearMotors-URA'!J57+'Avg Week URA_SpearMotors'!J57</f>
        <v>2.1428571428571428</v>
      </c>
      <c r="K57" s="49">
        <f>'Avg Week SpearMotors-URA'!K57+'Avg Week URA_SpearMotors'!K57</f>
        <v>1.2857142857142856</v>
      </c>
      <c r="L57" s="49">
        <f>'Avg Week SpearMotors-URA'!L57+'Avg Week URA_SpearMotors'!L57</f>
        <v>4</v>
      </c>
      <c r="M57" s="49">
        <f>'Avg Week SpearMotors-URA'!M57+'Avg Week URA_SpearMotors'!M57</f>
        <v>192.71428571428572</v>
      </c>
      <c r="N57" s="49">
        <f>'Avg Week SpearMotors-URA'!N57+'Avg Week URA_SpearMotors'!N57</f>
        <v>0</v>
      </c>
      <c r="O57" s="15">
        <f t="shared" si="0"/>
        <v>147.28571428571431</v>
      </c>
      <c r="P57" s="15">
        <f t="shared" si="1"/>
        <v>340</v>
      </c>
      <c r="R57" s="8"/>
      <c r="T57"/>
    </row>
    <row r="58" spans="2:20" ht="23.1" customHeight="1" x14ac:dyDescent="0.25">
      <c r="B58" s="23" t="s">
        <v>99</v>
      </c>
      <c r="C58" s="49">
        <f>'Avg Week SpearMotors-URA'!C58+'Avg Week URA_SpearMotors'!C58</f>
        <v>33.5</v>
      </c>
      <c r="D58" s="49">
        <f>'Avg Week SpearMotors-URA'!D58+'Avg Week URA_SpearMotors'!D58</f>
        <v>12</v>
      </c>
      <c r="E58" s="49">
        <f>'Avg Week SpearMotors-URA'!E58+'Avg Week URA_SpearMotors'!E58</f>
        <v>11</v>
      </c>
      <c r="F58" s="49">
        <f>'Avg Week SpearMotors-URA'!F58+'Avg Week URA_SpearMotors'!F58</f>
        <v>6.5</v>
      </c>
      <c r="G58" s="49">
        <f>'Avg Week SpearMotors-URA'!G58+'Avg Week URA_SpearMotors'!G58</f>
        <v>1</v>
      </c>
      <c r="H58" s="49">
        <f>'Avg Week SpearMotors-URA'!H58+'Avg Week URA_SpearMotors'!H58</f>
        <v>1.5</v>
      </c>
      <c r="I58" s="49">
        <f>'Avg Week SpearMotors-URA'!I58+'Avg Week URA_SpearMotors'!I58</f>
        <v>1.5</v>
      </c>
      <c r="J58" s="49">
        <f>'Avg Week SpearMotors-URA'!J58+'Avg Week URA_SpearMotors'!J58</f>
        <v>2</v>
      </c>
      <c r="K58" s="49">
        <f>'Avg Week SpearMotors-URA'!K58+'Avg Week URA_SpearMotors'!K58</f>
        <v>0.5</v>
      </c>
      <c r="L58" s="49">
        <f>'Avg Week SpearMotors-URA'!L58+'Avg Week URA_SpearMotors'!L58</f>
        <v>2</v>
      </c>
      <c r="M58" s="49">
        <f>'Avg Week SpearMotors-URA'!M58+'Avg Week URA_SpearMotors'!M58</f>
        <v>210</v>
      </c>
      <c r="N58" s="49">
        <f>'Avg Week SpearMotors-URA'!N58+'Avg Week URA_SpearMotors'!N58</f>
        <v>0</v>
      </c>
      <c r="O58" s="15">
        <f t="shared" si="0"/>
        <v>71.5</v>
      </c>
      <c r="P58" s="15">
        <f t="shared" si="1"/>
        <v>281.5</v>
      </c>
      <c r="R58" s="8"/>
      <c r="T58"/>
    </row>
    <row r="59" spans="2:20" ht="23.1" customHeight="1" x14ac:dyDescent="0.25">
      <c r="B59" s="23" t="s">
        <v>100</v>
      </c>
      <c r="C59" s="49">
        <f>'Avg Week SpearMotors-URA'!C59+'Avg Week URA_SpearMotors'!C59</f>
        <v>64.5</v>
      </c>
      <c r="D59" s="49">
        <f>'Avg Week SpearMotors-URA'!D59+'Avg Week URA_SpearMotors'!D59</f>
        <v>24</v>
      </c>
      <c r="E59" s="49">
        <f>'Avg Week SpearMotors-URA'!E59+'Avg Week URA_SpearMotors'!E59</f>
        <v>5.5</v>
      </c>
      <c r="F59" s="49">
        <f>'Avg Week SpearMotors-URA'!F59+'Avg Week URA_SpearMotors'!F59</f>
        <v>12</v>
      </c>
      <c r="G59" s="49">
        <f>'Avg Week SpearMotors-URA'!G59+'Avg Week URA_SpearMotors'!G59</f>
        <v>1.5</v>
      </c>
      <c r="H59" s="49">
        <f>'Avg Week SpearMotors-URA'!H59+'Avg Week URA_SpearMotors'!H59</f>
        <v>0.5</v>
      </c>
      <c r="I59" s="49">
        <f>'Avg Week SpearMotors-URA'!I59+'Avg Week URA_SpearMotors'!I59</f>
        <v>1.5</v>
      </c>
      <c r="J59" s="49">
        <f>'Avg Week SpearMotors-URA'!J59+'Avg Week URA_SpearMotors'!J59</f>
        <v>1</v>
      </c>
      <c r="K59" s="49">
        <f>'Avg Week SpearMotors-URA'!K59+'Avg Week URA_SpearMotors'!K59</f>
        <v>2.5</v>
      </c>
      <c r="L59" s="49">
        <f>'Avg Week SpearMotors-URA'!L59+'Avg Week URA_SpearMotors'!L59</f>
        <v>1.5</v>
      </c>
      <c r="M59" s="49">
        <f>'Avg Week SpearMotors-URA'!M59+'Avg Week URA_SpearMotors'!M59</f>
        <v>347</v>
      </c>
      <c r="N59" s="49">
        <f>'Avg Week SpearMotors-URA'!N59+'Avg Week URA_SpearMotors'!N59</f>
        <v>0</v>
      </c>
      <c r="O59" s="15">
        <f t="shared" si="0"/>
        <v>114.5</v>
      </c>
      <c r="P59" s="15">
        <f t="shared" si="1"/>
        <v>461.5</v>
      </c>
      <c r="R59" s="8"/>
      <c r="T59"/>
    </row>
    <row r="60" spans="2:20" ht="23.1" customHeight="1" x14ac:dyDescent="0.25">
      <c r="B60" s="23" t="s">
        <v>101</v>
      </c>
      <c r="C60" s="49">
        <f>'Avg Week SpearMotors-URA'!C60+'Avg Week URA_SpearMotors'!C60</f>
        <v>55.5</v>
      </c>
      <c r="D60" s="49">
        <f>'Avg Week SpearMotors-URA'!D60+'Avg Week URA_SpearMotors'!D60</f>
        <v>18.5</v>
      </c>
      <c r="E60" s="49">
        <f>'Avg Week SpearMotors-URA'!E60+'Avg Week URA_SpearMotors'!E60</f>
        <v>8</v>
      </c>
      <c r="F60" s="49">
        <f>'Avg Week SpearMotors-URA'!F60+'Avg Week URA_SpearMotors'!F60</f>
        <v>10</v>
      </c>
      <c r="G60" s="49">
        <f>'Avg Week SpearMotors-URA'!G60+'Avg Week URA_SpearMotors'!G60</f>
        <v>1</v>
      </c>
      <c r="H60" s="49">
        <f>'Avg Week SpearMotors-URA'!H60+'Avg Week URA_SpearMotors'!H60</f>
        <v>0</v>
      </c>
      <c r="I60" s="49">
        <f>'Avg Week SpearMotors-URA'!I60+'Avg Week URA_SpearMotors'!I60</f>
        <v>2.5</v>
      </c>
      <c r="J60" s="49">
        <f>'Avg Week SpearMotors-URA'!J60+'Avg Week URA_SpearMotors'!J60</f>
        <v>1</v>
      </c>
      <c r="K60" s="49">
        <f>'Avg Week SpearMotors-URA'!K60+'Avg Week URA_SpearMotors'!K60</f>
        <v>2</v>
      </c>
      <c r="L60" s="49">
        <f>'Avg Week SpearMotors-URA'!L60+'Avg Week URA_SpearMotors'!L60</f>
        <v>1</v>
      </c>
      <c r="M60" s="49">
        <f>'Avg Week SpearMotors-URA'!M60+'Avg Week URA_SpearMotors'!M60</f>
        <v>500</v>
      </c>
      <c r="N60" s="49">
        <f>'Avg Week SpearMotors-URA'!N60+'Avg Week URA_SpearMotors'!N60</f>
        <v>0</v>
      </c>
      <c r="O60" s="15">
        <f t="shared" si="0"/>
        <v>99.5</v>
      </c>
      <c r="P60" s="15">
        <f t="shared" si="1"/>
        <v>599.5</v>
      </c>
      <c r="R60" s="8"/>
      <c r="T60"/>
    </row>
    <row r="61" spans="2:20" ht="23.1" customHeight="1" x14ac:dyDescent="0.25">
      <c r="B61" s="23" t="s">
        <v>102</v>
      </c>
      <c r="C61" s="49">
        <f>'Avg Week SpearMotors-URA'!C61+'Avg Week URA_SpearMotors'!C61</f>
        <v>54.5</v>
      </c>
      <c r="D61" s="49">
        <f>'Avg Week SpearMotors-URA'!D61+'Avg Week URA_SpearMotors'!D61</f>
        <v>15</v>
      </c>
      <c r="E61" s="49">
        <f>'Avg Week SpearMotors-URA'!E61+'Avg Week URA_SpearMotors'!E61</f>
        <v>10.5</v>
      </c>
      <c r="F61" s="49">
        <f>'Avg Week SpearMotors-URA'!F61+'Avg Week URA_SpearMotors'!F61</f>
        <v>14</v>
      </c>
      <c r="G61" s="49">
        <f>'Avg Week SpearMotors-URA'!G61+'Avg Week URA_SpearMotors'!G61</f>
        <v>2</v>
      </c>
      <c r="H61" s="49">
        <f>'Avg Week SpearMotors-URA'!H61+'Avg Week URA_SpearMotors'!H61</f>
        <v>0</v>
      </c>
      <c r="I61" s="49">
        <f>'Avg Week SpearMotors-URA'!I61+'Avg Week URA_SpearMotors'!I61</f>
        <v>8.5</v>
      </c>
      <c r="J61" s="49">
        <f>'Avg Week SpearMotors-URA'!J61+'Avg Week URA_SpearMotors'!J61</f>
        <v>3</v>
      </c>
      <c r="K61" s="49">
        <f>'Avg Week SpearMotors-URA'!K61+'Avg Week URA_SpearMotors'!K61</f>
        <v>0</v>
      </c>
      <c r="L61" s="49">
        <f>'Avg Week SpearMotors-URA'!L61+'Avg Week URA_SpearMotors'!L61</f>
        <v>2</v>
      </c>
      <c r="M61" s="49">
        <f>'Avg Week SpearMotors-URA'!M61+'Avg Week URA_SpearMotors'!M61</f>
        <v>380.5</v>
      </c>
      <c r="N61" s="49">
        <f>'Avg Week SpearMotors-URA'!N61+'Avg Week URA_SpearMotors'!N61</f>
        <v>0</v>
      </c>
      <c r="O61" s="15">
        <f t="shared" si="0"/>
        <v>109.5</v>
      </c>
      <c r="P61" s="15">
        <f t="shared" si="1"/>
        <v>490</v>
      </c>
      <c r="R61" s="8"/>
      <c r="T61"/>
    </row>
    <row r="62" spans="2:20" ht="23.1" customHeight="1" x14ac:dyDescent="0.25">
      <c r="B62" s="23" t="s">
        <v>107</v>
      </c>
      <c r="C62" s="49">
        <f>'Avg Week SpearMotors-URA'!C62+'Avg Week URA_SpearMotors'!C62</f>
        <v>59</v>
      </c>
      <c r="D62" s="49">
        <f>'Avg Week SpearMotors-URA'!D62+'Avg Week URA_SpearMotors'!D62</f>
        <v>20</v>
      </c>
      <c r="E62" s="49">
        <f>'Avg Week SpearMotors-URA'!E62+'Avg Week URA_SpearMotors'!E62</f>
        <v>9</v>
      </c>
      <c r="F62" s="49">
        <f>'Avg Week SpearMotors-URA'!F62+'Avg Week URA_SpearMotors'!F62</f>
        <v>18</v>
      </c>
      <c r="G62" s="49">
        <f>'Avg Week SpearMotors-URA'!G62+'Avg Week URA_SpearMotors'!G62</f>
        <v>3.5</v>
      </c>
      <c r="H62" s="49">
        <f>'Avg Week SpearMotors-URA'!H62+'Avg Week URA_SpearMotors'!H62</f>
        <v>0</v>
      </c>
      <c r="I62" s="49">
        <f>'Avg Week SpearMotors-URA'!I62+'Avg Week URA_SpearMotors'!I62</f>
        <v>3</v>
      </c>
      <c r="J62" s="49">
        <f>'Avg Week SpearMotors-URA'!J62+'Avg Week URA_SpearMotors'!J62</f>
        <v>4</v>
      </c>
      <c r="K62" s="49">
        <f>'Avg Week SpearMotors-URA'!K62+'Avg Week URA_SpearMotors'!K62</f>
        <v>3</v>
      </c>
      <c r="L62" s="49">
        <f>'Avg Week SpearMotors-URA'!L62+'Avg Week URA_SpearMotors'!L62</f>
        <v>0</v>
      </c>
      <c r="M62" s="49">
        <f>'Avg Week SpearMotors-URA'!M62+'Avg Week URA_SpearMotors'!M62</f>
        <v>271.5</v>
      </c>
      <c r="N62" s="49">
        <f>'Avg Week SpearMotors-URA'!N62+'Avg Week URA_SpearMotors'!N62</f>
        <v>0</v>
      </c>
      <c r="O62" s="15">
        <f t="shared" si="0"/>
        <v>119.5</v>
      </c>
      <c r="P62" s="15">
        <f t="shared" si="1"/>
        <v>391</v>
      </c>
      <c r="R62" s="8"/>
      <c r="T62"/>
    </row>
    <row r="63" spans="2:20" ht="23.1" customHeight="1" x14ac:dyDescent="0.25">
      <c r="B63" s="23" t="s">
        <v>108</v>
      </c>
      <c r="C63" s="49">
        <f>'Avg Week SpearMotors-URA'!C63+'Avg Week URA_SpearMotors'!C63</f>
        <v>68.5</v>
      </c>
      <c r="D63" s="49">
        <f>'Avg Week SpearMotors-URA'!D63+'Avg Week URA_SpearMotors'!D63</f>
        <v>21.5</v>
      </c>
      <c r="E63" s="49">
        <f>'Avg Week SpearMotors-URA'!E63+'Avg Week URA_SpearMotors'!E63</f>
        <v>14.5</v>
      </c>
      <c r="F63" s="49">
        <f>'Avg Week SpearMotors-URA'!F63+'Avg Week URA_SpearMotors'!F63</f>
        <v>12.5</v>
      </c>
      <c r="G63" s="49">
        <f>'Avg Week SpearMotors-URA'!G63+'Avg Week URA_SpearMotors'!G63</f>
        <v>3</v>
      </c>
      <c r="H63" s="49">
        <f>'Avg Week SpearMotors-URA'!H63+'Avg Week URA_SpearMotors'!H63</f>
        <v>0</v>
      </c>
      <c r="I63" s="49">
        <f>'Avg Week SpearMotors-URA'!I63+'Avg Week URA_SpearMotors'!I63</f>
        <v>4</v>
      </c>
      <c r="J63" s="49">
        <f>'Avg Week SpearMotors-URA'!J63+'Avg Week URA_SpearMotors'!J63</f>
        <v>1</v>
      </c>
      <c r="K63" s="49">
        <f>'Avg Week SpearMotors-URA'!K63+'Avg Week URA_SpearMotors'!K63</f>
        <v>0</v>
      </c>
      <c r="L63" s="49">
        <f>'Avg Week SpearMotors-URA'!L63+'Avg Week URA_SpearMotors'!L63</f>
        <v>0</v>
      </c>
      <c r="M63" s="49">
        <f>'Avg Week SpearMotors-URA'!M63+'Avg Week URA_SpearMotors'!M63</f>
        <v>421.5</v>
      </c>
      <c r="N63" s="49">
        <f>'Avg Week SpearMotors-URA'!N63+'Avg Week URA_SpearMotors'!N63</f>
        <v>0</v>
      </c>
      <c r="O63" s="15">
        <f t="shared" si="0"/>
        <v>125</v>
      </c>
      <c r="P63" s="15">
        <f t="shared" si="1"/>
        <v>546.5</v>
      </c>
      <c r="R63" s="8"/>
      <c r="T63"/>
    </row>
    <row r="64" spans="2:20" ht="23.1" customHeight="1" x14ac:dyDescent="0.25">
      <c r="B64" s="23" t="s">
        <v>109</v>
      </c>
      <c r="C64" s="49">
        <f>'Avg Week SpearMotors-URA'!C64+'Avg Week URA_SpearMotors'!C64</f>
        <v>71.5</v>
      </c>
      <c r="D64" s="49">
        <f>'Avg Week SpearMotors-URA'!D64+'Avg Week URA_SpearMotors'!D64</f>
        <v>19</v>
      </c>
      <c r="E64" s="49">
        <f>'Avg Week SpearMotors-URA'!E64+'Avg Week URA_SpearMotors'!E64</f>
        <v>5</v>
      </c>
      <c r="F64" s="49">
        <f>'Avg Week SpearMotors-URA'!F64+'Avg Week URA_SpearMotors'!F64</f>
        <v>19</v>
      </c>
      <c r="G64" s="49">
        <f>'Avg Week SpearMotors-URA'!G64+'Avg Week URA_SpearMotors'!G64</f>
        <v>2</v>
      </c>
      <c r="H64" s="49">
        <f>'Avg Week SpearMotors-URA'!H64+'Avg Week URA_SpearMotors'!H64</f>
        <v>0</v>
      </c>
      <c r="I64" s="49">
        <f>'Avg Week SpearMotors-URA'!I64+'Avg Week URA_SpearMotors'!I64</f>
        <v>2</v>
      </c>
      <c r="J64" s="49">
        <f>'Avg Week SpearMotors-URA'!J64+'Avg Week URA_SpearMotors'!J64</f>
        <v>0.5</v>
      </c>
      <c r="K64" s="49">
        <f>'Avg Week SpearMotors-URA'!K64+'Avg Week URA_SpearMotors'!K64</f>
        <v>0</v>
      </c>
      <c r="L64" s="49">
        <f>'Avg Week SpearMotors-URA'!L64+'Avg Week URA_SpearMotors'!L64</f>
        <v>0</v>
      </c>
      <c r="M64" s="49">
        <f>'Avg Week SpearMotors-URA'!M64+'Avg Week URA_SpearMotors'!M64</f>
        <v>296.5</v>
      </c>
      <c r="N64" s="49">
        <f>'Avg Week SpearMotors-URA'!N64+'Avg Week URA_SpearMotors'!N64</f>
        <v>0</v>
      </c>
      <c r="O64" s="15">
        <f t="shared" si="0"/>
        <v>119</v>
      </c>
      <c r="P64" s="15">
        <f t="shared" si="1"/>
        <v>415.5</v>
      </c>
      <c r="R64" s="8"/>
      <c r="T64"/>
    </row>
    <row r="65" spans="2:20" ht="23.1" customHeight="1" x14ac:dyDescent="0.25">
      <c r="B65" s="23" t="s">
        <v>158</v>
      </c>
      <c r="C65" s="49">
        <f>'Avg Week SpearMotors-URA'!C65+'Avg Week URA_SpearMotors'!C65</f>
        <v>66</v>
      </c>
      <c r="D65" s="49">
        <f>'Avg Week SpearMotors-URA'!D65+'Avg Week URA_SpearMotors'!D65</f>
        <v>28</v>
      </c>
      <c r="E65" s="49">
        <f>'Avg Week SpearMotors-URA'!E65+'Avg Week URA_SpearMotors'!E65</f>
        <v>12</v>
      </c>
      <c r="F65" s="49">
        <f>'Avg Week SpearMotors-URA'!F65+'Avg Week URA_SpearMotors'!F65</f>
        <v>12</v>
      </c>
      <c r="G65" s="49">
        <f>'Avg Week SpearMotors-URA'!G65+'Avg Week URA_SpearMotors'!G65</f>
        <v>2.5</v>
      </c>
      <c r="H65" s="49">
        <f>'Avg Week SpearMotors-URA'!H65+'Avg Week URA_SpearMotors'!H65</f>
        <v>0.5</v>
      </c>
      <c r="I65" s="49">
        <f>'Avg Week SpearMotors-URA'!I65+'Avg Week URA_SpearMotors'!I65</f>
        <v>3.5</v>
      </c>
      <c r="J65" s="49">
        <f>'Avg Week SpearMotors-URA'!J65+'Avg Week URA_SpearMotors'!J65</f>
        <v>1.5</v>
      </c>
      <c r="K65" s="49">
        <f>'Avg Week SpearMotors-URA'!K65+'Avg Week URA_SpearMotors'!K65</f>
        <v>1</v>
      </c>
      <c r="L65" s="49">
        <f>'Avg Week SpearMotors-URA'!L65+'Avg Week URA_SpearMotors'!L65</f>
        <v>0</v>
      </c>
      <c r="M65" s="49">
        <f>'Avg Week SpearMotors-URA'!M65+'Avg Week URA_SpearMotors'!M65</f>
        <v>281.5</v>
      </c>
      <c r="N65" s="49">
        <f>'Avg Week SpearMotors-URA'!N65+'Avg Week URA_SpearMotors'!N65</f>
        <v>0</v>
      </c>
      <c r="O65" s="15">
        <f t="shared" si="0"/>
        <v>127</v>
      </c>
      <c r="P65" s="15">
        <f t="shared" si="1"/>
        <v>408.5</v>
      </c>
      <c r="R65" s="8"/>
      <c r="T65"/>
    </row>
    <row r="66" spans="2:20" ht="23.1" customHeight="1" x14ac:dyDescent="0.25">
      <c r="B66" s="23" t="s">
        <v>103</v>
      </c>
      <c r="C66" s="49">
        <f>'Avg Week SpearMotors-URA'!C66+'Avg Week URA_SpearMotors'!C66</f>
        <v>74</v>
      </c>
      <c r="D66" s="49">
        <f>'Avg Week SpearMotors-URA'!D66+'Avg Week URA_SpearMotors'!D66</f>
        <v>27.5</v>
      </c>
      <c r="E66" s="49">
        <f>'Avg Week SpearMotors-URA'!E66+'Avg Week URA_SpearMotors'!E66</f>
        <v>11.5</v>
      </c>
      <c r="F66" s="49">
        <f>'Avg Week SpearMotors-URA'!F66+'Avg Week URA_SpearMotors'!F66</f>
        <v>20.5</v>
      </c>
      <c r="G66" s="49">
        <f>'Avg Week SpearMotors-URA'!G66+'Avg Week URA_SpearMotors'!G66</f>
        <v>3</v>
      </c>
      <c r="H66" s="49">
        <f>'Avg Week SpearMotors-URA'!H66+'Avg Week URA_SpearMotors'!H66</f>
        <v>0</v>
      </c>
      <c r="I66" s="49">
        <f>'Avg Week SpearMotors-URA'!I66+'Avg Week URA_SpearMotors'!I66</f>
        <v>3</v>
      </c>
      <c r="J66" s="49">
        <f>'Avg Week SpearMotors-URA'!J66+'Avg Week URA_SpearMotors'!J66</f>
        <v>2</v>
      </c>
      <c r="K66" s="49">
        <f>'Avg Week SpearMotors-URA'!K66+'Avg Week URA_SpearMotors'!K66</f>
        <v>1</v>
      </c>
      <c r="L66" s="49">
        <f>'Avg Week SpearMotors-URA'!L66+'Avg Week URA_SpearMotors'!L66</f>
        <v>2</v>
      </c>
      <c r="M66" s="49">
        <f>'Avg Week SpearMotors-URA'!M66+'Avg Week URA_SpearMotors'!M66</f>
        <v>195</v>
      </c>
      <c r="N66" s="49">
        <f>'Avg Week SpearMotors-URA'!N66+'Avg Week URA_SpearMotors'!N66</f>
        <v>0</v>
      </c>
      <c r="O66" s="15">
        <f t="shared" si="0"/>
        <v>144.5</v>
      </c>
      <c r="P66" s="15">
        <f t="shared" si="1"/>
        <v>339.5</v>
      </c>
      <c r="R66" s="8"/>
      <c r="T66"/>
    </row>
    <row r="67" spans="2:20" ht="23.1" customHeight="1" x14ac:dyDescent="0.25">
      <c r="B67" s="23" t="s">
        <v>104</v>
      </c>
      <c r="C67" s="49">
        <f>'Avg Week SpearMotors-URA'!C67+'Avg Week URA_SpearMotors'!C67</f>
        <v>64</v>
      </c>
      <c r="D67" s="49">
        <f>'Avg Week SpearMotors-URA'!D67+'Avg Week URA_SpearMotors'!D67</f>
        <v>29</v>
      </c>
      <c r="E67" s="49">
        <f>'Avg Week SpearMotors-URA'!E67+'Avg Week URA_SpearMotors'!E67</f>
        <v>8.5</v>
      </c>
      <c r="F67" s="49">
        <f>'Avg Week SpearMotors-URA'!F67+'Avg Week URA_SpearMotors'!F67</f>
        <v>22</v>
      </c>
      <c r="G67" s="49">
        <f>'Avg Week SpearMotors-URA'!G67+'Avg Week URA_SpearMotors'!G67</f>
        <v>3.5</v>
      </c>
      <c r="H67" s="49">
        <f>'Avg Week SpearMotors-URA'!H67+'Avg Week URA_SpearMotors'!H67</f>
        <v>0</v>
      </c>
      <c r="I67" s="49">
        <f>'Avg Week SpearMotors-URA'!I67+'Avg Week URA_SpearMotors'!I67</f>
        <v>9.5</v>
      </c>
      <c r="J67" s="49">
        <f>'Avg Week SpearMotors-URA'!J67+'Avg Week URA_SpearMotors'!J67</f>
        <v>1.5</v>
      </c>
      <c r="K67" s="49">
        <f>'Avg Week SpearMotors-URA'!K67+'Avg Week URA_SpearMotors'!K67</f>
        <v>0</v>
      </c>
      <c r="L67" s="49">
        <f>'Avg Week SpearMotors-URA'!L67+'Avg Week URA_SpearMotors'!L67</f>
        <v>2</v>
      </c>
      <c r="M67" s="49">
        <f>'Avg Week SpearMotors-URA'!M67+'Avg Week URA_SpearMotors'!M67</f>
        <v>211.5</v>
      </c>
      <c r="N67" s="49">
        <f>'Avg Week SpearMotors-URA'!N67+'Avg Week URA_SpearMotors'!N67</f>
        <v>0</v>
      </c>
      <c r="O67" s="15">
        <f t="shared" si="0"/>
        <v>140</v>
      </c>
      <c r="P67" s="15">
        <f t="shared" si="1"/>
        <v>351.5</v>
      </c>
      <c r="R67" s="8"/>
      <c r="T67"/>
    </row>
    <row r="68" spans="2:20" ht="23.1" customHeight="1" x14ac:dyDescent="0.25">
      <c r="B68" s="23" t="s">
        <v>105</v>
      </c>
      <c r="C68" s="49">
        <f>'Avg Week SpearMotors-URA'!C68+'Avg Week URA_SpearMotors'!C68</f>
        <v>77</v>
      </c>
      <c r="D68" s="49">
        <f>'Avg Week SpearMotors-URA'!D68+'Avg Week URA_SpearMotors'!D68</f>
        <v>18</v>
      </c>
      <c r="E68" s="49">
        <f>'Avg Week SpearMotors-URA'!E68+'Avg Week URA_SpearMotors'!E68</f>
        <v>12.5</v>
      </c>
      <c r="F68" s="49">
        <f>'Avg Week SpearMotors-URA'!F68+'Avg Week URA_SpearMotors'!F68</f>
        <v>23</v>
      </c>
      <c r="G68" s="49">
        <f>'Avg Week SpearMotors-URA'!G68+'Avg Week URA_SpearMotors'!G68</f>
        <v>1</v>
      </c>
      <c r="H68" s="49">
        <f>'Avg Week SpearMotors-URA'!H68+'Avg Week URA_SpearMotors'!H68</f>
        <v>0</v>
      </c>
      <c r="I68" s="49">
        <f>'Avg Week SpearMotors-URA'!I68+'Avg Week URA_SpearMotors'!I68</f>
        <v>3.5</v>
      </c>
      <c r="J68" s="49">
        <f>'Avg Week SpearMotors-URA'!J68+'Avg Week URA_SpearMotors'!J68</f>
        <v>1.5</v>
      </c>
      <c r="K68" s="49">
        <f>'Avg Week SpearMotors-URA'!K68+'Avg Week URA_SpearMotors'!K68</f>
        <v>0.5</v>
      </c>
      <c r="L68" s="49">
        <f>'Avg Week SpearMotors-URA'!L68+'Avg Week URA_SpearMotors'!L68</f>
        <v>1.5</v>
      </c>
      <c r="M68" s="49">
        <f>'Avg Week SpearMotors-URA'!M68+'Avg Week URA_SpearMotors'!M68</f>
        <v>182</v>
      </c>
      <c r="N68" s="49">
        <f>'Avg Week SpearMotors-URA'!N68+'Avg Week URA_SpearMotors'!N68</f>
        <v>0</v>
      </c>
      <c r="O68" s="15">
        <f t="shared" si="0"/>
        <v>138.5</v>
      </c>
      <c r="P68" s="15">
        <f t="shared" si="1"/>
        <v>320.5</v>
      </c>
      <c r="R68" s="8"/>
      <c r="T68"/>
    </row>
    <row r="69" spans="2:20" ht="23.1" customHeight="1" x14ac:dyDescent="0.25">
      <c r="B69" s="23" t="s">
        <v>106</v>
      </c>
      <c r="C69" s="49">
        <f>'Avg Week SpearMotors-URA'!C69+'Avg Week URA_SpearMotors'!C69</f>
        <v>74</v>
      </c>
      <c r="D69" s="49">
        <f>'Avg Week SpearMotors-URA'!D69+'Avg Week URA_SpearMotors'!D69</f>
        <v>25</v>
      </c>
      <c r="E69" s="49">
        <f>'Avg Week SpearMotors-URA'!E69+'Avg Week URA_SpearMotors'!E69</f>
        <v>8</v>
      </c>
      <c r="F69" s="49">
        <f>'Avg Week SpearMotors-URA'!F69+'Avg Week URA_SpearMotors'!F69</f>
        <v>15.5</v>
      </c>
      <c r="G69" s="49">
        <f>'Avg Week SpearMotors-URA'!G69+'Avg Week URA_SpearMotors'!G69</f>
        <v>1</v>
      </c>
      <c r="H69" s="49">
        <f>'Avg Week SpearMotors-URA'!H69+'Avg Week URA_SpearMotors'!H69</f>
        <v>0</v>
      </c>
      <c r="I69" s="49">
        <f>'Avg Week SpearMotors-URA'!I69+'Avg Week URA_SpearMotors'!I69</f>
        <v>1.5</v>
      </c>
      <c r="J69" s="49">
        <f>'Avg Week SpearMotors-URA'!J69+'Avg Week URA_SpearMotors'!J69</f>
        <v>2</v>
      </c>
      <c r="K69" s="49">
        <f>'Avg Week SpearMotors-URA'!K69+'Avg Week URA_SpearMotors'!K69</f>
        <v>0.5</v>
      </c>
      <c r="L69" s="49">
        <f>'Avg Week SpearMotors-URA'!L69+'Avg Week URA_SpearMotors'!L69</f>
        <v>1.5</v>
      </c>
      <c r="M69" s="49">
        <f>'Avg Week SpearMotors-URA'!M69+'Avg Week URA_SpearMotors'!M69</f>
        <v>223</v>
      </c>
      <c r="N69" s="49">
        <f>'Avg Week SpearMotors-URA'!N69+'Avg Week URA_SpearMotors'!N69</f>
        <v>0</v>
      </c>
      <c r="O69" s="15">
        <f t="shared" si="0"/>
        <v>129</v>
      </c>
      <c r="P69" s="15">
        <f t="shared" si="1"/>
        <v>352</v>
      </c>
      <c r="R69" s="8"/>
      <c r="T69"/>
    </row>
    <row r="70" spans="2:20" ht="23.1" customHeight="1" x14ac:dyDescent="0.25">
      <c r="B70" s="23" t="s">
        <v>110</v>
      </c>
      <c r="C70" s="49">
        <f>'Avg Week SpearMotors-URA'!C70+'Avg Week URA_SpearMotors'!C70</f>
        <v>49</v>
      </c>
      <c r="D70" s="49">
        <f>'Avg Week SpearMotors-URA'!D70+'Avg Week URA_SpearMotors'!D70</f>
        <v>18</v>
      </c>
      <c r="E70" s="49">
        <f>'Avg Week SpearMotors-URA'!E70+'Avg Week URA_SpearMotors'!E70</f>
        <v>4.5</v>
      </c>
      <c r="F70" s="49">
        <f>'Avg Week SpearMotors-URA'!F70+'Avg Week URA_SpearMotors'!F70</f>
        <v>18.5</v>
      </c>
      <c r="G70" s="49">
        <f>'Avg Week SpearMotors-URA'!G70+'Avg Week URA_SpearMotors'!G70</f>
        <v>0.5</v>
      </c>
      <c r="H70" s="49">
        <f>'Avg Week SpearMotors-URA'!H70+'Avg Week URA_SpearMotors'!H70</f>
        <v>0</v>
      </c>
      <c r="I70" s="49">
        <f>'Avg Week SpearMotors-URA'!I70+'Avg Week URA_SpearMotors'!I70</f>
        <v>1</v>
      </c>
      <c r="J70" s="49">
        <f>'Avg Week SpearMotors-URA'!J70+'Avg Week URA_SpearMotors'!J70</f>
        <v>1</v>
      </c>
      <c r="K70" s="49">
        <f>'Avg Week SpearMotors-URA'!K70+'Avg Week URA_SpearMotors'!K70</f>
        <v>0.5</v>
      </c>
      <c r="L70" s="49">
        <f>'Avg Week SpearMotors-URA'!L70+'Avg Week URA_SpearMotors'!L70</f>
        <v>0.5</v>
      </c>
      <c r="M70" s="49">
        <f>'Avg Week SpearMotors-URA'!M70+'Avg Week URA_SpearMotors'!M70</f>
        <v>156</v>
      </c>
      <c r="N70" s="49">
        <f>'Avg Week SpearMotors-URA'!N70+'Avg Week URA_SpearMotors'!N70</f>
        <v>0</v>
      </c>
      <c r="O70" s="15">
        <f t="shared" si="0"/>
        <v>93.5</v>
      </c>
      <c r="P70" s="15">
        <f t="shared" si="1"/>
        <v>249.5</v>
      </c>
      <c r="R70" s="8"/>
      <c r="T70"/>
    </row>
    <row r="71" spans="2:20" ht="23.1" customHeight="1" x14ac:dyDescent="0.25">
      <c r="B71" s="23" t="s">
        <v>111</v>
      </c>
      <c r="C71" s="49">
        <f>'Avg Week SpearMotors-URA'!C71+'Avg Week URA_SpearMotors'!C71</f>
        <v>52.5</v>
      </c>
      <c r="D71" s="49">
        <f>'Avg Week SpearMotors-URA'!D71+'Avg Week URA_SpearMotors'!D71</f>
        <v>27</v>
      </c>
      <c r="E71" s="49">
        <f>'Avg Week SpearMotors-URA'!E71+'Avg Week URA_SpearMotors'!E71</f>
        <v>6.5</v>
      </c>
      <c r="F71" s="49">
        <f>'Avg Week SpearMotors-URA'!F71+'Avg Week URA_SpearMotors'!F71</f>
        <v>12.5</v>
      </c>
      <c r="G71" s="49">
        <f>'Avg Week SpearMotors-URA'!G71+'Avg Week URA_SpearMotors'!G71</f>
        <v>2</v>
      </c>
      <c r="H71" s="49">
        <f>'Avg Week SpearMotors-URA'!H71+'Avg Week URA_SpearMotors'!H71</f>
        <v>0</v>
      </c>
      <c r="I71" s="49">
        <f>'Avg Week SpearMotors-URA'!I71+'Avg Week URA_SpearMotors'!I71</f>
        <v>1</v>
      </c>
      <c r="J71" s="49">
        <f>'Avg Week SpearMotors-URA'!J71+'Avg Week URA_SpearMotors'!J71</f>
        <v>3.5</v>
      </c>
      <c r="K71" s="49">
        <f>'Avg Week SpearMotors-URA'!K71+'Avg Week URA_SpearMotors'!K71</f>
        <v>0.5</v>
      </c>
      <c r="L71" s="49">
        <f>'Avg Week SpearMotors-URA'!L71+'Avg Week URA_SpearMotors'!L71</f>
        <v>3</v>
      </c>
      <c r="M71" s="49">
        <f>'Avg Week SpearMotors-URA'!M71+'Avg Week URA_SpearMotors'!M71</f>
        <v>209</v>
      </c>
      <c r="N71" s="49">
        <f>'Avg Week SpearMotors-URA'!N71+'Avg Week URA_SpearMotors'!N71</f>
        <v>0</v>
      </c>
      <c r="O71" s="15">
        <f t="shared" si="0"/>
        <v>108.5</v>
      </c>
      <c r="P71" s="15">
        <f t="shared" si="1"/>
        <v>317.5</v>
      </c>
      <c r="R71" s="8"/>
      <c r="T71"/>
    </row>
    <row r="72" spans="2:20" ht="23.1" customHeight="1" x14ac:dyDescent="0.25">
      <c r="B72" s="23" t="s">
        <v>112</v>
      </c>
      <c r="C72" s="49">
        <f>'Avg Week SpearMotors-URA'!C72+'Avg Week URA_SpearMotors'!C72</f>
        <v>36</v>
      </c>
      <c r="D72" s="49">
        <f>'Avg Week SpearMotors-URA'!D72+'Avg Week URA_SpearMotors'!D72</f>
        <v>15</v>
      </c>
      <c r="E72" s="49">
        <f>'Avg Week SpearMotors-URA'!E72+'Avg Week URA_SpearMotors'!E72</f>
        <v>4</v>
      </c>
      <c r="F72" s="49">
        <f>'Avg Week SpearMotors-URA'!F72+'Avg Week URA_SpearMotors'!F72</f>
        <v>3</v>
      </c>
      <c r="G72" s="49">
        <f>'Avg Week SpearMotors-URA'!G72+'Avg Week URA_SpearMotors'!G72</f>
        <v>1</v>
      </c>
      <c r="H72" s="49">
        <f>'Avg Week SpearMotors-URA'!H72+'Avg Week URA_SpearMotors'!H72</f>
        <v>0</v>
      </c>
      <c r="I72" s="49">
        <f>'Avg Week SpearMotors-URA'!I72+'Avg Week URA_SpearMotors'!I72</f>
        <v>1.5</v>
      </c>
      <c r="J72" s="49">
        <f>'Avg Week SpearMotors-URA'!J72+'Avg Week URA_SpearMotors'!J72</f>
        <v>0.5</v>
      </c>
      <c r="K72" s="49">
        <f>'Avg Week SpearMotors-URA'!K72+'Avg Week URA_SpearMotors'!K72</f>
        <v>0</v>
      </c>
      <c r="L72" s="49">
        <f>'Avg Week SpearMotors-URA'!L72+'Avg Week URA_SpearMotors'!L72</f>
        <v>0.5</v>
      </c>
      <c r="M72" s="49">
        <f>'Avg Week SpearMotors-URA'!M72+'Avg Week URA_SpearMotors'!M72</f>
        <v>114.5</v>
      </c>
      <c r="N72" s="49">
        <f>'Avg Week SpearMotors-URA'!N72+'Avg Week URA_SpearMotors'!N72</f>
        <v>0</v>
      </c>
      <c r="O72" s="15">
        <f t="shared" si="0"/>
        <v>61.5</v>
      </c>
      <c r="P72" s="15">
        <f t="shared" si="1"/>
        <v>176</v>
      </c>
      <c r="R72" s="8"/>
      <c r="T72"/>
    </row>
    <row r="73" spans="2:20" ht="23.1" customHeight="1" x14ac:dyDescent="0.25">
      <c r="B73" s="23" t="s">
        <v>113</v>
      </c>
      <c r="C73" s="49">
        <f>'Avg Week SpearMotors-URA'!C73+'Avg Week URA_SpearMotors'!C73</f>
        <v>35</v>
      </c>
      <c r="D73" s="49">
        <f>'Avg Week SpearMotors-URA'!D73+'Avg Week URA_SpearMotors'!D73</f>
        <v>13</v>
      </c>
      <c r="E73" s="49">
        <f>'Avg Week SpearMotors-URA'!E73+'Avg Week URA_SpearMotors'!E73</f>
        <v>6.5</v>
      </c>
      <c r="F73" s="49">
        <f>'Avg Week SpearMotors-URA'!F73+'Avg Week URA_SpearMotors'!F73</f>
        <v>6</v>
      </c>
      <c r="G73" s="49">
        <f>'Avg Week SpearMotors-URA'!G73+'Avg Week URA_SpearMotors'!G73</f>
        <v>1</v>
      </c>
      <c r="H73" s="49">
        <f>'Avg Week SpearMotors-URA'!H73+'Avg Week URA_SpearMotors'!H73</f>
        <v>0</v>
      </c>
      <c r="I73" s="49">
        <f>'Avg Week SpearMotors-URA'!I73+'Avg Week URA_SpearMotors'!I73</f>
        <v>1.5</v>
      </c>
      <c r="J73" s="49">
        <f>'Avg Week SpearMotors-URA'!J73+'Avg Week URA_SpearMotors'!J73</f>
        <v>1</v>
      </c>
      <c r="K73" s="49">
        <f>'Avg Week SpearMotors-URA'!K73+'Avg Week URA_SpearMotors'!K73</f>
        <v>0.5</v>
      </c>
      <c r="L73" s="49">
        <f>'Avg Week SpearMotors-URA'!L73+'Avg Week URA_SpearMotors'!L73</f>
        <v>0.5</v>
      </c>
      <c r="M73" s="49">
        <f>'Avg Week SpearMotors-URA'!M73+'Avg Week URA_SpearMotors'!M73</f>
        <v>73</v>
      </c>
      <c r="N73" s="49">
        <f>'Avg Week SpearMotors-URA'!N73+'Avg Week URA_SpearMotors'!N73</f>
        <v>0</v>
      </c>
      <c r="O73" s="15">
        <f t="shared" si="0"/>
        <v>65</v>
      </c>
      <c r="P73" s="15">
        <f t="shared" si="1"/>
        <v>138</v>
      </c>
      <c r="R73" s="8"/>
      <c r="T73"/>
    </row>
    <row r="74" spans="2:20" ht="23.1" customHeight="1" x14ac:dyDescent="0.25">
      <c r="B74" s="23" t="s">
        <v>114</v>
      </c>
      <c r="C74" s="49">
        <f>'Avg Week SpearMotors-URA'!C74+'Avg Week URA_SpearMotors'!C74</f>
        <v>50.5</v>
      </c>
      <c r="D74" s="49">
        <f>'Avg Week SpearMotors-URA'!D74+'Avg Week URA_SpearMotors'!D74</f>
        <v>17.5</v>
      </c>
      <c r="E74" s="49">
        <f>'Avg Week SpearMotors-URA'!E74+'Avg Week URA_SpearMotors'!E74</f>
        <v>2</v>
      </c>
      <c r="F74" s="49">
        <f>'Avg Week SpearMotors-URA'!F74+'Avg Week URA_SpearMotors'!F74</f>
        <v>6.5</v>
      </c>
      <c r="G74" s="49">
        <f>'Avg Week SpearMotors-URA'!G74+'Avg Week URA_SpearMotors'!G74</f>
        <v>1</v>
      </c>
      <c r="H74" s="49">
        <f>'Avg Week SpearMotors-URA'!H74+'Avg Week URA_SpearMotors'!H74</f>
        <v>0</v>
      </c>
      <c r="I74" s="49">
        <f>'Avg Week SpearMotors-URA'!I74+'Avg Week URA_SpearMotors'!I74</f>
        <v>0.5</v>
      </c>
      <c r="J74" s="49">
        <f>'Avg Week SpearMotors-URA'!J74+'Avg Week URA_SpearMotors'!J74</f>
        <v>1.5</v>
      </c>
      <c r="K74" s="49">
        <f>'Avg Week SpearMotors-URA'!K74+'Avg Week URA_SpearMotors'!K74</f>
        <v>0</v>
      </c>
      <c r="L74" s="49">
        <f>'Avg Week SpearMotors-URA'!L74+'Avg Week URA_SpearMotors'!L74</f>
        <v>1</v>
      </c>
      <c r="M74" s="49">
        <f>'Avg Week SpearMotors-URA'!M74+'Avg Week URA_SpearMotors'!M74</f>
        <v>88</v>
      </c>
      <c r="N74" s="49">
        <f>'Avg Week SpearMotors-URA'!N74+'Avg Week URA_SpearMotors'!N74</f>
        <v>0</v>
      </c>
      <c r="O74" s="15">
        <f t="shared" ref="O74:O105" si="35">SUM(C74:L74,N74)</f>
        <v>80.5</v>
      </c>
      <c r="P74" s="15">
        <f t="shared" ref="P74:P105" si="36">SUM(C74:N74)</f>
        <v>168.5</v>
      </c>
      <c r="R74" s="8"/>
      <c r="T74"/>
    </row>
    <row r="75" spans="2:20" ht="23.1" customHeight="1" x14ac:dyDescent="0.25">
      <c r="B75" s="23" t="s">
        <v>115</v>
      </c>
      <c r="C75" s="49">
        <f>'Avg Week SpearMotors-URA'!C75+'Avg Week URA_SpearMotors'!C75</f>
        <v>31.5</v>
      </c>
      <c r="D75" s="49">
        <f>'Avg Week SpearMotors-URA'!D75+'Avg Week URA_SpearMotors'!D75</f>
        <v>15.5</v>
      </c>
      <c r="E75" s="49">
        <f>'Avg Week SpearMotors-URA'!E75+'Avg Week URA_SpearMotors'!E75</f>
        <v>8</v>
      </c>
      <c r="F75" s="49">
        <f>'Avg Week SpearMotors-URA'!F75+'Avg Week URA_SpearMotors'!F75</f>
        <v>2</v>
      </c>
      <c r="G75" s="49">
        <f>'Avg Week SpearMotors-URA'!G75+'Avg Week URA_SpearMotors'!G75</f>
        <v>0.5</v>
      </c>
      <c r="H75" s="49">
        <f>'Avg Week SpearMotors-URA'!H75+'Avg Week URA_SpearMotors'!H75</f>
        <v>0</v>
      </c>
      <c r="I75" s="49">
        <f>'Avg Week SpearMotors-URA'!I75+'Avg Week URA_SpearMotors'!I75</f>
        <v>2.5</v>
      </c>
      <c r="J75" s="49">
        <f>'Avg Week SpearMotors-URA'!J75+'Avg Week URA_SpearMotors'!J75</f>
        <v>0</v>
      </c>
      <c r="K75" s="49">
        <f>'Avg Week SpearMotors-URA'!K75+'Avg Week URA_SpearMotors'!K75</f>
        <v>0.5</v>
      </c>
      <c r="L75" s="49">
        <f>'Avg Week SpearMotors-URA'!L75+'Avg Week URA_SpearMotors'!L75</f>
        <v>0</v>
      </c>
      <c r="M75" s="49">
        <f>'Avg Week SpearMotors-URA'!M75+'Avg Week URA_SpearMotors'!M75</f>
        <v>105</v>
      </c>
      <c r="N75" s="49">
        <f>'Avg Week SpearMotors-URA'!N75+'Avg Week URA_SpearMotors'!N75</f>
        <v>0</v>
      </c>
      <c r="O75" s="15">
        <f t="shared" si="35"/>
        <v>60.5</v>
      </c>
      <c r="P75" s="15">
        <f t="shared" si="36"/>
        <v>165.5</v>
      </c>
      <c r="R75" s="8"/>
      <c r="T75"/>
    </row>
    <row r="76" spans="2:20" ht="23.1" customHeight="1" x14ac:dyDescent="0.25">
      <c r="B76" s="23" t="s">
        <v>116</v>
      </c>
      <c r="C76" s="49">
        <f>'Avg Week SpearMotors-URA'!C76+'Avg Week URA_SpearMotors'!C76</f>
        <v>33</v>
      </c>
      <c r="D76" s="49">
        <f>'Avg Week SpearMotors-URA'!D76+'Avg Week URA_SpearMotors'!D76</f>
        <v>17</v>
      </c>
      <c r="E76" s="49">
        <f>'Avg Week SpearMotors-URA'!E76+'Avg Week URA_SpearMotors'!E76</f>
        <v>3</v>
      </c>
      <c r="F76" s="49">
        <f>'Avg Week SpearMotors-URA'!F76+'Avg Week URA_SpearMotors'!F76</f>
        <v>8.5</v>
      </c>
      <c r="G76" s="49">
        <f>'Avg Week SpearMotors-URA'!G76+'Avg Week URA_SpearMotors'!G76</f>
        <v>0</v>
      </c>
      <c r="H76" s="49">
        <f>'Avg Week SpearMotors-URA'!H76+'Avg Week URA_SpearMotors'!H76</f>
        <v>0</v>
      </c>
      <c r="I76" s="49">
        <f>'Avg Week SpearMotors-URA'!I76+'Avg Week URA_SpearMotors'!I76</f>
        <v>0</v>
      </c>
      <c r="J76" s="49">
        <f>'Avg Week SpearMotors-URA'!J76+'Avg Week URA_SpearMotors'!J76</f>
        <v>0</v>
      </c>
      <c r="K76" s="49">
        <f>'Avg Week SpearMotors-URA'!K76+'Avg Week URA_SpearMotors'!K76</f>
        <v>2</v>
      </c>
      <c r="L76" s="49">
        <f>'Avg Week SpearMotors-URA'!L76+'Avg Week URA_SpearMotors'!L76</f>
        <v>1</v>
      </c>
      <c r="M76" s="49">
        <f>'Avg Week SpearMotors-URA'!M76+'Avg Week URA_SpearMotors'!M76</f>
        <v>96.5</v>
      </c>
      <c r="N76" s="49">
        <f>'Avg Week SpearMotors-URA'!N76+'Avg Week URA_SpearMotors'!N76</f>
        <v>0</v>
      </c>
      <c r="O76" s="15">
        <f t="shared" si="35"/>
        <v>64.5</v>
      </c>
      <c r="P76" s="15">
        <f t="shared" si="36"/>
        <v>161</v>
      </c>
      <c r="R76" s="8"/>
      <c r="T76"/>
    </row>
    <row r="77" spans="2:20" ht="23.1" customHeight="1" x14ac:dyDescent="0.25">
      <c r="B77" s="23" t="s">
        <v>117</v>
      </c>
      <c r="C77" s="49">
        <f>'Avg Week SpearMotors-URA'!C77+'Avg Week URA_SpearMotors'!C77</f>
        <v>25</v>
      </c>
      <c r="D77" s="49">
        <f>'Avg Week SpearMotors-URA'!D77+'Avg Week URA_SpearMotors'!D77</f>
        <v>10</v>
      </c>
      <c r="E77" s="49">
        <f>'Avg Week SpearMotors-URA'!E77+'Avg Week URA_SpearMotors'!E77</f>
        <v>4</v>
      </c>
      <c r="F77" s="49">
        <f>'Avg Week SpearMotors-URA'!F77+'Avg Week URA_SpearMotors'!F77</f>
        <v>0</v>
      </c>
      <c r="G77" s="49">
        <f>'Avg Week SpearMotors-URA'!G77+'Avg Week URA_SpearMotors'!G77</f>
        <v>0</v>
      </c>
      <c r="H77" s="49">
        <f>'Avg Week SpearMotors-URA'!H77+'Avg Week URA_SpearMotors'!H77</f>
        <v>0</v>
      </c>
      <c r="I77" s="49">
        <f>'Avg Week SpearMotors-URA'!I77+'Avg Week URA_SpearMotors'!I77</f>
        <v>2</v>
      </c>
      <c r="J77" s="49">
        <f>'Avg Week SpearMotors-URA'!J77+'Avg Week URA_SpearMotors'!J77</f>
        <v>0.5</v>
      </c>
      <c r="K77" s="49">
        <f>'Avg Week SpearMotors-URA'!K77+'Avg Week URA_SpearMotors'!K77</f>
        <v>0</v>
      </c>
      <c r="L77" s="49">
        <f>'Avg Week SpearMotors-URA'!L77+'Avg Week URA_SpearMotors'!L77</f>
        <v>0</v>
      </c>
      <c r="M77" s="49">
        <f>'Avg Week SpearMotors-URA'!M77+'Avg Week URA_SpearMotors'!M77</f>
        <v>92.5</v>
      </c>
      <c r="N77" s="49">
        <f>'Avg Week SpearMotors-URA'!N77+'Avg Week URA_SpearMotors'!N77</f>
        <v>0</v>
      </c>
      <c r="O77" s="15">
        <f t="shared" si="35"/>
        <v>41.5</v>
      </c>
      <c r="P77" s="15">
        <f t="shared" si="36"/>
        <v>134</v>
      </c>
      <c r="R77" s="8"/>
      <c r="T77"/>
    </row>
    <row r="78" spans="2:20" ht="23.1" customHeight="1" x14ac:dyDescent="0.25">
      <c r="B78" s="24" t="s">
        <v>118</v>
      </c>
      <c r="C78" s="49">
        <f>'Avg Week SpearMotors-URA'!C78+'Avg Week URA_SpearMotors'!C78</f>
        <v>20.5</v>
      </c>
      <c r="D78" s="49">
        <f>'Avg Week SpearMotors-URA'!D78+'Avg Week URA_SpearMotors'!D78</f>
        <v>8.5</v>
      </c>
      <c r="E78" s="49">
        <f>'Avg Week SpearMotors-URA'!E78+'Avg Week URA_SpearMotors'!E78</f>
        <v>2.5</v>
      </c>
      <c r="F78" s="49">
        <f>'Avg Week SpearMotors-URA'!F78+'Avg Week URA_SpearMotors'!F78</f>
        <v>4</v>
      </c>
      <c r="G78" s="49">
        <f>'Avg Week SpearMotors-URA'!G78+'Avg Week URA_SpearMotors'!G78</f>
        <v>0</v>
      </c>
      <c r="H78" s="49">
        <f>'Avg Week SpearMotors-URA'!H78+'Avg Week URA_SpearMotors'!H78</f>
        <v>0</v>
      </c>
      <c r="I78" s="49">
        <f>'Avg Week SpearMotors-URA'!I78+'Avg Week URA_SpearMotors'!I78</f>
        <v>0</v>
      </c>
      <c r="J78" s="49">
        <f>'Avg Week SpearMotors-URA'!J78+'Avg Week URA_SpearMotors'!J78</f>
        <v>0.5</v>
      </c>
      <c r="K78" s="49">
        <f>'Avg Week SpearMotors-URA'!K78+'Avg Week URA_SpearMotors'!K78</f>
        <v>0</v>
      </c>
      <c r="L78" s="49">
        <f>'Avg Week SpearMotors-URA'!L78+'Avg Week URA_SpearMotors'!L78</f>
        <v>0.5</v>
      </c>
      <c r="M78" s="49">
        <f>'Avg Week SpearMotors-URA'!M78+'Avg Week URA_SpearMotors'!M78</f>
        <v>85</v>
      </c>
      <c r="N78" s="49">
        <f>'Avg Week SpearMotors-URA'!N78+'Avg Week URA_SpearMotors'!N78</f>
        <v>0</v>
      </c>
      <c r="O78" s="15">
        <f t="shared" si="35"/>
        <v>36.5</v>
      </c>
      <c r="P78" s="15">
        <f t="shared" si="36"/>
        <v>121.5</v>
      </c>
      <c r="R78" s="8"/>
      <c r="T78"/>
    </row>
    <row r="79" spans="2:20" ht="23.1" customHeight="1" x14ac:dyDescent="0.25">
      <c r="B79" s="23" t="s">
        <v>119</v>
      </c>
      <c r="C79" s="49">
        <f>'Avg Week SpearMotors-URA'!C79+'Avg Week URA_SpearMotors'!C79</f>
        <v>23</v>
      </c>
      <c r="D79" s="49">
        <f>'Avg Week SpearMotors-URA'!D79+'Avg Week URA_SpearMotors'!D79</f>
        <v>10</v>
      </c>
      <c r="E79" s="49">
        <f>'Avg Week SpearMotors-URA'!E79+'Avg Week URA_SpearMotors'!E79</f>
        <v>4</v>
      </c>
      <c r="F79" s="49">
        <f>'Avg Week SpearMotors-URA'!F79+'Avg Week URA_SpearMotors'!F79</f>
        <v>1.5</v>
      </c>
      <c r="G79" s="49">
        <f>'Avg Week SpearMotors-URA'!G79+'Avg Week URA_SpearMotors'!G79</f>
        <v>0</v>
      </c>
      <c r="H79" s="49">
        <f>'Avg Week SpearMotors-URA'!H79+'Avg Week URA_SpearMotors'!H79</f>
        <v>0</v>
      </c>
      <c r="I79" s="49">
        <f>'Avg Week SpearMotors-URA'!I79+'Avg Week URA_SpearMotors'!I79</f>
        <v>1.5</v>
      </c>
      <c r="J79" s="49">
        <f>'Avg Week SpearMotors-URA'!J79+'Avg Week URA_SpearMotors'!J79</f>
        <v>1</v>
      </c>
      <c r="K79" s="49">
        <f>'Avg Week SpearMotors-URA'!K79+'Avg Week URA_SpearMotors'!K79</f>
        <v>1.5</v>
      </c>
      <c r="L79" s="49">
        <f>'Avg Week SpearMotors-URA'!L79+'Avg Week URA_SpearMotors'!L79</f>
        <v>0.5</v>
      </c>
      <c r="M79" s="49">
        <f>'Avg Week SpearMotors-URA'!M79+'Avg Week URA_SpearMotors'!M79</f>
        <v>71.5</v>
      </c>
      <c r="N79" s="49">
        <f>'Avg Week SpearMotors-URA'!N79+'Avg Week URA_SpearMotors'!N79</f>
        <v>0</v>
      </c>
      <c r="O79" s="15">
        <f t="shared" si="35"/>
        <v>43</v>
      </c>
      <c r="P79" s="15">
        <f t="shared" si="36"/>
        <v>114.5</v>
      </c>
      <c r="R79" s="8"/>
      <c r="T79"/>
    </row>
    <row r="80" spans="2:20" ht="23.1" customHeight="1" x14ac:dyDescent="0.25">
      <c r="B80" s="25" t="s">
        <v>120</v>
      </c>
      <c r="C80" s="49">
        <f>'Avg Week SpearMotors-URA'!C80+'Avg Week URA_SpearMotors'!C80</f>
        <v>20</v>
      </c>
      <c r="D80" s="49">
        <f>'Avg Week SpearMotors-URA'!D80+'Avg Week URA_SpearMotors'!D80</f>
        <v>4.5</v>
      </c>
      <c r="E80" s="49">
        <f>'Avg Week SpearMotors-URA'!E80+'Avg Week URA_SpearMotors'!E80</f>
        <v>2.5</v>
      </c>
      <c r="F80" s="49">
        <f>'Avg Week SpearMotors-URA'!F80+'Avg Week URA_SpearMotors'!F80</f>
        <v>1</v>
      </c>
      <c r="G80" s="49">
        <f>'Avg Week SpearMotors-URA'!G80+'Avg Week URA_SpearMotors'!G80</f>
        <v>0</v>
      </c>
      <c r="H80" s="49">
        <f>'Avg Week SpearMotors-URA'!H80+'Avg Week URA_SpearMotors'!H80</f>
        <v>0</v>
      </c>
      <c r="I80" s="49">
        <f>'Avg Week SpearMotors-URA'!I80+'Avg Week URA_SpearMotors'!I80</f>
        <v>1.5</v>
      </c>
      <c r="J80" s="49">
        <f>'Avg Week SpearMotors-URA'!J80+'Avg Week URA_SpearMotors'!J80</f>
        <v>1.5</v>
      </c>
      <c r="K80" s="49">
        <f>'Avg Week SpearMotors-URA'!K80+'Avg Week URA_SpearMotors'!K80</f>
        <v>0</v>
      </c>
      <c r="L80" s="49">
        <f>'Avg Week SpearMotors-URA'!L80+'Avg Week URA_SpearMotors'!L80</f>
        <v>0.5</v>
      </c>
      <c r="M80" s="49">
        <f>'Avg Week SpearMotors-URA'!M80+'Avg Week URA_SpearMotors'!M80</f>
        <v>69.5</v>
      </c>
      <c r="N80" s="49">
        <f>'Avg Week SpearMotors-URA'!N80+'Avg Week URA_SpearMotors'!N80</f>
        <v>0</v>
      </c>
      <c r="O80" s="15">
        <f t="shared" si="35"/>
        <v>31.5</v>
      </c>
      <c r="P80" s="15">
        <f t="shared" si="36"/>
        <v>101</v>
      </c>
      <c r="R80" s="8"/>
      <c r="T80"/>
    </row>
    <row r="81" spans="2:20" ht="23.1" customHeight="1" x14ac:dyDescent="0.25">
      <c r="B81" s="23" t="s">
        <v>121</v>
      </c>
      <c r="C81" s="49">
        <f>'Avg Week SpearMotors-URA'!C81+'Avg Week URA_SpearMotors'!C81</f>
        <v>14</v>
      </c>
      <c r="D81" s="49">
        <f>'Avg Week SpearMotors-URA'!D81+'Avg Week URA_SpearMotors'!D81</f>
        <v>3</v>
      </c>
      <c r="E81" s="49">
        <f>'Avg Week SpearMotors-URA'!E81+'Avg Week URA_SpearMotors'!E81</f>
        <v>2</v>
      </c>
      <c r="F81" s="49">
        <f>'Avg Week SpearMotors-URA'!F81+'Avg Week URA_SpearMotors'!F81</f>
        <v>2</v>
      </c>
      <c r="G81" s="49">
        <f>'Avg Week SpearMotors-URA'!G81+'Avg Week URA_SpearMotors'!G81</f>
        <v>0</v>
      </c>
      <c r="H81" s="49">
        <f>'Avg Week SpearMotors-URA'!H81+'Avg Week URA_SpearMotors'!H81</f>
        <v>0</v>
      </c>
      <c r="I81" s="49">
        <f>'Avg Week SpearMotors-URA'!I81+'Avg Week URA_SpearMotors'!I81</f>
        <v>0.5</v>
      </c>
      <c r="J81" s="49">
        <f>'Avg Week SpearMotors-URA'!J81+'Avg Week URA_SpearMotors'!J81</f>
        <v>0</v>
      </c>
      <c r="K81" s="49">
        <f>'Avg Week SpearMotors-URA'!K81+'Avg Week URA_SpearMotors'!K81</f>
        <v>0</v>
      </c>
      <c r="L81" s="49">
        <f>'Avg Week SpearMotors-URA'!L81+'Avg Week URA_SpearMotors'!L81</f>
        <v>1.5</v>
      </c>
      <c r="M81" s="49">
        <f>'Avg Week SpearMotors-URA'!M81+'Avg Week URA_SpearMotors'!M81</f>
        <v>56</v>
      </c>
      <c r="N81" s="49">
        <f>'Avg Week SpearMotors-URA'!N81+'Avg Week URA_SpearMotors'!N81</f>
        <v>0</v>
      </c>
      <c r="O81" s="15">
        <f t="shared" si="35"/>
        <v>23</v>
      </c>
      <c r="P81" s="15">
        <f t="shared" si="36"/>
        <v>79</v>
      </c>
      <c r="R81" s="8"/>
      <c r="T81"/>
    </row>
    <row r="82" spans="2:20" ht="23.1" customHeight="1" x14ac:dyDescent="0.25">
      <c r="B82" s="24" t="s">
        <v>122</v>
      </c>
      <c r="C82" s="49">
        <f>'Avg Week SpearMotors-URA'!C82+'Avg Week URA_SpearMotors'!C82</f>
        <v>12.5</v>
      </c>
      <c r="D82" s="49">
        <f>'Avg Week SpearMotors-URA'!D82+'Avg Week URA_SpearMotors'!D82</f>
        <v>4.5</v>
      </c>
      <c r="E82" s="49">
        <f>'Avg Week SpearMotors-URA'!E82+'Avg Week URA_SpearMotors'!E82</f>
        <v>2</v>
      </c>
      <c r="F82" s="49">
        <f>'Avg Week SpearMotors-URA'!F82+'Avg Week URA_SpearMotors'!F82</f>
        <v>0.5</v>
      </c>
      <c r="G82" s="49">
        <f>'Avg Week SpearMotors-URA'!G82+'Avg Week URA_SpearMotors'!G82</f>
        <v>0</v>
      </c>
      <c r="H82" s="49">
        <f>'Avg Week SpearMotors-URA'!H82+'Avg Week URA_SpearMotors'!H82</f>
        <v>0</v>
      </c>
      <c r="I82" s="49">
        <f>'Avg Week SpearMotors-URA'!I82+'Avg Week URA_SpearMotors'!I82</f>
        <v>1.5</v>
      </c>
      <c r="J82" s="49">
        <f>'Avg Week SpearMotors-URA'!J82+'Avg Week URA_SpearMotors'!J82</f>
        <v>1</v>
      </c>
      <c r="K82" s="49">
        <f>'Avg Week SpearMotors-URA'!K82+'Avg Week URA_SpearMotors'!K82</f>
        <v>0.5</v>
      </c>
      <c r="L82" s="49">
        <f>'Avg Week SpearMotors-URA'!L82+'Avg Week URA_SpearMotors'!L82</f>
        <v>0.5</v>
      </c>
      <c r="M82" s="49">
        <f>'Avg Week SpearMotors-URA'!M82+'Avg Week URA_SpearMotors'!M82</f>
        <v>52</v>
      </c>
      <c r="N82" s="49">
        <f>'Avg Week SpearMotors-URA'!N82+'Avg Week URA_SpearMotors'!N82</f>
        <v>0</v>
      </c>
      <c r="O82" s="15">
        <f t="shared" si="35"/>
        <v>23</v>
      </c>
      <c r="P82" s="15">
        <f t="shared" si="36"/>
        <v>75</v>
      </c>
      <c r="R82" s="8"/>
      <c r="T82"/>
    </row>
    <row r="83" spans="2:20" ht="23.1" customHeight="1" x14ac:dyDescent="0.25">
      <c r="B83" s="23" t="s">
        <v>123</v>
      </c>
      <c r="C83" s="49">
        <f>'Avg Week SpearMotors-URA'!C83+'Avg Week URA_SpearMotors'!C83</f>
        <v>14</v>
      </c>
      <c r="D83" s="49">
        <f>'Avg Week SpearMotors-URA'!D83+'Avg Week URA_SpearMotors'!D83</f>
        <v>2</v>
      </c>
      <c r="E83" s="49">
        <f>'Avg Week SpearMotors-URA'!E83+'Avg Week URA_SpearMotors'!E83</f>
        <v>0.5</v>
      </c>
      <c r="F83" s="49">
        <f>'Avg Week SpearMotors-URA'!F83+'Avg Week URA_SpearMotors'!F83</f>
        <v>2</v>
      </c>
      <c r="G83" s="49">
        <f>'Avg Week SpearMotors-URA'!G83+'Avg Week URA_SpearMotors'!G83</f>
        <v>0</v>
      </c>
      <c r="H83" s="49">
        <f>'Avg Week SpearMotors-URA'!H83+'Avg Week URA_SpearMotors'!H83</f>
        <v>0</v>
      </c>
      <c r="I83" s="49">
        <f>'Avg Week SpearMotors-URA'!I83+'Avg Week URA_SpearMotors'!I83</f>
        <v>1.5</v>
      </c>
      <c r="J83" s="49">
        <f>'Avg Week SpearMotors-URA'!J83+'Avg Week URA_SpearMotors'!J83</f>
        <v>1</v>
      </c>
      <c r="K83" s="49">
        <f>'Avg Week SpearMotors-URA'!K83+'Avg Week URA_SpearMotors'!K83</f>
        <v>0.5</v>
      </c>
      <c r="L83" s="49">
        <f>'Avg Week SpearMotors-URA'!L83+'Avg Week URA_SpearMotors'!L83</f>
        <v>1</v>
      </c>
      <c r="M83" s="49">
        <f>'Avg Week SpearMotors-URA'!M83+'Avg Week URA_SpearMotors'!M83</f>
        <v>47.5</v>
      </c>
      <c r="N83" s="49">
        <f>'Avg Week SpearMotors-URA'!N83+'Avg Week URA_SpearMotors'!N83</f>
        <v>0</v>
      </c>
      <c r="O83" s="15">
        <f t="shared" si="35"/>
        <v>22.5</v>
      </c>
      <c r="P83" s="15">
        <f t="shared" si="36"/>
        <v>70</v>
      </c>
      <c r="R83" s="8"/>
      <c r="T83"/>
    </row>
    <row r="84" spans="2:20" ht="23.1" customHeight="1" x14ac:dyDescent="0.25">
      <c r="B84" s="25" t="s">
        <v>124</v>
      </c>
      <c r="C84" s="49">
        <f>'Avg Week SpearMotors-URA'!C84+'Avg Week URA_SpearMotors'!C84</f>
        <v>15</v>
      </c>
      <c r="D84" s="49">
        <f>'Avg Week SpearMotors-URA'!D84+'Avg Week URA_SpearMotors'!D84</f>
        <v>4</v>
      </c>
      <c r="E84" s="49">
        <f>'Avg Week SpearMotors-URA'!E84+'Avg Week URA_SpearMotors'!E84</f>
        <v>2</v>
      </c>
      <c r="F84" s="49">
        <f>'Avg Week SpearMotors-URA'!F84+'Avg Week URA_SpearMotors'!F84</f>
        <v>2</v>
      </c>
      <c r="G84" s="49">
        <f>'Avg Week SpearMotors-URA'!G84+'Avg Week URA_SpearMotors'!G84</f>
        <v>0.5</v>
      </c>
      <c r="H84" s="49">
        <f>'Avg Week SpearMotors-URA'!H84+'Avg Week URA_SpearMotors'!H84</f>
        <v>0</v>
      </c>
      <c r="I84" s="49">
        <f>'Avg Week SpearMotors-URA'!I84+'Avg Week URA_SpearMotors'!I84</f>
        <v>3</v>
      </c>
      <c r="J84" s="49">
        <f>'Avg Week SpearMotors-URA'!J84+'Avg Week URA_SpearMotors'!J84</f>
        <v>0.5</v>
      </c>
      <c r="K84" s="49">
        <f>'Avg Week SpearMotors-URA'!K84+'Avg Week URA_SpearMotors'!K84</f>
        <v>0.5</v>
      </c>
      <c r="L84" s="49">
        <f>'Avg Week SpearMotors-URA'!L84+'Avg Week URA_SpearMotors'!L84</f>
        <v>1</v>
      </c>
      <c r="M84" s="49">
        <f>'Avg Week SpearMotors-URA'!M84+'Avg Week URA_SpearMotors'!M84</f>
        <v>24</v>
      </c>
      <c r="N84" s="49">
        <f>'Avg Week SpearMotors-URA'!N84+'Avg Week URA_SpearMotors'!N84</f>
        <v>0</v>
      </c>
      <c r="O84" s="15">
        <f t="shared" si="35"/>
        <v>28.5</v>
      </c>
      <c r="P84" s="15">
        <f t="shared" si="36"/>
        <v>52.5</v>
      </c>
      <c r="R84" s="8"/>
      <c r="T84"/>
    </row>
    <row r="85" spans="2:20" ht="23.1" customHeight="1" x14ac:dyDescent="0.25">
      <c r="B85" s="23" t="s">
        <v>125</v>
      </c>
      <c r="C85" s="49">
        <f>'Avg Week SpearMotors-URA'!C85+'Avg Week URA_SpearMotors'!C85</f>
        <v>14</v>
      </c>
      <c r="D85" s="49">
        <f>'Avg Week SpearMotors-URA'!D85+'Avg Week URA_SpearMotors'!D85</f>
        <v>4.5</v>
      </c>
      <c r="E85" s="49">
        <f>'Avg Week SpearMotors-URA'!E85+'Avg Week URA_SpearMotors'!E85</f>
        <v>0.5</v>
      </c>
      <c r="F85" s="49">
        <f>'Avg Week SpearMotors-URA'!F85+'Avg Week URA_SpearMotors'!F85</f>
        <v>0</v>
      </c>
      <c r="G85" s="49">
        <f>'Avg Week SpearMotors-URA'!G85+'Avg Week URA_SpearMotors'!G85</f>
        <v>0</v>
      </c>
      <c r="H85" s="49">
        <f>'Avg Week SpearMotors-URA'!H85+'Avg Week URA_SpearMotors'!H85</f>
        <v>0</v>
      </c>
      <c r="I85" s="49">
        <f>'Avg Week SpearMotors-URA'!I85+'Avg Week URA_SpearMotors'!I85</f>
        <v>0</v>
      </c>
      <c r="J85" s="49">
        <f>'Avg Week SpearMotors-URA'!J85+'Avg Week URA_SpearMotors'!J85</f>
        <v>0</v>
      </c>
      <c r="K85" s="49">
        <f>'Avg Week SpearMotors-URA'!K85+'Avg Week URA_SpearMotors'!K85</f>
        <v>0</v>
      </c>
      <c r="L85" s="49">
        <f>'Avg Week SpearMotors-URA'!L85+'Avg Week URA_SpearMotors'!L85</f>
        <v>0</v>
      </c>
      <c r="M85" s="49">
        <f>'Avg Week SpearMotors-URA'!M85+'Avg Week URA_SpearMotors'!M85</f>
        <v>27.5</v>
      </c>
      <c r="N85" s="49">
        <f>'Avg Week SpearMotors-URA'!N85+'Avg Week URA_SpearMotors'!N85</f>
        <v>0</v>
      </c>
      <c r="O85" s="15">
        <f t="shared" si="35"/>
        <v>19</v>
      </c>
      <c r="P85" s="15">
        <f t="shared" si="36"/>
        <v>46.5</v>
      </c>
      <c r="R85" s="8"/>
      <c r="T85"/>
    </row>
    <row r="86" spans="2:20" ht="23.1" customHeight="1" x14ac:dyDescent="0.25">
      <c r="B86" s="24" t="s">
        <v>126</v>
      </c>
      <c r="C86" s="49">
        <f>'Avg Week SpearMotors-URA'!C86+'Avg Week URA_SpearMotors'!C86</f>
        <v>14.5</v>
      </c>
      <c r="D86" s="49">
        <f>'Avg Week SpearMotors-URA'!D86+'Avg Week URA_SpearMotors'!D86</f>
        <v>5.5</v>
      </c>
      <c r="E86" s="49">
        <f>'Avg Week SpearMotors-URA'!E86+'Avg Week URA_SpearMotors'!E86</f>
        <v>2</v>
      </c>
      <c r="F86" s="49">
        <f>'Avg Week SpearMotors-URA'!F86+'Avg Week URA_SpearMotors'!F86</f>
        <v>1</v>
      </c>
      <c r="G86" s="49">
        <f>'Avg Week SpearMotors-URA'!G86+'Avg Week URA_SpearMotors'!G86</f>
        <v>0</v>
      </c>
      <c r="H86" s="49">
        <f>'Avg Week SpearMotors-URA'!H86+'Avg Week URA_SpearMotors'!H86</f>
        <v>0</v>
      </c>
      <c r="I86" s="49">
        <f>'Avg Week SpearMotors-URA'!I86+'Avg Week URA_SpearMotors'!I86</f>
        <v>0.5</v>
      </c>
      <c r="J86" s="49">
        <f>'Avg Week SpearMotors-URA'!J86+'Avg Week URA_SpearMotors'!J86</f>
        <v>0</v>
      </c>
      <c r="K86" s="49">
        <f>'Avg Week SpearMotors-URA'!K86+'Avg Week URA_SpearMotors'!K86</f>
        <v>0.5</v>
      </c>
      <c r="L86" s="49">
        <f>'Avg Week SpearMotors-URA'!L86+'Avg Week URA_SpearMotors'!L86</f>
        <v>0</v>
      </c>
      <c r="M86" s="49">
        <f>'Avg Week SpearMotors-URA'!M86+'Avg Week URA_SpearMotors'!M86</f>
        <v>35</v>
      </c>
      <c r="N86" s="49">
        <f>'Avg Week SpearMotors-URA'!N86+'Avg Week URA_SpearMotors'!N86</f>
        <v>0</v>
      </c>
      <c r="O86" s="15">
        <f t="shared" si="35"/>
        <v>24</v>
      </c>
      <c r="P86" s="15">
        <f t="shared" si="36"/>
        <v>59</v>
      </c>
      <c r="R86" s="8"/>
      <c r="T86"/>
    </row>
    <row r="87" spans="2:20" ht="23.1" customHeight="1" x14ac:dyDescent="0.25">
      <c r="B87" s="23" t="s">
        <v>127</v>
      </c>
      <c r="C87" s="49">
        <f>'Avg Week SpearMotors-URA'!C87+'Avg Week URA_SpearMotors'!C87</f>
        <v>6.5</v>
      </c>
      <c r="D87" s="49">
        <f>'Avg Week SpearMotors-URA'!D87+'Avg Week URA_SpearMotors'!D87</f>
        <v>2</v>
      </c>
      <c r="E87" s="49">
        <f>'Avg Week SpearMotors-URA'!E87+'Avg Week URA_SpearMotors'!E87</f>
        <v>0</v>
      </c>
      <c r="F87" s="49">
        <f>'Avg Week SpearMotors-URA'!F87+'Avg Week URA_SpearMotors'!F87</f>
        <v>3.5</v>
      </c>
      <c r="G87" s="49">
        <f>'Avg Week SpearMotors-URA'!G87+'Avg Week URA_SpearMotors'!G87</f>
        <v>0</v>
      </c>
      <c r="H87" s="49">
        <f>'Avg Week SpearMotors-URA'!H87+'Avg Week URA_SpearMotors'!H87</f>
        <v>0</v>
      </c>
      <c r="I87" s="49">
        <f>'Avg Week SpearMotors-URA'!I87+'Avg Week URA_SpearMotors'!I87</f>
        <v>0.5</v>
      </c>
      <c r="J87" s="49">
        <f>'Avg Week SpearMotors-URA'!J87+'Avg Week URA_SpearMotors'!J87</f>
        <v>0.5</v>
      </c>
      <c r="K87" s="49">
        <f>'Avg Week SpearMotors-URA'!K87+'Avg Week URA_SpearMotors'!K87</f>
        <v>0</v>
      </c>
      <c r="L87" s="49">
        <f>'Avg Week SpearMotors-URA'!L87+'Avg Week URA_SpearMotors'!L87</f>
        <v>0</v>
      </c>
      <c r="M87" s="49">
        <f>'Avg Week SpearMotors-URA'!M87+'Avg Week URA_SpearMotors'!M87</f>
        <v>18.5</v>
      </c>
      <c r="N87" s="49">
        <f>'Avg Week SpearMotors-URA'!N87+'Avg Week URA_SpearMotors'!N87</f>
        <v>0</v>
      </c>
      <c r="O87" s="15">
        <f t="shared" si="35"/>
        <v>13</v>
      </c>
      <c r="P87" s="15">
        <f t="shared" si="36"/>
        <v>31.5</v>
      </c>
      <c r="R87" s="8"/>
      <c r="T87"/>
    </row>
    <row r="88" spans="2:20" ht="23.1" customHeight="1" x14ac:dyDescent="0.25">
      <c r="B88" s="25" t="s">
        <v>128</v>
      </c>
      <c r="C88" s="49">
        <f>'Avg Week SpearMotors-URA'!C88+'Avg Week URA_SpearMotors'!C88</f>
        <v>13</v>
      </c>
      <c r="D88" s="49">
        <f>'Avg Week SpearMotors-URA'!D88+'Avg Week URA_SpearMotors'!D88</f>
        <v>1</v>
      </c>
      <c r="E88" s="49">
        <f>'Avg Week SpearMotors-URA'!E88+'Avg Week URA_SpearMotors'!E88</f>
        <v>1.5</v>
      </c>
      <c r="F88" s="49">
        <f>'Avg Week SpearMotors-URA'!F88+'Avg Week URA_SpearMotors'!F88</f>
        <v>1</v>
      </c>
      <c r="G88" s="49">
        <f>'Avg Week SpearMotors-URA'!G88+'Avg Week URA_SpearMotors'!G88</f>
        <v>0</v>
      </c>
      <c r="H88" s="49">
        <f>'Avg Week SpearMotors-URA'!H88+'Avg Week URA_SpearMotors'!H88</f>
        <v>0</v>
      </c>
      <c r="I88" s="49">
        <f>'Avg Week SpearMotors-URA'!I88+'Avg Week URA_SpearMotors'!I88</f>
        <v>0.5</v>
      </c>
      <c r="J88" s="49">
        <f>'Avg Week SpearMotors-URA'!J88+'Avg Week URA_SpearMotors'!J88</f>
        <v>1</v>
      </c>
      <c r="K88" s="49">
        <f>'Avg Week SpearMotors-URA'!K88+'Avg Week URA_SpearMotors'!K88</f>
        <v>0</v>
      </c>
      <c r="L88" s="49">
        <f>'Avg Week SpearMotors-URA'!L88+'Avg Week URA_SpearMotors'!L88</f>
        <v>1</v>
      </c>
      <c r="M88" s="49">
        <f>'Avg Week SpearMotors-URA'!M88+'Avg Week URA_SpearMotors'!M88</f>
        <v>25</v>
      </c>
      <c r="N88" s="49">
        <f>'Avg Week SpearMotors-URA'!N88+'Avg Week URA_SpearMotors'!N88</f>
        <v>0</v>
      </c>
      <c r="O88" s="15">
        <f t="shared" si="35"/>
        <v>19</v>
      </c>
      <c r="P88" s="15">
        <f t="shared" si="36"/>
        <v>44</v>
      </c>
      <c r="R88" s="8"/>
      <c r="T88"/>
    </row>
    <row r="89" spans="2:20" ht="23.1" customHeight="1" x14ac:dyDescent="0.25">
      <c r="B89" s="23" t="s">
        <v>129</v>
      </c>
      <c r="C89" s="49">
        <f>'Avg Week SpearMotors-URA'!C89+'Avg Week URA_SpearMotors'!C89</f>
        <v>8.5</v>
      </c>
      <c r="D89" s="49">
        <f>'Avg Week SpearMotors-URA'!D89+'Avg Week URA_SpearMotors'!D89</f>
        <v>2.5</v>
      </c>
      <c r="E89" s="49">
        <f>'Avg Week SpearMotors-URA'!E89+'Avg Week URA_SpearMotors'!E89</f>
        <v>0</v>
      </c>
      <c r="F89" s="49">
        <f>'Avg Week SpearMotors-URA'!F89+'Avg Week URA_SpearMotors'!F89</f>
        <v>1.5</v>
      </c>
      <c r="G89" s="49">
        <f>'Avg Week SpearMotors-URA'!G89+'Avg Week URA_SpearMotors'!G89</f>
        <v>0</v>
      </c>
      <c r="H89" s="49">
        <f>'Avg Week SpearMotors-URA'!H89+'Avg Week URA_SpearMotors'!H89</f>
        <v>0</v>
      </c>
      <c r="I89" s="49">
        <f>'Avg Week SpearMotors-URA'!I89+'Avg Week URA_SpearMotors'!I89</f>
        <v>0</v>
      </c>
      <c r="J89" s="49">
        <f>'Avg Week SpearMotors-URA'!J89+'Avg Week URA_SpearMotors'!J89</f>
        <v>0</v>
      </c>
      <c r="K89" s="49">
        <f>'Avg Week SpearMotors-URA'!K89+'Avg Week URA_SpearMotors'!K89</f>
        <v>1</v>
      </c>
      <c r="L89" s="49">
        <f>'Avg Week SpearMotors-URA'!L89+'Avg Week URA_SpearMotors'!L89</f>
        <v>0</v>
      </c>
      <c r="M89" s="49">
        <f>'Avg Week SpearMotors-URA'!M89+'Avg Week URA_SpearMotors'!M89</f>
        <v>20.5</v>
      </c>
      <c r="N89" s="49">
        <f>'Avg Week SpearMotors-URA'!N89+'Avg Week URA_SpearMotors'!N89</f>
        <v>0</v>
      </c>
      <c r="O89" s="15">
        <f t="shared" si="35"/>
        <v>13.5</v>
      </c>
      <c r="P89" s="15">
        <f t="shared" si="36"/>
        <v>34</v>
      </c>
      <c r="R89" s="8"/>
      <c r="T89"/>
    </row>
    <row r="90" spans="2:20" ht="23.1" customHeight="1" x14ac:dyDescent="0.25">
      <c r="B90" s="24" t="s">
        <v>130</v>
      </c>
      <c r="C90" s="49">
        <f>'Avg Week SpearMotors-URA'!C90+'Avg Week URA_SpearMotors'!C90</f>
        <v>10</v>
      </c>
      <c r="D90" s="49">
        <f>'Avg Week SpearMotors-URA'!D90+'Avg Week URA_SpearMotors'!D90</f>
        <v>1.5</v>
      </c>
      <c r="E90" s="49">
        <f>'Avg Week SpearMotors-URA'!E90+'Avg Week URA_SpearMotors'!E90</f>
        <v>0.5</v>
      </c>
      <c r="F90" s="49">
        <f>'Avg Week SpearMotors-URA'!F90+'Avg Week URA_SpearMotors'!F90</f>
        <v>1</v>
      </c>
      <c r="G90" s="49">
        <f>'Avg Week SpearMotors-URA'!G90+'Avg Week URA_SpearMotors'!G90</f>
        <v>0</v>
      </c>
      <c r="H90" s="49">
        <f>'Avg Week SpearMotors-URA'!H90+'Avg Week URA_SpearMotors'!H90</f>
        <v>0</v>
      </c>
      <c r="I90" s="49">
        <f>'Avg Week SpearMotors-URA'!I90+'Avg Week URA_SpearMotors'!I90</f>
        <v>0.5</v>
      </c>
      <c r="J90" s="49">
        <f>'Avg Week SpearMotors-URA'!J90+'Avg Week URA_SpearMotors'!J90</f>
        <v>1</v>
      </c>
      <c r="K90" s="49">
        <f>'Avg Week SpearMotors-URA'!K90+'Avg Week URA_SpearMotors'!K90</f>
        <v>0.5</v>
      </c>
      <c r="L90" s="49">
        <f>'Avg Week SpearMotors-URA'!L90+'Avg Week URA_SpearMotors'!L90</f>
        <v>1</v>
      </c>
      <c r="M90" s="49">
        <f>'Avg Week SpearMotors-URA'!M90+'Avg Week URA_SpearMotors'!M90</f>
        <v>17.5</v>
      </c>
      <c r="N90" s="49">
        <f>'Avg Week SpearMotors-URA'!N90+'Avg Week URA_SpearMotors'!N90</f>
        <v>0</v>
      </c>
      <c r="O90" s="15">
        <f t="shared" si="35"/>
        <v>16</v>
      </c>
      <c r="P90" s="15">
        <f t="shared" si="36"/>
        <v>33.5</v>
      </c>
      <c r="R90" s="8"/>
      <c r="T90"/>
    </row>
    <row r="91" spans="2:20" ht="23.1" customHeight="1" x14ac:dyDescent="0.25">
      <c r="B91" s="23" t="s">
        <v>131</v>
      </c>
      <c r="C91" s="49">
        <f>'Avg Week SpearMotors-URA'!C91+'Avg Week URA_SpearMotors'!C91</f>
        <v>4.5</v>
      </c>
      <c r="D91" s="49">
        <f>'Avg Week SpearMotors-URA'!D91+'Avg Week URA_SpearMotors'!D91</f>
        <v>2.5</v>
      </c>
      <c r="E91" s="49">
        <f>'Avg Week SpearMotors-URA'!E91+'Avg Week URA_SpearMotors'!E91</f>
        <v>0.5</v>
      </c>
      <c r="F91" s="49">
        <f>'Avg Week SpearMotors-URA'!F91+'Avg Week URA_SpearMotors'!F91</f>
        <v>0.5</v>
      </c>
      <c r="G91" s="49">
        <f>'Avg Week SpearMotors-URA'!G91+'Avg Week URA_SpearMotors'!G91</f>
        <v>0</v>
      </c>
      <c r="H91" s="49">
        <f>'Avg Week SpearMotors-URA'!H91+'Avg Week URA_SpearMotors'!H91</f>
        <v>0</v>
      </c>
      <c r="I91" s="49">
        <f>'Avg Week SpearMotors-URA'!I91+'Avg Week URA_SpearMotors'!I91</f>
        <v>0</v>
      </c>
      <c r="J91" s="49">
        <f>'Avg Week SpearMotors-URA'!J91+'Avg Week URA_SpearMotors'!J91</f>
        <v>0</v>
      </c>
      <c r="K91" s="49">
        <f>'Avg Week SpearMotors-URA'!K91+'Avg Week URA_SpearMotors'!K91</f>
        <v>0.5</v>
      </c>
      <c r="L91" s="49">
        <f>'Avg Week SpearMotors-URA'!L91+'Avg Week URA_SpearMotors'!L91</f>
        <v>0.5</v>
      </c>
      <c r="M91" s="49">
        <f>'Avg Week SpearMotors-URA'!M91+'Avg Week URA_SpearMotors'!M91</f>
        <v>12.5</v>
      </c>
      <c r="N91" s="49">
        <f>'Avg Week SpearMotors-URA'!N91+'Avg Week URA_SpearMotors'!N91</f>
        <v>0</v>
      </c>
      <c r="O91" s="15">
        <f t="shared" si="35"/>
        <v>9</v>
      </c>
      <c r="P91" s="15">
        <f t="shared" si="36"/>
        <v>21.5</v>
      </c>
      <c r="R91" s="8"/>
      <c r="T91"/>
    </row>
    <row r="92" spans="2:20" ht="23.1" customHeight="1" x14ac:dyDescent="0.25">
      <c r="B92" s="25" t="s">
        <v>132</v>
      </c>
      <c r="C92" s="49">
        <f>'Avg Week SpearMotors-URA'!C92+'Avg Week URA_SpearMotors'!C92</f>
        <v>7.5</v>
      </c>
      <c r="D92" s="49">
        <f>'Avg Week SpearMotors-URA'!D92+'Avg Week URA_SpearMotors'!D92</f>
        <v>2</v>
      </c>
      <c r="E92" s="49">
        <f>'Avg Week SpearMotors-URA'!E92+'Avg Week URA_SpearMotors'!E92</f>
        <v>0.5</v>
      </c>
      <c r="F92" s="49">
        <f>'Avg Week SpearMotors-URA'!F92+'Avg Week URA_SpearMotors'!F92</f>
        <v>1</v>
      </c>
      <c r="G92" s="49">
        <f>'Avg Week SpearMotors-URA'!G92+'Avg Week URA_SpearMotors'!G92</f>
        <v>0</v>
      </c>
      <c r="H92" s="49">
        <f>'Avg Week SpearMotors-URA'!H92+'Avg Week URA_SpearMotors'!H92</f>
        <v>0</v>
      </c>
      <c r="I92" s="49">
        <f>'Avg Week SpearMotors-URA'!I92+'Avg Week URA_SpearMotors'!I92</f>
        <v>1</v>
      </c>
      <c r="J92" s="49">
        <f>'Avg Week SpearMotors-URA'!J92+'Avg Week URA_SpearMotors'!J92</f>
        <v>1</v>
      </c>
      <c r="K92" s="49">
        <f>'Avg Week SpearMotors-URA'!K92+'Avg Week URA_SpearMotors'!K92</f>
        <v>0.5</v>
      </c>
      <c r="L92" s="49">
        <f>'Avg Week SpearMotors-URA'!L92+'Avg Week URA_SpearMotors'!L92</f>
        <v>1</v>
      </c>
      <c r="M92" s="49">
        <f>'Avg Week SpearMotors-URA'!M92+'Avg Week URA_SpearMotors'!M92</f>
        <v>22.5</v>
      </c>
      <c r="N92" s="49">
        <f>'Avg Week SpearMotors-URA'!N92+'Avg Week URA_SpearMotors'!N92</f>
        <v>0</v>
      </c>
      <c r="O92" s="15">
        <f t="shared" si="35"/>
        <v>14.5</v>
      </c>
      <c r="P92" s="15">
        <f t="shared" si="36"/>
        <v>37</v>
      </c>
      <c r="R92" s="8"/>
      <c r="T92"/>
    </row>
    <row r="93" spans="2:20" ht="23.1" customHeight="1" x14ac:dyDescent="0.25">
      <c r="B93" s="23" t="s">
        <v>133</v>
      </c>
      <c r="C93" s="49">
        <f>'Avg Week SpearMotors-URA'!C93+'Avg Week URA_SpearMotors'!C93</f>
        <v>5</v>
      </c>
      <c r="D93" s="49">
        <f>'Avg Week SpearMotors-URA'!D93+'Avg Week URA_SpearMotors'!D93</f>
        <v>3.5</v>
      </c>
      <c r="E93" s="49">
        <f>'Avg Week SpearMotors-URA'!E93+'Avg Week URA_SpearMotors'!E93</f>
        <v>0.5</v>
      </c>
      <c r="F93" s="49">
        <f>'Avg Week SpearMotors-URA'!F93+'Avg Week URA_SpearMotors'!F93</f>
        <v>0</v>
      </c>
      <c r="G93" s="49">
        <f>'Avg Week SpearMotors-URA'!G93+'Avg Week URA_SpearMotors'!G93</f>
        <v>0</v>
      </c>
      <c r="H93" s="49">
        <f>'Avg Week SpearMotors-URA'!H93+'Avg Week URA_SpearMotors'!H93</f>
        <v>0</v>
      </c>
      <c r="I93" s="49">
        <f>'Avg Week SpearMotors-URA'!I93+'Avg Week URA_SpearMotors'!I93</f>
        <v>0</v>
      </c>
      <c r="J93" s="49">
        <f>'Avg Week SpearMotors-URA'!J93+'Avg Week URA_SpearMotors'!J93</f>
        <v>0.5</v>
      </c>
      <c r="K93" s="49">
        <f>'Avg Week SpearMotors-URA'!K93+'Avg Week URA_SpearMotors'!K93</f>
        <v>0</v>
      </c>
      <c r="L93" s="49">
        <f>'Avg Week SpearMotors-URA'!L93+'Avg Week URA_SpearMotors'!L93</f>
        <v>0</v>
      </c>
      <c r="M93" s="49">
        <f>'Avg Week SpearMotors-URA'!M93+'Avg Week URA_SpearMotors'!M93</f>
        <v>26</v>
      </c>
      <c r="N93" s="49">
        <f>'Avg Week SpearMotors-URA'!N93+'Avg Week URA_SpearMotors'!N93</f>
        <v>0</v>
      </c>
      <c r="O93" s="15">
        <f t="shared" si="35"/>
        <v>9.5</v>
      </c>
      <c r="P93" s="15">
        <f t="shared" si="36"/>
        <v>35.5</v>
      </c>
      <c r="R93" s="8"/>
      <c r="T93"/>
    </row>
    <row r="94" spans="2:20" ht="23.1" customHeight="1" x14ac:dyDescent="0.25">
      <c r="B94" s="24" t="s">
        <v>134</v>
      </c>
      <c r="C94" s="49">
        <f>'Avg Week SpearMotors-URA'!C94+'Avg Week URA_SpearMotors'!C94</f>
        <v>7.5</v>
      </c>
      <c r="D94" s="49">
        <f>'Avg Week SpearMotors-URA'!D94+'Avg Week URA_SpearMotors'!D94</f>
        <v>1.5</v>
      </c>
      <c r="E94" s="49">
        <f>'Avg Week SpearMotors-URA'!E94+'Avg Week URA_SpearMotors'!E94</f>
        <v>0.5</v>
      </c>
      <c r="F94" s="49">
        <f>'Avg Week SpearMotors-URA'!F94+'Avg Week URA_SpearMotors'!F94</f>
        <v>0.5</v>
      </c>
      <c r="G94" s="49">
        <f>'Avg Week SpearMotors-URA'!G94+'Avg Week URA_SpearMotors'!G94</f>
        <v>0</v>
      </c>
      <c r="H94" s="49">
        <f>'Avg Week SpearMotors-URA'!H94+'Avg Week URA_SpearMotors'!H94</f>
        <v>0</v>
      </c>
      <c r="I94" s="49">
        <f>'Avg Week SpearMotors-URA'!I94+'Avg Week URA_SpearMotors'!I94</f>
        <v>0.5</v>
      </c>
      <c r="J94" s="49">
        <f>'Avg Week SpearMotors-URA'!J94+'Avg Week URA_SpearMotors'!J94</f>
        <v>1</v>
      </c>
      <c r="K94" s="49">
        <f>'Avg Week SpearMotors-URA'!K94+'Avg Week URA_SpearMotors'!K94</f>
        <v>0.5</v>
      </c>
      <c r="L94" s="49">
        <f>'Avg Week SpearMotors-URA'!L94+'Avg Week URA_SpearMotors'!L94</f>
        <v>1</v>
      </c>
      <c r="M94" s="49">
        <f>'Avg Week SpearMotors-URA'!M94+'Avg Week URA_SpearMotors'!M94</f>
        <v>24</v>
      </c>
      <c r="N94" s="49">
        <f>'Avg Week SpearMotors-URA'!N94+'Avg Week URA_SpearMotors'!N94</f>
        <v>0</v>
      </c>
      <c r="O94" s="15">
        <f t="shared" si="35"/>
        <v>13</v>
      </c>
      <c r="P94" s="15">
        <f t="shared" si="36"/>
        <v>37</v>
      </c>
      <c r="R94" s="8"/>
      <c r="T94"/>
    </row>
    <row r="95" spans="2:20" ht="23.1" customHeight="1" x14ac:dyDescent="0.25">
      <c r="B95" s="23" t="s">
        <v>135</v>
      </c>
      <c r="C95" s="49">
        <f>'Avg Week SpearMotors-URA'!C95+'Avg Week URA_SpearMotors'!C95</f>
        <v>6</v>
      </c>
      <c r="D95" s="49">
        <f>'Avg Week SpearMotors-URA'!D95+'Avg Week URA_SpearMotors'!D95</f>
        <v>1.5</v>
      </c>
      <c r="E95" s="49">
        <f>'Avg Week SpearMotors-URA'!E95+'Avg Week URA_SpearMotors'!E95</f>
        <v>1.5</v>
      </c>
      <c r="F95" s="49">
        <f>'Avg Week SpearMotors-URA'!F95+'Avg Week URA_SpearMotors'!F95</f>
        <v>0.5</v>
      </c>
      <c r="G95" s="49">
        <f>'Avg Week SpearMotors-URA'!G95+'Avg Week URA_SpearMotors'!G95</f>
        <v>0</v>
      </c>
      <c r="H95" s="49">
        <f>'Avg Week SpearMotors-URA'!H95+'Avg Week URA_SpearMotors'!H95</f>
        <v>0</v>
      </c>
      <c r="I95" s="49">
        <f>'Avg Week SpearMotors-URA'!I95+'Avg Week URA_SpearMotors'!I95</f>
        <v>0.5</v>
      </c>
      <c r="J95" s="49">
        <f>'Avg Week SpearMotors-URA'!J95+'Avg Week URA_SpearMotors'!J95</f>
        <v>0</v>
      </c>
      <c r="K95" s="49">
        <f>'Avg Week SpearMotors-URA'!K95+'Avg Week URA_SpearMotors'!K95</f>
        <v>0</v>
      </c>
      <c r="L95" s="49">
        <f>'Avg Week SpearMotors-URA'!L95+'Avg Week URA_SpearMotors'!L95</f>
        <v>0.5</v>
      </c>
      <c r="M95" s="49">
        <f>'Avg Week SpearMotors-URA'!M95+'Avg Week URA_SpearMotors'!M95</f>
        <v>31.5</v>
      </c>
      <c r="N95" s="49">
        <f>'Avg Week SpearMotors-URA'!N95+'Avg Week URA_SpearMotors'!N95</f>
        <v>0</v>
      </c>
      <c r="O95" s="15">
        <f t="shared" si="35"/>
        <v>10.5</v>
      </c>
      <c r="P95" s="15">
        <f t="shared" si="36"/>
        <v>42</v>
      </c>
      <c r="R95" s="8"/>
      <c r="T95"/>
    </row>
    <row r="96" spans="2:20" ht="23.1" customHeight="1" x14ac:dyDescent="0.25">
      <c r="B96" s="25" t="s">
        <v>136</v>
      </c>
      <c r="C96" s="49">
        <f>'Avg Week SpearMotors-URA'!C96+'Avg Week URA_SpearMotors'!C96</f>
        <v>6.5</v>
      </c>
      <c r="D96" s="49">
        <f>'Avg Week SpearMotors-URA'!D96+'Avg Week URA_SpearMotors'!D96</f>
        <v>2.5</v>
      </c>
      <c r="E96" s="49">
        <f>'Avg Week SpearMotors-URA'!E96+'Avg Week URA_SpearMotors'!E96</f>
        <v>1</v>
      </c>
      <c r="F96" s="49">
        <f>'Avg Week SpearMotors-URA'!F96+'Avg Week URA_SpearMotors'!F96</f>
        <v>1.5</v>
      </c>
      <c r="G96" s="49">
        <f>'Avg Week SpearMotors-URA'!G96+'Avg Week URA_SpearMotors'!G96</f>
        <v>0</v>
      </c>
      <c r="H96" s="49">
        <f>'Avg Week SpearMotors-URA'!H96+'Avg Week URA_SpearMotors'!H96</f>
        <v>0</v>
      </c>
      <c r="I96" s="49">
        <f>'Avg Week SpearMotors-URA'!I96+'Avg Week URA_SpearMotors'!I96</f>
        <v>1</v>
      </c>
      <c r="J96" s="49">
        <f>'Avg Week SpearMotors-URA'!J96+'Avg Week URA_SpearMotors'!J96</f>
        <v>0</v>
      </c>
      <c r="K96" s="49">
        <f>'Avg Week SpearMotors-URA'!K96+'Avg Week URA_SpearMotors'!K96</f>
        <v>0</v>
      </c>
      <c r="L96" s="49">
        <f>'Avg Week SpearMotors-URA'!L96+'Avg Week URA_SpearMotors'!L96</f>
        <v>0</v>
      </c>
      <c r="M96" s="49">
        <f>'Avg Week SpearMotors-URA'!M96+'Avg Week URA_SpearMotors'!M96</f>
        <v>36</v>
      </c>
      <c r="N96" s="49">
        <f>'Avg Week SpearMotors-URA'!N96+'Avg Week URA_SpearMotors'!N96</f>
        <v>0</v>
      </c>
      <c r="O96" s="15">
        <f t="shared" si="35"/>
        <v>12.5</v>
      </c>
      <c r="P96" s="15">
        <f t="shared" si="36"/>
        <v>48.5</v>
      </c>
      <c r="R96" s="8"/>
      <c r="T96"/>
    </row>
    <row r="97" spans="2:20" ht="23.1" customHeight="1" x14ac:dyDescent="0.25">
      <c r="B97" s="23" t="s">
        <v>137</v>
      </c>
      <c r="C97" s="49">
        <f>'Avg Week SpearMotors-URA'!C97+'Avg Week URA_SpearMotors'!C97</f>
        <v>6</v>
      </c>
      <c r="D97" s="49">
        <f>'Avg Week SpearMotors-URA'!D97+'Avg Week URA_SpearMotors'!D97</f>
        <v>1</v>
      </c>
      <c r="E97" s="49">
        <f>'Avg Week SpearMotors-URA'!E97+'Avg Week URA_SpearMotors'!E97</f>
        <v>1</v>
      </c>
      <c r="F97" s="49">
        <f>'Avg Week SpearMotors-URA'!F97+'Avg Week URA_SpearMotors'!F97</f>
        <v>2.5</v>
      </c>
      <c r="G97" s="49">
        <f>'Avg Week SpearMotors-URA'!G97+'Avg Week URA_SpearMotors'!G97</f>
        <v>0.5</v>
      </c>
      <c r="H97" s="49">
        <f>'Avg Week SpearMotors-URA'!H97+'Avg Week URA_SpearMotors'!H97</f>
        <v>0</v>
      </c>
      <c r="I97" s="49">
        <f>'Avg Week SpearMotors-URA'!I97+'Avg Week URA_SpearMotors'!I97</f>
        <v>1.5</v>
      </c>
      <c r="J97" s="49">
        <f>'Avg Week SpearMotors-URA'!J97+'Avg Week URA_SpearMotors'!J97</f>
        <v>0.5</v>
      </c>
      <c r="K97" s="49">
        <f>'Avg Week SpearMotors-URA'!K97+'Avg Week URA_SpearMotors'!K97</f>
        <v>0</v>
      </c>
      <c r="L97" s="49">
        <f>'Avg Week SpearMotors-URA'!L97+'Avg Week URA_SpearMotors'!L97</f>
        <v>0.5</v>
      </c>
      <c r="M97" s="49">
        <f>'Avg Week SpearMotors-URA'!M97+'Avg Week URA_SpearMotors'!M97</f>
        <v>44</v>
      </c>
      <c r="N97" s="49">
        <f>'Avg Week SpearMotors-URA'!N97+'Avg Week URA_SpearMotors'!N97</f>
        <v>0</v>
      </c>
      <c r="O97" s="15">
        <f t="shared" si="35"/>
        <v>13.5</v>
      </c>
      <c r="P97" s="15">
        <f t="shared" si="36"/>
        <v>57.5</v>
      </c>
      <c r="R97" s="8"/>
      <c r="T97"/>
    </row>
    <row r="98" spans="2:20" ht="23.1" customHeight="1" x14ac:dyDescent="0.25">
      <c r="B98" s="24" t="s">
        <v>138</v>
      </c>
      <c r="C98" s="49">
        <f>'Avg Week SpearMotors-URA'!C98+'Avg Week URA_SpearMotors'!C98</f>
        <v>6.5</v>
      </c>
      <c r="D98" s="49">
        <f>'Avg Week SpearMotors-URA'!D98+'Avg Week URA_SpearMotors'!D98</f>
        <v>0.5</v>
      </c>
      <c r="E98" s="49">
        <f>'Avg Week SpearMotors-URA'!E98+'Avg Week URA_SpearMotors'!E98</f>
        <v>1</v>
      </c>
      <c r="F98" s="49">
        <f>'Avg Week SpearMotors-URA'!F98+'Avg Week URA_SpearMotors'!F98</f>
        <v>3</v>
      </c>
      <c r="G98" s="49">
        <f>'Avg Week SpearMotors-URA'!G98+'Avg Week URA_SpearMotors'!G98</f>
        <v>0</v>
      </c>
      <c r="H98" s="49">
        <f>'Avg Week SpearMotors-URA'!H98+'Avg Week URA_SpearMotors'!H98</f>
        <v>0</v>
      </c>
      <c r="I98" s="49">
        <f>'Avg Week SpearMotors-URA'!I98+'Avg Week URA_SpearMotors'!I98</f>
        <v>1.5</v>
      </c>
      <c r="J98" s="49">
        <f>'Avg Week SpearMotors-URA'!J98+'Avg Week URA_SpearMotors'!J98</f>
        <v>1.5</v>
      </c>
      <c r="K98" s="49">
        <f>'Avg Week SpearMotors-URA'!K98+'Avg Week URA_SpearMotors'!K98</f>
        <v>0.5</v>
      </c>
      <c r="L98" s="49">
        <f>'Avg Week SpearMotors-URA'!L98+'Avg Week URA_SpearMotors'!L98</f>
        <v>0</v>
      </c>
      <c r="M98" s="49">
        <f>'Avg Week SpearMotors-URA'!M98+'Avg Week URA_SpearMotors'!M98</f>
        <v>47</v>
      </c>
      <c r="N98" s="49">
        <f>'Avg Week SpearMotors-URA'!N98+'Avg Week URA_SpearMotors'!N98</f>
        <v>0</v>
      </c>
      <c r="O98" s="15">
        <f t="shared" si="35"/>
        <v>14.5</v>
      </c>
      <c r="P98" s="15">
        <f t="shared" si="36"/>
        <v>61.5</v>
      </c>
      <c r="R98" s="8"/>
      <c r="T98"/>
    </row>
    <row r="99" spans="2:20" ht="23.1" customHeight="1" x14ac:dyDescent="0.25">
      <c r="B99" s="23" t="s">
        <v>139</v>
      </c>
      <c r="C99" s="49">
        <f>'Avg Week SpearMotors-URA'!C99+'Avg Week URA_SpearMotors'!C99</f>
        <v>7</v>
      </c>
      <c r="D99" s="49">
        <f>'Avg Week SpearMotors-URA'!D99+'Avg Week URA_SpearMotors'!D99</f>
        <v>0</v>
      </c>
      <c r="E99" s="49">
        <f>'Avg Week SpearMotors-URA'!E99+'Avg Week URA_SpearMotors'!E99</f>
        <v>2.5</v>
      </c>
      <c r="F99" s="49">
        <f>'Avg Week SpearMotors-URA'!F99+'Avg Week URA_SpearMotors'!F99</f>
        <v>6</v>
      </c>
      <c r="G99" s="49">
        <f>'Avg Week SpearMotors-URA'!G99+'Avg Week URA_SpearMotors'!G99</f>
        <v>0</v>
      </c>
      <c r="H99" s="49">
        <f>'Avg Week SpearMotors-URA'!H99+'Avg Week URA_SpearMotors'!H99</f>
        <v>0</v>
      </c>
      <c r="I99" s="49">
        <f>'Avg Week SpearMotors-URA'!I99+'Avg Week URA_SpearMotors'!I99</f>
        <v>1</v>
      </c>
      <c r="J99" s="49">
        <f>'Avg Week SpearMotors-URA'!J99+'Avg Week URA_SpearMotors'!J99</f>
        <v>1</v>
      </c>
      <c r="K99" s="49">
        <f>'Avg Week SpearMotors-URA'!K99+'Avg Week URA_SpearMotors'!K99</f>
        <v>0.5</v>
      </c>
      <c r="L99" s="49">
        <f>'Avg Week SpearMotors-URA'!L99+'Avg Week URA_SpearMotors'!L99</f>
        <v>1.5</v>
      </c>
      <c r="M99" s="49">
        <f>'Avg Week SpearMotors-URA'!M99+'Avg Week URA_SpearMotors'!M99</f>
        <v>56</v>
      </c>
      <c r="N99" s="49">
        <f>'Avg Week SpearMotors-URA'!N99+'Avg Week URA_SpearMotors'!N99</f>
        <v>0</v>
      </c>
      <c r="O99" s="15">
        <f t="shared" si="35"/>
        <v>19.5</v>
      </c>
      <c r="P99" s="15">
        <f t="shared" si="36"/>
        <v>75.5</v>
      </c>
      <c r="R99" s="8"/>
      <c r="T99"/>
    </row>
    <row r="100" spans="2:20" ht="23.1" customHeight="1" x14ac:dyDescent="0.25">
      <c r="B100" s="25" t="s">
        <v>140</v>
      </c>
      <c r="C100" s="49">
        <f>'Avg Week SpearMotors-URA'!C100+'Avg Week URA_SpearMotors'!C100</f>
        <v>1.5</v>
      </c>
      <c r="D100" s="49">
        <f>'Avg Week SpearMotors-URA'!D100+'Avg Week URA_SpearMotors'!D100</f>
        <v>2</v>
      </c>
      <c r="E100" s="49">
        <f>'Avg Week SpearMotors-URA'!E100+'Avg Week URA_SpearMotors'!E100</f>
        <v>1</v>
      </c>
      <c r="F100" s="49">
        <f>'Avg Week SpearMotors-URA'!F100+'Avg Week URA_SpearMotors'!F100</f>
        <v>12</v>
      </c>
      <c r="G100" s="49">
        <f>'Avg Week SpearMotors-URA'!G100+'Avg Week URA_SpearMotors'!G100</f>
        <v>0</v>
      </c>
      <c r="H100" s="49">
        <f>'Avg Week SpearMotors-URA'!H100+'Avg Week URA_SpearMotors'!H100</f>
        <v>0</v>
      </c>
      <c r="I100" s="49">
        <f>'Avg Week SpearMotors-URA'!I100+'Avg Week URA_SpearMotors'!I100</f>
        <v>3</v>
      </c>
      <c r="J100" s="49">
        <f>'Avg Week SpearMotors-URA'!J100+'Avg Week URA_SpearMotors'!J100</f>
        <v>2</v>
      </c>
      <c r="K100" s="49">
        <f>'Avg Week SpearMotors-URA'!K100+'Avg Week URA_SpearMotors'!K100</f>
        <v>2</v>
      </c>
      <c r="L100" s="49">
        <f>'Avg Week SpearMotors-URA'!L100+'Avg Week URA_SpearMotors'!L100</f>
        <v>1.5</v>
      </c>
      <c r="M100" s="49">
        <f>'Avg Week SpearMotors-URA'!M100+'Avg Week URA_SpearMotors'!M100</f>
        <v>88</v>
      </c>
      <c r="N100" s="49">
        <f>'Avg Week SpearMotors-URA'!N100+'Avg Week URA_SpearMotors'!N100</f>
        <v>0</v>
      </c>
      <c r="O100" s="15">
        <f t="shared" si="35"/>
        <v>25</v>
      </c>
      <c r="P100" s="15">
        <f t="shared" si="36"/>
        <v>113</v>
      </c>
      <c r="R100" s="8"/>
      <c r="T100"/>
    </row>
    <row r="101" spans="2:20" ht="23.1" customHeight="1" x14ac:dyDescent="0.25">
      <c r="B101" s="23" t="s">
        <v>141</v>
      </c>
      <c r="C101" s="49">
        <f>'Avg Week SpearMotors-URA'!C101+'Avg Week URA_SpearMotors'!C101</f>
        <v>6</v>
      </c>
      <c r="D101" s="49">
        <f>'Avg Week SpearMotors-URA'!D101+'Avg Week URA_SpearMotors'!D101</f>
        <v>2</v>
      </c>
      <c r="E101" s="49">
        <f>'Avg Week SpearMotors-URA'!E101+'Avg Week URA_SpearMotors'!E101</f>
        <v>0.5</v>
      </c>
      <c r="F101" s="49">
        <f>'Avg Week SpearMotors-URA'!F101+'Avg Week URA_SpearMotors'!F101</f>
        <v>10</v>
      </c>
      <c r="G101" s="49">
        <f>'Avg Week SpearMotors-URA'!G101+'Avg Week URA_SpearMotors'!G101</f>
        <v>0</v>
      </c>
      <c r="H101" s="49">
        <f>'Avg Week SpearMotors-URA'!H101+'Avg Week URA_SpearMotors'!H101</f>
        <v>0</v>
      </c>
      <c r="I101" s="49">
        <f>'Avg Week SpearMotors-URA'!I101+'Avg Week URA_SpearMotors'!I101</f>
        <v>2</v>
      </c>
      <c r="J101" s="49">
        <f>'Avg Week SpearMotors-URA'!J101+'Avg Week URA_SpearMotors'!J101</f>
        <v>2</v>
      </c>
      <c r="K101" s="49">
        <f>'Avg Week SpearMotors-URA'!K101+'Avg Week URA_SpearMotors'!K101</f>
        <v>0</v>
      </c>
      <c r="L101" s="49">
        <f>'Avg Week SpearMotors-URA'!L101+'Avg Week URA_SpearMotors'!L101</f>
        <v>7.5</v>
      </c>
      <c r="M101" s="49">
        <f>'Avg Week SpearMotors-URA'!M101+'Avg Week URA_SpearMotors'!M101</f>
        <v>103.5</v>
      </c>
      <c r="N101" s="49">
        <f>'Avg Week SpearMotors-URA'!N101+'Avg Week URA_SpearMotors'!N101</f>
        <v>0</v>
      </c>
      <c r="O101" s="15">
        <f t="shared" si="35"/>
        <v>30</v>
      </c>
      <c r="P101" s="15">
        <f t="shared" si="36"/>
        <v>133.5</v>
      </c>
      <c r="R101" s="8"/>
      <c r="T101"/>
    </row>
    <row r="102" spans="2:20" ht="23.1" customHeight="1" x14ac:dyDescent="0.25">
      <c r="B102" s="24" t="s">
        <v>142</v>
      </c>
      <c r="C102" s="49">
        <f>'Avg Week SpearMotors-URA'!C102+'Avg Week URA_SpearMotors'!C102</f>
        <v>10.5</v>
      </c>
      <c r="D102" s="49">
        <f>'Avg Week SpearMotors-URA'!D102+'Avg Week URA_SpearMotors'!D102</f>
        <v>3.5</v>
      </c>
      <c r="E102" s="49">
        <f>'Avg Week SpearMotors-URA'!E102+'Avg Week URA_SpearMotors'!E102</f>
        <v>2</v>
      </c>
      <c r="F102" s="49">
        <f>'Avg Week SpearMotors-URA'!F102+'Avg Week URA_SpearMotors'!F102</f>
        <v>13</v>
      </c>
      <c r="G102" s="49">
        <f>'Avg Week SpearMotors-URA'!G102+'Avg Week URA_SpearMotors'!G102</f>
        <v>1.5</v>
      </c>
      <c r="H102" s="49">
        <f>'Avg Week SpearMotors-URA'!H102+'Avg Week URA_SpearMotors'!H102</f>
        <v>0</v>
      </c>
      <c r="I102" s="49">
        <f>'Avg Week SpearMotors-URA'!I102+'Avg Week URA_SpearMotors'!I102</f>
        <v>1</v>
      </c>
      <c r="J102" s="49">
        <f>'Avg Week SpearMotors-URA'!J102+'Avg Week URA_SpearMotors'!J102</f>
        <v>0</v>
      </c>
      <c r="K102" s="49">
        <f>'Avg Week SpearMotors-URA'!K102+'Avg Week URA_SpearMotors'!K102</f>
        <v>1</v>
      </c>
      <c r="L102" s="49">
        <f>'Avg Week SpearMotors-URA'!L102+'Avg Week URA_SpearMotors'!L102</f>
        <v>9.5</v>
      </c>
      <c r="M102" s="49">
        <f>'Avg Week SpearMotors-URA'!M102+'Avg Week URA_SpearMotors'!M102</f>
        <v>133</v>
      </c>
      <c r="N102" s="49">
        <f>'Avg Week SpearMotors-URA'!N102+'Avg Week URA_SpearMotors'!N102</f>
        <v>0</v>
      </c>
      <c r="O102" s="15">
        <f t="shared" si="35"/>
        <v>42</v>
      </c>
      <c r="P102" s="15">
        <f t="shared" si="36"/>
        <v>175</v>
      </c>
      <c r="R102" s="8"/>
      <c r="T102"/>
    </row>
    <row r="103" spans="2:20" ht="23.1" customHeight="1" x14ac:dyDescent="0.25">
      <c r="B103" s="23" t="s">
        <v>143</v>
      </c>
      <c r="C103" s="49">
        <f>'Avg Week SpearMotors-URA'!C103+'Avg Week URA_SpearMotors'!C103</f>
        <v>20</v>
      </c>
      <c r="D103" s="49">
        <f>'Avg Week SpearMotors-URA'!D103+'Avg Week URA_SpearMotors'!D103</f>
        <v>4.5</v>
      </c>
      <c r="E103" s="49">
        <f>'Avg Week SpearMotors-URA'!E103+'Avg Week URA_SpearMotors'!E103</f>
        <v>4</v>
      </c>
      <c r="F103" s="49">
        <f>'Avg Week SpearMotors-URA'!F103+'Avg Week URA_SpearMotors'!F103</f>
        <v>17</v>
      </c>
      <c r="G103" s="49">
        <f>'Avg Week SpearMotors-URA'!G103+'Avg Week URA_SpearMotors'!G103</f>
        <v>0.5</v>
      </c>
      <c r="H103" s="49">
        <f>'Avg Week SpearMotors-URA'!H103+'Avg Week URA_SpearMotors'!H103</f>
        <v>0</v>
      </c>
      <c r="I103" s="49">
        <f>'Avg Week SpearMotors-URA'!I103+'Avg Week URA_SpearMotors'!I103</f>
        <v>1</v>
      </c>
      <c r="J103" s="49">
        <f>'Avg Week SpearMotors-URA'!J103+'Avg Week URA_SpearMotors'!J103</f>
        <v>0.5</v>
      </c>
      <c r="K103" s="49">
        <f>'Avg Week SpearMotors-URA'!K103+'Avg Week URA_SpearMotors'!K103</f>
        <v>0</v>
      </c>
      <c r="L103" s="49">
        <f>'Avg Week SpearMotors-URA'!L103+'Avg Week URA_SpearMotors'!L103</f>
        <v>7</v>
      </c>
      <c r="M103" s="49">
        <f>'Avg Week SpearMotors-URA'!M103+'Avg Week URA_SpearMotors'!M103</f>
        <v>172.5</v>
      </c>
      <c r="N103" s="49">
        <f>'Avg Week SpearMotors-URA'!N103+'Avg Week URA_SpearMotors'!N103</f>
        <v>0</v>
      </c>
      <c r="O103" s="15">
        <f t="shared" si="35"/>
        <v>54.5</v>
      </c>
      <c r="P103" s="15">
        <f t="shared" si="36"/>
        <v>227</v>
      </c>
      <c r="R103" s="8"/>
      <c r="T103"/>
    </row>
    <row r="104" spans="2:20" ht="23.1" customHeight="1" x14ac:dyDescent="0.25">
      <c r="B104" s="25" t="s">
        <v>144</v>
      </c>
      <c r="C104" s="49">
        <f>'Avg Week SpearMotors-URA'!C104+'Avg Week URA_SpearMotors'!C104</f>
        <v>43.5</v>
      </c>
      <c r="D104" s="49">
        <f>'Avg Week SpearMotors-URA'!D104+'Avg Week URA_SpearMotors'!D104</f>
        <v>17</v>
      </c>
      <c r="E104" s="49">
        <f>'Avg Week SpearMotors-URA'!E104+'Avg Week URA_SpearMotors'!E104</f>
        <v>12.5</v>
      </c>
      <c r="F104" s="49">
        <f>'Avg Week SpearMotors-URA'!F104+'Avg Week URA_SpearMotors'!F104</f>
        <v>41.5</v>
      </c>
      <c r="G104" s="49">
        <f>'Avg Week SpearMotors-URA'!G104+'Avg Week URA_SpearMotors'!G104</f>
        <v>1</v>
      </c>
      <c r="H104" s="49">
        <f>'Avg Week SpearMotors-URA'!H104+'Avg Week URA_SpearMotors'!H104</f>
        <v>0</v>
      </c>
      <c r="I104" s="49">
        <f>'Avg Week SpearMotors-URA'!I104+'Avg Week URA_SpearMotors'!I104</f>
        <v>2</v>
      </c>
      <c r="J104" s="49">
        <f>'Avg Week SpearMotors-URA'!J104+'Avg Week URA_SpearMotors'!J104</f>
        <v>1.5</v>
      </c>
      <c r="K104" s="49">
        <f>'Avg Week SpearMotors-URA'!K104+'Avg Week URA_SpearMotors'!K104</f>
        <v>0.5</v>
      </c>
      <c r="L104" s="49">
        <f>'Avg Week SpearMotors-URA'!L104+'Avg Week URA_SpearMotors'!L104</f>
        <v>3</v>
      </c>
      <c r="M104" s="49">
        <f>'Avg Week SpearMotors-URA'!M104+'Avg Week URA_SpearMotors'!M104</f>
        <v>194</v>
      </c>
      <c r="N104" s="49">
        <f>'Avg Week SpearMotors-URA'!N104+'Avg Week URA_SpearMotors'!N104</f>
        <v>0</v>
      </c>
      <c r="O104" s="15">
        <f t="shared" si="35"/>
        <v>122.5</v>
      </c>
      <c r="P104" s="15">
        <f t="shared" si="36"/>
        <v>316.5</v>
      </c>
      <c r="R104" s="8"/>
      <c r="T104"/>
    </row>
    <row r="105" spans="2:20" ht="23.1" customHeight="1" x14ac:dyDescent="0.25">
      <c r="B105" s="23" t="s">
        <v>145</v>
      </c>
      <c r="C105" s="49">
        <f>'Avg Week SpearMotors-URA'!C105+'Avg Week URA_SpearMotors'!C105</f>
        <v>40</v>
      </c>
      <c r="D105" s="49">
        <f>'Avg Week SpearMotors-URA'!D105+'Avg Week URA_SpearMotors'!D105</f>
        <v>12</v>
      </c>
      <c r="E105" s="49">
        <f>'Avg Week SpearMotors-URA'!E105+'Avg Week URA_SpearMotors'!E105</f>
        <v>5.5</v>
      </c>
      <c r="F105" s="49">
        <f>'Avg Week SpearMotors-URA'!F105+'Avg Week URA_SpearMotors'!F105</f>
        <v>30</v>
      </c>
      <c r="G105" s="49">
        <f>'Avg Week SpearMotors-URA'!G105+'Avg Week URA_SpearMotors'!G105</f>
        <v>1</v>
      </c>
      <c r="H105" s="49">
        <f>'Avg Week SpearMotors-URA'!H105+'Avg Week URA_SpearMotors'!H105</f>
        <v>0</v>
      </c>
      <c r="I105" s="49">
        <f>'Avg Week SpearMotors-URA'!I105+'Avg Week URA_SpearMotors'!I105</f>
        <v>1.5</v>
      </c>
      <c r="J105" s="49">
        <f>'Avg Week SpearMotors-URA'!J105+'Avg Week URA_SpearMotors'!J105</f>
        <v>2</v>
      </c>
      <c r="K105" s="49">
        <f>'Avg Week SpearMotors-URA'!K105+'Avg Week URA_SpearMotors'!K105</f>
        <v>0.5</v>
      </c>
      <c r="L105" s="49">
        <f>'Avg Week SpearMotors-URA'!L105+'Avg Week URA_SpearMotors'!L105</f>
        <v>3</v>
      </c>
      <c r="M105" s="49">
        <f>'Avg Week SpearMotors-URA'!M105+'Avg Week URA_SpearMotors'!M105</f>
        <v>153.5</v>
      </c>
      <c r="N105" s="49">
        <f>'Avg Week SpearMotors-URA'!N105+'Avg Week URA_SpearMotors'!N105</f>
        <v>0</v>
      </c>
      <c r="O105" s="15">
        <f t="shared" si="35"/>
        <v>95.5</v>
      </c>
      <c r="P105" s="15">
        <f t="shared" si="36"/>
        <v>249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5029.5714285714275</v>
      </c>
      <c r="D106" s="16">
        <f t="shared" ref="D106:P106" si="37">SUM(D10:D105)</f>
        <v>1264.2857142857142</v>
      </c>
      <c r="E106" s="16">
        <f t="shared" si="37"/>
        <v>774.14285714285722</v>
      </c>
      <c r="F106" s="16">
        <f t="shared" si="37"/>
        <v>1009.0000000000001</v>
      </c>
      <c r="G106" s="16">
        <f t="shared" si="37"/>
        <v>117.99999999999999</v>
      </c>
      <c r="H106" s="16">
        <f t="shared" si="37"/>
        <v>9.071428571428573</v>
      </c>
      <c r="I106" s="16">
        <f t="shared" si="37"/>
        <v>401.57142857142856</v>
      </c>
      <c r="J106" s="16">
        <f t="shared" si="37"/>
        <v>202.3571428571428</v>
      </c>
      <c r="K106" s="16">
        <f t="shared" si="37"/>
        <v>141.35714285714283</v>
      </c>
      <c r="L106" s="16">
        <f t="shared" si="37"/>
        <v>293.71428571428567</v>
      </c>
      <c r="M106" s="16">
        <f t="shared" si="37"/>
        <v>16329.142857142857</v>
      </c>
      <c r="N106" s="16">
        <f t="shared" si="37"/>
        <v>0.85714285714285698</v>
      </c>
      <c r="O106" s="16">
        <f t="shared" si="37"/>
        <v>9243.9285714285688</v>
      </c>
      <c r="P106" s="16">
        <f t="shared" si="37"/>
        <v>25573.071428571428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0.19667451532443442</v>
      </c>
      <c r="D107" s="43">
        <f t="shared" si="38"/>
        <v>4.9438164587191323E-2</v>
      </c>
      <c r="E107" s="43">
        <f t="shared" si="38"/>
        <v>3.0271798180563823E-2</v>
      </c>
      <c r="F107" s="43">
        <f t="shared" si="38"/>
        <v>3.9455565703879363E-2</v>
      </c>
      <c r="G107" s="43">
        <f t="shared" si="38"/>
        <v>4.6142286948045235E-3</v>
      </c>
      <c r="H107" s="43">
        <f t="shared" si="38"/>
        <v>3.5472581370470617E-4</v>
      </c>
      <c r="I107" s="43">
        <f t="shared" si="38"/>
        <v>1.570290176888077E-2</v>
      </c>
      <c r="J107" s="43">
        <f t="shared" si="38"/>
        <v>7.9128994505939538E-3</v>
      </c>
      <c r="K107" s="43">
        <f t="shared" si="38"/>
        <v>5.5275778371780574E-3</v>
      </c>
      <c r="L107" s="43">
        <f t="shared" si="38"/>
        <v>1.1485295637431113E-2</v>
      </c>
      <c r="M107" s="43">
        <f t="shared" si="38"/>
        <v>0.63852880960161784</v>
      </c>
      <c r="N107" s="43">
        <f t="shared" si="38"/>
        <v>3.3517399720129708E-5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0.54409457945369555</v>
      </c>
      <c r="D108" s="44">
        <f t="shared" ref="D108:N108" si="39">D106/$O$106</f>
        <v>0.13676930804002629</v>
      </c>
      <c r="E108" s="44">
        <f t="shared" si="39"/>
        <v>8.37460881659777E-2</v>
      </c>
      <c r="F108" s="44">
        <f t="shared" si="39"/>
        <v>0.10915272572731141</v>
      </c>
      <c r="G108" s="44">
        <f t="shared" si="39"/>
        <v>1.2765135417069121E-2</v>
      </c>
      <c r="H108" s="44">
        <f t="shared" si="39"/>
        <v>9.8133910288606459E-4</v>
      </c>
      <c r="I108" s="44">
        <f t="shared" si="39"/>
        <v>4.3441641231696491E-2</v>
      </c>
      <c r="J108" s="44">
        <f t="shared" si="39"/>
        <v>2.1890816365954489E-2</v>
      </c>
      <c r="K108" s="44">
        <f t="shared" si="39"/>
        <v>1.5291890430011978E-2</v>
      </c>
      <c r="L108" s="44">
        <f t="shared" si="39"/>
        <v>3.177375111076769E-2</v>
      </c>
      <c r="M108" s="44"/>
      <c r="N108" s="44">
        <f t="shared" si="39"/>
        <v>9.2724954603407649E-5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29.07 Spear Motors -URA</vt:lpstr>
      <vt:lpstr>29.07 URA-Spear Motors</vt:lpstr>
      <vt:lpstr>30.07 Spear Motors-URA</vt:lpstr>
      <vt:lpstr>30.07 URA-Spear Motors</vt:lpstr>
      <vt:lpstr>31.07 Spear Motors-URA</vt:lpstr>
      <vt:lpstr>31.07 URA-Spear Motors</vt:lpstr>
      <vt:lpstr>01.08 Spear Motors-URA-24h</vt:lpstr>
      <vt:lpstr>01.08 URA-Spear Motors-24h</vt:lpstr>
      <vt:lpstr>02.08 Spear Motors-URA</vt:lpstr>
      <vt:lpstr>02.08 URA-Spear Motors</vt:lpstr>
      <vt:lpstr>03.08 Spear Motors-URA-24h</vt:lpstr>
      <vt:lpstr>03.08 URA-Spear Motors-24h</vt:lpstr>
      <vt:lpstr>04.08 Spear Motors-URA</vt:lpstr>
      <vt:lpstr>04.08 URA-Spear Motors</vt:lpstr>
      <vt:lpstr>Avg Week SpearMotors-URA</vt:lpstr>
      <vt:lpstr>Avg Week URA_SpearMotors</vt:lpstr>
      <vt:lpstr>Avg Week SpearMotors-URA-2Dir</vt:lpstr>
      <vt:lpstr>'01.08 Spear Motors-URA-24h'!Print_Area</vt:lpstr>
      <vt:lpstr>'01.08 URA-Spear Motors-24h'!Print_Area</vt:lpstr>
      <vt:lpstr>'02.08 Spear Motors-URA'!Print_Area</vt:lpstr>
      <vt:lpstr>'02.08 URA-Spear Motors'!Print_Area</vt:lpstr>
      <vt:lpstr>'03.08 Spear Motors-URA-24h'!Print_Area</vt:lpstr>
      <vt:lpstr>'03.08 URA-Spear Motors-24h'!Print_Area</vt:lpstr>
      <vt:lpstr>'04.08 Spear Motors-URA'!Print_Area</vt:lpstr>
      <vt:lpstr>'04.08 URA-Spear Motors'!Print_Area</vt:lpstr>
      <vt:lpstr>'29.07 Spear Motors -URA'!Print_Area</vt:lpstr>
      <vt:lpstr>'29.07 URA-Spear Motors'!Print_Area</vt:lpstr>
      <vt:lpstr>'30.07 Spear Motors-URA'!Print_Area</vt:lpstr>
      <vt:lpstr>'30.07 URA-Spear Motors'!Print_Area</vt:lpstr>
      <vt:lpstr>'31.07 Spear Motors-URA'!Print_Area</vt:lpstr>
      <vt:lpstr>'31.07 URA-Spear Motors'!Print_Area</vt:lpstr>
      <vt:lpstr>'Avg Week SpearMotors-URA'!Print_Area</vt:lpstr>
      <vt:lpstr>'Avg Week SpearMotors-URA-2Dir'!Print_Area</vt:lpstr>
      <vt:lpstr>'Avg Week URA_SpearMotors'!Print_Area</vt:lpstr>
      <vt:lpstr>'01.08 Spear Motors-URA-24h'!Print_Titles</vt:lpstr>
      <vt:lpstr>'01.08 URA-Spear Motors-24h'!Print_Titles</vt:lpstr>
      <vt:lpstr>'02.08 Spear Motors-URA'!Print_Titles</vt:lpstr>
      <vt:lpstr>'02.08 URA-Spear Motors'!Print_Titles</vt:lpstr>
      <vt:lpstr>'03.08 Spear Motors-URA-24h'!Print_Titles</vt:lpstr>
      <vt:lpstr>'03.08 URA-Spear Motors-24h'!Print_Titles</vt:lpstr>
      <vt:lpstr>'04.08 Spear Motors-URA'!Print_Titles</vt:lpstr>
      <vt:lpstr>'04.08 URA-Spear Motors'!Print_Titles</vt:lpstr>
      <vt:lpstr>'29.07 Spear Motors -URA'!Print_Titles</vt:lpstr>
      <vt:lpstr>'29.07 URA-Spear Motors'!Print_Titles</vt:lpstr>
      <vt:lpstr>'30.07 Spear Motors-URA'!Print_Titles</vt:lpstr>
      <vt:lpstr>'30.07 URA-Spear Motors'!Print_Titles</vt:lpstr>
      <vt:lpstr>'31.07 Spear Motors-URA'!Print_Titles</vt:lpstr>
      <vt:lpstr>'31.07 URA-Spear Motors'!Print_Titles</vt:lpstr>
      <vt:lpstr>'Avg Week SpearMotors-URA'!Print_Titles</vt:lpstr>
      <vt:lpstr>'Avg Week SpearMotors-URA-2Dir'!Print_Titles</vt:lpstr>
      <vt:lpstr>'Avg Week URA_SpearMotors'!Print_Titles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2020-01-15T18:22:45Z</dcterms:modified>
</cp:coreProperties>
</file>