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8.xml" ContentType="application/vnd.openxmlformats-officedocument.drawing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9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10.xml" ContentType="application/vnd.openxmlformats-officedocument.drawing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LAN\Desktop\C-1 Analysis Complete\STN-C1-RD-6-WANKULUKUKU ROAD\MCC DATA\"/>
    </mc:Choice>
  </mc:AlternateContent>
  <bookViews>
    <workbookView xWindow="-120" yWindow="-120" windowWidth="20730" windowHeight="11160" tabRatio="912" firstSheet="14" activeTab="16"/>
  </bookViews>
  <sheets>
    <sheet name="22.07 Kitebi-Kabusu" sheetId="93" r:id="rId1"/>
    <sheet name="22.07 Kabusu-Kitebi" sheetId="94" r:id="rId2"/>
    <sheet name="23.07 Kitebi-Kabusu" sheetId="95" r:id="rId3"/>
    <sheet name="23.07 Kabusu-Kitebi" sheetId="96" r:id="rId4"/>
    <sheet name="24.07 Kitebi-Kabusu" sheetId="97" r:id="rId5"/>
    <sheet name="24.07 Kabusu-Kitebi" sheetId="98" r:id="rId6"/>
    <sheet name="25.07 Kabusu-Kitebi" sheetId="99" r:id="rId7"/>
    <sheet name="25.07 Kitebi-Kabusu" sheetId="100" r:id="rId8"/>
    <sheet name="26.07 Kitebi-Kabusu-24" sheetId="101" r:id="rId9"/>
    <sheet name="26.07 Kabusu-Kitebi-24" sheetId="109" r:id="rId10"/>
    <sheet name="27.07 Kitebi-Kabusu-24h" sheetId="105" r:id="rId11"/>
    <sheet name="27.07 Kabusu-Kitebi-24h" sheetId="110" r:id="rId12"/>
    <sheet name="28.07 Kitebi-Kabusu" sheetId="103" r:id="rId13"/>
    <sheet name="28.07 Kabusu-Kitebi" sheetId="104" r:id="rId14"/>
    <sheet name="Avg Kitebi-Kabusu" sheetId="107" r:id="rId15"/>
    <sheet name="Avg Week Kabusu-Kitebi" sheetId="108" r:id="rId16"/>
    <sheet name="Avg Week Kitebi-Kabusu-2Dir" sheetId="111" r:id="rId17"/>
  </sheets>
  <externalReferences>
    <externalReference r:id="rId18"/>
  </externalReferences>
  <definedNames>
    <definedName name="_xlnm.Print_Area" localSheetId="1">'22.07 Kabusu-Kitebi'!$A$1:$AF$60</definedName>
    <definedName name="_xlnm.Print_Area" localSheetId="0">'22.07 Kitebi-Kabusu'!$A$1:$AF$60</definedName>
    <definedName name="_xlnm.Print_Area" localSheetId="3">'23.07 Kabusu-Kitebi'!$A$1:$AF$60</definedName>
    <definedName name="_xlnm.Print_Area" localSheetId="2">'23.07 Kitebi-Kabusu'!$A$1:$AF$60</definedName>
    <definedName name="_xlnm.Print_Area" localSheetId="5">'24.07 Kabusu-Kitebi'!$A$1:$AF$60</definedName>
    <definedName name="_xlnm.Print_Area" localSheetId="4">'24.07 Kitebi-Kabusu'!$A$1:$AF$60</definedName>
    <definedName name="_xlnm.Print_Area" localSheetId="6">'25.07 Kabusu-Kitebi'!$A$1:$AF$60</definedName>
    <definedName name="_xlnm.Print_Area" localSheetId="7">'25.07 Kitebi-Kabusu'!$A$1:$AF$60</definedName>
    <definedName name="_xlnm.Print_Area" localSheetId="9">'26.07 Kabusu-Kitebi-24'!$A$1:$AF$108</definedName>
    <definedName name="_xlnm.Print_Area" localSheetId="8">'26.07 Kitebi-Kabusu-24'!$A$1:$AF$108</definedName>
    <definedName name="_xlnm.Print_Area" localSheetId="11">'27.07 Kabusu-Kitebi-24h'!$A$1:$AF$108</definedName>
    <definedName name="_xlnm.Print_Area" localSheetId="10">'27.07 Kitebi-Kabusu-24h'!$A$1:$AF$108</definedName>
    <definedName name="_xlnm.Print_Area" localSheetId="13">'28.07 Kabusu-Kitebi'!$A$1:$AF$60</definedName>
    <definedName name="_xlnm.Print_Area" localSheetId="12">'28.07 Kitebi-Kabusu'!$A$1:$AF$60</definedName>
    <definedName name="_xlnm.Print_Area" localSheetId="14">'Avg Kitebi-Kabusu'!$A$1:$AF$108</definedName>
    <definedName name="_xlnm.Print_Area" localSheetId="15">'Avg Week Kabusu-Kitebi'!$A$1:$AF$108</definedName>
    <definedName name="_xlnm.Print_Area" localSheetId="16">'Avg Week Kitebi-Kabusu-2Dir'!$A$1:$AF$108</definedName>
    <definedName name="_xlnm.Print_Titles" localSheetId="1">'22.07 Kabusu-Kitebi'!$1:$8</definedName>
    <definedName name="_xlnm.Print_Titles" localSheetId="0">'22.07 Kitebi-Kabusu'!$1:$8</definedName>
    <definedName name="_xlnm.Print_Titles" localSheetId="3">'23.07 Kabusu-Kitebi'!$1:$8</definedName>
    <definedName name="_xlnm.Print_Titles" localSheetId="2">'23.07 Kitebi-Kabusu'!$1:$8</definedName>
    <definedName name="_xlnm.Print_Titles" localSheetId="5">'24.07 Kabusu-Kitebi'!$1:$8</definedName>
    <definedName name="_xlnm.Print_Titles" localSheetId="4">'24.07 Kitebi-Kabusu'!$1:$8</definedName>
    <definedName name="_xlnm.Print_Titles" localSheetId="6">'25.07 Kabusu-Kitebi'!$1:$8</definedName>
    <definedName name="_xlnm.Print_Titles" localSheetId="7">'25.07 Kitebi-Kabusu'!$1:$8</definedName>
    <definedName name="_xlnm.Print_Titles" localSheetId="9">'26.07 Kabusu-Kitebi-24'!$1:$8</definedName>
    <definedName name="_xlnm.Print_Titles" localSheetId="8">'26.07 Kitebi-Kabusu-24'!$1:$8</definedName>
    <definedName name="_xlnm.Print_Titles" localSheetId="11">'27.07 Kabusu-Kitebi-24h'!$1:$8</definedName>
    <definedName name="_xlnm.Print_Titles" localSheetId="10">'27.07 Kitebi-Kabusu-24h'!$1:$8</definedName>
    <definedName name="_xlnm.Print_Titles" localSheetId="13">'28.07 Kabusu-Kitebi'!$1:$8</definedName>
    <definedName name="_xlnm.Print_Titles" localSheetId="12">'28.07 Kitebi-Kabusu'!$1:$8</definedName>
    <definedName name="_xlnm.Print_Titles" localSheetId="14">'Avg Kitebi-Kabusu'!$1:$8</definedName>
    <definedName name="_xlnm.Print_Titles" localSheetId="15">'Avg Week Kabusu-Kitebi'!$1:$8</definedName>
    <definedName name="_xlnm.Print_Titles" localSheetId="16">'Avg Week Kitebi-Kabusu-2Dir'!$1:$8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C41" i="111" l="1"/>
  <c r="W33" i="108" l="1"/>
  <c r="Y26" i="108"/>
  <c r="T24" i="108"/>
  <c r="C61" i="111"/>
  <c r="H71" i="111"/>
  <c r="I77" i="111"/>
  <c r="J84" i="111"/>
  <c r="I85" i="111"/>
  <c r="N85" i="111"/>
  <c r="J88" i="111"/>
  <c r="J92" i="111"/>
  <c r="K94" i="111"/>
  <c r="C95" i="111"/>
  <c r="F97" i="111"/>
  <c r="E100" i="111"/>
  <c r="C101" i="111"/>
  <c r="J102" i="111"/>
  <c r="F103" i="111"/>
  <c r="D103" i="108"/>
  <c r="C59" i="108"/>
  <c r="D59" i="108"/>
  <c r="E59" i="108"/>
  <c r="F59" i="108"/>
  <c r="G59" i="108"/>
  <c r="H59" i="108"/>
  <c r="I59" i="108"/>
  <c r="J59" i="108"/>
  <c r="K59" i="108"/>
  <c r="L59" i="108"/>
  <c r="M59" i="108"/>
  <c r="N59" i="108"/>
  <c r="C60" i="108"/>
  <c r="D60" i="108"/>
  <c r="E60" i="108"/>
  <c r="F60" i="108"/>
  <c r="G60" i="108"/>
  <c r="H60" i="108"/>
  <c r="I60" i="108"/>
  <c r="J60" i="108"/>
  <c r="K60" i="108"/>
  <c r="K60" i="111" s="1"/>
  <c r="L60" i="108"/>
  <c r="M60" i="108"/>
  <c r="N60" i="108"/>
  <c r="C61" i="108"/>
  <c r="D61" i="108"/>
  <c r="E61" i="108"/>
  <c r="F61" i="108"/>
  <c r="G61" i="108"/>
  <c r="H61" i="108"/>
  <c r="I61" i="108"/>
  <c r="J61" i="108"/>
  <c r="K61" i="108"/>
  <c r="L61" i="108"/>
  <c r="M61" i="108"/>
  <c r="N61" i="108"/>
  <c r="C62" i="108"/>
  <c r="D62" i="108"/>
  <c r="E62" i="108"/>
  <c r="F62" i="108"/>
  <c r="G62" i="108"/>
  <c r="H62" i="108"/>
  <c r="I62" i="108"/>
  <c r="J62" i="108"/>
  <c r="K62" i="108"/>
  <c r="L62" i="108"/>
  <c r="M62" i="108"/>
  <c r="N62" i="108"/>
  <c r="C63" i="108"/>
  <c r="D63" i="108"/>
  <c r="E63" i="108"/>
  <c r="F63" i="108"/>
  <c r="G63" i="108"/>
  <c r="H63" i="108"/>
  <c r="I63" i="108"/>
  <c r="J63" i="108"/>
  <c r="K63" i="108"/>
  <c r="L63" i="108"/>
  <c r="M63" i="108"/>
  <c r="N63" i="108"/>
  <c r="C64" i="108"/>
  <c r="D64" i="108"/>
  <c r="E64" i="108"/>
  <c r="F64" i="108"/>
  <c r="G64" i="108"/>
  <c r="H64" i="108"/>
  <c r="I64" i="108"/>
  <c r="J64" i="108"/>
  <c r="K64" i="108"/>
  <c r="L64" i="108"/>
  <c r="M64" i="108"/>
  <c r="N64" i="108"/>
  <c r="C65" i="108"/>
  <c r="D65" i="108"/>
  <c r="E65" i="108"/>
  <c r="F65" i="108"/>
  <c r="G65" i="108"/>
  <c r="H65" i="108"/>
  <c r="I65" i="108"/>
  <c r="J65" i="108"/>
  <c r="K65" i="108"/>
  <c r="L65" i="108"/>
  <c r="M65" i="108"/>
  <c r="N65" i="108"/>
  <c r="C66" i="108"/>
  <c r="D66" i="108"/>
  <c r="E66" i="108"/>
  <c r="F66" i="108"/>
  <c r="G66" i="108"/>
  <c r="H66" i="108"/>
  <c r="X24" i="108" s="1"/>
  <c r="I66" i="108"/>
  <c r="J66" i="108"/>
  <c r="K66" i="108"/>
  <c r="L66" i="108"/>
  <c r="M66" i="108"/>
  <c r="N66" i="108"/>
  <c r="C67" i="108"/>
  <c r="D67" i="108"/>
  <c r="E67" i="108"/>
  <c r="F67" i="108"/>
  <c r="G67" i="108"/>
  <c r="H67" i="108"/>
  <c r="I67" i="108"/>
  <c r="J67" i="108"/>
  <c r="K67" i="108"/>
  <c r="L67" i="108"/>
  <c r="M67" i="108"/>
  <c r="N67" i="108"/>
  <c r="C68" i="108"/>
  <c r="D68" i="108"/>
  <c r="E68" i="108"/>
  <c r="F68" i="108"/>
  <c r="G68" i="108"/>
  <c r="H68" i="108"/>
  <c r="I68" i="108"/>
  <c r="J68" i="108"/>
  <c r="K68" i="108"/>
  <c r="L68" i="108"/>
  <c r="M68" i="108"/>
  <c r="N68" i="108"/>
  <c r="C69" i="108"/>
  <c r="D69" i="108"/>
  <c r="E69" i="108"/>
  <c r="F69" i="108"/>
  <c r="G69" i="108"/>
  <c r="H69" i="108"/>
  <c r="I69" i="108"/>
  <c r="J69" i="108"/>
  <c r="K69" i="108"/>
  <c r="L69" i="108"/>
  <c r="M69" i="108"/>
  <c r="N69" i="108"/>
  <c r="C70" i="108"/>
  <c r="D70" i="108"/>
  <c r="E70" i="108"/>
  <c r="F70" i="108"/>
  <c r="G70" i="108"/>
  <c r="H70" i="108"/>
  <c r="I70" i="108"/>
  <c r="J70" i="108"/>
  <c r="K70" i="108"/>
  <c r="L70" i="108"/>
  <c r="M70" i="108"/>
  <c r="N70" i="108"/>
  <c r="C71" i="108"/>
  <c r="D71" i="108"/>
  <c r="E71" i="108"/>
  <c r="F71" i="108"/>
  <c r="G71" i="108"/>
  <c r="H71" i="108"/>
  <c r="I71" i="108"/>
  <c r="J71" i="108"/>
  <c r="K71" i="108"/>
  <c r="L71" i="108"/>
  <c r="M71" i="108"/>
  <c r="N71" i="108"/>
  <c r="C72" i="108"/>
  <c r="D72" i="108"/>
  <c r="E72" i="108"/>
  <c r="F72" i="108"/>
  <c r="G72" i="108"/>
  <c r="H72" i="108"/>
  <c r="I72" i="108"/>
  <c r="J72" i="108"/>
  <c r="K72" i="108"/>
  <c r="L72" i="108"/>
  <c r="M72" i="108"/>
  <c r="N72" i="108"/>
  <c r="C73" i="108"/>
  <c r="D73" i="108"/>
  <c r="E73" i="108"/>
  <c r="F73" i="108"/>
  <c r="G73" i="108"/>
  <c r="H73" i="108"/>
  <c r="I73" i="108"/>
  <c r="J73" i="108"/>
  <c r="K73" i="108"/>
  <c r="L73" i="108"/>
  <c r="M73" i="108"/>
  <c r="N73" i="108"/>
  <c r="C74" i="108"/>
  <c r="D74" i="108"/>
  <c r="E74" i="108"/>
  <c r="F74" i="108"/>
  <c r="G74" i="108"/>
  <c r="H74" i="108"/>
  <c r="I74" i="108"/>
  <c r="J74" i="108"/>
  <c r="K74" i="108"/>
  <c r="L74" i="108"/>
  <c r="M74" i="108"/>
  <c r="AC26" i="108" s="1"/>
  <c r="N74" i="108"/>
  <c r="C75" i="108"/>
  <c r="D75" i="108"/>
  <c r="E75" i="108"/>
  <c r="F75" i="108"/>
  <c r="G75" i="108"/>
  <c r="H75" i="108"/>
  <c r="I75" i="108"/>
  <c r="J75" i="108"/>
  <c r="K75" i="108"/>
  <c r="L75" i="108"/>
  <c r="M75" i="108"/>
  <c r="N75" i="108"/>
  <c r="C76" i="108"/>
  <c r="D76" i="108"/>
  <c r="E76" i="108"/>
  <c r="F76" i="108"/>
  <c r="G76" i="108"/>
  <c r="H76" i="108"/>
  <c r="I76" i="108"/>
  <c r="J76" i="108"/>
  <c r="K76" i="108"/>
  <c r="L76" i="108"/>
  <c r="M76" i="108"/>
  <c r="N76" i="108"/>
  <c r="C77" i="108"/>
  <c r="D77" i="108"/>
  <c r="E77" i="108"/>
  <c r="F77" i="108"/>
  <c r="G77" i="108"/>
  <c r="H77" i="108"/>
  <c r="I77" i="108"/>
  <c r="J77" i="108"/>
  <c r="K77" i="108"/>
  <c r="L77" i="108"/>
  <c r="M77" i="108"/>
  <c r="N77" i="108"/>
  <c r="C78" i="108"/>
  <c r="D78" i="108"/>
  <c r="E78" i="108"/>
  <c r="F78" i="108"/>
  <c r="G78" i="108"/>
  <c r="H78" i="108"/>
  <c r="I78" i="108"/>
  <c r="J78" i="108"/>
  <c r="K78" i="108"/>
  <c r="L78" i="108"/>
  <c r="M78" i="108"/>
  <c r="N78" i="108"/>
  <c r="C79" i="108"/>
  <c r="D79" i="108"/>
  <c r="E79" i="108"/>
  <c r="F79" i="108"/>
  <c r="G79" i="108"/>
  <c r="H79" i="108"/>
  <c r="I79" i="108"/>
  <c r="J79" i="108"/>
  <c r="K79" i="108"/>
  <c r="L79" i="108"/>
  <c r="M79" i="108"/>
  <c r="N79" i="108"/>
  <c r="C80" i="108"/>
  <c r="D80" i="108"/>
  <c r="E80" i="108"/>
  <c r="F80" i="108"/>
  <c r="G80" i="108"/>
  <c r="H80" i="108"/>
  <c r="I80" i="108"/>
  <c r="J80" i="108"/>
  <c r="K80" i="108"/>
  <c r="L80" i="108"/>
  <c r="M80" i="108"/>
  <c r="N80" i="108"/>
  <c r="C81" i="108"/>
  <c r="D81" i="108"/>
  <c r="E81" i="108"/>
  <c r="F81" i="108"/>
  <c r="G81" i="108"/>
  <c r="H81" i="108"/>
  <c r="I81" i="108"/>
  <c r="J81" i="108"/>
  <c r="K81" i="108"/>
  <c r="L81" i="108"/>
  <c r="M81" i="108"/>
  <c r="N81" i="108"/>
  <c r="C82" i="108"/>
  <c r="D82" i="108"/>
  <c r="E82" i="108"/>
  <c r="F82" i="108"/>
  <c r="G82" i="108"/>
  <c r="H82" i="108"/>
  <c r="I82" i="108"/>
  <c r="J82" i="108"/>
  <c r="K82" i="108"/>
  <c r="L82" i="108"/>
  <c r="M82" i="108"/>
  <c r="N82" i="108"/>
  <c r="C83" i="108"/>
  <c r="D83" i="108"/>
  <c r="E83" i="108"/>
  <c r="F83" i="108"/>
  <c r="G83" i="108"/>
  <c r="H83" i="108"/>
  <c r="I83" i="108"/>
  <c r="J83" i="108"/>
  <c r="K83" i="108"/>
  <c r="L83" i="108"/>
  <c r="M83" i="108"/>
  <c r="N83" i="108"/>
  <c r="C84" i="108"/>
  <c r="D84" i="108"/>
  <c r="E84" i="108"/>
  <c r="F84" i="108"/>
  <c r="G84" i="108"/>
  <c r="H84" i="108"/>
  <c r="I84" i="108"/>
  <c r="J84" i="108"/>
  <c r="K84" i="108"/>
  <c r="L84" i="108"/>
  <c r="M84" i="108"/>
  <c r="N84" i="108"/>
  <c r="C85" i="108"/>
  <c r="D85" i="108"/>
  <c r="E85" i="108"/>
  <c r="F85" i="108"/>
  <c r="G85" i="108"/>
  <c r="H85" i="108"/>
  <c r="I85" i="108"/>
  <c r="J85" i="108"/>
  <c r="K85" i="108"/>
  <c r="L85" i="108"/>
  <c r="M85" i="108"/>
  <c r="N85" i="108"/>
  <c r="C86" i="108"/>
  <c r="D86" i="108"/>
  <c r="E86" i="108"/>
  <c r="F86" i="108"/>
  <c r="G86" i="108"/>
  <c r="H86" i="108"/>
  <c r="I86" i="108"/>
  <c r="J86" i="108"/>
  <c r="K86" i="108"/>
  <c r="L86" i="108"/>
  <c r="M86" i="108"/>
  <c r="N86" i="108"/>
  <c r="C87" i="108"/>
  <c r="D87" i="108"/>
  <c r="E87" i="108"/>
  <c r="F87" i="108"/>
  <c r="G87" i="108"/>
  <c r="H87" i="108"/>
  <c r="I87" i="108"/>
  <c r="J87" i="108"/>
  <c r="K87" i="108"/>
  <c r="L87" i="108"/>
  <c r="M87" i="108"/>
  <c r="N87" i="108"/>
  <c r="C88" i="108"/>
  <c r="D88" i="108"/>
  <c r="E88" i="108"/>
  <c r="F88" i="108"/>
  <c r="G88" i="108"/>
  <c r="H88" i="108"/>
  <c r="I88" i="108"/>
  <c r="J88" i="108"/>
  <c r="K88" i="108"/>
  <c r="L88" i="108"/>
  <c r="M88" i="108"/>
  <c r="N88" i="108"/>
  <c r="C89" i="108"/>
  <c r="D89" i="108"/>
  <c r="E89" i="108"/>
  <c r="F89" i="108"/>
  <c r="G89" i="108"/>
  <c r="H89" i="108"/>
  <c r="I89" i="108"/>
  <c r="J89" i="108"/>
  <c r="K89" i="108"/>
  <c r="L89" i="108"/>
  <c r="M89" i="108"/>
  <c r="N89" i="108"/>
  <c r="C90" i="108"/>
  <c r="D90" i="108"/>
  <c r="E90" i="108"/>
  <c r="F90" i="108"/>
  <c r="G90" i="108"/>
  <c r="H90" i="108"/>
  <c r="I90" i="108"/>
  <c r="J90" i="108"/>
  <c r="K90" i="108"/>
  <c r="AA30" i="108" s="1"/>
  <c r="L90" i="108"/>
  <c r="M90" i="108"/>
  <c r="N90" i="108"/>
  <c r="C91" i="108"/>
  <c r="D91" i="108"/>
  <c r="E91" i="108"/>
  <c r="F91" i="108"/>
  <c r="G91" i="108"/>
  <c r="H91" i="108"/>
  <c r="I91" i="108"/>
  <c r="J91" i="108"/>
  <c r="K91" i="108"/>
  <c r="L91" i="108"/>
  <c r="M91" i="108"/>
  <c r="N91" i="108"/>
  <c r="C92" i="108"/>
  <c r="D92" i="108"/>
  <c r="E92" i="108"/>
  <c r="F92" i="108"/>
  <c r="G92" i="108"/>
  <c r="H92" i="108"/>
  <c r="I92" i="108"/>
  <c r="J92" i="108"/>
  <c r="K92" i="108"/>
  <c r="L92" i="108"/>
  <c r="M92" i="108"/>
  <c r="N92" i="108"/>
  <c r="C93" i="108"/>
  <c r="D93" i="108"/>
  <c r="E93" i="108"/>
  <c r="F93" i="108"/>
  <c r="G93" i="108"/>
  <c r="H93" i="108"/>
  <c r="I93" i="108"/>
  <c r="J93" i="108"/>
  <c r="K93" i="108"/>
  <c r="L93" i="108"/>
  <c r="M93" i="108"/>
  <c r="N93" i="108"/>
  <c r="C94" i="108"/>
  <c r="D94" i="108"/>
  <c r="E94" i="108"/>
  <c r="F94" i="108"/>
  <c r="G94" i="108"/>
  <c r="H94" i="108"/>
  <c r="I94" i="108"/>
  <c r="J94" i="108"/>
  <c r="K94" i="108"/>
  <c r="L94" i="108"/>
  <c r="M94" i="108"/>
  <c r="N94" i="108"/>
  <c r="C95" i="108"/>
  <c r="D95" i="108"/>
  <c r="E95" i="108"/>
  <c r="F95" i="108"/>
  <c r="G95" i="108"/>
  <c r="H95" i="108"/>
  <c r="I95" i="108"/>
  <c r="J95" i="108"/>
  <c r="K95" i="108"/>
  <c r="L95" i="108"/>
  <c r="M95" i="108"/>
  <c r="N95" i="108"/>
  <c r="C96" i="108"/>
  <c r="D96" i="108"/>
  <c r="E96" i="108"/>
  <c r="F96" i="108"/>
  <c r="G96" i="108"/>
  <c r="H96" i="108"/>
  <c r="I96" i="108"/>
  <c r="J96" i="108"/>
  <c r="K96" i="108"/>
  <c r="L96" i="108"/>
  <c r="M96" i="108"/>
  <c r="N96" i="108"/>
  <c r="C97" i="108"/>
  <c r="D97" i="108"/>
  <c r="E97" i="108"/>
  <c r="F97" i="108"/>
  <c r="G97" i="108"/>
  <c r="H97" i="108"/>
  <c r="I97" i="108"/>
  <c r="J97" i="108"/>
  <c r="K97" i="108"/>
  <c r="L97" i="108"/>
  <c r="M97" i="108"/>
  <c r="N97" i="108"/>
  <c r="C98" i="108"/>
  <c r="C98" i="111" s="1"/>
  <c r="D98" i="108"/>
  <c r="E98" i="108"/>
  <c r="F98" i="108"/>
  <c r="G98" i="108"/>
  <c r="H98" i="108"/>
  <c r="I98" i="108"/>
  <c r="J98" i="108"/>
  <c r="K98" i="108"/>
  <c r="L98" i="108"/>
  <c r="M98" i="108"/>
  <c r="N98" i="108"/>
  <c r="C99" i="108"/>
  <c r="D99" i="108"/>
  <c r="E99" i="108"/>
  <c r="F99" i="108"/>
  <c r="G99" i="108"/>
  <c r="H99" i="108"/>
  <c r="I99" i="108"/>
  <c r="J99" i="108"/>
  <c r="K99" i="108"/>
  <c r="L99" i="108"/>
  <c r="M99" i="108"/>
  <c r="N99" i="108"/>
  <c r="C100" i="108"/>
  <c r="C100" i="111" s="1"/>
  <c r="D100" i="108"/>
  <c r="E100" i="108"/>
  <c r="F100" i="108"/>
  <c r="G100" i="108"/>
  <c r="H100" i="108"/>
  <c r="I100" i="108"/>
  <c r="J100" i="108"/>
  <c r="K100" i="108"/>
  <c r="L100" i="108"/>
  <c r="M100" i="108"/>
  <c r="N100" i="108"/>
  <c r="C101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C102" i="108"/>
  <c r="S33" i="108" s="1"/>
  <c r="D102" i="108"/>
  <c r="E102" i="108"/>
  <c r="F102" i="108"/>
  <c r="G102" i="108"/>
  <c r="H102" i="108"/>
  <c r="I102" i="108"/>
  <c r="J102" i="108"/>
  <c r="Z33" i="108" s="1"/>
  <c r="K102" i="108"/>
  <c r="AA33" i="108" s="1"/>
  <c r="L102" i="108"/>
  <c r="M102" i="108"/>
  <c r="N102" i="108"/>
  <c r="C103" i="108"/>
  <c r="E103" i="108"/>
  <c r="F103" i="108"/>
  <c r="G103" i="108"/>
  <c r="H103" i="108"/>
  <c r="I103" i="108"/>
  <c r="J103" i="108"/>
  <c r="K103" i="108"/>
  <c r="L103" i="108"/>
  <c r="M103" i="108"/>
  <c r="N103" i="108"/>
  <c r="C104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C105" i="108"/>
  <c r="D105" i="108"/>
  <c r="E105" i="108"/>
  <c r="F105" i="108"/>
  <c r="G105" i="108"/>
  <c r="H105" i="108"/>
  <c r="I105" i="108"/>
  <c r="I105" i="111" s="1"/>
  <c r="J105" i="108"/>
  <c r="K105" i="108"/>
  <c r="L105" i="108"/>
  <c r="M105" i="108"/>
  <c r="N105" i="108"/>
  <c r="D58" i="108"/>
  <c r="T22" i="108" s="1"/>
  <c r="E58" i="108"/>
  <c r="F58" i="108"/>
  <c r="G58" i="108"/>
  <c r="H58" i="108"/>
  <c r="X22" i="108" s="1"/>
  <c r="I58" i="108"/>
  <c r="Y22" i="108" s="1"/>
  <c r="J58" i="108"/>
  <c r="Z22" i="108" s="1"/>
  <c r="K58" i="108"/>
  <c r="L58" i="108"/>
  <c r="AB22" i="108" s="1"/>
  <c r="M58" i="108"/>
  <c r="N58" i="108"/>
  <c r="C58" i="108"/>
  <c r="C104" i="107"/>
  <c r="L105" i="107"/>
  <c r="L105" i="111" s="1"/>
  <c r="C59" i="107"/>
  <c r="C59" i="111" s="1"/>
  <c r="D59" i="107"/>
  <c r="D59" i="111" s="1"/>
  <c r="E59" i="107"/>
  <c r="E59" i="111" s="1"/>
  <c r="F59" i="107"/>
  <c r="G59" i="107"/>
  <c r="H59" i="107"/>
  <c r="H59" i="111" s="1"/>
  <c r="I59" i="107"/>
  <c r="I59" i="111" s="1"/>
  <c r="J59" i="107"/>
  <c r="J59" i="111" s="1"/>
  <c r="K59" i="107"/>
  <c r="K59" i="111" s="1"/>
  <c r="L59" i="107"/>
  <c r="L59" i="111" s="1"/>
  <c r="M59" i="107"/>
  <c r="M59" i="111" s="1"/>
  <c r="N59" i="107"/>
  <c r="C60" i="107"/>
  <c r="D60" i="107"/>
  <c r="D60" i="111" s="1"/>
  <c r="E60" i="107"/>
  <c r="E60" i="111" s="1"/>
  <c r="F60" i="107"/>
  <c r="F60" i="111" s="1"/>
  <c r="G60" i="107"/>
  <c r="G60" i="111" s="1"/>
  <c r="H60" i="107"/>
  <c r="H60" i="111" s="1"/>
  <c r="I60" i="107"/>
  <c r="I60" i="111" s="1"/>
  <c r="J60" i="107"/>
  <c r="K60" i="107"/>
  <c r="L60" i="107"/>
  <c r="L60" i="111" s="1"/>
  <c r="M60" i="107"/>
  <c r="M60" i="111" s="1"/>
  <c r="N60" i="107"/>
  <c r="N60" i="111" s="1"/>
  <c r="C61" i="107"/>
  <c r="D61" i="107"/>
  <c r="D61" i="111" s="1"/>
  <c r="E61" i="107"/>
  <c r="E61" i="111" s="1"/>
  <c r="F61" i="107"/>
  <c r="G61" i="107"/>
  <c r="H61" i="107"/>
  <c r="H61" i="111" s="1"/>
  <c r="I61" i="107"/>
  <c r="I61" i="111" s="1"/>
  <c r="J61" i="107"/>
  <c r="J61" i="111" s="1"/>
  <c r="K61" i="107"/>
  <c r="K61" i="111" s="1"/>
  <c r="L61" i="107"/>
  <c r="L61" i="111" s="1"/>
  <c r="M61" i="107"/>
  <c r="M61" i="111" s="1"/>
  <c r="N61" i="107"/>
  <c r="C62" i="107"/>
  <c r="D62" i="107"/>
  <c r="E62" i="107"/>
  <c r="F62" i="107"/>
  <c r="G62" i="107"/>
  <c r="H62" i="107"/>
  <c r="I62" i="107"/>
  <c r="I62" i="111" s="1"/>
  <c r="Y23" i="111" s="1"/>
  <c r="J62" i="107"/>
  <c r="K62" i="107"/>
  <c r="L62" i="107"/>
  <c r="M62" i="107"/>
  <c r="N62" i="107"/>
  <c r="C63" i="107"/>
  <c r="C63" i="111" s="1"/>
  <c r="D63" i="107"/>
  <c r="D63" i="111" s="1"/>
  <c r="E63" i="107"/>
  <c r="E63" i="111" s="1"/>
  <c r="F63" i="107"/>
  <c r="G63" i="107"/>
  <c r="H63" i="107"/>
  <c r="H63" i="111" s="1"/>
  <c r="I63" i="107"/>
  <c r="I63" i="111" s="1"/>
  <c r="J63" i="107"/>
  <c r="J63" i="111" s="1"/>
  <c r="K63" i="107"/>
  <c r="K63" i="111" s="1"/>
  <c r="L63" i="107"/>
  <c r="L63" i="111" s="1"/>
  <c r="M63" i="107"/>
  <c r="M63" i="111" s="1"/>
  <c r="N63" i="107"/>
  <c r="N63" i="111" s="1"/>
  <c r="C64" i="107"/>
  <c r="D64" i="107"/>
  <c r="D64" i="111" s="1"/>
  <c r="E64" i="107"/>
  <c r="E64" i="111" s="1"/>
  <c r="F64" i="107"/>
  <c r="F64" i="111" s="1"/>
  <c r="G64" i="107"/>
  <c r="G64" i="111" s="1"/>
  <c r="H64" i="107"/>
  <c r="H64" i="111" s="1"/>
  <c r="I64" i="107"/>
  <c r="I64" i="111" s="1"/>
  <c r="J64" i="107"/>
  <c r="J64" i="111" s="1"/>
  <c r="K64" i="107"/>
  <c r="L64" i="107"/>
  <c r="L64" i="111" s="1"/>
  <c r="M64" i="107"/>
  <c r="M64" i="111" s="1"/>
  <c r="N64" i="107"/>
  <c r="N64" i="111" s="1"/>
  <c r="C65" i="107"/>
  <c r="D65" i="107"/>
  <c r="D65" i="111" s="1"/>
  <c r="E65" i="107"/>
  <c r="E65" i="111" s="1"/>
  <c r="F65" i="107"/>
  <c r="F65" i="111" s="1"/>
  <c r="G65" i="107"/>
  <c r="H65" i="107"/>
  <c r="H65" i="111" s="1"/>
  <c r="I65" i="107"/>
  <c r="I65" i="111" s="1"/>
  <c r="J65" i="107"/>
  <c r="J65" i="111" s="1"/>
  <c r="K65" i="107"/>
  <c r="K65" i="111" s="1"/>
  <c r="L65" i="107"/>
  <c r="L65" i="111" s="1"/>
  <c r="M65" i="107"/>
  <c r="M65" i="111" s="1"/>
  <c r="N65" i="107"/>
  <c r="N65" i="111" s="1"/>
  <c r="C66" i="107"/>
  <c r="D66" i="107"/>
  <c r="E66" i="107"/>
  <c r="F66" i="107"/>
  <c r="G66" i="107"/>
  <c r="H66" i="107"/>
  <c r="I66" i="107"/>
  <c r="J66" i="107"/>
  <c r="K66" i="107"/>
  <c r="L66" i="107"/>
  <c r="M66" i="107"/>
  <c r="AC24" i="107" s="1"/>
  <c r="N66" i="107"/>
  <c r="C67" i="107"/>
  <c r="C67" i="111" s="1"/>
  <c r="D67" i="107"/>
  <c r="D67" i="111" s="1"/>
  <c r="E67" i="107"/>
  <c r="E67" i="111" s="1"/>
  <c r="F67" i="107"/>
  <c r="F67" i="111" s="1"/>
  <c r="G67" i="107"/>
  <c r="H67" i="107"/>
  <c r="H67" i="111" s="1"/>
  <c r="I67" i="107"/>
  <c r="I67" i="111" s="1"/>
  <c r="J67" i="107"/>
  <c r="J67" i="111" s="1"/>
  <c r="K67" i="107"/>
  <c r="K67" i="111" s="1"/>
  <c r="L67" i="107"/>
  <c r="L67" i="111" s="1"/>
  <c r="M67" i="107"/>
  <c r="M67" i="111" s="1"/>
  <c r="N67" i="107"/>
  <c r="N67" i="111" s="1"/>
  <c r="C68" i="107"/>
  <c r="P68" i="107" s="1"/>
  <c r="D68" i="107"/>
  <c r="D68" i="111" s="1"/>
  <c r="E68" i="107"/>
  <c r="E68" i="111" s="1"/>
  <c r="F68" i="107"/>
  <c r="F68" i="111" s="1"/>
  <c r="G68" i="107"/>
  <c r="G68" i="111" s="1"/>
  <c r="H68" i="107"/>
  <c r="H68" i="111" s="1"/>
  <c r="I68" i="107"/>
  <c r="I68" i="111" s="1"/>
  <c r="J68" i="107"/>
  <c r="J68" i="111" s="1"/>
  <c r="K68" i="107"/>
  <c r="L68" i="107"/>
  <c r="L68" i="111" s="1"/>
  <c r="M68" i="107"/>
  <c r="M68" i="111" s="1"/>
  <c r="N68" i="107"/>
  <c r="N68" i="111" s="1"/>
  <c r="C69" i="107"/>
  <c r="D69" i="107"/>
  <c r="D69" i="111" s="1"/>
  <c r="E69" i="107"/>
  <c r="E69" i="111" s="1"/>
  <c r="F69" i="107"/>
  <c r="F69" i="111" s="1"/>
  <c r="G69" i="107"/>
  <c r="H69" i="107"/>
  <c r="H69" i="111" s="1"/>
  <c r="I69" i="107"/>
  <c r="I69" i="111" s="1"/>
  <c r="J69" i="107"/>
  <c r="J69" i="111" s="1"/>
  <c r="K69" i="107"/>
  <c r="K69" i="111" s="1"/>
  <c r="L69" i="107"/>
  <c r="L69" i="111" s="1"/>
  <c r="M69" i="107"/>
  <c r="M69" i="111" s="1"/>
  <c r="N69" i="107"/>
  <c r="N69" i="111" s="1"/>
  <c r="C70" i="107"/>
  <c r="D70" i="107"/>
  <c r="E70" i="107"/>
  <c r="F70" i="107"/>
  <c r="G70" i="107"/>
  <c r="H70" i="107"/>
  <c r="I70" i="107"/>
  <c r="J70" i="107"/>
  <c r="K70" i="107"/>
  <c r="L70" i="107"/>
  <c r="M70" i="107"/>
  <c r="N70" i="107"/>
  <c r="C71" i="107"/>
  <c r="C71" i="111" s="1"/>
  <c r="D71" i="107"/>
  <c r="D71" i="111" s="1"/>
  <c r="E71" i="107"/>
  <c r="E71" i="111" s="1"/>
  <c r="F71" i="107"/>
  <c r="F71" i="111" s="1"/>
  <c r="G71" i="107"/>
  <c r="H71" i="107"/>
  <c r="I71" i="107"/>
  <c r="I71" i="111" s="1"/>
  <c r="J71" i="107"/>
  <c r="J71" i="111" s="1"/>
  <c r="K71" i="107"/>
  <c r="K71" i="111" s="1"/>
  <c r="L71" i="107"/>
  <c r="L71" i="111" s="1"/>
  <c r="M71" i="107"/>
  <c r="M71" i="111" s="1"/>
  <c r="N71" i="107"/>
  <c r="N71" i="111" s="1"/>
  <c r="C72" i="107"/>
  <c r="P72" i="107" s="1"/>
  <c r="D72" i="107"/>
  <c r="D72" i="111" s="1"/>
  <c r="E72" i="107"/>
  <c r="E72" i="111" s="1"/>
  <c r="F72" i="107"/>
  <c r="F72" i="111" s="1"/>
  <c r="G72" i="107"/>
  <c r="G72" i="111" s="1"/>
  <c r="H72" i="107"/>
  <c r="H72" i="111" s="1"/>
  <c r="I72" i="107"/>
  <c r="I72" i="111" s="1"/>
  <c r="J72" i="107"/>
  <c r="J72" i="111" s="1"/>
  <c r="K72" i="107"/>
  <c r="L72" i="107"/>
  <c r="L72" i="111" s="1"/>
  <c r="M72" i="107"/>
  <c r="M72" i="111" s="1"/>
  <c r="N72" i="107"/>
  <c r="N72" i="111" s="1"/>
  <c r="C73" i="107"/>
  <c r="D73" i="107"/>
  <c r="D73" i="111" s="1"/>
  <c r="E73" i="107"/>
  <c r="E73" i="111" s="1"/>
  <c r="F73" i="107"/>
  <c r="F73" i="111" s="1"/>
  <c r="G73" i="107"/>
  <c r="H73" i="107"/>
  <c r="H73" i="111" s="1"/>
  <c r="I73" i="107"/>
  <c r="I73" i="111" s="1"/>
  <c r="J73" i="107"/>
  <c r="J73" i="111" s="1"/>
  <c r="K73" i="107"/>
  <c r="K73" i="111" s="1"/>
  <c r="L73" i="107"/>
  <c r="L73" i="111" s="1"/>
  <c r="M73" i="107"/>
  <c r="M73" i="111" s="1"/>
  <c r="N73" i="107"/>
  <c r="N73" i="111" s="1"/>
  <c r="C74" i="107"/>
  <c r="D74" i="107"/>
  <c r="E74" i="107"/>
  <c r="F74" i="107"/>
  <c r="G74" i="107"/>
  <c r="H74" i="107"/>
  <c r="I74" i="107"/>
  <c r="J74" i="107"/>
  <c r="K74" i="107"/>
  <c r="L74" i="107"/>
  <c r="M74" i="107"/>
  <c r="AC26" i="107" s="1"/>
  <c r="N74" i="107"/>
  <c r="C75" i="107"/>
  <c r="C75" i="111" s="1"/>
  <c r="D75" i="107"/>
  <c r="D75" i="111" s="1"/>
  <c r="E75" i="107"/>
  <c r="E75" i="111" s="1"/>
  <c r="F75" i="107"/>
  <c r="F75" i="111" s="1"/>
  <c r="G75" i="107"/>
  <c r="H75" i="107"/>
  <c r="H75" i="111" s="1"/>
  <c r="I75" i="107"/>
  <c r="I75" i="111" s="1"/>
  <c r="J75" i="107"/>
  <c r="J75" i="111" s="1"/>
  <c r="K75" i="107"/>
  <c r="K75" i="111" s="1"/>
  <c r="L75" i="107"/>
  <c r="L75" i="111" s="1"/>
  <c r="M75" i="107"/>
  <c r="M75" i="111" s="1"/>
  <c r="N75" i="107"/>
  <c r="N75" i="111" s="1"/>
  <c r="C76" i="107"/>
  <c r="D76" i="107"/>
  <c r="D76" i="111" s="1"/>
  <c r="E76" i="107"/>
  <c r="E76" i="111" s="1"/>
  <c r="F76" i="107"/>
  <c r="F76" i="111" s="1"/>
  <c r="G76" i="107"/>
  <c r="G76" i="111" s="1"/>
  <c r="H76" i="107"/>
  <c r="H76" i="111" s="1"/>
  <c r="I76" i="107"/>
  <c r="I76" i="111" s="1"/>
  <c r="J76" i="107"/>
  <c r="J76" i="111" s="1"/>
  <c r="K76" i="107"/>
  <c r="L76" i="107"/>
  <c r="L76" i="111" s="1"/>
  <c r="M76" i="107"/>
  <c r="M76" i="111" s="1"/>
  <c r="N76" i="107"/>
  <c r="N76" i="111" s="1"/>
  <c r="C77" i="107"/>
  <c r="D77" i="107"/>
  <c r="D77" i="111" s="1"/>
  <c r="E77" i="107"/>
  <c r="E77" i="111" s="1"/>
  <c r="F77" i="107"/>
  <c r="F77" i="111" s="1"/>
  <c r="G77" i="107"/>
  <c r="H77" i="107"/>
  <c r="H77" i="111" s="1"/>
  <c r="I77" i="107"/>
  <c r="J77" i="107"/>
  <c r="J77" i="111" s="1"/>
  <c r="K77" i="107"/>
  <c r="K77" i="111" s="1"/>
  <c r="L77" i="107"/>
  <c r="L77" i="111" s="1"/>
  <c r="M77" i="107"/>
  <c r="M77" i="111" s="1"/>
  <c r="N77" i="107"/>
  <c r="N77" i="111" s="1"/>
  <c r="C78" i="107"/>
  <c r="S27" i="107" s="1"/>
  <c r="D78" i="107"/>
  <c r="E78" i="107"/>
  <c r="F78" i="107"/>
  <c r="G78" i="107"/>
  <c r="H78" i="107"/>
  <c r="I78" i="107"/>
  <c r="J78" i="107"/>
  <c r="K78" i="107"/>
  <c r="L78" i="107"/>
  <c r="M78" i="107"/>
  <c r="M78" i="111" s="1"/>
  <c r="AC27" i="111" s="1"/>
  <c r="N78" i="107"/>
  <c r="N78" i="111" s="1"/>
  <c r="C79" i="107"/>
  <c r="C79" i="111" s="1"/>
  <c r="D79" i="107"/>
  <c r="D79" i="111" s="1"/>
  <c r="E79" i="107"/>
  <c r="E79" i="111" s="1"/>
  <c r="F79" i="107"/>
  <c r="F79" i="111" s="1"/>
  <c r="G79" i="107"/>
  <c r="H79" i="107"/>
  <c r="H79" i="111" s="1"/>
  <c r="I79" i="107"/>
  <c r="I79" i="111" s="1"/>
  <c r="J79" i="107"/>
  <c r="J79" i="111" s="1"/>
  <c r="K79" i="107"/>
  <c r="K79" i="111" s="1"/>
  <c r="L79" i="107"/>
  <c r="L79" i="111" s="1"/>
  <c r="M79" i="107"/>
  <c r="M79" i="111" s="1"/>
  <c r="N79" i="107"/>
  <c r="N79" i="111" s="1"/>
  <c r="C80" i="107"/>
  <c r="D80" i="107"/>
  <c r="D80" i="111" s="1"/>
  <c r="E80" i="107"/>
  <c r="P80" i="107" s="1"/>
  <c r="F80" i="107"/>
  <c r="F80" i="111" s="1"/>
  <c r="G80" i="107"/>
  <c r="G80" i="111" s="1"/>
  <c r="H80" i="107"/>
  <c r="H80" i="111" s="1"/>
  <c r="I80" i="107"/>
  <c r="I80" i="111" s="1"/>
  <c r="J80" i="107"/>
  <c r="J80" i="111" s="1"/>
  <c r="K80" i="107"/>
  <c r="L80" i="107"/>
  <c r="L80" i="111" s="1"/>
  <c r="M80" i="107"/>
  <c r="M80" i="111" s="1"/>
  <c r="N80" i="107"/>
  <c r="N80" i="111" s="1"/>
  <c r="C81" i="107"/>
  <c r="D81" i="107"/>
  <c r="D81" i="111" s="1"/>
  <c r="E81" i="107"/>
  <c r="E81" i="111" s="1"/>
  <c r="F81" i="107"/>
  <c r="F81" i="111" s="1"/>
  <c r="G81" i="107"/>
  <c r="H81" i="107"/>
  <c r="H81" i="111" s="1"/>
  <c r="I81" i="107"/>
  <c r="I81" i="111" s="1"/>
  <c r="J81" i="107"/>
  <c r="J81" i="111" s="1"/>
  <c r="K81" i="107"/>
  <c r="K81" i="111" s="1"/>
  <c r="L81" i="107"/>
  <c r="L81" i="111" s="1"/>
  <c r="M81" i="107"/>
  <c r="M81" i="111" s="1"/>
  <c r="N81" i="107"/>
  <c r="N81" i="111" s="1"/>
  <c r="C82" i="107"/>
  <c r="D82" i="107"/>
  <c r="E82" i="107"/>
  <c r="F82" i="107"/>
  <c r="G82" i="107"/>
  <c r="H82" i="107"/>
  <c r="I82" i="107"/>
  <c r="J82" i="107"/>
  <c r="K82" i="107"/>
  <c r="L82" i="107"/>
  <c r="M82" i="107"/>
  <c r="M82" i="111" s="1"/>
  <c r="AC28" i="111" s="1"/>
  <c r="N82" i="107"/>
  <c r="C83" i="107"/>
  <c r="C83" i="111" s="1"/>
  <c r="D83" i="107"/>
  <c r="D83" i="111" s="1"/>
  <c r="E83" i="107"/>
  <c r="E83" i="111" s="1"/>
  <c r="F83" i="107"/>
  <c r="F83" i="111" s="1"/>
  <c r="G83" i="107"/>
  <c r="H83" i="107"/>
  <c r="H83" i="111" s="1"/>
  <c r="I83" i="107"/>
  <c r="I83" i="111" s="1"/>
  <c r="J83" i="107"/>
  <c r="J83" i="111" s="1"/>
  <c r="K83" i="107"/>
  <c r="K83" i="111" s="1"/>
  <c r="L83" i="107"/>
  <c r="L83" i="111" s="1"/>
  <c r="M83" i="107"/>
  <c r="M83" i="111" s="1"/>
  <c r="N83" i="107"/>
  <c r="N83" i="111" s="1"/>
  <c r="C84" i="107"/>
  <c r="D84" i="107"/>
  <c r="D84" i="111" s="1"/>
  <c r="E84" i="107"/>
  <c r="E84" i="111" s="1"/>
  <c r="F84" i="107"/>
  <c r="F84" i="111" s="1"/>
  <c r="G84" i="107"/>
  <c r="G84" i="111" s="1"/>
  <c r="H84" i="107"/>
  <c r="H84" i="111" s="1"/>
  <c r="I84" i="107"/>
  <c r="I84" i="111" s="1"/>
  <c r="J84" i="107"/>
  <c r="K84" i="107"/>
  <c r="L84" i="107"/>
  <c r="L84" i="111" s="1"/>
  <c r="M84" i="107"/>
  <c r="M84" i="111" s="1"/>
  <c r="N84" i="107"/>
  <c r="N84" i="111" s="1"/>
  <c r="C85" i="107"/>
  <c r="D85" i="107"/>
  <c r="D85" i="111" s="1"/>
  <c r="E85" i="107"/>
  <c r="E85" i="111" s="1"/>
  <c r="F85" i="107"/>
  <c r="F85" i="111" s="1"/>
  <c r="G85" i="107"/>
  <c r="H85" i="107"/>
  <c r="H85" i="111" s="1"/>
  <c r="I85" i="107"/>
  <c r="J85" i="107"/>
  <c r="J85" i="111" s="1"/>
  <c r="K85" i="107"/>
  <c r="K85" i="111" s="1"/>
  <c r="L85" i="107"/>
  <c r="L85" i="111" s="1"/>
  <c r="M85" i="107"/>
  <c r="M85" i="111" s="1"/>
  <c r="N85" i="107"/>
  <c r="C86" i="107"/>
  <c r="D86" i="107"/>
  <c r="E86" i="107"/>
  <c r="F86" i="107"/>
  <c r="G86" i="107"/>
  <c r="G86" i="111" s="1"/>
  <c r="H86" i="107"/>
  <c r="I86" i="107"/>
  <c r="J86" i="107"/>
  <c r="K86" i="107"/>
  <c r="L86" i="107"/>
  <c r="M86" i="107"/>
  <c r="N86" i="107"/>
  <c r="AD29" i="107" s="1"/>
  <c r="C87" i="107"/>
  <c r="C87" i="111" s="1"/>
  <c r="D87" i="107"/>
  <c r="D87" i="111" s="1"/>
  <c r="E87" i="107"/>
  <c r="E87" i="111" s="1"/>
  <c r="F87" i="107"/>
  <c r="F87" i="111" s="1"/>
  <c r="G87" i="107"/>
  <c r="H87" i="107"/>
  <c r="H87" i="111" s="1"/>
  <c r="I87" i="107"/>
  <c r="I87" i="111" s="1"/>
  <c r="J87" i="107"/>
  <c r="J87" i="111" s="1"/>
  <c r="K87" i="107"/>
  <c r="K87" i="111" s="1"/>
  <c r="L87" i="107"/>
  <c r="L87" i="111" s="1"/>
  <c r="M87" i="107"/>
  <c r="M87" i="111" s="1"/>
  <c r="N87" i="107"/>
  <c r="N87" i="111" s="1"/>
  <c r="C88" i="107"/>
  <c r="D88" i="107"/>
  <c r="D88" i="111" s="1"/>
  <c r="E88" i="107"/>
  <c r="E88" i="111" s="1"/>
  <c r="F88" i="107"/>
  <c r="F88" i="111" s="1"/>
  <c r="G88" i="107"/>
  <c r="G88" i="111" s="1"/>
  <c r="H88" i="107"/>
  <c r="H88" i="111" s="1"/>
  <c r="I88" i="107"/>
  <c r="I88" i="111" s="1"/>
  <c r="J88" i="107"/>
  <c r="K88" i="107"/>
  <c r="L88" i="107"/>
  <c r="L88" i="111" s="1"/>
  <c r="M88" i="107"/>
  <c r="M88" i="111" s="1"/>
  <c r="N88" i="107"/>
  <c r="N88" i="111" s="1"/>
  <c r="C89" i="107"/>
  <c r="D89" i="107"/>
  <c r="D89" i="111" s="1"/>
  <c r="E89" i="107"/>
  <c r="E89" i="111" s="1"/>
  <c r="F89" i="107"/>
  <c r="F89" i="111" s="1"/>
  <c r="G89" i="107"/>
  <c r="G89" i="111" s="1"/>
  <c r="H89" i="107"/>
  <c r="H89" i="111" s="1"/>
  <c r="I89" i="107"/>
  <c r="I89" i="111" s="1"/>
  <c r="J89" i="107"/>
  <c r="J89" i="111" s="1"/>
  <c r="K89" i="107"/>
  <c r="K89" i="111" s="1"/>
  <c r="L89" i="107"/>
  <c r="L89" i="111" s="1"/>
  <c r="M89" i="107"/>
  <c r="M89" i="111" s="1"/>
  <c r="N89" i="107"/>
  <c r="N89" i="111" s="1"/>
  <c r="C90" i="107"/>
  <c r="D90" i="107"/>
  <c r="E90" i="107"/>
  <c r="F90" i="107"/>
  <c r="G90" i="107"/>
  <c r="H90" i="107"/>
  <c r="I90" i="107"/>
  <c r="J90" i="107"/>
  <c r="J90" i="111" s="1"/>
  <c r="Z30" i="111" s="1"/>
  <c r="K90" i="107"/>
  <c r="L90" i="107"/>
  <c r="M90" i="107"/>
  <c r="M90" i="111" s="1"/>
  <c r="AC30" i="111" s="1"/>
  <c r="N90" i="107"/>
  <c r="C91" i="107"/>
  <c r="C91" i="111" s="1"/>
  <c r="D91" i="107"/>
  <c r="D91" i="111" s="1"/>
  <c r="E91" i="107"/>
  <c r="E91" i="111" s="1"/>
  <c r="F91" i="107"/>
  <c r="F91" i="111" s="1"/>
  <c r="G91" i="107"/>
  <c r="H91" i="107"/>
  <c r="H91" i="111" s="1"/>
  <c r="I91" i="107"/>
  <c r="I91" i="111" s="1"/>
  <c r="J91" i="107"/>
  <c r="J91" i="111" s="1"/>
  <c r="K91" i="107"/>
  <c r="K91" i="111" s="1"/>
  <c r="L91" i="107"/>
  <c r="L91" i="111" s="1"/>
  <c r="M91" i="107"/>
  <c r="M91" i="111" s="1"/>
  <c r="N91" i="107"/>
  <c r="N91" i="111" s="1"/>
  <c r="C92" i="107"/>
  <c r="D92" i="107"/>
  <c r="D92" i="111" s="1"/>
  <c r="E92" i="107"/>
  <c r="E92" i="111" s="1"/>
  <c r="F92" i="107"/>
  <c r="F92" i="111" s="1"/>
  <c r="G92" i="107"/>
  <c r="G92" i="111" s="1"/>
  <c r="H92" i="107"/>
  <c r="H92" i="111" s="1"/>
  <c r="I92" i="107"/>
  <c r="I92" i="111" s="1"/>
  <c r="J92" i="107"/>
  <c r="K92" i="107"/>
  <c r="K92" i="111" s="1"/>
  <c r="L92" i="107"/>
  <c r="L92" i="111" s="1"/>
  <c r="M92" i="107"/>
  <c r="M92" i="111" s="1"/>
  <c r="N92" i="107"/>
  <c r="N92" i="111" s="1"/>
  <c r="C93" i="107"/>
  <c r="D93" i="107"/>
  <c r="D93" i="111" s="1"/>
  <c r="E93" i="107"/>
  <c r="E93" i="111" s="1"/>
  <c r="F93" i="107"/>
  <c r="F93" i="111" s="1"/>
  <c r="G93" i="107"/>
  <c r="H93" i="107"/>
  <c r="H93" i="111" s="1"/>
  <c r="I93" i="107"/>
  <c r="I93" i="111" s="1"/>
  <c r="J93" i="107"/>
  <c r="J93" i="111" s="1"/>
  <c r="K93" i="107"/>
  <c r="K93" i="111" s="1"/>
  <c r="L93" i="107"/>
  <c r="L93" i="111" s="1"/>
  <c r="M93" i="107"/>
  <c r="M93" i="111" s="1"/>
  <c r="N93" i="107"/>
  <c r="N93" i="111" s="1"/>
  <c r="C94" i="107"/>
  <c r="D94" i="107"/>
  <c r="E94" i="107"/>
  <c r="F94" i="107"/>
  <c r="G94" i="107"/>
  <c r="H94" i="107"/>
  <c r="I94" i="107"/>
  <c r="J94" i="107"/>
  <c r="K94" i="107"/>
  <c r="L94" i="107"/>
  <c r="M94" i="107"/>
  <c r="AC31" i="107" s="1"/>
  <c r="N94" i="107"/>
  <c r="C95" i="107"/>
  <c r="O95" i="107" s="1"/>
  <c r="D95" i="107"/>
  <c r="D95" i="111" s="1"/>
  <c r="E95" i="107"/>
  <c r="E95" i="111" s="1"/>
  <c r="F95" i="107"/>
  <c r="F95" i="111" s="1"/>
  <c r="G95" i="107"/>
  <c r="H95" i="107"/>
  <c r="H95" i="111" s="1"/>
  <c r="I95" i="107"/>
  <c r="I95" i="111" s="1"/>
  <c r="J95" i="107"/>
  <c r="J95" i="111" s="1"/>
  <c r="K95" i="107"/>
  <c r="K95" i="111" s="1"/>
  <c r="L95" i="107"/>
  <c r="L95" i="111" s="1"/>
  <c r="M95" i="107"/>
  <c r="M95" i="111" s="1"/>
  <c r="N95" i="107"/>
  <c r="N95" i="111" s="1"/>
  <c r="C96" i="107"/>
  <c r="D96" i="107"/>
  <c r="D96" i="111" s="1"/>
  <c r="E96" i="107"/>
  <c r="E96" i="111" s="1"/>
  <c r="F96" i="107"/>
  <c r="F96" i="111" s="1"/>
  <c r="G96" i="107"/>
  <c r="G96" i="111" s="1"/>
  <c r="H96" i="107"/>
  <c r="H96" i="111" s="1"/>
  <c r="I96" i="107"/>
  <c r="I96" i="111" s="1"/>
  <c r="J96" i="107"/>
  <c r="J96" i="111" s="1"/>
  <c r="K96" i="107"/>
  <c r="L96" i="107"/>
  <c r="L96" i="111" s="1"/>
  <c r="M96" i="107"/>
  <c r="M96" i="111" s="1"/>
  <c r="N96" i="107"/>
  <c r="N96" i="111" s="1"/>
  <c r="C97" i="107"/>
  <c r="D97" i="107"/>
  <c r="D97" i="111" s="1"/>
  <c r="E97" i="107"/>
  <c r="E97" i="111" s="1"/>
  <c r="F97" i="107"/>
  <c r="G97" i="107"/>
  <c r="H97" i="107"/>
  <c r="H97" i="111" s="1"/>
  <c r="I97" i="107"/>
  <c r="I97" i="111" s="1"/>
  <c r="J97" i="107"/>
  <c r="J97" i="111" s="1"/>
  <c r="K97" i="107"/>
  <c r="K97" i="111" s="1"/>
  <c r="L97" i="107"/>
  <c r="L97" i="111" s="1"/>
  <c r="M97" i="107"/>
  <c r="M97" i="111" s="1"/>
  <c r="N97" i="107"/>
  <c r="N97" i="111" s="1"/>
  <c r="C98" i="107"/>
  <c r="D98" i="107"/>
  <c r="E98" i="107"/>
  <c r="F98" i="107"/>
  <c r="G98" i="107"/>
  <c r="H98" i="107"/>
  <c r="I98" i="107"/>
  <c r="J98" i="107"/>
  <c r="K98" i="107"/>
  <c r="L98" i="107"/>
  <c r="M98" i="107"/>
  <c r="N98" i="107"/>
  <c r="C99" i="107"/>
  <c r="O99" i="107" s="1"/>
  <c r="D99" i="107"/>
  <c r="D99" i="111" s="1"/>
  <c r="E99" i="107"/>
  <c r="E99" i="111" s="1"/>
  <c r="F99" i="107"/>
  <c r="F99" i="111" s="1"/>
  <c r="G99" i="107"/>
  <c r="G99" i="111" s="1"/>
  <c r="H99" i="107"/>
  <c r="H99" i="111" s="1"/>
  <c r="I99" i="107"/>
  <c r="I99" i="111" s="1"/>
  <c r="J99" i="107"/>
  <c r="J99" i="111" s="1"/>
  <c r="K99" i="107"/>
  <c r="K99" i="111" s="1"/>
  <c r="L99" i="107"/>
  <c r="L99" i="111" s="1"/>
  <c r="M99" i="107"/>
  <c r="M99" i="111" s="1"/>
  <c r="N99" i="107"/>
  <c r="N99" i="111" s="1"/>
  <c r="C100" i="107"/>
  <c r="P100" i="107" s="1"/>
  <c r="D100" i="107"/>
  <c r="D100" i="111" s="1"/>
  <c r="E100" i="107"/>
  <c r="F100" i="107"/>
  <c r="F100" i="111" s="1"/>
  <c r="G100" i="107"/>
  <c r="G100" i="111" s="1"/>
  <c r="H100" i="107"/>
  <c r="H100" i="111" s="1"/>
  <c r="I100" i="107"/>
  <c r="I100" i="111" s="1"/>
  <c r="J100" i="107"/>
  <c r="J100" i="111" s="1"/>
  <c r="K100" i="107"/>
  <c r="L100" i="107"/>
  <c r="L100" i="111" s="1"/>
  <c r="M100" i="107"/>
  <c r="M100" i="111" s="1"/>
  <c r="N100" i="107"/>
  <c r="N100" i="111" s="1"/>
  <c r="C101" i="107"/>
  <c r="D101" i="107"/>
  <c r="D101" i="111" s="1"/>
  <c r="E101" i="107"/>
  <c r="E101" i="111" s="1"/>
  <c r="F101" i="107"/>
  <c r="F101" i="111" s="1"/>
  <c r="G101" i="107"/>
  <c r="H101" i="107"/>
  <c r="H101" i="111" s="1"/>
  <c r="I101" i="107"/>
  <c r="I101" i="111" s="1"/>
  <c r="J101" i="107"/>
  <c r="J101" i="111" s="1"/>
  <c r="K101" i="107"/>
  <c r="K101" i="111" s="1"/>
  <c r="L101" i="107"/>
  <c r="L101" i="111" s="1"/>
  <c r="M101" i="107"/>
  <c r="M101" i="111" s="1"/>
  <c r="N101" i="107"/>
  <c r="N101" i="111" s="1"/>
  <c r="C102" i="107"/>
  <c r="D102" i="107"/>
  <c r="E102" i="107"/>
  <c r="E102" i="111" s="1"/>
  <c r="F102" i="107"/>
  <c r="V33" i="107" s="1"/>
  <c r="G102" i="107"/>
  <c r="H102" i="107"/>
  <c r="I102" i="107"/>
  <c r="J102" i="107"/>
  <c r="K102" i="107"/>
  <c r="L102" i="107"/>
  <c r="M102" i="107"/>
  <c r="N102" i="107"/>
  <c r="C103" i="107"/>
  <c r="C103" i="111" s="1"/>
  <c r="D103" i="107"/>
  <c r="D103" i="111" s="1"/>
  <c r="E103" i="107"/>
  <c r="E103" i="111" s="1"/>
  <c r="F103" i="107"/>
  <c r="G103" i="107"/>
  <c r="G103" i="111" s="1"/>
  <c r="H103" i="107"/>
  <c r="H103" i="111" s="1"/>
  <c r="I103" i="107"/>
  <c r="J103" i="107"/>
  <c r="J103" i="111" s="1"/>
  <c r="K103" i="107"/>
  <c r="K103" i="111" s="1"/>
  <c r="L103" i="107"/>
  <c r="L103" i="111" s="1"/>
  <c r="M103" i="107"/>
  <c r="M103" i="111" s="1"/>
  <c r="N103" i="107"/>
  <c r="N103" i="111" s="1"/>
  <c r="D104" i="107"/>
  <c r="D104" i="111" s="1"/>
  <c r="E104" i="107"/>
  <c r="F104" i="107"/>
  <c r="F104" i="111" s="1"/>
  <c r="G104" i="107"/>
  <c r="G104" i="111" s="1"/>
  <c r="H104" i="107"/>
  <c r="H104" i="111" s="1"/>
  <c r="I104" i="107"/>
  <c r="I104" i="111" s="1"/>
  <c r="J104" i="107"/>
  <c r="J104" i="111" s="1"/>
  <c r="K104" i="107"/>
  <c r="K104" i="111" s="1"/>
  <c r="L104" i="107"/>
  <c r="L104" i="111" s="1"/>
  <c r="M104" i="107"/>
  <c r="N104" i="107"/>
  <c r="N104" i="111" s="1"/>
  <c r="C105" i="107"/>
  <c r="D105" i="107"/>
  <c r="D105" i="111" s="1"/>
  <c r="E105" i="107"/>
  <c r="E105" i="111" s="1"/>
  <c r="F105" i="107"/>
  <c r="F105" i="111" s="1"/>
  <c r="G105" i="107"/>
  <c r="G105" i="111" s="1"/>
  <c r="H105" i="107"/>
  <c r="H105" i="111" s="1"/>
  <c r="I105" i="107"/>
  <c r="J105" i="107"/>
  <c r="J105" i="111" s="1"/>
  <c r="K105" i="107"/>
  <c r="K105" i="111" s="1"/>
  <c r="M105" i="107"/>
  <c r="M105" i="111" s="1"/>
  <c r="N105" i="107"/>
  <c r="N105" i="111" s="1"/>
  <c r="D58" i="107"/>
  <c r="E58" i="107"/>
  <c r="F58" i="107"/>
  <c r="G58" i="107"/>
  <c r="H58" i="107"/>
  <c r="X22" i="107" s="1"/>
  <c r="I58" i="107"/>
  <c r="J58" i="107"/>
  <c r="K58" i="107"/>
  <c r="AA22" i="107" s="1"/>
  <c r="L58" i="107"/>
  <c r="M58" i="107"/>
  <c r="N58" i="107"/>
  <c r="C58" i="107"/>
  <c r="P95" i="111" l="1"/>
  <c r="AD27" i="111"/>
  <c r="U33" i="111"/>
  <c r="X33" i="107"/>
  <c r="H102" i="111"/>
  <c r="X33" i="111" s="1"/>
  <c r="X32" i="107"/>
  <c r="H98" i="111"/>
  <c r="X32" i="111" s="1"/>
  <c r="X31" i="107"/>
  <c r="H94" i="111"/>
  <c r="X31" i="111" s="1"/>
  <c r="X30" i="107"/>
  <c r="H90" i="111"/>
  <c r="X30" i="111" s="1"/>
  <c r="X29" i="107"/>
  <c r="H86" i="111"/>
  <c r="X29" i="111" s="1"/>
  <c r="X28" i="107"/>
  <c r="H82" i="111"/>
  <c r="X28" i="111" s="1"/>
  <c r="X27" i="107"/>
  <c r="H78" i="111"/>
  <c r="X27" i="111" s="1"/>
  <c r="X26" i="107"/>
  <c r="H74" i="111"/>
  <c r="X26" i="111" s="1"/>
  <c r="X25" i="107"/>
  <c r="H70" i="111"/>
  <c r="X25" i="111" s="1"/>
  <c r="X24" i="107"/>
  <c r="H66" i="111"/>
  <c r="X24" i="111" s="1"/>
  <c r="P95" i="107"/>
  <c r="P84" i="107"/>
  <c r="O75" i="107"/>
  <c r="P63" i="107"/>
  <c r="K58" i="111"/>
  <c r="AA22" i="111" s="1"/>
  <c r="P101" i="111"/>
  <c r="Z22" i="107"/>
  <c r="J58" i="111"/>
  <c r="W33" i="107"/>
  <c r="G102" i="111"/>
  <c r="W33" i="111" s="1"/>
  <c r="O101" i="107"/>
  <c r="P101" i="107"/>
  <c r="W32" i="107"/>
  <c r="G98" i="111"/>
  <c r="W32" i="111" s="1"/>
  <c r="O97" i="107"/>
  <c r="P97" i="107"/>
  <c r="C97" i="111"/>
  <c r="P97" i="111" s="1"/>
  <c r="W31" i="107"/>
  <c r="G94" i="111"/>
  <c r="C93" i="111"/>
  <c r="O93" i="107"/>
  <c r="P93" i="107"/>
  <c r="W30" i="107"/>
  <c r="O89" i="107"/>
  <c r="P89" i="107"/>
  <c r="C89" i="111"/>
  <c r="P89" i="111" s="1"/>
  <c r="O85" i="107"/>
  <c r="P85" i="107"/>
  <c r="C85" i="111"/>
  <c r="P83" i="111"/>
  <c r="W28" i="107"/>
  <c r="G82" i="111"/>
  <c r="O81" i="107"/>
  <c r="P81" i="107"/>
  <c r="C81" i="111"/>
  <c r="G78" i="111"/>
  <c r="W27" i="107"/>
  <c r="C77" i="111"/>
  <c r="O77" i="107"/>
  <c r="P77" i="107"/>
  <c r="W26" i="107"/>
  <c r="G74" i="111"/>
  <c r="C73" i="111"/>
  <c r="P73" i="111" s="1"/>
  <c r="O73" i="107"/>
  <c r="P73" i="107"/>
  <c r="W25" i="107"/>
  <c r="G70" i="111"/>
  <c r="C69" i="111"/>
  <c r="O69" i="107"/>
  <c r="P69" i="107"/>
  <c r="P67" i="111"/>
  <c r="W24" i="107"/>
  <c r="G66" i="111"/>
  <c r="C65" i="111"/>
  <c r="O65" i="107"/>
  <c r="P65" i="107"/>
  <c r="W23" i="107"/>
  <c r="G62" i="111"/>
  <c r="O61" i="107"/>
  <c r="P61" i="107"/>
  <c r="AA22" i="108"/>
  <c r="O58" i="108"/>
  <c r="AC33" i="108"/>
  <c r="U33" i="108"/>
  <c r="AC32" i="108"/>
  <c r="U32" i="108"/>
  <c r="AC31" i="108"/>
  <c r="U31" i="108"/>
  <c r="AC30" i="108"/>
  <c r="U30" i="108"/>
  <c r="AC29" i="108"/>
  <c r="U29" i="108"/>
  <c r="AC28" i="108"/>
  <c r="U28" i="108"/>
  <c r="AC27" i="108"/>
  <c r="U27" i="108"/>
  <c r="U26" i="108"/>
  <c r="AC25" i="108"/>
  <c r="U25" i="108"/>
  <c r="AC24" i="108"/>
  <c r="U24" i="108"/>
  <c r="AC23" i="108"/>
  <c r="U23" i="108"/>
  <c r="P83" i="107"/>
  <c r="O63" i="107"/>
  <c r="H58" i="111"/>
  <c r="X22" i="111" s="1"/>
  <c r="M94" i="111"/>
  <c r="AC31" i="111" s="1"/>
  <c r="O105" i="107"/>
  <c r="C105" i="111"/>
  <c r="P105" i="111" s="1"/>
  <c r="P105" i="107"/>
  <c r="AD31" i="107"/>
  <c r="N94" i="111"/>
  <c r="AD31" i="111" s="1"/>
  <c r="V30" i="107"/>
  <c r="F90" i="111"/>
  <c r="V30" i="111" s="1"/>
  <c r="V28" i="107"/>
  <c r="F82" i="111"/>
  <c r="V28" i="111" s="1"/>
  <c r="AD27" i="107"/>
  <c r="V26" i="107"/>
  <c r="F74" i="111"/>
  <c r="V26" i="111" s="1"/>
  <c r="V24" i="107"/>
  <c r="F66" i="111"/>
  <c r="V24" i="111" s="1"/>
  <c r="F62" i="111"/>
  <c r="V23" i="107"/>
  <c r="O83" i="107"/>
  <c r="I103" i="111"/>
  <c r="O103" i="111" s="1"/>
  <c r="AC29" i="107"/>
  <c r="U28" i="107"/>
  <c r="E82" i="111"/>
  <c r="U28" i="111" s="1"/>
  <c r="U26" i="107"/>
  <c r="AA31" i="108"/>
  <c r="S30" i="108"/>
  <c r="AA29" i="108"/>
  <c r="AA25" i="108"/>
  <c r="S24" i="108"/>
  <c r="AA23" i="108"/>
  <c r="O71" i="107"/>
  <c r="M104" i="111"/>
  <c r="AB33" i="107"/>
  <c r="L102" i="111"/>
  <c r="AB33" i="111" s="1"/>
  <c r="AB27" i="107"/>
  <c r="L78" i="111"/>
  <c r="AB27" i="111" s="1"/>
  <c r="D78" i="111"/>
  <c r="T27" i="111" s="1"/>
  <c r="T27" i="107"/>
  <c r="AB26" i="107"/>
  <c r="L74" i="111"/>
  <c r="AB26" i="111" s="1"/>
  <c r="T26" i="107"/>
  <c r="AB25" i="107"/>
  <c r="L70" i="111"/>
  <c r="AB25" i="111" s="1"/>
  <c r="T25" i="107"/>
  <c r="D70" i="111"/>
  <c r="T25" i="111" s="1"/>
  <c r="L66" i="111"/>
  <c r="AB24" i="111" s="1"/>
  <c r="AB24" i="107"/>
  <c r="D66" i="111"/>
  <c r="T24" i="111" s="1"/>
  <c r="T24" i="107"/>
  <c r="L62" i="111"/>
  <c r="AB23" i="111" s="1"/>
  <c r="AB23" i="107"/>
  <c r="D62" i="111"/>
  <c r="T23" i="111" s="1"/>
  <c r="T23" i="107"/>
  <c r="O104" i="107"/>
  <c r="Z32" i="108"/>
  <c r="Z31" i="108"/>
  <c r="Z30" i="108"/>
  <c r="Z29" i="108"/>
  <c r="Z28" i="108"/>
  <c r="Z27" i="108"/>
  <c r="Z26" i="108"/>
  <c r="Z25" i="108"/>
  <c r="Z24" i="108"/>
  <c r="Z23" i="108"/>
  <c r="O91" i="107"/>
  <c r="P79" i="107"/>
  <c r="O59" i="107"/>
  <c r="F102" i="111"/>
  <c r="V33" i="111" s="1"/>
  <c r="Y22" i="107"/>
  <c r="I58" i="111"/>
  <c r="Y22" i="111" s="1"/>
  <c r="AD32" i="107"/>
  <c r="V29" i="107"/>
  <c r="F86" i="111"/>
  <c r="V29" i="111" s="1"/>
  <c r="AD26" i="107"/>
  <c r="N74" i="111"/>
  <c r="AD26" i="111" s="1"/>
  <c r="N70" i="111"/>
  <c r="AD25" i="111" s="1"/>
  <c r="AD25" i="107"/>
  <c r="AD24" i="107"/>
  <c r="N66" i="111"/>
  <c r="AD24" i="111" s="1"/>
  <c r="N62" i="111"/>
  <c r="AD23" i="111" s="1"/>
  <c r="AD23" i="107"/>
  <c r="P92" i="107"/>
  <c r="AC33" i="107"/>
  <c r="M102" i="111"/>
  <c r="AC33" i="111" s="1"/>
  <c r="AC32" i="107"/>
  <c r="M98" i="111"/>
  <c r="AC32" i="111" s="1"/>
  <c r="U31" i="107"/>
  <c r="E94" i="111"/>
  <c r="U31" i="111" s="1"/>
  <c r="U30" i="107"/>
  <c r="E90" i="111"/>
  <c r="U30" i="111" s="1"/>
  <c r="AC28" i="107"/>
  <c r="U27" i="107"/>
  <c r="E78" i="111"/>
  <c r="AC25" i="107"/>
  <c r="M70" i="111"/>
  <c r="AC25" i="111" s="1"/>
  <c r="E66" i="111"/>
  <c r="U24" i="111" s="1"/>
  <c r="U24" i="107"/>
  <c r="U23" i="107"/>
  <c r="E62" i="111"/>
  <c r="U23" i="111" s="1"/>
  <c r="AA32" i="108"/>
  <c r="S31" i="108"/>
  <c r="S29" i="108"/>
  <c r="AA28" i="108"/>
  <c r="S27" i="108"/>
  <c r="AA26" i="108"/>
  <c r="S25" i="108"/>
  <c r="AA24" i="108"/>
  <c r="S23" i="108"/>
  <c r="P91" i="107"/>
  <c r="C94" i="111"/>
  <c r="W22" i="107"/>
  <c r="G58" i="111"/>
  <c r="T33" i="107"/>
  <c r="D102" i="111"/>
  <c r="T33" i="111" s="1"/>
  <c r="AB32" i="107"/>
  <c r="L98" i="111"/>
  <c r="AB32" i="111" s="1"/>
  <c r="T28" i="107"/>
  <c r="D82" i="111"/>
  <c r="T28" i="111" s="1"/>
  <c r="AD22" i="107"/>
  <c r="S33" i="107"/>
  <c r="O102" i="107"/>
  <c r="AE33" i="107" s="1"/>
  <c r="C102" i="111"/>
  <c r="P102" i="107"/>
  <c r="K100" i="111"/>
  <c r="P100" i="111" s="1"/>
  <c r="O100" i="107"/>
  <c r="AA32" i="107"/>
  <c r="K98" i="111"/>
  <c r="S32" i="107"/>
  <c r="O98" i="107"/>
  <c r="AE32" i="107" s="1"/>
  <c r="P98" i="107"/>
  <c r="AF32" i="107" s="1"/>
  <c r="G97" i="111"/>
  <c r="K96" i="111"/>
  <c r="AA31" i="111" s="1"/>
  <c r="C96" i="111"/>
  <c r="P96" i="111" s="1"/>
  <c r="O96" i="107"/>
  <c r="G95" i="111"/>
  <c r="AA31" i="107"/>
  <c r="S31" i="107"/>
  <c r="O94" i="107"/>
  <c r="AE31" i="107" s="1"/>
  <c r="P94" i="107"/>
  <c r="G93" i="111"/>
  <c r="C92" i="111"/>
  <c r="P92" i="111" s="1"/>
  <c r="O92" i="107"/>
  <c r="G91" i="111"/>
  <c r="P91" i="111" s="1"/>
  <c r="AA30" i="107"/>
  <c r="K90" i="111"/>
  <c r="AA30" i="111" s="1"/>
  <c r="S30" i="107"/>
  <c r="C90" i="111"/>
  <c r="O90" i="107"/>
  <c r="P90" i="107"/>
  <c r="K88" i="111"/>
  <c r="C88" i="111"/>
  <c r="P88" i="111" s="1"/>
  <c r="O88" i="107"/>
  <c r="G87" i="111"/>
  <c r="O87" i="111" s="1"/>
  <c r="K86" i="111"/>
  <c r="AA29" i="111" s="1"/>
  <c r="S29" i="107"/>
  <c r="C86" i="111"/>
  <c r="O86" i="107"/>
  <c r="P86" i="107"/>
  <c r="G85" i="111"/>
  <c r="K84" i="111"/>
  <c r="C84" i="111"/>
  <c r="P84" i="111" s="1"/>
  <c r="O84" i="107"/>
  <c r="G83" i="111"/>
  <c r="AA28" i="107"/>
  <c r="K82" i="111"/>
  <c r="AA28" i="111" s="1"/>
  <c r="S28" i="107"/>
  <c r="C82" i="111"/>
  <c r="O82" i="107"/>
  <c r="P82" i="107"/>
  <c r="G81" i="111"/>
  <c r="K80" i="111"/>
  <c r="C80" i="111"/>
  <c r="O80" i="107"/>
  <c r="G79" i="111"/>
  <c r="P79" i="111" s="1"/>
  <c r="K78" i="111"/>
  <c r="AA27" i="111" s="1"/>
  <c r="AA27" i="107"/>
  <c r="C78" i="111"/>
  <c r="O78" i="107"/>
  <c r="AE27" i="107" s="1"/>
  <c r="P78" i="107"/>
  <c r="AF27" i="107" s="1"/>
  <c r="G77" i="111"/>
  <c r="K76" i="111"/>
  <c r="C76" i="111"/>
  <c r="O76" i="107"/>
  <c r="G75" i="111"/>
  <c r="P75" i="111" s="1"/>
  <c r="AA26" i="107"/>
  <c r="K74" i="111"/>
  <c r="AA26" i="111" s="1"/>
  <c r="S26" i="107"/>
  <c r="C74" i="111"/>
  <c r="O74" i="107"/>
  <c r="AE26" i="107" s="1"/>
  <c r="P74" i="107"/>
  <c r="G73" i="111"/>
  <c r="K72" i="111"/>
  <c r="C72" i="111"/>
  <c r="P72" i="111" s="1"/>
  <c r="O72" i="107"/>
  <c r="G71" i="111"/>
  <c r="P71" i="111" s="1"/>
  <c r="AA25" i="107"/>
  <c r="K70" i="111"/>
  <c r="AA25" i="111" s="1"/>
  <c r="S25" i="107"/>
  <c r="C70" i="111"/>
  <c r="O70" i="107"/>
  <c r="P70" i="107"/>
  <c r="G69" i="111"/>
  <c r="O69" i="111" s="1"/>
  <c r="K68" i="111"/>
  <c r="C68" i="111"/>
  <c r="P68" i="111" s="1"/>
  <c r="O68" i="107"/>
  <c r="G67" i="111"/>
  <c r="AA24" i="107"/>
  <c r="K66" i="111"/>
  <c r="AA24" i="111" s="1"/>
  <c r="S24" i="107"/>
  <c r="C66" i="111"/>
  <c r="O66" i="111" s="1"/>
  <c r="AE24" i="111" s="1"/>
  <c r="O66" i="107"/>
  <c r="P66" i="107"/>
  <c r="G65" i="111"/>
  <c r="K64" i="111"/>
  <c r="C64" i="111"/>
  <c r="P64" i="111" s="1"/>
  <c r="O64" i="107"/>
  <c r="G63" i="111"/>
  <c r="O63" i="111" s="1"/>
  <c r="AA23" i="107"/>
  <c r="K62" i="111"/>
  <c r="AA23" i="111" s="1"/>
  <c r="S23" i="107"/>
  <c r="C62" i="111"/>
  <c r="O62" i="107"/>
  <c r="P62" i="107"/>
  <c r="G61" i="111"/>
  <c r="C60" i="111"/>
  <c r="O60" i="107"/>
  <c r="G59" i="111"/>
  <c r="S22" i="108"/>
  <c r="W22" i="108"/>
  <c r="Y33" i="108"/>
  <c r="Y32" i="108"/>
  <c r="Y31" i="108"/>
  <c r="Y30" i="108"/>
  <c r="Y29" i="108"/>
  <c r="Y28" i="108"/>
  <c r="Y27" i="108"/>
  <c r="Y25" i="108"/>
  <c r="Y24" i="108"/>
  <c r="P99" i="107"/>
  <c r="P88" i="107"/>
  <c r="O79" i="107"/>
  <c r="P67" i="107"/>
  <c r="P104" i="107"/>
  <c r="C99" i="111"/>
  <c r="P99" i="111" s="1"/>
  <c r="M74" i="111"/>
  <c r="AC26" i="111" s="1"/>
  <c r="W29" i="107"/>
  <c r="AD30" i="107"/>
  <c r="N90" i="111"/>
  <c r="AD30" i="111" s="1"/>
  <c r="P60" i="107"/>
  <c r="P59" i="107"/>
  <c r="E104" i="111"/>
  <c r="T32" i="107"/>
  <c r="D98" i="111"/>
  <c r="T32" i="111" s="1"/>
  <c r="AB31" i="107"/>
  <c r="L94" i="111"/>
  <c r="AB31" i="111" s="1"/>
  <c r="AA33" i="107"/>
  <c r="K102" i="111"/>
  <c r="AA33" i="111" s="1"/>
  <c r="U22" i="107"/>
  <c r="E58" i="111"/>
  <c r="U22" i="111" s="1"/>
  <c r="Z33" i="107"/>
  <c r="Z32" i="107"/>
  <c r="J98" i="111"/>
  <c r="Z32" i="111" s="1"/>
  <c r="Z30" i="107"/>
  <c r="Z29" i="107"/>
  <c r="J86" i="111"/>
  <c r="Z29" i="111" s="1"/>
  <c r="Z28" i="107"/>
  <c r="J82" i="111"/>
  <c r="Z28" i="111" s="1"/>
  <c r="Z27" i="107"/>
  <c r="J78" i="111"/>
  <c r="Z27" i="111" s="1"/>
  <c r="Z26" i="107"/>
  <c r="J74" i="111"/>
  <c r="Z26" i="111" s="1"/>
  <c r="Z25" i="107"/>
  <c r="J70" i="111"/>
  <c r="Z25" i="111" s="1"/>
  <c r="Z24" i="107"/>
  <c r="J66" i="111"/>
  <c r="Z24" i="111" s="1"/>
  <c r="P87" i="107"/>
  <c r="P76" i="107"/>
  <c r="O67" i="107"/>
  <c r="N98" i="111"/>
  <c r="AD32" i="111" s="1"/>
  <c r="G90" i="111"/>
  <c r="N86" i="111"/>
  <c r="AD29" i="111" s="1"/>
  <c r="E80" i="111"/>
  <c r="E74" i="111"/>
  <c r="U26" i="111" s="1"/>
  <c r="M66" i="111"/>
  <c r="AC24" i="111" s="1"/>
  <c r="AA29" i="107"/>
  <c r="AD33" i="107"/>
  <c r="N102" i="111"/>
  <c r="AD33" i="111" s="1"/>
  <c r="V32" i="107"/>
  <c r="V31" i="107"/>
  <c r="F94" i="111"/>
  <c r="V31" i="111" s="1"/>
  <c r="AD28" i="107"/>
  <c r="V27" i="107"/>
  <c r="F78" i="111"/>
  <c r="V27" i="111" s="1"/>
  <c r="F70" i="111"/>
  <c r="V25" i="111" s="1"/>
  <c r="V25" i="107"/>
  <c r="P58" i="108"/>
  <c r="P103" i="107"/>
  <c r="P71" i="107"/>
  <c r="U33" i="107"/>
  <c r="U32" i="107"/>
  <c r="E98" i="111"/>
  <c r="U32" i="111" s="1"/>
  <c r="AC30" i="107"/>
  <c r="U29" i="107"/>
  <c r="E86" i="111"/>
  <c r="U29" i="111" s="1"/>
  <c r="AC27" i="107"/>
  <c r="U25" i="107"/>
  <c r="E70" i="111"/>
  <c r="U25" i="111" s="1"/>
  <c r="AC23" i="107"/>
  <c r="M62" i="111"/>
  <c r="AC23" i="111" s="1"/>
  <c r="S32" i="108"/>
  <c r="S28" i="108"/>
  <c r="AA27" i="108"/>
  <c r="S26" i="108"/>
  <c r="O103" i="107"/>
  <c r="Z33" i="111"/>
  <c r="S22" i="107"/>
  <c r="C58" i="111"/>
  <c r="O58" i="107"/>
  <c r="P58" i="107"/>
  <c r="T31" i="107"/>
  <c r="D94" i="111"/>
  <c r="T31" i="111" s="1"/>
  <c r="AB30" i="107"/>
  <c r="L90" i="111"/>
  <c r="AB30" i="111" s="1"/>
  <c r="T30" i="107"/>
  <c r="D90" i="111"/>
  <c r="T30" i="111" s="1"/>
  <c r="AB29" i="107"/>
  <c r="L86" i="111"/>
  <c r="AB29" i="111" s="1"/>
  <c r="T29" i="107"/>
  <c r="D86" i="111"/>
  <c r="T29" i="111" s="1"/>
  <c r="AB28" i="107"/>
  <c r="L82" i="111"/>
  <c r="AB28" i="111" s="1"/>
  <c r="V22" i="107"/>
  <c r="F58" i="111"/>
  <c r="G101" i="111"/>
  <c r="AC22" i="107"/>
  <c r="M58" i="111"/>
  <c r="AC22" i="111" s="1"/>
  <c r="Z31" i="107"/>
  <c r="J94" i="111"/>
  <c r="Z31" i="111" s="1"/>
  <c r="AB22" i="107"/>
  <c r="L58" i="111"/>
  <c r="AB22" i="111" s="1"/>
  <c r="T22" i="107"/>
  <c r="D58" i="111"/>
  <c r="T22" i="111" s="1"/>
  <c r="Y33" i="107"/>
  <c r="I102" i="111"/>
  <c r="I98" i="111"/>
  <c r="Y32" i="111" s="1"/>
  <c r="Y32" i="107"/>
  <c r="Y31" i="107"/>
  <c r="I94" i="111"/>
  <c r="Y31" i="111" s="1"/>
  <c r="I90" i="111"/>
  <c r="Y30" i="111" s="1"/>
  <c r="Y30" i="107"/>
  <c r="Y29" i="107"/>
  <c r="I86" i="111"/>
  <c r="Y29" i="111" s="1"/>
  <c r="Y28" i="107"/>
  <c r="I82" i="111"/>
  <c r="Y28" i="111" s="1"/>
  <c r="Y27" i="107"/>
  <c r="I78" i="111"/>
  <c r="Y27" i="111" s="1"/>
  <c r="Y26" i="107"/>
  <c r="I74" i="111"/>
  <c r="Y26" i="111" s="1"/>
  <c r="Y25" i="107"/>
  <c r="I70" i="111"/>
  <c r="Y25" i="111" s="1"/>
  <c r="Y24" i="107"/>
  <c r="I66" i="111"/>
  <c r="Y24" i="111" s="1"/>
  <c r="Y23" i="107"/>
  <c r="AC22" i="108"/>
  <c r="U22" i="108"/>
  <c r="O103" i="108"/>
  <c r="P103" i="108" s="1"/>
  <c r="W31" i="108"/>
  <c r="P96" i="107"/>
  <c r="O87" i="107"/>
  <c r="P75" i="107"/>
  <c r="P64" i="107"/>
  <c r="N58" i="111"/>
  <c r="F98" i="111"/>
  <c r="V32" i="111" s="1"/>
  <c r="M86" i="111"/>
  <c r="AC29" i="111" s="1"/>
  <c r="N82" i="111"/>
  <c r="AD28" i="111" s="1"/>
  <c r="D74" i="111"/>
  <c r="T26" i="111" s="1"/>
  <c r="X23" i="107"/>
  <c r="AD22" i="108"/>
  <c r="V22" i="108"/>
  <c r="O104" i="108"/>
  <c r="P104" i="108" s="1"/>
  <c r="AB33" i="108"/>
  <c r="O102" i="108"/>
  <c r="T33" i="108"/>
  <c r="O100" i="108"/>
  <c r="P100" i="108" s="1"/>
  <c r="AB32" i="108"/>
  <c r="O98" i="108"/>
  <c r="T32" i="108"/>
  <c r="O96" i="108"/>
  <c r="P96" i="108" s="1"/>
  <c r="AB31" i="108"/>
  <c r="O94" i="108"/>
  <c r="T31" i="108"/>
  <c r="O92" i="108"/>
  <c r="P92" i="108" s="1"/>
  <c r="AB30" i="108"/>
  <c r="O90" i="108"/>
  <c r="T30" i="108"/>
  <c r="O88" i="108"/>
  <c r="P88" i="108" s="1"/>
  <c r="AB29" i="108"/>
  <c r="O86" i="108"/>
  <c r="T29" i="108"/>
  <c r="O84" i="108"/>
  <c r="P84" i="108" s="1"/>
  <c r="AB28" i="108"/>
  <c r="O82" i="108"/>
  <c r="T28" i="108"/>
  <c r="O80" i="108"/>
  <c r="P80" i="108" s="1"/>
  <c r="AB27" i="108"/>
  <c r="O78" i="108"/>
  <c r="T27" i="108"/>
  <c r="O76" i="108"/>
  <c r="P76" i="108" s="1"/>
  <c r="AB26" i="108"/>
  <c r="O74" i="108"/>
  <c r="T26" i="108"/>
  <c r="O72" i="108"/>
  <c r="P72" i="108" s="1"/>
  <c r="AB25" i="108"/>
  <c r="O70" i="108"/>
  <c r="T25" i="108"/>
  <c r="O68" i="108"/>
  <c r="P68" i="108" s="1"/>
  <c r="AB24" i="108"/>
  <c r="O66" i="108"/>
  <c r="O64" i="108"/>
  <c r="P64" i="108" s="1"/>
  <c r="AB23" i="108"/>
  <c r="O62" i="108"/>
  <c r="T23" i="108"/>
  <c r="O60" i="108"/>
  <c r="P60" i="108" s="1"/>
  <c r="H62" i="111"/>
  <c r="X23" i="111" s="1"/>
  <c r="Y23" i="108"/>
  <c r="O105" i="108"/>
  <c r="P105" i="108"/>
  <c r="X33" i="108"/>
  <c r="O101" i="108"/>
  <c r="P101" i="108" s="1"/>
  <c r="O99" i="108"/>
  <c r="P99" i="108" s="1"/>
  <c r="X32" i="108"/>
  <c r="O97" i="108"/>
  <c r="P97" i="108" s="1"/>
  <c r="O95" i="108"/>
  <c r="P95" i="108" s="1"/>
  <c r="X31" i="108"/>
  <c r="O93" i="108"/>
  <c r="P93" i="108" s="1"/>
  <c r="O91" i="108"/>
  <c r="P91" i="108" s="1"/>
  <c r="X30" i="108"/>
  <c r="O89" i="108"/>
  <c r="P89" i="108" s="1"/>
  <c r="O87" i="108"/>
  <c r="P87" i="108" s="1"/>
  <c r="X29" i="108"/>
  <c r="O85" i="108"/>
  <c r="P85" i="108" s="1"/>
  <c r="O83" i="108"/>
  <c r="P83" i="108" s="1"/>
  <c r="X28" i="108"/>
  <c r="O81" i="108"/>
  <c r="P81" i="108" s="1"/>
  <c r="O79" i="108"/>
  <c r="P79" i="108" s="1"/>
  <c r="X27" i="108"/>
  <c r="O77" i="108"/>
  <c r="P77" i="108" s="1"/>
  <c r="O75" i="108"/>
  <c r="P75" i="108" s="1"/>
  <c r="X26" i="108"/>
  <c r="O73" i="108"/>
  <c r="P73" i="108" s="1"/>
  <c r="O71" i="108"/>
  <c r="P71" i="108" s="1"/>
  <c r="X25" i="108"/>
  <c r="O69" i="108"/>
  <c r="P69" i="108" s="1"/>
  <c r="O67" i="108"/>
  <c r="P67" i="108" s="1"/>
  <c r="O65" i="108"/>
  <c r="P65" i="108" s="1"/>
  <c r="O63" i="108"/>
  <c r="P63" i="108" s="1"/>
  <c r="X23" i="108"/>
  <c r="O61" i="108"/>
  <c r="P61" i="108" s="1"/>
  <c r="O59" i="108"/>
  <c r="P59" i="108" s="1"/>
  <c r="C104" i="111"/>
  <c r="P104" i="111" s="1"/>
  <c r="W32" i="108"/>
  <c r="W30" i="108"/>
  <c r="W29" i="108"/>
  <c r="W28" i="108"/>
  <c r="W27" i="108"/>
  <c r="W26" i="108"/>
  <c r="W25" i="108"/>
  <c r="W24" i="108"/>
  <c r="W23" i="108"/>
  <c r="F63" i="111"/>
  <c r="P63" i="111" s="1"/>
  <c r="J62" i="111"/>
  <c r="Z23" i="111" s="1"/>
  <c r="Z23" i="107"/>
  <c r="N61" i="111"/>
  <c r="O61" i="111" s="1"/>
  <c r="F61" i="111"/>
  <c r="J60" i="111"/>
  <c r="N59" i="111"/>
  <c r="O59" i="111" s="1"/>
  <c r="F59" i="111"/>
  <c r="AD33" i="108"/>
  <c r="V33" i="108"/>
  <c r="AD32" i="108"/>
  <c r="V32" i="108"/>
  <c r="AD31" i="108"/>
  <c r="V31" i="108"/>
  <c r="AD30" i="108"/>
  <c r="V30" i="108"/>
  <c r="AD29" i="108"/>
  <c r="V29" i="108"/>
  <c r="AD28" i="108"/>
  <c r="V28" i="108"/>
  <c r="AD27" i="108"/>
  <c r="V27" i="108"/>
  <c r="AD26" i="108"/>
  <c r="V26" i="108"/>
  <c r="AD25" i="108"/>
  <c r="V25" i="108"/>
  <c r="AD24" i="108"/>
  <c r="V24" i="108"/>
  <c r="AD23" i="108"/>
  <c r="V23" i="108"/>
  <c r="P58" i="111"/>
  <c r="O101" i="111"/>
  <c r="O99" i="111"/>
  <c r="O95" i="111"/>
  <c r="O92" i="111"/>
  <c r="O91" i="111"/>
  <c r="O89" i="111"/>
  <c r="O88" i="111"/>
  <c r="O85" i="111"/>
  <c r="O84" i="111"/>
  <c r="O83" i="111"/>
  <c r="O82" i="111"/>
  <c r="O81" i="111"/>
  <c r="O79" i="111"/>
  <c r="O77" i="111"/>
  <c r="O76" i="111"/>
  <c r="O75" i="111"/>
  <c r="O73" i="111"/>
  <c r="O71" i="111"/>
  <c r="O68" i="111"/>
  <c r="O67" i="111"/>
  <c r="O65" i="111"/>
  <c r="O64" i="111"/>
  <c r="O60" i="111"/>
  <c r="C10" i="107"/>
  <c r="AD22" i="111" l="1"/>
  <c r="S23" i="111"/>
  <c r="P62" i="111"/>
  <c r="O74" i="111"/>
  <c r="AE26" i="111" s="1"/>
  <c r="AE28" i="111"/>
  <c r="O90" i="111"/>
  <c r="AE30" i="111" s="1"/>
  <c r="AF24" i="107"/>
  <c r="S26" i="111"/>
  <c r="P74" i="111"/>
  <c r="P80" i="111"/>
  <c r="S29" i="111"/>
  <c r="P86" i="111"/>
  <c r="AF29" i="111" s="1"/>
  <c r="AE30" i="107"/>
  <c r="P59" i="111"/>
  <c r="AF22" i="111" s="1"/>
  <c r="W24" i="111"/>
  <c r="P77" i="111"/>
  <c r="Z22" i="111"/>
  <c r="P87" i="111"/>
  <c r="O100" i="111"/>
  <c r="P66" i="108"/>
  <c r="AF24" i="108" s="1"/>
  <c r="AE24" i="108"/>
  <c r="P74" i="108"/>
  <c r="AF26" i="108" s="1"/>
  <c r="AE26" i="108"/>
  <c r="P82" i="108"/>
  <c r="AF28" i="108" s="1"/>
  <c r="AE28" i="108"/>
  <c r="P90" i="108"/>
  <c r="AF30" i="108" s="1"/>
  <c r="AE30" i="108"/>
  <c r="AE32" i="108"/>
  <c r="AE24" i="107"/>
  <c r="S30" i="111"/>
  <c r="P90" i="111"/>
  <c r="AF31" i="107"/>
  <c r="AF33" i="107"/>
  <c r="P85" i="111"/>
  <c r="P103" i="111"/>
  <c r="P61" i="111"/>
  <c r="AF22" i="107"/>
  <c r="AF22" i="108"/>
  <c r="W30" i="111"/>
  <c r="AE25" i="107"/>
  <c r="AE28" i="107"/>
  <c r="W22" i="111"/>
  <c r="W29" i="111"/>
  <c r="O93" i="111"/>
  <c r="P93" i="111"/>
  <c r="P98" i="111"/>
  <c r="AF32" i="111" s="1"/>
  <c r="S24" i="111"/>
  <c r="P66" i="111"/>
  <c r="S33" i="111"/>
  <c r="P102" i="111"/>
  <c r="AF33" i="111" s="1"/>
  <c r="W27" i="111"/>
  <c r="O102" i="111"/>
  <c r="Y33" i="111"/>
  <c r="P60" i="111"/>
  <c r="AF25" i="107"/>
  <c r="W23" i="111"/>
  <c r="P81" i="111"/>
  <c r="O70" i="111"/>
  <c r="O104" i="111"/>
  <c r="P78" i="108"/>
  <c r="AF27" i="108" s="1"/>
  <c r="AE27" i="108"/>
  <c r="AE33" i="108"/>
  <c r="P102" i="108"/>
  <c r="AF33" i="108" s="1"/>
  <c r="AE22" i="107"/>
  <c r="AF23" i="107"/>
  <c r="S25" i="111"/>
  <c r="P70" i="111"/>
  <c r="AF25" i="111" s="1"/>
  <c r="S28" i="111"/>
  <c r="P82" i="111"/>
  <c r="AF28" i="111" s="1"/>
  <c r="AA32" i="111"/>
  <c r="V23" i="111"/>
  <c r="P69" i="111"/>
  <c r="W31" i="111"/>
  <c r="S32" i="111"/>
  <c r="O94" i="111"/>
  <c r="S27" i="111"/>
  <c r="P78" i="111"/>
  <c r="AF27" i="111" s="1"/>
  <c r="AF28" i="107"/>
  <c r="W26" i="111"/>
  <c r="O62" i="111"/>
  <c r="AE23" i="111" s="1"/>
  <c r="O78" i="111"/>
  <c r="O86" i="111"/>
  <c r="AE29" i="111" s="1"/>
  <c r="O96" i="111"/>
  <c r="P70" i="108"/>
  <c r="AF25" i="108" s="1"/>
  <c r="AE25" i="108"/>
  <c r="P86" i="108"/>
  <c r="AF29" i="108" s="1"/>
  <c r="AE29" i="108"/>
  <c r="P94" i="108"/>
  <c r="AF31" i="108" s="1"/>
  <c r="AE31" i="108"/>
  <c r="O72" i="111"/>
  <c r="O80" i="111"/>
  <c r="O97" i="111"/>
  <c r="O105" i="111"/>
  <c r="P62" i="108"/>
  <c r="AF23" i="108" s="1"/>
  <c r="AE23" i="108"/>
  <c r="V22" i="111"/>
  <c r="O58" i="111"/>
  <c r="AE22" i="111" s="1"/>
  <c r="S22" i="111"/>
  <c r="AE23" i="107"/>
  <c r="AF26" i="107"/>
  <c r="P76" i="111"/>
  <c r="AF29" i="107"/>
  <c r="S31" i="111"/>
  <c r="P94" i="111"/>
  <c r="AF31" i="111" s="1"/>
  <c r="AE22" i="108"/>
  <c r="W25" i="111"/>
  <c r="W28" i="111"/>
  <c r="P98" i="108"/>
  <c r="AF32" i="108" s="1"/>
  <c r="O98" i="111"/>
  <c r="AE32" i="111" s="1"/>
  <c r="AE29" i="107"/>
  <c r="AF30" i="107"/>
  <c r="U27" i="111"/>
  <c r="P65" i="111"/>
  <c r="D6" i="97"/>
  <c r="K6" i="94"/>
  <c r="C3" i="95"/>
  <c r="C3" i="94"/>
  <c r="C3" i="96" s="1"/>
  <c r="AE33" i="111" l="1"/>
  <c r="AE25" i="111"/>
  <c r="AE27" i="111"/>
  <c r="AF23" i="111"/>
  <c r="AF24" i="111"/>
  <c r="AF26" i="111"/>
  <c r="AE31" i="111"/>
  <c r="AF30" i="111"/>
  <c r="K6" i="98"/>
  <c r="K6" i="99" s="1"/>
  <c r="K6" i="100" s="1"/>
  <c r="K6" i="109" s="1"/>
  <c r="K6" i="105" s="1"/>
  <c r="K6" i="110" s="1"/>
  <c r="K6" i="103" s="1"/>
  <c r="K5" i="101"/>
  <c r="G5" i="98"/>
  <c r="G5" i="99" s="1"/>
  <c r="G5" i="100" s="1"/>
  <c r="G5" i="101" s="1"/>
  <c r="G5" i="109" s="1"/>
  <c r="G5" i="105" s="1"/>
  <c r="G5" i="110" s="1"/>
  <c r="G5" i="103" s="1"/>
  <c r="K6" i="97"/>
  <c r="K5" i="97"/>
  <c r="G5" i="97"/>
  <c r="G5" i="96"/>
  <c r="K6" i="95"/>
  <c r="K5" i="95"/>
  <c r="G5" i="95"/>
  <c r="G5" i="94"/>
  <c r="G6" i="104"/>
  <c r="G6" i="108" s="1"/>
  <c r="G6" i="110"/>
  <c r="G6" i="103"/>
  <c r="G6" i="107" s="1"/>
  <c r="G6" i="105"/>
  <c r="D6" i="104"/>
  <c r="D6" i="108" s="1"/>
  <c r="D6" i="110"/>
  <c r="D6" i="103"/>
  <c r="D6" i="107" s="1"/>
  <c r="D6" i="105"/>
  <c r="D5" i="104"/>
  <c r="D5" i="110"/>
  <c r="D5" i="109"/>
  <c r="D5" i="100"/>
  <c r="D5" i="98"/>
  <c r="D5" i="96"/>
  <c r="D5" i="94"/>
  <c r="K6" i="107" l="1"/>
  <c r="K6" i="104"/>
  <c r="K6" i="108" s="1"/>
  <c r="K6" i="111" s="1"/>
  <c r="K5" i="107"/>
  <c r="K5" i="108"/>
  <c r="K5" i="111" s="1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A19" i="109"/>
  <c r="Y19" i="109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C19" i="105"/>
  <c r="AB19" i="105"/>
  <c r="AA19" i="105"/>
  <c r="Z19" i="105"/>
  <c r="Y19" i="105"/>
  <c r="X19" i="105"/>
  <c r="W19" i="105"/>
  <c r="W39" i="105" s="1"/>
  <c r="V19" i="105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C19" i="103"/>
  <c r="AB19" i="103"/>
  <c r="AA19" i="103"/>
  <c r="AA27" i="103" s="1"/>
  <c r="Z19" i="103"/>
  <c r="Z27" i="103" s="1"/>
  <c r="Y19" i="103"/>
  <c r="Y27" i="103" s="1"/>
  <c r="X19" i="103"/>
  <c r="X27" i="103" s="1"/>
  <c r="W19" i="103"/>
  <c r="V19" i="103"/>
  <c r="U19" i="103"/>
  <c r="U24" i="103" s="1"/>
  <c r="T19" i="103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U19" i="101"/>
  <c r="T19" i="101"/>
  <c r="S19" i="10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C19" i="99"/>
  <c r="AB19" i="99"/>
  <c r="AA19" i="99"/>
  <c r="Z19" i="99"/>
  <c r="Y19" i="99"/>
  <c r="X19" i="99"/>
  <c r="W19" i="99"/>
  <c r="W27" i="99" s="1"/>
  <c r="V19" i="99"/>
  <c r="U19" i="99"/>
  <c r="T19" i="99"/>
  <c r="T27" i="99" s="1"/>
  <c r="S19" i="99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AD38" i="101" l="1"/>
  <c r="AC39" i="109"/>
  <c r="S27" i="99"/>
  <c r="AA27" i="99"/>
  <c r="S39" i="101"/>
  <c r="T27" i="103"/>
  <c r="AB27" i="103"/>
  <c r="X39" i="105"/>
  <c r="U39" i="109"/>
  <c r="V27" i="103"/>
  <c r="AD27" i="103"/>
  <c r="V27" i="99"/>
  <c r="AD27" i="99"/>
  <c r="V39" i="101"/>
  <c r="W27" i="103"/>
  <c r="AA39" i="105"/>
  <c r="Y39" i="109"/>
  <c r="V39" i="105"/>
  <c r="Z39" i="105"/>
  <c r="AD39" i="105"/>
  <c r="X26" i="98"/>
  <c r="AA39" i="101"/>
  <c r="AA26" i="95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B26" i="98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6" i="94"/>
  <c r="K34" i="108"/>
  <c r="AA18" i="94"/>
  <c r="K42" i="108"/>
  <c r="M54" i="108"/>
  <c r="M50" i="108"/>
  <c r="M46" i="108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E50" i="108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I22" i="108"/>
  <c r="K22" i="108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K50" i="108"/>
  <c r="G50" i="108"/>
  <c r="C50" i="108"/>
  <c r="K46" i="108"/>
  <c r="G46" i="108"/>
  <c r="G38" i="108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T19" i="108" s="1"/>
  <c r="F46" i="108"/>
  <c r="V19" i="108" s="1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H106" i="108" s="1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S38" i="110"/>
  <c r="U38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V39" i="109" s="1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AF33" i="101" s="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Z26" i="95" s="1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M23" i="111" s="1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E106" i="107" s="1"/>
  <c r="F10" i="107"/>
  <c r="G10" i="107"/>
  <c r="G106" i="107" s="1"/>
  <c r="H10" i="107"/>
  <c r="I10" i="107"/>
  <c r="J10" i="107"/>
  <c r="K10" i="107"/>
  <c r="L10" i="107"/>
  <c r="M10" i="107"/>
  <c r="M106" i="107" s="1"/>
  <c r="N10" i="107"/>
  <c r="D106" i="107" l="1"/>
  <c r="L106" i="108"/>
  <c r="G106" i="108"/>
  <c r="L106" i="107"/>
  <c r="K106" i="107"/>
  <c r="S38" i="105"/>
  <c r="C106" i="108"/>
  <c r="O57" i="108"/>
  <c r="E106" i="108"/>
  <c r="U38" i="109"/>
  <c r="X26" i="96"/>
  <c r="AF32" i="101"/>
  <c r="N106" i="108"/>
  <c r="I106" i="108"/>
  <c r="J106" i="107"/>
  <c r="I106" i="107"/>
  <c r="H106" i="107"/>
  <c r="C57" i="111"/>
  <c r="O57" i="107"/>
  <c r="C106" i="107"/>
  <c r="J106" i="108"/>
  <c r="AF25" i="101"/>
  <c r="S35" i="110"/>
  <c r="F106" i="108"/>
  <c r="M106" i="108"/>
  <c r="N106" i="107"/>
  <c r="F106" i="107"/>
  <c r="AB26" i="103"/>
  <c r="D106" i="108"/>
  <c r="K106" i="108"/>
  <c r="Y38" i="105"/>
  <c r="AF28" i="101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AD21" i="108"/>
  <c r="Z20" i="108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V21" i="108"/>
  <c r="AD19" i="108"/>
  <c r="Z21" i="108"/>
  <c r="AD20" i="108"/>
  <c r="V20" i="108"/>
  <c r="V36" i="108" s="1"/>
  <c r="Z19" i="108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L18" i="111"/>
  <c r="F18" i="111"/>
  <c r="D18" i="111"/>
  <c r="T12" i="111" s="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G56" i="111"/>
  <c r="E56" i="111"/>
  <c r="M55" i="111"/>
  <c r="K55" i="111"/>
  <c r="I55" i="111"/>
  <c r="C55" i="111"/>
  <c r="M54" i="111"/>
  <c r="E54" i="111"/>
  <c r="U21" i="111" s="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V10" i="108"/>
  <c r="AB21" i="108"/>
  <c r="X21" i="108"/>
  <c r="T21" i="108"/>
  <c r="AB20" i="108"/>
  <c r="X20" i="108"/>
  <c r="T20" i="108"/>
  <c r="AB19" i="108"/>
  <c r="X19" i="108"/>
  <c r="AA35" i="110"/>
  <c r="W35" i="110"/>
  <c r="Z39" i="110"/>
  <c r="AD38" i="110"/>
  <c r="Z38" i="110"/>
  <c r="V38" i="110"/>
  <c r="X37" i="110"/>
  <c r="V12" i="108"/>
  <c r="V11" i="108"/>
  <c r="AD10" i="108"/>
  <c r="AD36" i="110"/>
  <c r="V36" i="110"/>
  <c r="AC35" i="109"/>
  <c r="AD11" i="108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Z11" i="108"/>
  <c r="AA35" i="109"/>
  <c r="U36" i="110"/>
  <c r="V35" i="109"/>
  <c r="X11" i="108"/>
  <c r="S41" i="110"/>
  <c r="Z10" i="108"/>
  <c r="W12" i="108"/>
  <c r="AF32" i="110"/>
  <c r="S35" i="109"/>
  <c r="T11" i="108"/>
  <c r="AA12" i="108"/>
  <c r="V24" i="98"/>
  <c r="X23" i="97"/>
  <c r="AD23" i="99"/>
  <c r="AB38" i="109"/>
  <c r="AD35" i="110"/>
  <c r="V35" i="110"/>
  <c r="AA40" i="110"/>
  <c r="Y36" i="110"/>
  <c r="S37" i="110"/>
  <c r="X10" i="108"/>
  <c r="W40" i="110"/>
  <c r="AD36" i="109"/>
  <c r="Z39" i="109"/>
  <c r="S26" i="97"/>
  <c r="AF33" i="110"/>
  <c r="AF31" i="110"/>
  <c r="AB35" i="110"/>
  <c r="X38" i="110"/>
  <c r="AA41" i="110"/>
  <c r="W41" i="110"/>
  <c r="T10" i="108"/>
  <c r="AB10" i="108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S42" i="110" s="1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X42" i="109" s="1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D13" i="108"/>
  <c r="AA24" i="94"/>
  <c r="AC23" i="96"/>
  <c r="AB36" i="105"/>
  <c r="P16" i="108"/>
  <c r="Z13" i="108"/>
  <c r="O56" i="108"/>
  <c r="S15" i="108"/>
  <c r="T17" i="108"/>
  <c r="O11" i="108"/>
  <c r="X18" i="108"/>
  <c r="AB15" i="108"/>
  <c r="P40" i="108"/>
  <c r="AB17" i="108"/>
  <c r="O35" i="108"/>
  <c r="X16" i="108"/>
  <c r="T15" i="108"/>
  <c r="O10" i="108"/>
  <c r="AA26" i="94"/>
  <c r="AB18" i="108"/>
  <c r="T18" i="108"/>
  <c r="X17" i="108"/>
  <c r="AB16" i="108"/>
  <c r="T16" i="108"/>
  <c r="X15" i="108"/>
  <c r="P29" i="108"/>
  <c r="T13" i="108"/>
  <c r="AC11" i="108"/>
  <c r="Y12" i="108"/>
  <c r="O16" i="108"/>
  <c r="Y10" i="108"/>
  <c r="Y41" i="108" s="1"/>
  <c r="P49" i="108"/>
  <c r="P22" i="108"/>
  <c r="O49" i="108"/>
  <c r="P43" i="108"/>
  <c r="AD18" i="108"/>
  <c r="Z18" i="108"/>
  <c r="V18" i="108"/>
  <c r="AD16" i="108"/>
  <c r="Z16" i="108"/>
  <c r="V16" i="108"/>
  <c r="O28" i="108"/>
  <c r="W15" i="108"/>
  <c r="W19" i="108"/>
  <c r="S20" i="108"/>
  <c r="AA20" i="108"/>
  <c r="W21" i="108"/>
  <c r="O36" i="108"/>
  <c r="S13" i="108"/>
  <c r="O20" i="108"/>
  <c r="AA15" i="108"/>
  <c r="AA17" i="108"/>
  <c r="Y19" i="108"/>
  <c r="U20" i="108"/>
  <c r="AC20" i="108"/>
  <c r="Y21" i="108"/>
  <c r="P57" i="108"/>
  <c r="P55" i="108"/>
  <c r="P52" i="108"/>
  <c r="P35" i="108"/>
  <c r="P21" i="108"/>
  <c r="O13" i="108"/>
  <c r="P12" i="108"/>
  <c r="AA10" i="108"/>
  <c r="O53" i="108"/>
  <c r="O48" i="108"/>
  <c r="P46" i="108"/>
  <c r="O38" i="108"/>
  <c r="P45" i="108"/>
  <c r="P38" i="108"/>
  <c r="P32" i="108"/>
  <c r="O30" i="108"/>
  <c r="AB13" i="108"/>
  <c r="X13" i="108"/>
  <c r="O31" i="108"/>
  <c r="P24" i="108"/>
  <c r="P17" i="108"/>
  <c r="O14" i="108"/>
  <c r="O43" i="108"/>
  <c r="S11" i="108"/>
  <c r="P56" i="108"/>
  <c r="O55" i="108"/>
  <c r="P53" i="108"/>
  <c r="P51" i="108"/>
  <c r="P48" i="108"/>
  <c r="W18" i="108"/>
  <c r="O39" i="108"/>
  <c r="P37" i="108"/>
  <c r="W16" i="108"/>
  <c r="P27" i="108"/>
  <c r="AC12" i="108"/>
  <c r="U12" i="108"/>
  <c r="Y11" i="108"/>
  <c r="P13" i="108"/>
  <c r="O12" i="108"/>
  <c r="P11" i="108"/>
  <c r="AC10" i="108"/>
  <c r="P10" i="108"/>
  <c r="O52" i="108"/>
  <c r="P47" i="108"/>
  <c r="P26" i="108"/>
  <c r="U24" i="94"/>
  <c r="AC26" i="94"/>
  <c r="O51" i="108"/>
  <c r="O47" i="108"/>
  <c r="O26" i="108"/>
  <c r="O22" i="108"/>
  <c r="O18" i="108"/>
  <c r="U10" i="108"/>
  <c r="P54" i="108"/>
  <c r="O50" i="108"/>
  <c r="W14" i="108"/>
  <c r="W17" i="108"/>
  <c r="AA19" i="108"/>
  <c r="W20" i="108"/>
  <c r="S21" i="108"/>
  <c r="U19" i="108"/>
  <c r="AA14" i="108"/>
  <c r="AA16" i="108"/>
  <c r="AA18" i="108"/>
  <c r="AC19" i="108"/>
  <c r="Y20" i="108"/>
  <c r="U21" i="108"/>
  <c r="AC21" i="108"/>
  <c r="Z12" i="108"/>
  <c r="O44" i="108"/>
  <c r="AB14" i="108"/>
  <c r="X14" i="108"/>
  <c r="T14" i="108"/>
  <c r="V13" i="108"/>
  <c r="AA13" i="108"/>
  <c r="O46" i="108"/>
  <c r="S18" i="108"/>
  <c r="S16" i="108"/>
  <c r="S14" i="108"/>
  <c r="O45" i="108"/>
  <c r="P41" i="108"/>
  <c r="P39" i="108"/>
  <c r="AD17" i="108"/>
  <c r="Z17" i="108"/>
  <c r="V17" i="108"/>
  <c r="O37" i="108"/>
  <c r="O32" i="108"/>
  <c r="AD15" i="108"/>
  <c r="Z15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W13" i="108"/>
  <c r="P20" i="108"/>
  <c r="O17" i="108"/>
  <c r="P15" i="108"/>
  <c r="AA11" i="108"/>
  <c r="P14" i="108"/>
  <c r="AA21" i="108"/>
  <c r="W10" i="108"/>
  <c r="W41" i="108" s="1"/>
  <c r="S10" i="108"/>
  <c r="S19" i="108"/>
  <c r="S17" i="108"/>
  <c r="AD12" i="108"/>
  <c r="AD14" i="108"/>
  <c r="Z14" i="108"/>
  <c r="V14" i="108"/>
  <c r="X12" i="108"/>
  <c r="AC18" i="108"/>
  <c r="Y18" i="108"/>
  <c r="U18" i="108"/>
  <c r="AC17" i="108"/>
  <c r="Y17" i="108"/>
  <c r="AC16" i="108"/>
  <c r="Y16" i="108"/>
  <c r="U16" i="108"/>
  <c r="Y14" i="108"/>
  <c r="AC13" i="108"/>
  <c r="Y13" i="108"/>
  <c r="U13" i="108"/>
  <c r="W11" i="108"/>
  <c r="AB11" i="108"/>
  <c r="O41" i="108"/>
  <c r="O33" i="108"/>
  <c r="O25" i="108"/>
  <c r="V15" i="108"/>
  <c r="O23" i="108"/>
  <c r="O19" i="108"/>
  <c r="O15" i="108"/>
  <c r="P50" i="108"/>
  <c r="P42" i="108"/>
  <c r="P34" i="108"/>
  <c r="S12" i="108"/>
  <c r="O54" i="108"/>
  <c r="O42" i="108"/>
  <c r="O34" i="108"/>
  <c r="P18" i="108"/>
  <c r="AB12" i="108"/>
  <c r="T12" i="108"/>
  <c r="U17" i="108"/>
  <c r="AC15" i="108"/>
  <c r="Y15" i="108"/>
  <c r="U15" i="108"/>
  <c r="AC14" i="108"/>
  <c r="U14" i="108"/>
  <c r="U11" i="108"/>
  <c r="Z38" i="105"/>
  <c r="V38" i="105"/>
  <c r="AC15" i="107"/>
  <c r="W15" i="107"/>
  <c r="U15" i="107"/>
  <c r="AC10" i="107"/>
  <c r="W10" i="107"/>
  <c r="U10" i="107"/>
  <c r="X38" i="105"/>
  <c r="Y15" i="107"/>
  <c r="Z11" i="107"/>
  <c r="AC35" i="105"/>
  <c r="U38" i="105"/>
  <c r="AD21" i="107"/>
  <c r="AB21" i="107"/>
  <c r="Z21" i="107"/>
  <c r="X21" i="107"/>
  <c r="V21" i="107"/>
  <c r="T21" i="107"/>
  <c r="AD20" i="107"/>
  <c r="Z20" i="107"/>
  <c r="V20" i="107"/>
  <c r="AB19" i="107"/>
  <c r="X19" i="107"/>
  <c r="T19" i="107"/>
  <c r="AB18" i="107"/>
  <c r="X18" i="107"/>
  <c r="V18" i="107"/>
  <c r="AD17" i="107"/>
  <c r="Z17" i="107"/>
  <c r="V17" i="107"/>
  <c r="O37" i="107"/>
  <c r="P36" i="107"/>
  <c r="P35" i="107"/>
  <c r="AB16" i="107"/>
  <c r="X16" i="107"/>
  <c r="T16" i="107"/>
  <c r="O32" i="107"/>
  <c r="P31" i="107"/>
  <c r="AB15" i="107"/>
  <c r="X15" i="107"/>
  <c r="T15" i="107"/>
  <c r="P28" i="107"/>
  <c r="AD14" i="107"/>
  <c r="Z14" i="107"/>
  <c r="V14" i="107"/>
  <c r="O25" i="107"/>
  <c r="AD13" i="107"/>
  <c r="Z13" i="107"/>
  <c r="V13" i="107"/>
  <c r="O19" i="107"/>
  <c r="AB12" i="107"/>
  <c r="Z12" i="107"/>
  <c r="V12" i="107"/>
  <c r="T12" i="107"/>
  <c r="P18" i="107"/>
  <c r="O17" i="107"/>
  <c r="O15" i="107"/>
  <c r="AD11" i="107"/>
  <c r="AB11" i="107"/>
  <c r="T11" i="107"/>
  <c r="P14" i="107"/>
  <c r="AB20" i="107"/>
  <c r="X20" i="107"/>
  <c r="T20" i="107"/>
  <c r="AD19" i="107"/>
  <c r="AD39" i="107" s="1"/>
  <c r="Z19" i="107"/>
  <c r="V19" i="107"/>
  <c r="AD18" i="107"/>
  <c r="Z18" i="107"/>
  <c r="T18" i="107"/>
  <c r="AB17" i="107"/>
  <c r="X17" i="107"/>
  <c r="T17" i="107"/>
  <c r="AD16" i="107"/>
  <c r="Z16" i="107"/>
  <c r="V16" i="107"/>
  <c r="P33" i="107"/>
  <c r="O33" i="107"/>
  <c r="AD15" i="107"/>
  <c r="Z15" i="107"/>
  <c r="V15" i="107"/>
  <c r="O29" i="107"/>
  <c r="O27" i="107"/>
  <c r="AB14" i="107"/>
  <c r="X14" i="107"/>
  <c r="T14" i="107"/>
  <c r="P24" i="107"/>
  <c r="AB13" i="107"/>
  <c r="X13" i="107"/>
  <c r="P22" i="107"/>
  <c r="T13" i="107"/>
  <c r="O22" i="107"/>
  <c r="O20" i="107"/>
  <c r="AD12" i="107"/>
  <c r="X12" i="107"/>
  <c r="X11" i="107"/>
  <c r="V11" i="107"/>
  <c r="O13" i="107"/>
  <c r="O11" i="107"/>
  <c r="AB10" i="107"/>
  <c r="Z10" i="107"/>
  <c r="X10" i="107"/>
  <c r="T10" i="107"/>
  <c r="P57" i="107"/>
  <c r="P56" i="107"/>
  <c r="O56" i="107"/>
  <c r="P55" i="107"/>
  <c r="O55" i="107"/>
  <c r="AC21" i="107"/>
  <c r="AA21" i="107"/>
  <c r="Y21" i="107"/>
  <c r="W21" i="107"/>
  <c r="U21" i="107"/>
  <c r="U39" i="107" s="1"/>
  <c r="S21" i="107"/>
  <c r="P54" i="107"/>
  <c r="O54" i="107"/>
  <c r="P53" i="107"/>
  <c r="O53" i="107"/>
  <c r="O52" i="107"/>
  <c r="P52" i="107"/>
  <c r="O51" i="107"/>
  <c r="P51" i="107"/>
  <c r="AC20" i="107"/>
  <c r="AA20" i="107"/>
  <c r="Y20" i="107"/>
  <c r="W20" i="107"/>
  <c r="U20" i="107"/>
  <c r="O50" i="107"/>
  <c r="P50" i="107"/>
  <c r="S20" i="107"/>
  <c r="P49" i="107"/>
  <c r="O49" i="107"/>
  <c r="P48" i="107"/>
  <c r="O48" i="107"/>
  <c r="P47" i="107"/>
  <c r="O47" i="107"/>
  <c r="AC19" i="107"/>
  <c r="AA19" i="107"/>
  <c r="Y19" i="107"/>
  <c r="W19" i="107"/>
  <c r="U19" i="107"/>
  <c r="S19" i="107"/>
  <c r="S36" i="107" s="1"/>
  <c r="O46" i="107"/>
  <c r="P46" i="107"/>
  <c r="P45" i="107"/>
  <c r="O45" i="107"/>
  <c r="O44" i="107"/>
  <c r="P44" i="107"/>
  <c r="O43" i="107"/>
  <c r="P43" i="107"/>
  <c r="AC18" i="107"/>
  <c r="AA18" i="107"/>
  <c r="Y18" i="107"/>
  <c r="W18" i="107"/>
  <c r="U18" i="107"/>
  <c r="O42" i="107"/>
  <c r="P42" i="107"/>
  <c r="S18" i="107"/>
  <c r="P41" i="107"/>
  <c r="O41" i="107"/>
  <c r="P40" i="107"/>
  <c r="P39" i="107"/>
  <c r="AC17" i="107"/>
  <c r="Y17" i="107"/>
  <c r="W17" i="107"/>
  <c r="U17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AA17" i="107"/>
  <c r="S17" i="107"/>
  <c r="AC16" i="107"/>
  <c r="AA16" i="107"/>
  <c r="Y16" i="107"/>
  <c r="W16" i="107"/>
  <c r="U16" i="107"/>
  <c r="AA15" i="107"/>
  <c r="S15" i="107"/>
  <c r="AC14" i="107"/>
  <c r="AA14" i="107"/>
  <c r="Y14" i="107"/>
  <c r="W14" i="107"/>
  <c r="U14" i="107"/>
  <c r="S14" i="107"/>
  <c r="AC13" i="107"/>
  <c r="AA13" i="107"/>
  <c r="Y13" i="107"/>
  <c r="W13" i="107"/>
  <c r="U13" i="107"/>
  <c r="S13" i="107"/>
  <c r="P20" i="107"/>
  <c r="P19" i="107"/>
  <c r="AC12" i="107"/>
  <c r="AA12" i="107"/>
  <c r="Y12" i="107"/>
  <c r="W12" i="107"/>
  <c r="U12" i="107"/>
  <c r="S12" i="107"/>
  <c r="P16" i="107"/>
  <c r="P15" i="107"/>
  <c r="AC11" i="107"/>
  <c r="AA11" i="107"/>
  <c r="Y11" i="107"/>
  <c r="W11" i="107"/>
  <c r="U11" i="107"/>
  <c r="S11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S16" i="107"/>
  <c r="P34" i="107"/>
  <c r="O30" i="107"/>
  <c r="Y10" i="107"/>
  <c r="AB38" i="105"/>
  <c r="T38" i="105"/>
  <c r="AD10" i="107"/>
  <c r="V10" i="107"/>
  <c r="V41" i="107" s="1"/>
  <c r="AA10" i="107"/>
  <c r="P10" i="107"/>
  <c r="S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V22" i="93" s="1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AB41" i="108" l="1"/>
  <c r="T41" i="108"/>
  <c r="F106" i="111"/>
  <c r="AD12" i="111"/>
  <c r="V42" i="107"/>
  <c r="Y42" i="108"/>
  <c r="X41" i="107"/>
  <c r="W41" i="107"/>
  <c r="W42" i="107" s="1"/>
  <c r="AA42" i="110"/>
  <c r="Z41" i="108"/>
  <c r="N106" i="111"/>
  <c r="E106" i="111"/>
  <c r="T41" i="107"/>
  <c r="U41" i="108"/>
  <c r="U42" i="108" s="1"/>
  <c r="T13" i="111"/>
  <c r="O106" i="107"/>
  <c r="H108" i="107" s="1"/>
  <c r="Y41" i="107"/>
  <c r="Z41" i="107"/>
  <c r="AC41" i="107"/>
  <c r="X41" i="108"/>
  <c r="I106" i="111"/>
  <c r="W42" i="108"/>
  <c r="U41" i="107"/>
  <c r="Y34" i="108"/>
  <c r="S41" i="107"/>
  <c r="AB41" i="107"/>
  <c r="P106" i="108"/>
  <c r="O106" i="108"/>
  <c r="AD41" i="108"/>
  <c r="AD42" i="108" s="1"/>
  <c r="M106" i="111"/>
  <c r="D106" i="111"/>
  <c r="P106" i="107"/>
  <c r="AC41" i="108"/>
  <c r="G106" i="111"/>
  <c r="C106" i="111"/>
  <c r="J106" i="111"/>
  <c r="H106" i="111"/>
  <c r="AA41" i="107"/>
  <c r="AA42" i="107" s="1"/>
  <c r="S41" i="108"/>
  <c r="AA41" i="108"/>
  <c r="K106" i="111"/>
  <c r="V41" i="108"/>
  <c r="L106" i="111"/>
  <c r="U15" i="111"/>
  <c r="AE24" i="98"/>
  <c r="V39" i="107"/>
  <c r="AF10" i="108"/>
  <c r="U36" i="107"/>
  <c r="T11" i="111"/>
  <c r="V17" i="111"/>
  <c r="AA12" i="111"/>
  <c r="X14" i="111"/>
  <c r="AD11" i="111"/>
  <c r="T17" i="111"/>
  <c r="AB19" i="111"/>
  <c r="AA15" i="111"/>
  <c r="O47" i="111"/>
  <c r="Z14" i="111"/>
  <c r="AD19" i="111"/>
  <c r="W11" i="111"/>
  <c r="U14" i="111"/>
  <c r="AB15" i="111"/>
  <c r="X18" i="111"/>
  <c r="T21" i="111"/>
  <c r="AA18" i="111"/>
  <c r="AD36" i="108"/>
  <c r="AB12" i="111"/>
  <c r="S18" i="111"/>
  <c r="Y14" i="111"/>
  <c r="S15" i="111"/>
  <c r="W17" i="111"/>
  <c r="W18" i="111"/>
  <c r="Y19" i="111"/>
  <c r="O52" i="111"/>
  <c r="AC20" i="111"/>
  <c r="AA21" i="111"/>
  <c r="X11" i="111"/>
  <c r="V13" i="111"/>
  <c r="AD13" i="111"/>
  <c r="V15" i="111"/>
  <c r="AD15" i="111"/>
  <c r="Z16" i="111"/>
  <c r="AD17" i="111"/>
  <c r="Z18" i="111"/>
  <c r="V19" i="111"/>
  <c r="Z20" i="111"/>
  <c r="V21" i="111"/>
  <c r="AD21" i="111"/>
  <c r="Z36" i="108"/>
  <c r="S11" i="111"/>
  <c r="AA11" i="111"/>
  <c r="S12" i="111"/>
  <c r="W12" i="111"/>
  <c r="S13" i="111"/>
  <c r="AA13" i="111"/>
  <c r="T14" i="111"/>
  <c r="AB14" i="111"/>
  <c r="X15" i="111"/>
  <c r="T15" i="111"/>
  <c r="X16" i="111"/>
  <c r="T16" i="111"/>
  <c r="AB16" i="111"/>
  <c r="X17" i="111"/>
  <c r="AB17" i="111"/>
  <c r="T18" i="111"/>
  <c r="AB18" i="111"/>
  <c r="T19" i="111"/>
  <c r="X20" i="111"/>
  <c r="T20" i="111"/>
  <c r="AB20" i="111"/>
  <c r="X21" i="111"/>
  <c r="S17" i="111"/>
  <c r="AA17" i="111"/>
  <c r="W13" i="111"/>
  <c r="AC14" i="111"/>
  <c r="X13" i="111"/>
  <c r="AB21" i="111"/>
  <c r="Z10" i="111"/>
  <c r="Z41" i="111" s="1"/>
  <c r="V39" i="108"/>
  <c r="U19" i="111"/>
  <c r="AC21" i="111"/>
  <c r="Y21" i="111"/>
  <c r="W15" i="111"/>
  <c r="AA16" i="111"/>
  <c r="O12" i="111"/>
  <c r="P26" i="111"/>
  <c r="V11" i="111"/>
  <c r="X12" i="111"/>
  <c r="Z12" i="111"/>
  <c r="P46" i="111"/>
  <c r="S10" i="111"/>
  <c r="AB36" i="108"/>
  <c r="AD37" i="108"/>
  <c r="P10" i="111"/>
  <c r="X19" i="111"/>
  <c r="W10" i="111"/>
  <c r="O22" i="111"/>
  <c r="P31" i="111"/>
  <c r="W16" i="111"/>
  <c r="V10" i="111"/>
  <c r="T10" i="111"/>
  <c r="AB10" i="111"/>
  <c r="AB41" i="111" s="1"/>
  <c r="Z11" i="111"/>
  <c r="AB11" i="111"/>
  <c r="V12" i="111"/>
  <c r="AB13" i="111"/>
  <c r="Z13" i="111"/>
  <c r="V14" i="111"/>
  <c r="AD14" i="111"/>
  <c r="Z15" i="111"/>
  <c r="V16" i="111"/>
  <c r="AD16" i="111"/>
  <c r="Z17" i="111"/>
  <c r="V18" i="111"/>
  <c r="AD18" i="111"/>
  <c r="Z19" i="111"/>
  <c r="V20" i="111"/>
  <c r="AD20" i="111"/>
  <c r="Z21" i="111"/>
  <c r="AD39" i="108"/>
  <c r="Z39" i="108"/>
  <c r="O34" i="111"/>
  <c r="P17" i="111"/>
  <c r="O21" i="111"/>
  <c r="O37" i="111"/>
  <c r="P41" i="111"/>
  <c r="O42" i="111"/>
  <c r="U20" i="111"/>
  <c r="P53" i="111"/>
  <c r="X10" i="111"/>
  <c r="T39" i="108"/>
  <c r="U10" i="111"/>
  <c r="AC10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U16" i="111"/>
  <c r="AC16" i="111"/>
  <c r="Y16" i="111"/>
  <c r="P38" i="111"/>
  <c r="P39" i="111"/>
  <c r="O40" i="111"/>
  <c r="P44" i="111"/>
  <c r="S19" i="111"/>
  <c r="AA19" i="111"/>
  <c r="P47" i="111"/>
  <c r="P50" i="111"/>
  <c r="P51" i="111"/>
  <c r="Y20" i="111"/>
  <c r="P54" i="111"/>
  <c r="O55" i="111"/>
  <c r="P23" i="111"/>
  <c r="O23" i="111"/>
  <c r="Y18" i="111"/>
  <c r="O43" i="111"/>
  <c r="O49" i="111"/>
  <c r="P49" i="111"/>
  <c r="W21" i="111"/>
  <c r="P56" i="111"/>
  <c r="O10" i="111"/>
  <c r="C108" i="110"/>
  <c r="P15" i="111"/>
  <c r="O28" i="111"/>
  <c r="O35" i="111"/>
  <c r="O25" i="111"/>
  <c r="O44" i="111"/>
  <c r="O54" i="111"/>
  <c r="AD10" i="111"/>
  <c r="P36" i="111"/>
  <c r="O57" i="111"/>
  <c r="X36" i="108"/>
  <c r="V34" i="108"/>
  <c r="O11" i="111"/>
  <c r="Y10" i="111"/>
  <c r="O13" i="111"/>
  <c r="Y11" i="111"/>
  <c r="U11" i="111"/>
  <c r="AC11" i="111"/>
  <c r="O16" i="111"/>
  <c r="Y12" i="111"/>
  <c r="U12" i="111"/>
  <c r="AC12" i="111"/>
  <c r="O20" i="111"/>
  <c r="P21" i="111"/>
  <c r="Y13" i="111"/>
  <c r="U13" i="111"/>
  <c r="AC13" i="111"/>
  <c r="P24" i="111"/>
  <c r="W14" i="111"/>
  <c r="AA14" i="111"/>
  <c r="P29" i="111"/>
  <c r="O30" i="111"/>
  <c r="AC15" i="111"/>
  <c r="Y15" i="111"/>
  <c r="O33" i="111"/>
  <c r="P34" i="111"/>
  <c r="P35" i="111"/>
  <c r="O36" i="111"/>
  <c r="P37" i="111"/>
  <c r="O38" i="111"/>
  <c r="AC17" i="111"/>
  <c r="Y17" i="111"/>
  <c r="U17" i="111"/>
  <c r="O41" i="111"/>
  <c r="P42" i="111"/>
  <c r="U18" i="111"/>
  <c r="AC18" i="111"/>
  <c r="P45" i="111"/>
  <c r="O46" i="111"/>
  <c r="AC19" i="111"/>
  <c r="O48" i="111"/>
  <c r="W19" i="111"/>
  <c r="O50" i="111"/>
  <c r="O51" i="111"/>
  <c r="AA20" i="111"/>
  <c r="W20" i="111"/>
  <c r="O53" i="111"/>
  <c r="P55" i="111"/>
  <c r="O56" i="111"/>
  <c r="P57" i="111"/>
  <c r="P14" i="111"/>
  <c r="P16" i="111"/>
  <c r="O18" i="111"/>
  <c r="S14" i="111"/>
  <c r="O27" i="111"/>
  <c r="O29" i="111"/>
  <c r="S16" i="111"/>
  <c r="O39" i="111"/>
  <c r="P48" i="111"/>
  <c r="S20" i="111"/>
  <c r="P52" i="111"/>
  <c r="P12" i="111"/>
  <c r="P19" i="111"/>
  <c r="O24" i="111"/>
  <c r="O31" i="111"/>
  <c r="O45" i="111"/>
  <c r="S21" i="111"/>
  <c r="P11" i="111"/>
  <c r="P18" i="111"/>
  <c r="P22" i="111"/>
  <c r="P27" i="111"/>
  <c r="P32" i="111"/>
  <c r="P40" i="111"/>
  <c r="P43" i="111"/>
  <c r="X39" i="108"/>
  <c r="T36" i="108"/>
  <c r="AB39" i="108"/>
  <c r="V37" i="108"/>
  <c r="T34" i="108"/>
  <c r="F108" i="110"/>
  <c r="AA10" i="111"/>
  <c r="H108" i="110"/>
  <c r="N108" i="110"/>
  <c r="X34" i="108"/>
  <c r="AE39" i="110"/>
  <c r="W42" i="110"/>
  <c r="Z34" i="108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AE21" i="108"/>
  <c r="AD38" i="108"/>
  <c r="AE20" i="107"/>
  <c r="T39" i="107"/>
  <c r="AB39" i="107"/>
  <c r="Z37" i="108"/>
  <c r="Z38" i="108"/>
  <c r="AF11" i="108"/>
  <c r="AC36" i="108"/>
  <c r="Y39" i="108"/>
  <c r="AF21" i="108"/>
  <c r="AC34" i="108"/>
  <c r="AE10" i="108"/>
  <c r="AF19" i="108"/>
  <c r="U39" i="108"/>
  <c r="W36" i="108"/>
  <c r="T38" i="108"/>
  <c r="Y37" i="108"/>
  <c r="AD34" i="107"/>
  <c r="S38" i="107"/>
  <c r="AC34" i="107"/>
  <c r="V34" i="107"/>
  <c r="AD40" i="108"/>
  <c r="AA39" i="108"/>
  <c r="AA35" i="108"/>
  <c r="T35" i="108"/>
  <c r="AB35" i="108"/>
  <c r="AE12" i="108"/>
  <c r="X38" i="108"/>
  <c r="AC37" i="108"/>
  <c r="X40" i="108"/>
  <c r="AE18" i="108"/>
  <c r="S37" i="108"/>
  <c r="AE19" i="108"/>
  <c r="W39" i="108"/>
  <c r="AD38" i="107"/>
  <c r="X35" i="108"/>
  <c r="AF20" i="108"/>
  <c r="AE17" i="108"/>
  <c r="AC40" i="108"/>
  <c r="AA40" i="108"/>
  <c r="AE14" i="108"/>
  <c r="AF14" i="108"/>
  <c r="AE15" i="108"/>
  <c r="V38" i="108"/>
  <c r="AF17" i="108"/>
  <c r="S35" i="108"/>
  <c r="Y36" i="108"/>
  <c r="AC39" i="108"/>
  <c r="AE20" i="108"/>
  <c r="AE13" i="108"/>
  <c r="H108" i="108"/>
  <c r="U36" i="108"/>
  <c r="V36" i="107"/>
  <c r="AD37" i="107"/>
  <c r="AD35" i="107"/>
  <c r="C107" i="107"/>
  <c r="V37" i="107"/>
  <c r="Y37" i="107"/>
  <c r="W34" i="107"/>
  <c r="U40" i="108"/>
  <c r="AF12" i="108"/>
  <c r="AF18" i="108"/>
  <c r="AA38" i="108"/>
  <c r="AE11" i="108"/>
  <c r="AD36" i="107"/>
  <c r="Y34" i="107"/>
  <c r="Z40" i="107"/>
  <c r="AB35" i="107"/>
  <c r="Z36" i="107"/>
  <c r="AD34" i="108"/>
  <c r="U37" i="108"/>
  <c r="AB38" i="108"/>
  <c r="AB40" i="108"/>
  <c r="S38" i="108"/>
  <c r="S40" i="108"/>
  <c r="AA34" i="108"/>
  <c r="Y40" i="108"/>
  <c r="V35" i="108"/>
  <c r="AD35" i="108"/>
  <c r="AF13" i="108"/>
  <c r="AF15" i="108"/>
  <c r="AE16" i="108"/>
  <c r="Z40" i="108"/>
  <c r="F107" i="105"/>
  <c r="AE12" i="107"/>
  <c r="AE16" i="107"/>
  <c r="AF18" i="107"/>
  <c r="S39" i="108"/>
  <c r="S36" i="108"/>
  <c r="W38" i="108"/>
  <c r="W35" i="108"/>
  <c r="H107" i="108"/>
  <c r="V40" i="108"/>
  <c r="Z35" i="108"/>
  <c r="U34" i="108"/>
  <c r="T40" i="108"/>
  <c r="S34" i="108"/>
  <c r="AF16" i="108"/>
  <c r="AA37" i="108"/>
  <c r="AA36" i="108"/>
  <c r="AB34" i="108"/>
  <c r="AB37" i="108"/>
  <c r="W40" i="108"/>
  <c r="W37" i="108"/>
  <c r="W34" i="108"/>
  <c r="Y38" i="108"/>
  <c r="Y35" i="108"/>
  <c r="T37" i="108"/>
  <c r="X37" i="108"/>
  <c r="Y40" i="107"/>
  <c r="AE14" i="107"/>
  <c r="AE18" i="107"/>
  <c r="T38" i="107"/>
  <c r="V38" i="107"/>
  <c r="X36" i="107"/>
  <c r="U37" i="107"/>
  <c r="U38" i="108"/>
  <c r="U35" i="108"/>
  <c r="AC38" i="108"/>
  <c r="AC35" i="108"/>
  <c r="X35" i="107"/>
  <c r="T36" i="107"/>
  <c r="AB36" i="107"/>
  <c r="AC40" i="107"/>
  <c r="E107" i="105"/>
  <c r="V40" i="107"/>
  <c r="Z37" i="107"/>
  <c r="AE10" i="107"/>
  <c r="AF10" i="107"/>
  <c r="AC38" i="107"/>
  <c r="D107" i="105"/>
  <c r="C107" i="105"/>
  <c r="Z34" i="107"/>
  <c r="AE15" i="107"/>
  <c r="S35" i="107"/>
  <c r="U40" i="107"/>
  <c r="AC37" i="107"/>
  <c r="U35" i="107"/>
  <c r="Y35" i="107"/>
  <c r="AC35" i="107"/>
  <c r="AE19" i="107"/>
  <c r="AE21" i="107"/>
  <c r="X40" i="107"/>
  <c r="AB40" i="107"/>
  <c r="X38" i="107"/>
  <c r="Z35" i="107"/>
  <c r="AF35" i="105"/>
  <c r="AE17" i="107"/>
  <c r="AE13" i="107"/>
  <c r="AF15" i="107"/>
  <c r="T40" i="107"/>
  <c r="AE11" i="107"/>
  <c r="V35" i="107"/>
  <c r="AD40" i="107"/>
  <c r="AD42" i="107" s="1"/>
  <c r="AB38" i="107"/>
  <c r="X39" i="107"/>
  <c r="Z39" i="107"/>
  <c r="W40" i="107"/>
  <c r="D108" i="105"/>
  <c r="F108" i="105"/>
  <c r="C108" i="105"/>
  <c r="E108" i="105"/>
  <c r="U34" i="107"/>
  <c r="T35" i="107"/>
  <c r="Z38" i="107"/>
  <c r="U38" i="107"/>
  <c r="Y38" i="107"/>
  <c r="W37" i="107"/>
  <c r="AF16" i="107"/>
  <c r="AF14" i="107"/>
  <c r="W38" i="107"/>
  <c r="W35" i="107"/>
  <c r="AA35" i="107"/>
  <c r="AA38" i="107"/>
  <c r="Y39" i="107"/>
  <c r="Y36" i="107"/>
  <c r="AC39" i="107"/>
  <c r="AC36" i="107"/>
  <c r="AF19" i="107"/>
  <c r="AF21" i="107"/>
  <c r="T37" i="107"/>
  <c r="T34" i="107"/>
  <c r="AF13" i="107"/>
  <c r="AF17" i="107"/>
  <c r="W39" i="107"/>
  <c r="W36" i="107"/>
  <c r="AA36" i="107"/>
  <c r="AA39" i="107"/>
  <c r="S39" i="107"/>
  <c r="AF20" i="107"/>
  <c r="X37" i="107"/>
  <c r="X34" i="107"/>
  <c r="AB34" i="107"/>
  <c r="AB37" i="107"/>
  <c r="AF11" i="107"/>
  <c r="AF12" i="107"/>
  <c r="AA40" i="107"/>
  <c r="AA37" i="107"/>
  <c r="AA34" i="107"/>
  <c r="S37" i="107"/>
  <c r="S40" i="107"/>
  <c r="S34" i="107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W41" i="111" l="1"/>
  <c r="AA42" i="108"/>
  <c r="Y41" i="111"/>
  <c r="AF41" i="108"/>
  <c r="S42" i="108"/>
  <c r="U42" i="107"/>
  <c r="X42" i="107"/>
  <c r="P106" i="111"/>
  <c r="AA41" i="111"/>
  <c r="U41" i="111"/>
  <c r="V41" i="111"/>
  <c r="X42" i="108"/>
  <c r="AE41" i="107"/>
  <c r="T42" i="107"/>
  <c r="S41" i="111"/>
  <c r="S42" i="111" s="1"/>
  <c r="AC42" i="107"/>
  <c r="AF41" i="107"/>
  <c r="T41" i="111"/>
  <c r="X41" i="111"/>
  <c r="V42" i="108"/>
  <c r="AB42" i="107"/>
  <c r="Z42" i="107"/>
  <c r="Z42" i="108"/>
  <c r="T42" i="108"/>
  <c r="AE41" i="108"/>
  <c r="AD41" i="111"/>
  <c r="AD42" i="111" s="1"/>
  <c r="O106" i="111"/>
  <c r="K108" i="111" s="1"/>
  <c r="AC42" i="108"/>
  <c r="S42" i="107"/>
  <c r="Y42" i="107"/>
  <c r="AB42" i="108"/>
  <c r="AD37" i="111"/>
  <c r="X34" i="111"/>
  <c r="AD39" i="111"/>
  <c r="T34" i="111"/>
  <c r="W37" i="111"/>
  <c r="X36" i="111"/>
  <c r="Z39" i="111"/>
  <c r="AD38" i="111"/>
  <c r="V40" i="111"/>
  <c r="AA35" i="111"/>
  <c r="AF12" i="111"/>
  <c r="S34" i="111"/>
  <c r="T39" i="111"/>
  <c r="AC34" i="111"/>
  <c r="AD34" i="111"/>
  <c r="T37" i="111"/>
  <c r="AE15" i="111"/>
  <c r="AF19" i="111"/>
  <c r="AE12" i="111"/>
  <c r="AA36" i="111"/>
  <c r="AF14" i="111"/>
  <c r="AE14" i="111"/>
  <c r="AF11" i="111"/>
  <c r="AE18" i="111"/>
  <c r="Z37" i="111"/>
  <c r="T38" i="111"/>
  <c r="AF10" i="111"/>
  <c r="AF37" i="111" s="1"/>
  <c r="W36" i="111"/>
  <c r="Y40" i="111"/>
  <c r="U36" i="111"/>
  <c r="Z36" i="111"/>
  <c r="V35" i="111"/>
  <c r="AB40" i="111"/>
  <c r="AB42" i="111" s="1"/>
  <c r="X39" i="111"/>
  <c r="S37" i="111"/>
  <c r="AB36" i="111"/>
  <c r="AE20" i="111"/>
  <c r="AE10" i="111"/>
  <c r="X35" i="111"/>
  <c r="S40" i="111"/>
  <c r="Z38" i="111"/>
  <c r="AE13" i="111"/>
  <c r="V34" i="111"/>
  <c r="W35" i="111"/>
  <c r="AC35" i="111"/>
  <c r="AB38" i="111"/>
  <c r="W40" i="111"/>
  <c r="V39" i="111"/>
  <c r="AD40" i="111"/>
  <c r="X40" i="111"/>
  <c r="V38" i="111"/>
  <c r="AB39" i="111"/>
  <c r="AB37" i="111"/>
  <c r="W34" i="111"/>
  <c r="AF15" i="111"/>
  <c r="AF13" i="111"/>
  <c r="AE21" i="111"/>
  <c r="W38" i="111"/>
  <c r="X38" i="111"/>
  <c r="AF20" i="111"/>
  <c r="S36" i="111"/>
  <c r="AE11" i="111"/>
  <c r="U39" i="111"/>
  <c r="Z35" i="111"/>
  <c r="Z40" i="111"/>
  <c r="Z42" i="111" s="1"/>
  <c r="V37" i="111"/>
  <c r="T36" i="111"/>
  <c r="T40" i="111"/>
  <c r="AB35" i="111"/>
  <c r="AA38" i="111"/>
  <c r="V36" i="111"/>
  <c r="AD35" i="111"/>
  <c r="X37" i="111"/>
  <c r="AC39" i="111"/>
  <c r="Y39" i="111"/>
  <c r="U35" i="111"/>
  <c r="AD36" i="111"/>
  <c r="AE19" i="111"/>
  <c r="U40" i="111"/>
  <c r="Z34" i="111"/>
  <c r="T35" i="111"/>
  <c r="AB34" i="111"/>
  <c r="U34" i="111"/>
  <c r="AF17" i="111"/>
  <c r="AC36" i="111"/>
  <c r="Y36" i="111"/>
  <c r="U37" i="111"/>
  <c r="AA39" i="111"/>
  <c r="S39" i="111"/>
  <c r="S38" i="111"/>
  <c r="Y38" i="111"/>
  <c r="AF16" i="111"/>
  <c r="N107" i="111"/>
  <c r="AF21" i="111"/>
  <c r="W39" i="111"/>
  <c r="AE17" i="111"/>
  <c r="AC38" i="111"/>
  <c r="U38" i="111"/>
  <c r="AC40" i="111"/>
  <c r="Y37" i="111"/>
  <c r="AE16" i="111"/>
  <c r="Y35" i="111"/>
  <c r="S35" i="111"/>
  <c r="AF18" i="111"/>
  <c r="Y34" i="111"/>
  <c r="AC37" i="111"/>
  <c r="K107" i="111"/>
  <c r="AA37" i="111"/>
  <c r="AA40" i="111"/>
  <c r="AA34" i="111"/>
  <c r="M107" i="107"/>
  <c r="AF39" i="108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AE39" i="108"/>
  <c r="AE37" i="108"/>
  <c r="F108" i="108"/>
  <c r="AE36" i="108"/>
  <c r="AF36" i="108"/>
  <c r="AF34" i="108"/>
  <c r="C108" i="108"/>
  <c r="K108" i="108"/>
  <c r="N108" i="108"/>
  <c r="AF40" i="108"/>
  <c r="K108" i="107"/>
  <c r="L108" i="108"/>
  <c r="D108" i="108"/>
  <c r="I108" i="108"/>
  <c r="E108" i="108"/>
  <c r="J108" i="108"/>
  <c r="AF37" i="108"/>
  <c r="AE38" i="108"/>
  <c r="AE39" i="107"/>
  <c r="AF35" i="108"/>
  <c r="AE35" i="108"/>
  <c r="D107" i="107"/>
  <c r="G107" i="107"/>
  <c r="J107" i="107"/>
  <c r="N108" i="107"/>
  <c r="G108" i="107"/>
  <c r="D107" i="108"/>
  <c r="M107" i="108"/>
  <c r="K107" i="108"/>
  <c r="L108" i="107"/>
  <c r="AE40" i="108"/>
  <c r="AF40" i="107"/>
  <c r="F107" i="107"/>
  <c r="I107" i="107"/>
  <c r="E107" i="107"/>
  <c r="N107" i="107"/>
  <c r="C107" i="108"/>
  <c r="AE34" i="108"/>
  <c r="N107" i="108"/>
  <c r="F107" i="108"/>
  <c r="I107" i="108"/>
  <c r="E107" i="108"/>
  <c r="H107" i="107"/>
  <c r="AF38" i="108"/>
  <c r="AE37" i="107"/>
  <c r="AE35" i="107"/>
  <c r="AF34" i="107"/>
  <c r="AE40" i="107"/>
  <c r="AE38" i="107"/>
  <c r="AE36" i="107"/>
  <c r="AE34" i="107"/>
  <c r="D108" i="107"/>
  <c r="J108" i="107"/>
  <c r="I108" i="107"/>
  <c r="E108" i="107"/>
  <c r="AF37" i="107"/>
  <c r="AF35" i="107"/>
  <c r="AF38" i="107"/>
  <c r="AF36" i="107"/>
  <c r="AF39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E41" i="111" l="1"/>
  <c r="AE42" i="111" s="1"/>
  <c r="AE42" i="108"/>
  <c r="X42" i="111"/>
  <c r="AF42" i="108"/>
  <c r="AC42" i="111"/>
  <c r="T42" i="111"/>
  <c r="V42" i="111"/>
  <c r="Y42" i="111"/>
  <c r="AE42" i="107"/>
  <c r="U42" i="111"/>
  <c r="AF34" i="111"/>
  <c r="AF41" i="111"/>
  <c r="AF42" i="111" s="1"/>
  <c r="AF42" i="107"/>
  <c r="AA42" i="111"/>
  <c r="W42" i="111"/>
  <c r="E108" i="111"/>
  <c r="AE34" i="111"/>
  <c r="F108" i="111"/>
  <c r="AE39" i="111"/>
  <c r="AE37" i="111"/>
  <c r="H107" i="111"/>
  <c r="F107" i="111"/>
  <c r="E107" i="111"/>
  <c r="C107" i="111"/>
  <c r="I107" i="111"/>
  <c r="AE40" i="111"/>
  <c r="AF40" i="111"/>
  <c r="N108" i="111"/>
  <c r="H108" i="111"/>
  <c r="C108" i="111"/>
  <c r="AE35" i="111"/>
  <c r="AE36" i="111"/>
  <c r="AF36" i="111"/>
  <c r="M107" i="111"/>
  <c r="D107" i="111"/>
  <c r="L107" i="111"/>
  <c r="G107" i="111"/>
  <c r="J107" i="111"/>
  <c r="AF38" i="111"/>
  <c r="AF39" i="111"/>
  <c r="AE38" i="111"/>
  <c r="J108" i="111"/>
  <c r="I108" i="111"/>
  <c r="D108" i="111"/>
  <c r="L108" i="111"/>
  <c r="G108" i="111"/>
  <c r="AF35" i="111"/>
</calcChain>
</file>

<file path=xl/sharedStrings.xml><?xml version="1.0" encoding="utf-8"?>
<sst xmlns="http://schemas.openxmlformats.org/spreadsheetml/2006/main" count="2351" uniqueCount="179">
  <si>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</si>
  <si>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</si>
  <si>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</si>
  <si>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</si>
  <si>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</si>
  <si>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</si>
  <si>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</si>
  <si>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</si>
  <si>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</si>
  <si>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</si>
  <si>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</si>
  <si>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</si>
  <si>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</si>
  <si>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</si>
  <si>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</si>
  <si>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</si>
  <si>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</si>
  <si>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</si>
  <si>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</si>
  <si>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</si>
  <si>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</si>
  <si>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</si>
  <si>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</si>
  <si>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</si>
  <si>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</si>
  <si>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</si>
  <si>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</si>
  <si>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</si>
  <si>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</si>
  <si>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</si>
  <si>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</si>
  <si>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</si>
  <si>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</si>
  <si>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</si>
  <si>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</si>
  <si>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</si>
  <si>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</si>
  <si>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</si>
  <si>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</si>
  <si>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</si>
  <si>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</si>
  <si>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</si>
  <si>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</si>
  <si>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</si>
  <si>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</si>
  <si>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</si>
  <si>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</si>
  <si>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</si>
  <si>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</si>
  <si>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</si>
  <si>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</si>
  <si>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</si>
  <si>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</si>
  <si>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</si>
  <si>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</si>
  <si>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</si>
  <si>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</si>
  <si>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</si>
  <si>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</si>
  <si>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</si>
  <si>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</si>
  <si>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</si>
  <si>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</si>
  <si>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</si>
  <si>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</si>
  <si>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</si>
  <si>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</si>
  <si>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</si>
  <si>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</si>
  <si>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</si>
  <si>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</si>
  <si>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</si>
  <si>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</si>
  <si>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</si>
  <si>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</si>
  <si>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</si>
  <si>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</si>
  <si>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</si>
  <si>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</si>
  <si>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</si>
  <si>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</si>
  <si>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</si>
  <si>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</si>
  <si>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</si>
  <si>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</si>
  <si>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</si>
  <si>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</si>
  <si>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</si>
  <si>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</si>
  <si>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</si>
  <si>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</si>
  <si>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</si>
  <si>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</si>
  <si>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</si>
  <si>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</si>
  <si>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</si>
  <si>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</si>
  <si>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</si>
  <si>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</si>
  <si>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</si>
  <si>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</si>
  <si>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</si>
  <si>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</si>
  <si>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</si>
  <si>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</si>
  <si>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</si>
  <si>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</si>
  <si>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</si>
  <si>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</si>
  <si>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</si>
  <si>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</si>
  <si>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</si>
  <si>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</si>
  <si>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</si>
  <si>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</si>
  <si>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</si>
  <si>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</si>
  <si>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</si>
  <si>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</si>
  <si>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</si>
  <si>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</si>
  <si>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</si>
  <si>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</si>
  <si>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</si>
  <si>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</si>
  <si>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</si>
  <si>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</si>
  <si>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</si>
  <si>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</si>
  <si>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</si>
  <si>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</si>
  <si>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</si>
  <si>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</si>
  <si>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</si>
  <si>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</si>
  <si>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</si>
  <si>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</si>
  <si>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</si>
  <si>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</si>
  <si>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</si>
  <si>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</si>
  <si>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</si>
  <si>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</si>
  <si>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</si>
  <si>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</si>
  <si>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</si>
  <si>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</si>
  <si>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</si>
  <si>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</si>
  <si>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</si>
  <si>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</si>
  <si>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</si>
  <si>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</si>
  <si>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</si>
  <si>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</si>
  <si>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</si>
  <si>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</si>
  <si>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</si>
  <si>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</si>
  <si>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</si>
  <si>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</si>
  <si>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</si>
  <si>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22.07.19</t>
  </si>
  <si>
    <t>23.07.19</t>
  </si>
  <si>
    <t>24.07.19</t>
  </si>
  <si>
    <t>25.07.19</t>
  </si>
  <si>
    <t>26.07.19</t>
  </si>
  <si>
    <t>27.07.19</t>
  </si>
  <si>
    <t>28.07.19</t>
  </si>
  <si>
    <t>AVERAGE WEEK</t>
  </si>
  <si>
    <t>kobil head office</t>
  </si>
  <si>
    <t>Kitebi</t>
  </si>
  <si>
    <t>Mawa Haston</t>
  </si>
  <si>
    <t>Felix Oloya</t>
  </si>
  <si>
    <t>Ocaka Francis</t>
  </si>
  <si>
    <t>Oloya Felix</t>
  </si>
  <si>
    <t>Kabusu</t>
  </si>
  <si>
    <t>MCC - C1 - STN06-WANKULUKUKU ROAD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</si>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</sst>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(* #,##0_);_(* \(#,##0\);_(* &quot;-&quot;_);_(@_)"/>
    <numFmt numFmtId="164" formatCode="0.0%"/>
    <numFmt numFmtId="165" formatCode="0.000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1" fontId="3" fillId="0" borderId="0" applyFont="0" applyFill="0" applyBorder="0" applyAlignment="0" applyProtection="0"/>
  </cellStyleXfs>
  <cellXfs count="70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" fontId="0" fillId="4" borderId="1" xfId="0" applyNumberFormat="1" applyFont="1" applyFill="1" applyBorder="1" applyAlignment="1">
      <alignment horizontal="center" vertical="center"/>
    </xf>
    <xf numFmtId="0" fontId="0" fillId="0" borderId="0" xfId="0" applyFont="1" applyBorder="1"/>
    <xf numFmtId="41" fontId="1" fillId="0" borderId="1" xfId="2" applyFont="1" applyBorder="1" applyAlignment="1">
      <alignment horizontal="center"/>
    </xf>
    <xf numFmtId="41" fontId="1" fillId="3" borderId="1" xfId="2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0" fontId="1" fillId="0" borderId="1" xfId="0" applyNumberFormat="1" applyFont="1" applyBorder="1" applyAlignment="1">
      <alignment horizontal="center"/>
    </xf>
    <xf numFmtId="0" fontId="7" fillId="2" borderId="2" xfId="0" applyFont="1" applyFill="1" applyBorder="1" applyAlignment="1">
      <alignment horizontal="left" vertical="center" wrapText="1"/>
    </xf>
    <xf numFmtId="0" fontId="7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6" fillId="2" borderId="9" xfId="0" applyFont="1" applyFill="1" applyBorder="1" applyAlignment="1">
      <alignment horizontal="center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Kitebi-Kabusu'!$AE$9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'22.07 Kitebi-Kabusu'!$R$10:$R$21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Kitebi-Kabusu'!$AE$10:$AE$21</c:f>
              <c:numCache>
                <c:formatCode>0</c:formatCode>
                <c:ptCount val="12"/>
                <c:pt idx="0">
                  <c:v>301</c:v>
                </c:pt>
                <c:pt idx="1">
                  <c:v>341</c:v>
                </c:pt>
                <c:pt idx="2">
                  <c:v>499</c:v>
                </c:pt>
                <c:pt idx="3">
                  <c:v>485</c:v>
                </c:pt>
                <c:pt idx="4">
                  <c:v>408</c:v>
                </c:pt>
                <c:pt idx="5">
                  <c:v>380</c:v>
                </c:pt>
                <c:pt idx="6">
                  <c:v>344</c:v>
                </c:pt>
                <c:pt idx="7">
                  <c:v>318</c:v>
                </c:pt>
                <c:pt idx="8">
                  <c:v>283</c:v>
                </c:pt>
                <c:pt idx="9">
                  <c:v>339</c:v>
                </c:pt>
                <c:pt idx="10">
                  <c:v>317</c:v>
                </c:pt>
                <c:pt idx="11">
                  <c:v>347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'22.07 Kitebi-Kabusu'!$AF$9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'22.07 Kitebi-Kabusu'!$R$10:$R$21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Kitebi-Kabusu'!$AF$10:$AF$21</c:f>
              <c:numCache>
                <c:formatCode>0</c:formatCode>
                <c:ptCount val="12"/>
                <c:pt idx="0">
                  <c:v>568</c:v>
                </c:pt>
                <c:pt idx="1">
                  <c:v>769</c:v>
                </c:pt>
                <c:pt idx="2">
                  <c:v>1117</c:v>
                </c:pt>
                <c:pt idx="3">
                  <c:v>1276</c:v>
                </c:pt>
                <c:pt idx="4">
                  <c:v>1194</c:v>
                </c:pt>
                <c:pt idx="5">
                  <c:v>1120</c:v>
                </c:pt>
                <c:pt idx="6">
                  <c:v>1047</c:v>
                </c:pt>
                <c:pt idx="7">
                  <c:v>1048</c:v>
                </c:pt>
                <c:pt idx="8">
                  <c:v>507</c:v>
                </c:pt>
                <c:pt idx="9">
                  <c:v>1197</c:v>
                </c:pt>
                <c:pt idx="10">
                  <c:v>1145</c:v>
                </c:pt>
                <c:pt idx="11">
                  <c:v>1220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3249920"/>
        <c:axId val="613259168"/>
      </c:lineChart>
      <c:catAx>
        <c:axId val="6132499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259168"/>
        <c:crosses val="autoZero"/>
        <c:auto val="1"/>
        <c:lblAlgn val="ctr"/>
        <c:lblOffset val="100"/>
        <c:noMultiLvlLbl val="0"/>
      </c:catAx>
      <c:valAx>
        <c:axId val="6132591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24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Kitebi-Kabusu'!$C$9:$N$9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Kitebi-Kabusu'!$C$59:$N$59</c:f>
              <c:numCache>
                <c:formatCode>0.0%</c:formatCode>
                <c:ptCount val="12"/>
                <c:pt idx="0">
                  <c:v>0.18700851900393184</c:v>
                </c:pt>
                <c:pt idx="1">
                  <c:v>3.1700524246395807E-2</c:v>
                </c:pt>
                <c:pt idx="2">
                  <c:v>2.367300131061599E-2</c:v>
                </c:pt>
                <c:pt idx="3">
                  <c:v>8.2814547837483612E-2</c:v>
                </c:pt>
                <c:pt idx="4">
                  <c:v>1.7201834862385322E-3</c:v>
                </c:pt>
                <c:pt idx="5">
                  <c:v>9.8296199213630396E-4</c:v>
                </c:pt>
                <c:pt idx="6">
                  <c:v>2.1788990825688075E-2</c:v>
                </c:pt>
                <c:pt idx="7">
                  <c:v>3.7680209698558323E-3</c:v>
                </c:pt>
                <c:pt idx="8">
                  <c:v>2.2935779816513763E-3</c:v>
                </c:pt>
                <c:pt idx="9">
                  <c:v>1.556356487549148E-3</c:v>
                </c:pt>
                <c:pt idx="10">
                  <c:v>0.64269331585845346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Kitebi-Kabusu'!$C$9:$N$9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Kitebi-Kabusu'!$C$60:$N$60</c:f>
              <c:numCache>
                <c:formatCode>0.00%</c:formatCode>
                <c:ptCount val="12"/>
                <c:pt idx="0">
                  <c:v>0.52338376891334248</c:v>
                </c:pt>
                <c:pt idx="1">
                  <c:v>8.8720770288858317E-2</c:v>
                </c:pt>
                <c:pt idx="2">
                  <c:v>6.6254011921137099E-2</c:v>
                </c:pt>
                <c:pt idx="3">
                  <c:v>0.23177441540577717</c:v>
                </c:pt>
                <c:pt idx="4">
                  <c:v>4.8143053645116922E-3</c:v>
                </c:pt>
                <c:pt idx="5">
                  <c:v>2.751031636863824E-3</c:v>
                </c:pt>
                <c:pt idx="6">
                  <c:v>6.0981201283814762E-2</c:v>
                </c:pt>
                <c:pt idx="7">
                  <c:v>1.0545621274644659E-2</c:v>
                </c:pt>
                <c:pt idx="8">
                  <c:v>6.4190738193489229E-3</c:v>
                </c:pt>
                <c:pt idx="9">
                  <c:v>4.3558000917010547E-3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Kabusu-Kitebi'!$AE$9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'22.07 Kabusu-Kitebi'!$R$10:$R$21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Kabusu-Kitebi'!$AE$10:$AE$21</c:f>
              <c:numCache>
                <c:formatCode>0</c:formatCode>
                <c:ptCount val="12"/>
                <c:pt idx="0">
                  <c:v>183</c:v>
                </c:pt>
                <c:pt idx="1">
                  <c:v>154</c:v>
                </c:pt>
                <c:pt idx="2">
                  <c:v>222</c:v>
                </c:pt>
                <c:pt idx="3">
                  <c:v>282</c:v>
                </c:pt>
                <c:pt idx="4">
                  <c:v>275</c:v>
                </c:pt>
                <c:pt idx="5">
                  <c:v>294</c:v>
                </c:pt>
                <c:pt idx="6">
                  <c:v>274</c:v>
                </c:pt>
                <c:pt idx="7">
                  <c:v>301</c:v>
                </c:pt>
                <c:pt idx="8">
                  <c:v>266</c:v>
                </c:pt>
                <c:pt idx="9">
                  <c:v>382</c:v>
                </c:pt>
                <c:pt idx="10">
                  <c:v>500</c:v>
                </c:pt>
                <c:pt idx="11">
                  <c:v>756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'22.07 Kabusu-Kitebi'!$AF$9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'22.07 Kabusu-Kitebi'!$R$10:$R$21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Kabusu-Kitebi'!$AF$10:$AF$21</c:f>
              <c:numCache>
                <c:formatCode>0</c:formatCode>
                <c:ptCount val="12"/>
                <c:pt idx="0">
                  <c:v>342</c:v>
                </c:pt>
                <c:pt idx="1">
                  <c:v>451</c:v>
                </c:pt>
                <c:pt idx="2">
                  <c:v>612</c:v>
                </c:pt>
                <c:pt idx="3">
                  <c:v>797</c:v>
                </c:pt>
                <c:pt idx="4">
                  <c:v>787</c:v>
                </c:pt>
                <c:pt idx="5">
                  <c:v>724</c:v>
                </c:pt>
                <c:pt idx="6">
                  <c:v>710</c:v>
                </c:pt>
                <c:pt idx="7">
                  <c:v>763</c:v>
                </c:pt>
                <c:pt idx="8">
                  <c:v>417</c:v>
                </c:pt>
                <c:pt idx="9">
                  <c:v>1044</c:v>
                </c:pt>
                <c:pt idx="10">
                  <c:v>1145</c:v>
                </c:pt>
                <c:pt idx="11">
                  <c:v>1394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3248288"/>
        <c:axId val="613251008"/>
      </c:lineChart>
      <c:catAx>
        <c:axId val="6132482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251008"/>
        <c:crosses val="autoZero"/>
        <c:auto val="1"/>
        <c:lblAlgn val="ctr"/>
        <c:lblOffset val="100"/>
        <c:noMultiLvlLbl val="0"/>
      </c:catAx>
      <c:valAx>
        <c:axId val="6132510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24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Kabusu-Kitebi'!$C$9:$N$9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Kabusu-Kitebi'!$C$59:$N$59</c:f>
              <c:numCache>
                <c:formatCode>0.0%</c:formatCode>
                <c:ptCount val="12"/>
                <c:pt idx="0">
                  <c:v>0.20966688438928804</c:v>
                </c:pt>
                <c:pt idx="1">
                  <c:v>3.3747006313956017E-2</c:v>
                </c:pt>
                <c:pt idx="2">
                  <c:v>3.1569780100152406E-2</c:v>
                </c:pt>
                <c:pt idx="3">
                  <c:v>0.10178532549531896</c:v>
                </c:pt>
                <c:pt idx="4">
                  <c:v>2.7215327672545178E-3</c:v>
                </c:pt>
                <c:pt idx="5">
                  <c:v>8.7089048552144567E-4</c:v>
                </c:pt>
                <c:pt idx="6">
                  <c:v>3.0372305682560417E-2</c:v>
                </c:pt>
                <c:pt idx="7">
                  <c:v>1.4151970389723492E-3</c:v>
                </c:pt>
                <c:pt idx="8">
                  <c:v>8.2734596124537339E-3</c:v>
                </c:pt>
                <c:pt idx="9">
                  <c:v>2.939255388634879E-3</c:v>
                </c:pt>
                <c:pt idx="10">
                  <c:v>0.5766383627258872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93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Kabusu-Kitebi'!$S$9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'22.07 Kabusu-Kitebi'!$R$10:$R$21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Kabusu-Kitebi'!$S$10:$S$21</c:f>
              <c:numCache>
                <c:formatCode>0</c:formatCode>
                <c:ptCount val="12"/>
                <c:pt idx="0">
                  <c:v>34</c:v>
                </c:pt>
                <c:pt idx="1">
                  <c:v>28</c:v>
                </c:pt>
                <c:pt idx="2">
                  <c:v>71</c:v>
                </c:pt>
                <c:pt idx="3">
                  <c:v>103</c:v>
                </c:pt>
                <c:pt idx="4">
                  <c:v>101</c:v>
                </c:pt>
                <c:pt idx="5">
                  <c:v>135</c:v>
                </c:pt>
                <c:pt idx="6">
                  <c:v>127</c:v>
                </c:pt>
                <c:pt idx="7">
                  <c:v>163</c:v>
                </c:pt>
                <c:pt idx="8">
                  <c:v>150</c:v>
                </c:pt>
                <c:pt idx="9">
                  <c:v>221</c:v>
                </c:pt>
                <c:pt idx="10">
                  <c:v>304</c:v>
                </c:pt>
                <c:pt idx="11">
                  <c:v>489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'22.07 Kabusu-Kitebi'!$T$9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'22.07 Kabusu-Kitebi'!$R$10:$R$21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Kabusu-Kitebi'!$T$10:$T$21</c:f>
              <c:numCache>
                <c:formatCode>0</c:formatCode>
                <c:ptCount val="12"/>
                <c:pt idx="0">
                  <c:v>25</c:v>
                </c:pt>
                <c:pt idx="1">
                  <c:v>19</c:v>
                </c:pt>
                <c:pt idx="2">
                  <c:v>14</c:v>
                </c:pt>
                <c:pt idx="3">
                  <c:v>26</c:v>
                </c:pt>
                <c:pt idx="4">
                  <c:v>19</c:v>
                </c:pt>
                <c:pt idx="5">
                  <c:v>18</c:v>
                </c:pt>
                <c:pt idx="6">
                  <c:v>15</c:v>
                </c:pt>
                <c:pt idx="7">
                  <c:v>18</c:v>
                </c:pt>
                <c:pt idx="8">
                  <c:v>21</c:v>
                </c:pt>
                <c:pt idx="9">
                  <c:v>35</c:v>
                </c:pt>
                <c:pt idx="10">
                  <c:v>35</c:v>
                </c:pt>
                <c:pt idx="11">
                  <c:v>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'22.07 Kabusu-Kitebi'!$U$9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'22.07 Kabusu-Kitebi'!$U$10:$U$21</c:f>
              <c:numCache>
                <c:formatCode>0</c:formatCode>
                <c:ptCount val="12"/>
                <c:pt idx="0">
                  <c:v>20</c:v>
                </c:pt>
                <c:pt idx="1">
                  <c:v>15</c:v>
                </c:pt>
                <c:pt idx="2">
                  <c:v>14</c:v>
                </c:pt>
                <c:pt idx="3">
                  <c:v>10</c:v>
                </c:pt>
                <c:pt idx="4">
                  <c:v>20</c:v>
                </c:pt>
                <c:pt idx="5">
                  <c:v>20</c:v>
                </c:pt>
                <c:pt idx="6">
                  <c:v>29</c:v>
                </c:pt>
                <c:pt idx="7">
                  <c:v>19</c:v>
                </c:pt>
                <c:pt idx="8">
                  <c:v>22</c:v>
                </c:pt>
                <c:pt idx="9">
                  <c:v>24</c:v>
                </c:pt>
                <c:pt idx="10">
                  <c:v>40</c:v>
                </c:pt>
                <c:pt idx="11">
                  <c:v>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'22.07 Kabusu-Kitebi'!$V$9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'22.07 Kabusu-Kitebi'!$V$10:$V$21</c:f>
              <c:numCache>
                <c:formatCode>0</c:formatCode>
                <c:ptCount val="12"/>
                <c:pt idx="0">
                  <c:v>88</c:v>
                </c:pt>
                <c:pt idx="1">
                  <c:v>68</c:v>
                </c:pt>
                <c:pt idx="2">
                  <c:v>89</c:v>
                </c:pt>
                <c:pt idx="3">
                  <c:v>100</c:v>
                </c:pt>
                <c:pt idx="4">
                  <c:v>82</c:v>
                </c:pt>
                <c:pt idx="5">
                  <c:v>69</c:v>
                </c:pt>
                <c:pt idx="6">
                  <c:v>70</c:v>
                </c:pt>
                <c:pt idx="7">
                  <c:v>58</c:v>
                </c:pt>
                <c:pt idx="8">
                  <c:v>46</c:v>
                </c:pt>
                <c:pt idx="9">
                  <c:v>67</c:v>
                </c:pt>
                <c:pt idx="10">
                  <c:v>85</c:v>
                </c:pt>
                <c:pt idx="11">
                  <c:v>113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'22.07 Kabusu-Kitebi'!$W$9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'22.07 Kabusu-Kitebi'!$W$10:$W$21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4</c:v>
                </c:pt>
                <c:pt idx="9">
                  <c:v>2</c:v>
                </c:pt>
                <c:pt idx="10">
                  <c:v>0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'22.07 Kabusu-Kitebi'!$X$9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'22.07 Kabusu-Kitebi'!$X$10:$X$21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'22.07 Kabusu-Kitebi'!$Y$9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Kabusu-Kitebi'!$Y$10:$Y$21</c:f>
              <c:numCache>
                <c:formatCode>0</c:formatCode>
                <c:ptCount val="12"/>
                <c:pt idx="0">
                  <c:v>6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31</c:v>
                </c:pt>
                <c:pt idx="5">
                  <c:v>45</c:v>
                </c:pt>
                <c:pt idx="6">
                  <c:v>19</c:v>
                </c:pt>
                <c:pt idx="7">
                  <c:v>35</c:v>
                </c:pt>
                <c:pt idx="8">
                  <c:v>16</c:v>
                </c:pt>
                <c:pt idx="9">
                  <c:v>25</c:v>
                </c:pt>
                <c:pt idx="10">
                  <c:v>24</c:v>
                </c:pt>
                <c:pt idx="11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'22.07 Kabusu-Kitebi'!$Z$9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Kabusu-Kitebi'!$Z$10:$Z$21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5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'22.07 Kabusu-Kitebi'!$AA$9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Kabusu-Kitebi'!$AA$10:$AA$21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8</c:v>
                </c:pt>
                <c:pt idx="3">
                  <c:v>16</c:v>
                </c:pt>
                <c:pt idx="4">
                  <c:v>14</c:v>
                </c:pt>
                <c:pt idx="5">
                  <c:v>3</c:v>
                </c:pt>
                <c:pt idx="6">
                  <c:v>5</c:v>
                </c:pt>
                <c:pt idx="7">
                  <c:v>2</c:v>
                </c:pt>
                <c:pt idx="8">
                  <c:v>6</c:v>
                </c:pt>
                <c:pt idx="9">
                  <c:v>7</c:v>
                </c:pt>
                <c:pt idx="10">
                  <c:v>10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'22.07 Kabusu-Kitebi'!$AB$9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Kabusu-Kitebi'!$AB$10:$AB$21</c:f>
              <c:numCache>
                <c:formatCode>0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3</c:v>
                </c:pt>
                <c:pt idx="3">
                  <c:v>1</c:v>
                </c:pt>
                <c:pt idx="4">
                  <c:v>5</c:v>
                </c:pt>
                <c:pt idx="5">
                  <c:v>0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'22.07 Kabusu-Kitebi'!$AC$9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Kabusu-Kitebi'!$AC$10:$AC$21</c:f>
              <c:numCache>
                <c:formatCode>0</c:formatCode>
                <c:ptCount val="12"/>
                <c:pt idx="0">
                  <c:v>159</c:v>
                </c:pt>
                <c:pt idx="1">
                  <c:v>297</c:v>
                </c:pt>
                <c:pt idx="2">
                  <c:v>390</c:v>
                </c:pt>
                <c:pt idx="3">
                  <c:v>515</c:v>
                </c:pt>
                <c:pt idx="4">
                  <c:v>512</c:v>
                </c:pt>
                <c:pt idx="5">
                  <c:v>430</c:v>
                </c:pt>
                <c:pt idx="6">
                  <c:v>436</c:v>
                </c:pt>
                <c:pt idx="7">
                  <c:v>462</c:v>
                </c:pt>
                <c:pt idx="8">
                  <c:v>151</c:v>
                </c:pt>
                <c:pt idx="9">
                  <c:v>662</c:v>
                </c:pt>
                <c:pt idx="10">
                  <c:v>645</c:v>
                </c:pt>
                <c:pt idx="11">
                  <c:v>638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'22.07 Kabusu-Kitebi'!$AD$9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Kabusu-Kitebi'!$AD$10:$AD$21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246656"/>
        <c:axId val="613247200"/>
      </c:lineChart>
      <c:catAx>
        <c:axId val="6132466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247200"/>
        <c:crosses val="autoZero"/>
        <c:auto val="1"/>
        <c:lblAlgn val="ctr"/>
        <c:lblOffset val="100"/>
        <c:noMultiLvlLbl val="0"/>
      </c:catAx>
      <c:valAx>
        <c:axId val="61324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246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Kabusu-Kitebi'!$C$9:$N$9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Kabusu-Kitebi'!$C$60:$N$60</c:f>
              <c:numCache>
                <c:formatCode>0.00%</c:formatCode>
                <c:ptCount val="12"/>
                <c:pt idx="0">
                  <c:v>0.49524299305734121</c:v>
                </c:pt>
                <c:pt idx="1">
                  <c:v>7.9712008228336337E-2</c:v>
                </c:pt>
                <c:pt idx="2">
                  <c:v>7.4569298020056574E-2</c:v>
                </c:pt>
                <c:pt idx="3">
                  <c:v>0.24042170223707893</c:v>
                </c:pt>
                <c:pt idx="4">
                  <c:v>6.428387760349704E-3</c:v>
                </c:pt>
                <c:pt idx="5">
                  <c:v>2.0570840833119054E-3</c:v>
                </c:pt>
                <c:pt idx="6">
                  <c:v>7.1740807405502705E-2</c:v>
                </c:pt>
                <c:pt idx="7">
                  <c:v>3.3427616353818462E-3</c:v>
                </c:pt>
                <c:pt idx="8">
                  <c:v>1.95422987914631E-2</c:v>
                </c:pt>
                <c:pt idx="9">
                  <c:v>6.9426587811776807E-3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Kitebi-Kabusu'!$AE$9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'23.07 Kitebi-Kabusu'!$R$10:$R$21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Kitebi-Kabusu'!$AE$10:$AE$21</c:f>
              <c:numCache>
                <c:formatCode>0</c:formatCode>
                <c:ptCount val="12"/>
                <c:pt idx="0">
                  <c:v>995</c:v>
                </c:pt>
                <c:pt idx="1">
                  <c:v>776</c:v>
                </c:pt>
                <c:pt idx="2">
                  <c:v>548</c:v>
                </c:pt>
                <c:pt idx="3">
                  <c:v>495</c:v>
                </c:pt>
                <c:pt idx="4">
                  <c:v>447</c:v>
                </c:pt>
                <c:pt idx="5">
                  <c:v>348</c:v>
                </c:pt>
                <c:pt idx="6">
                  <c:v>313</c:v>
                </c:pt>
                <c:pt idx="7">
                  <c:v>317</c:v>
                </c:pt>
                <c:pt idx="8">
                  <c:v>325</c:v>
                </c:pt>
                <c:pt idx="9">
                  <c:v>358</c:v>
                </c:pt>
                <c:pt idx="10">
                  <c:v>321</c:v>
                </c:pt>
                <c:pt idx="11">
                  <c:v>426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'23.07 Kitebi-Kabusu'!$AF$9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'23.07 Kitebi-Kabusu'!$R$10:$R$21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Kitebi-Kabusu'!$AF$10:$AF$21</c:f>
              <c:numCache>
                <c:formatCode>0</c:formatCode>
                <c:ptCount val="12"/>
                <c:pt idx="0">
                  <c:v>2148</c:v>
                </c:pt>
                <c:pt idx="1">
                  <c:v>1963</c:v>
                </c:pt>
                <c:pt idx="2">
                  <c:v>1599</c:v>
                </c:pt>
                <c:pt idx="3">
                  <c:v>1493</c:v>
                </c:pt>
                <c:pt idx="4">
                  <c:v>1331</c:v>
                </c:pt>
                <c:pt idx="5">
                  <c:v>1221</c:v>
                </c:pt>
                <c:pt idx="6">
                  <c:v>1047</c:v>
                </c:pt>
                <c:pt idx="7">
                  <c:v>1111</c:v>
                </c:pt>
                <c:pt idx="8">
                  <c:v>1089</c:v>
                </c:pt>
                <c:pt idx="9">
                  <c:v>1130</c:v>
                </c:pt>
                <c:pt idx="10">
                  <c:v>1085</c:v>
                </c:pt>
                <c:pt idx="11">
                  <c:v>1277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3252096"/>
        <c:axId val="613256448"/>
      </c:lineChart>
      <c:catAx>
        <c:axId val="6132520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256448"/>
        <c:crosses val="autoZero"/>
        <c:auto val="1"/>
        <c:lblAlgn val="ctr"/>
        <c:lblOffset val="100"/>
        <c:noMultiLvlLbl val="0"/>
      </c:catAx>
      <c:valAx>
        <c:axId val="6132564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25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Kitebi-Kabusu'!$C$9:$N$9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Kitebi-Kabusu'!$C$59:$N$59</c:f>
              <c:numCache>
                <c:formatCode>0.0%</c:formatCode>
                <c:ptCount val="12"/>
                <c:pt idx="0">
                  <c:v>0.19570753001091307</c:v>
                </c:pt>
                <c:pt idx="1">
                  <c:v>2.3402449375530494E-2</c:v>
                </c:pt>
                <c:pt idx="2">
                  <c:v>2.2129259124530131E-2</c:v>
                </c:pt>
                <c:pt idx="3">
                  <c:v>7.3178125378925665E-2</c:v>
                </c:pt>
                <c:pt idx="4">
                  <c:v>1.0306778222383898E-3</c:v>
                </c:pt>
                <c:pt idx="5">
                  <c:v>3.6376864314296108E-4</c:v>
                </c:pt>
                <c:pt idx="6">
                  <c:v>2.1462349945434705E-2</c:v>
                </c:pt>
                <c:pt idx="7">
                  <c:v>3.2739177882866498E-3</c:v>
                </c:pt>
                <c:pt idx="8">
                  <c:v>9.0942160785740264E-4</c:v>
                </c:pt>
                <c:pt idx="9">
                  <c:v>2.2432399660482598E-3</c:v>
                </c:pt>
                <c:pt idx="10">
                  <c:v>0.65629926033709229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93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Kitebi-Kabusu'!$S$9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'23.07 Kitebi-Kabusu'!$R$10:$R$21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Kitebi-Kabusu'!$S$10:$S$21</c:f>
              <c:numCache>
                <c:formatCode>0</c:formatCode>
                <c:ptCount val="12"/>
                <c:pt idx="0">
                  <c:v>669</c:v>
                </c:pt>
                <c:pt idx="1">
                  <c:v>476</c:v>
                </c:pt>
                <c:pt idx="2">
                  <c:v>329</c:v>
                </c:pt>
                <c:pt idx="3">
                  <c:v>275</c:v>
                </c:pt>
                <c:pt idx="4">
                  <c:v>243</c:v>
                </c:pt>
                <c:pt idx="5">
                  <c:v>180</c:v>
                </c:pt>
                <c:pt idx="6">
                  <c:v>151</c:v>
                </c:pt>
                <c:pt idx="7">
                  <c:v>155</c:v>
                </c:pt>
                <c:pt idx="8">
                  <c:v>167</c:v>
                </c:pt>
                <c:pt idx="9">
                  <c:v>193</c:v>
                </c:pt>
                <c:pt idx="10">
                  <c:v>174</c:v>
                </c:pt>
                <c:pt idx="11">
                  <c:v>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'23.07 Kitebi-Kabusu'!$T$9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'23.07 Kitebi-Kabusu'!$R$10:$R$21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Kitebi-Kabusu'!$T$10:$T$21</c:f>
              <c:numCache>
                <c:formatCode>0</c:formatCode>
                <c:ptCount val="12"/>
                <c:pt idx="0">
                  <c:v>64</c:v>
                </c:pt>
                <c:pt idx="1">
                  <c:v>60</c:v>
                </c:pt>
                <c:pt idx="2">
                  <c:v>48</c:v>
                </c:pt>
                <c:pt idx="3">
                  <c:v>31</c:v>
                </c:pt>
                <c:pt idx="4">
                  <c:v>31</c:v>
                </c:pt>
                <c:pt idx="5">
                  <c:v>19</c:v>
                </c:pt>
                <c:pt idx="6">
                  <c:v>14</c:v>
                </c:pt>
                <c:pt idx="7">
                  <c:v>21</c:v>
                </c:pt>
                <c:pt idx="8">
                  <c:v>24</c:v>
                </c:pt>
                <c:pt idx="9">
                  <c:v>29</c:v>
                </c:pt>
                <c:pt idx="10">
                  <c:v>22</c:v>
                </c:pt>
                <c:pt idx="11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'23.07 Kitebi-Kabusu'!$U$9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'23.07 Kitebi-Kabusu'!$U$10:$U$21</c:f>
              <c:numCache>
                <c:formatCode>0</c:formatCode>
                <c:ptCount val="12"/>
                <c:pt idx="0">
                  <c:v>59</c:v>
                </c:pt>
                <c:pt idx="1">
                  <c:v>51</c:v>
                </c:pt>
                <c:pt idx="2">
                  <c:v>26</c:v>
                </c:pt>
                <c:pt idx="3">
                  <c:v>31</c:v>
                </c:pt>
                <c:pt idx="4">
                  <c:v>23</c:v>
                </c:pt>
                <c:pt idx="5">
                  <c:v>27</c:v>
                </c:pt>
                <c:pt idx="6">
                  <c:v>24</c:v>
                </c:pt>
                <c:pt idx="7">
                  <c:v>29</c:v>
                </c:pt>
                <c:pt idx="8">
                  <c:v>24</c:v>
                </c:pt>
                <c:pt idx="9">
                  <c:v>26</c:v>
                </c:pt>
                <c:pt idx="10">
                  <c:v>22</c:v>
                </c:pt>
                <c:pt idx="11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'23.07 Kitebi-Kabusu'!$V$9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'23.07 Kitebi-Kabusu'!$V$10:$V$21</c:f>
              <c:numCache>
                <c:formatCode>0</c:formatCode>
                <c:ptCount val="12"/>
                <c:pt idx="0">
                  <c:v>176</c:v>
                </c:pt>
                <c:pt idx="1">
                  <c:v>151</c:v>
                </c:pt>
                <c:pt idx="2">
                  <c:v>110</c:v>
                </c:pt>
                <c:pt idx="3">
                  <c:v>105</c:v>
                </c:pt>
                <c:pt idx="4">
                  <c:v>95</c:v>
                </c:pt>
                <c:pt idx="5">
                  <c:v>78</c:v>
                </c:pt>
                <c:pt idx="6">
                  <c:v>78</c:v>
                </c:pt>
                <c:pt idx="7">
                  <c:v>71</c:v>
                </c:pt>
                <c:pt idx="8">
                  <c:v>67</c:v>
                </c:pt>
                <c:pt idx="9">
                  <c:v>69</c:v>
                </c:pt>
                <c:pt idx="10">
                  <c:v>71</c:v>
                </c:pt>
                <c:pt idx="11">
                  <c:v>136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'23.07 Kitebi-Kabusu'!$W$9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'23.07 Kitebi-Kabusu'!$W$10:$W$21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5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'23.07 Kitebi-Kabusu'!$X$9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'23.07 Kitebi-Kabusu'!$X$10:$X$21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'23.07 Kitebi-Kabusu'!$Y$9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Kitebi-Kabusu'!$Y$10:$Y$21</c:f>
              <c:numCache>
                <c:formatCode>0</c:formatCode>
                <c:ptCount val="12"/>
                <c:pt idx="0">
                  <c:v>23</c:v>
                </c:pt>
                <c:pt idx="1">
                  <c:v>35</c:v>
                </c:pt>
                <c:pt idx="2">
                  <c:v>30</c:v>
                </c:pt>
                <c:pt idx="3">
                  <c:v>38</c:v>
                </c:pt>
                <c:pt idx="4">
                  <c:v>42</c:v>
                </c:pt>
                <c:pt idx="5">
                  <c:v>35</c:v>
                </c:pt>
                <c:pt idx="6">
                  <c:v>31</c:v>
                </c:pt>
                <c:pt idx="7">
                  <c:v>22</c:v>
                </c:pt>
                <c:pt idx="8">
                  <c:v>28</c:v>
                </c:pt>
                <c:pt idx="9">
                  <c:v>28</c:v>
                </c:pt>
                <c:pt idx="10">
                  <c:v>23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'23.07 Kitebi-Kabusu'!$Z$9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Kitebi-Kabusu'!$Z$10:$Z$21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  <c:pt idx="7">
                  <c:v>16</c:v>
                </c:pt>
                <c:pt idx="8">
                  <c:v>8</c:v>
                </c:pt>
                <c:pt idx="9">
                  <c:v>7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'23.07 Kitebi-Kabusu'!$AA$9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Kitebi-Kabusu'!$AA$10:$AA$21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2</c:v>
                </c:pt>
                <c:pt idx="5">
                  <c:v>0</c:v>
                </c:pt>
                <c:pt idx="6">
                  <c:v>4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'23.07 Kitebi-Kabusu'!$AB$9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Kitebi-Kabusu'!$AB$10:$AB$21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3</c:v>
                </c:pt>
                <c:pt idx="3">
                  <c:v>9</c:v>
                </c:pt>
                <c:pt idx="4">
                  <c:v>8</c:v>
                </c:pt>
                <c:pt idx="5">
                  <c:v>5</c:v>
                </c:pt>
                <c:pt idx="6">
                  <c:v>3</c:v>
                </c:pt>
                <c:pt idx="7">
                  <c:v>1</c:v>
                </c:pt>
                <c:pt idx="8">
                  <c:v>3</c:v>
                </c:pt>
                <c:pt idx="9">
                  <c:v>0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'23.07 Kitebi-Kabusu'!$AC$9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Kitebi-Kabusu'!$AC$10:$AC$21</c:f>
              <c:numCache>
                <c:formatCode>0</c:formatCode>
                <c:ptCount val="12"/>
                <c:pt idx="0">
                  <c:v>1153</c:v>
                </c:pt>
                <c:pt idx="1">
                  <c:v>1187</c:v>
                </c:pt>
                <c:pt idx="2">
                  <c:v>1051</c:v>
                </c:pt>
                <c:pt idx="3">
                  <c:v>998</c:v>
                </c:pt>
                <c:pt idx="4">
                  <c:v>884</c:v>
                </c:pt>
                <c:pt idx="5">
                  <c:v>873</c:v>
                </c:pt>
                <c:pt idx="6">
                  <c:v>734</c:v>
                </c:pt>
                <c:pt idx="7">
                  <c:v>794</c:v>
                </c:pt>
                <c:pt idx="8">
                  <c:v>764</c:v>
                </c:pt>
                <c:pt idx="9">
                  <c:v>772</c:v>
                </c:pt>
                <c:pt idx="10">
                  <c:v>764</c:v>
                </c:pt>
                <c:pt idx="11">
                  <c:v>851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'23.07 Kitebi-Kabusu'!$AD$9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Kitebi-Kabusu'!$AD$10:$AD$21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5895056"/>
        <c:axId val="265898864"/>
      </c:lineChart>
      <c:catAx>
        <c:axId val="265895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65898864"/>
        <c:crosses val="autoZero"/>
        <c:auto val="1"/>
        <c:lblAlgn val="ctr"/>
        <c:lblOffset val="100"/>
        <c:noMultiLvlLbl val="0"/>
      </c:catAx>
      <c:valAx>
        <c:axId val="26589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6589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Kitebi-Kabusu'!$C$9:$N$9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Kitebi-Kabusu'!$C$60:$N$60</c:f>
              <c:numCache>
                <c:formatCode>0.00%</c:formatCode>
                <c:ptCount val="12"/>
                <c:pt idx="0">
                  <c:v>0.56941259481390016</c:v>
                </c:pt>
                <c:pt idx="1">
                  <c:v>6.8089610160522132E-2</c:v>
                </c:pt>
                <c:pt idx="2">
                  <c:v>6.4385253131063677E-2</c:v>
                </c:pt>
                <c:pt idx="3">
                  <c:v>0.21291233021696948</c:v>
                </c:pt>
                <c:pt idx="4">
                  <c:v>2.9987652143235138E-3</c:v>
                </c:pt>
                <c:pt idx="5">
                  <c:v>1.0583877227024166E-3</c:v>
                </c:pt>
                <c:pt idx="6">
                  <c:v>6.2444875639442579E-2</c:v>
                </c:pt>
                <c:pt idx="7">
                  <c:v>9.5254895043217491E-3</c:v>
                </c:pt>
                <c:pt idx="8">
                  <c:v>2.6459693067560418E-3</c:v>
                </c:pt>
                <c:pt idx="9">
                  <c:v>6.5267242899982357E-3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Kabusu-Kitebi'!$AE$9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'23.07 Kabusu-Kitebi'!$R$10:$R$21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Kabusu-Kitebi'!$AE$10:$AE$21</c:f>
              <c:numCache>
                <c:formatCode>0</c:formatCode>
                <c:ptCount val="12"/>
                <c:pt idx="0">
                  <c:v>428</c:v>
                </c:pt>
                <c:pt idx="1">
                  <c:v>266</c:v>
                </c:pt>
                <c:pt idx="2">
                  <c:v>227</c:v>
                </c:pt>
                <c:pt idx="3">
                  <c:v>270</c:v>
                </c:pt>
                <c:pt idx="4">
                  <c:v>346</c:v>
                </c:pt>
                <c:pt idx="5">
                  <c:v>287</c:v>
                </c:pt>
                <c:pt idx="6">
                  <c:v>254</c:v>
                </c:pt>
                <c:pt idx="7">
                  <c:v>267</c:v>
                </c:pt>
                <c:pt idx="8">
                  <c:v>290</c:v>
                </c:pt>
                <c:pt idx="9">
                  <c:v>394</c:v>
                </c:pt>
                <c:pt idx="10">
                  <c:v>650</c:v>
                </c:pt>
                <c:pt idx="11">
                  <c:v>731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'23.07 Kabusu-Kitebi'!$AF$9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'23.07 Kabusu-Kitebi'!$R$10:$R$21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Kabusu-Kitebi'!$AF$10:$AF$21</c:f>
              <c:numCache>
                <c:formatCode>0</c:formatCode>
                <c:ptCount val="12"/>
                <c:pt idx="0">
                  <c:v>973</c:v>
                </c:pt>
                <c:pt idx="1">
                  <c:v>1106</c:v>
                </c:pt>
                <c:pt idx="2">
                  <c:v>962</c:v>
                </c:pt>
                <c:pt idx="3">
                  <c:v>1010</c:v>
                </c:pt>
                <c:pt idx="4">
                  <c:v>1003</c:v>
                </c:pt>
                <c:pt idx="5">
                  <c:v>897</c:v>
                </c:pt>
                <c:pt idx="6">
                  <c:v>920</c:v>
                </c:pt>
                <c:pt idx="7">
                  <c:v>887</c:v>
                </c:pt>
                <c:pt idx="8">
                  <c:v>915</c:v>
                </c:pt>
                <c:pt idx="9">
                  <c:v>1024</c:v>
                </c:pt>
                <c:pt idx="10">
                  <c:v>1491</c:v>
                </c:pt>
                <c:pt idx="11">
                  <c:v>1569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5900496"/>
        <c:axId val="265898320"/>
      </c:lineChart>
      <c:catAx>
        <c:axId val="2659004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65898320"/>
        <c:crosses val="autoZero"/>
        <c:auto val="1"/>
        <c:lblAlgn val="ctr"/>
        <c:lblOffset val="100"/>
        <c:noMultiLvlLbl val="0"/>
      </c:catAx>
      <c:valAx>
        <c:axId val="2658983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65900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Kabusu-Kitebi'!$C$9:$N$9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Kabusu-Kitebi'!$C$59:$N$59</c:f>
              <c:numCache>
                <c:formatCode>0.0%</c:formatCode>
                <c:ptCount val="12"/>
                <c:pt idx="0">
                  <c:v>0.16798620365289646</c:v>
                </c:pt>
                <c:pt idx="1">
                  <c:v>2.7043975856392569E-2</c:v>
                </c:pt>
                <c:pt idx="2">
                  <c:v>2.5005879125186172E-2</c:v>
                </c:pt>
                <c:pt idx="3">
                  <c:v>7.7134122442580541E-2</c:v>
                </c:pt>
                <c:pt idx="4">
                  <c:v>1.1758250372344596E-3</c:v>
                </c:pt>
                <c:pt idx="5">
                  <c:v>1.2542133730500901E-3</c:v>
                </c:pt>
                <c:pt idx="6">
                  <c:v>2.1870345692560945E-2</c:v>
                </c:pt>
                <c:pt idx="7">
                  <c:v>3.0571450968095949E-3</c:v>
                </c:pt>
                <c:pt idx="8">
                  <c:v>1.8186093909226306E-2</c:v>
                </c:pt>
                <c:pt idx="9">
                  <c:v>2.978756760993964E-3</c:v>
                </c:pt>
                <c:pt idx="10">
                  <c:v>0.65430743905306887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93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Kabusu-Kitebi'!$S$9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'23.07 Kabusu-Kitebi'!$R$10:$R$21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Kabusu-Kitebi'!$S$10:$S$21</c:f>
              <c:numCache>
                <c:formatCode>0</c:formatCode>
                <c:ptCount val="12"/>
                <c:pt idx="0">
                  <c:v>93</c:v>
                </c:pt>
                <c:pt idx="1">
                  <c:v>91</c:v>
                </c:pt>
                <c:pt idx="2">
                  <c:v>85</c:v>
                </c:pt>
                <c:pt idx="3">
                  <c:v>110</c:v>
                </c:pt>
                <c:pt idx="4">
                  <c:v>163</c:v>
                </c:pt>
                <c:pt idx="5">
                  <c:v>127</c:v>
                </c:pt>
                <c:pt idx="6">
                  <c:v>116</c:v>
                </c:pt>
                <c:pt idx="7">
                  <c:v>122</c:v>
                </c:pt>
                <c:pt idx="8">
                  <c:v>136</c:v>
                </c:pt>
                <c:pt idx="9">
                  <c:v>215</c:v>
                </c:pt>
                <c:pt idx="10">
                  <c:v>409</c:v>
                </c:pt>
                <c:pt idx="11">
                  <c:v>476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'23.07 Kabusu-Kitebi'!$T$9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'23.07 Kabusu-Kitebi'!$R$10:$R$21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Kabusu-Kitebi'!$T$10:$T$21</c:f>
              <c:numCache>
                <c:formatCode>0</c:formatCode>
                <c:ptCount val="12"/>
                <c:pt idx="0">
                  <c:v>13</c:v>
                </c:pt>
                <c:pt idx="1">
                  <c:v>12</c:v>
                </c:pt>
                <c:pt idx="2">
                  <c:v>8</c:v>
                </c:pt>
                <c:pt idx="3">
                  <c:v>25</c:v>
                </c:pt>
                <c:pt idx="4">
                  <c:v>25</c:v>
                </c:pt>
                <c:pt idx="5">
                  <c:v>19</c:v>
                </c:pt>
                <c:pt idx="6">
                  <c:v>25</c:v>
                </c:pt>
                <c:pt idx="7">
                  <c:v>15</c:v>
                </c:pt>
                <c:pt idx="8">
                  <c:v>34</c:v>
                </c:pt>
                <c:pt idx="9">
                  <c:v>35</c:v>
                </c:pt>
                <c:pt idx="10">
                  <c:v>66</c:v>
                </c:pt>
                <c:pt idx="11">
                  <c:v>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'23.07 Kabusu-Kitebi'!$U$9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'23.07 Kabusu-Kitebi'!$U$10:$U$21</c:f>
              <c:numCache>
                <c:formatCode>0</c:formatCode>
                <c:ptCount val="12"/>
                <c:pt idx="0">
                  <c:v>12</c:v>
                </c:pt>
                <c:pt idx="1">
                  <c:v>12</c:v>
                </c:pt>
                <c:pt idx="2">
                  <c:v>20</c:v>
                </c:pt>
                <c:pt idx="3">
                  <c:v>17</c:v>
                </c:pt>
                <c:pt idx="4">
                  <c:v>37</c:v>
                </c:pt>
                <c:pt idx="5">
                  <c:v>32</c:v>
                </c:pt>
                <c:pt idx="6">
                  <c:v>23</c:v>
                </c:pt>
                <c:pt idx="7">
                  <c:v>26</c:v>
                </c:pt>
                <c:pt idx="8">
                  <c:v>23</c:v>
                </c:pt>
                <c:pt idx="9">
                  <c:v>32</c:v>
                </c:pt>
                <c:pt idx="10">
                  <c:v>47</c:v>
                </c:pt>
                <c:pt idx="11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'23.07 Kabusu-Kitebi'!$V$9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'23.07 Kabusu-Kitebi'!$V$10:$V$21</c:f>
              <c:numCache>
                <c:formatCode>0</c:formatCode>
                <c:ptCount val="12"/>
                <c:pt idx="0">
                  <c:v>102</c:v>
                </c:pt>
                <c:pt idx="1">
                  <c:v>104</c:v>
                </c:pt>
                <c:pt idx="2">
                  <c:v>88</c:v>
                </c:pt>
                <c:pt idx="3">
                  <c:v>80</c:v>
                </c:pt>
                <c:pt idx="4">
                  <c:v>82</c:v>
                </c:pt>
                <c:pt idx="5">
                  <c:v>68</c:v>
                </c:pt>
                <c:pt idx="6">
                  <c:v>66</c:v>
                </c:pt>
                <c:pt idx="7">
                  <c:v>61</c:v>
                </c:pt>
                <c:pt idx="8">
                  <c:v>55</c:v>
                </c:pt>
                <c:pt idx="9">
                  <c:v>68</c:v>
                </c:pt>
                <c:pt idx="10">
                  <c:v>103</c:v>
                </c:pt>
                <c:pt idx="11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'23.07 Kabusu-Kitebi'!$W$9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'23.07 Kabusu-Kitebi'!$W$10:$W$21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3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'23.07 Kabusu-Kitebi'!$X$9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'23.07 Kabusu-Kitebi'!$X$10:$X$21</c:f>
              <c:numCache>
                <c:formatCode>0</c:formatCode>
                <c:ptCount val="12"/>
                <c:pt idx="0">
                  <c:v>5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'23.07 Kabusu-Kitebi'!$Y$9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Kabusu-Kitebi'!$Y$10:$Y$21</c:f>
              <c:numCache>
                <c:formatCode>0</c:formatCode>
                <c:ptCount val="12"/>
                <c:pt idx="0">
                  <c:v>11</c:v>
                </c:pt>
                <c:pt idx="1">
                  <c:v>29</c:v>
                </c:pt>
                <c:pt idx="2">
                  <c:v>21</c:v>
                </c:pt>
                <c:pt idx="3">
                  <c:v>24</c:v>
                </c:pt>
                <c:pt idx="4">
                  <c:v>28</c:v>
                </c:pt>
                <c:pt idx="5">
                  <c:v>27</c:v>
                </c:pt>
                <c:pt idx="6">
                  <c:v>14</c:v>
                </c:pt>
                <c:pt idx="7">
                  <c:v>18</c:v>
                </c:pt>
                <c:pt idx="8">
                  <c:v>24</c:v>
                </c:pt>
                <c:pt idx="9">
                  <c:v>30</c:v>
                </c:pt>
                <c:pt idx="10">
                  <c:v>19</c:v>
                </c:pt>
                <c:pt idx="1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'23.07 Kabusu-Kitebi'!$Z$9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Kabusu-Kitebi'!$Z$10:$Z$21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4</c:v>
                </c:pt>
                <c:pt idx="6">
                  <c:v>0</c:v>
                </c:pt>
                <c:pt idx="7">
                  <c:v>11</c:v>
                </c:pt>
                <c:pt idx="8">
                  <c:v>9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'23.07 Kabusu-Kitebi'!$AA$9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Kabusu-Kitebi'!$AA$10:$AA$21</c:f>
              <c:numCache>
                <c:formatCode>0</c:formatCode>
                <c:ptCount val="12"/>
                <c:pt idx="0">
                  <c:v>186</c:v>
                </c:pt>
                <c:pt idx="1">
                  <c:v>6</c:v>
                </c:pt>
                <c:pt idx="2">
                  <c:v>0</c:v>
                </c:pt>
                <c:pt idx="3">
                  <c:v>7</c:v>
                </c:pt>
                <c:pt idx="4">
                  <c:v>4</c:v>
                </c:pt>
                <c:pt idx="5">
                  <c:v>4</c:v>
                </c:pt>
                <c:pt idx="6">
                  <c:v>7</c:v>
                </c:pt>
                <c:pt idx="7">
                  <c:v>4</c:v>
                </c:pt>
                <c:pt idx="8">
                  <c:v>6</c:v>
                </c:pt>
                <c:pt idx="9">
                  <c:v>3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'23.07 Kabusu-Kitebi'!$AB$9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Kabusu-Kitebi'!$AB$10:$AB$21</c:f>
              <c:numCache>
                <c:formatCode>0</c:formatCode>
                <c:ptCount val="12"/>
                <c:pt idx="0">
                  <c:v>4</c:v>
                </c:pt>
                <c:pt idx="1">
                  <c:v>6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5</c:v>
                </c:pt>
                <c:pt idx="6">
                  <c:v>3</c:v>
                </c:pt>
                <c:pt idx="7">
                  <c:v>1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'23.07 Kabusu-Kitebi'!$AC$9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Kabusu-Kitebi'!$AC$10:$AC$21</c:f>
              <c:numCache>
                <c:formatCode>0</c:formatCode>
                <c:ptCount val="12"/>
                <c:pt idx="0">
                  <c:v>545</c:v>
                </c:pt>
                <c:pt idx="1">
                  <c:v>840</c:v>
                </c:pt>
                <c:pt idx="2">
                  <c:v>735</c:v>
                </c:pt>
                <c:pt idx="3">
                  <c:v>740</c:v>
                </c:pt>
                <c:pt idx="4">
                  <c:v>657</c:v>
                </c:pt>
                <c:pt idx="5">
                  <c:v>610</c:v>
                </c:pt>
                <c:pt idx="6">
                  <c:v>666</c:v>
                </c:pt>
                <c:pt idx="7">
                  <c:v>620</c:v>
                </c:pt>
                <c:pt idx="8">
                  <c:v>625</c:v>
                </c:pt>
                <c:pt idx="9">
                  <c:v>630</c:v>
                </c:pt>
                <c:pt idx="10">
                  <c:v>841</c:v>
                </c:pt>
                <c:pt idx="11">
                  <c:v>838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'23.07 Kabusu-Kitebi'!$AD$9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Kabusu-Kitebi'!$AD$10:$AD$21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5899952"/>
        <c:axId val="265901040"/>
      </c:lineChart>
      <c:catAx>
        <c:axId val="265899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65901040"/>
        <c:crosses val="autoZero"/>
        <c:auto val="1"/>
        <c:lblAlgn val="ctr"/>
        <c:lblOffset val="100"/>
        <c:noMultiLvlLbl val="0"/>
      </c:catAx>
      <c:valAx>
        <c:axId val="26590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6589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Kabusu-Kitebi'!$C$9:$N$9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Kabusu-Kitebi'!$C$60:$N$60</c:f>
              <c:numCache>
                <c:formatCode>0.00%</c:formatCode>
                <c:ptCount val="12"/>
                <c:pt idx="0">
                  <c:v>0.48594104308390024</c:v>
                </c:pt>
                <c:pt idx="1">
                  <c:v>7.8231292517006806E-2</c:v>
                </c:pt>
                <c:pt idx="2">
                  <c:v>7.2335600907029479E-2</c:v>
                </c:pt>
                <c:pt idx="3">
                  <c:v>0.22312925170068026</c:v>
                </c:pt>
                <c:pt idx="4">
                  <c:v>3.4013605442176869E-3</c:v>
                </c:pt>
                <c:pt idx="5">
                  <c:v>3.6281179138321997E-3</c:v>
                </c:pt>
                <c:pt idx="6">
                  <c:v>6.3265306122448975E-2</c:v>
                </c:pt>
                <c:pt idx="7">
                  <c:v>8.8435374149659872E-3</c:v>
                </c:pt>
                <c:pt idx="8">
                  <c:v>5.2607709750566896E-2</c:v>
                </c:pt>
                <c:pt idx="9">
                  <c:v>8.6167800453514735E-3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Kitebi-Kabusu'!$AE$9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'24.07 Kitebi-Kabusu'!$R$10:$R$21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Kitebi-Kabusu'!$AE$10:$AE$21</c:f>
              <c:numCache>
                <c:formatCode>0</c:formatCode>
                <c:ptCount val="12"/>
                <c:pt idx="0">
                  <c:v>902</c:v>
                </c:pt>
                <c:pt idx="1">
                  <c:v>708</c:v>
                </c:pt>
                <c:pt idx="2">
                  <c:v>567</c:v>
                </c:pt>
                <c:pt idx="3">
                  <c:v>475</c:v>
                </c:pt>
                <c:pt idx="4">
                  <c:v>385</c:v>
                </c:pt>
                <c:pt idx="5">
                  <c:v>334</c:v>
                </c:pt>
                <c:pt idx="6">
                  <c:v>313</c:v>
                </c:pt>
                <c:pt idx="7">
                  <c:v>317</c:v>
                </c:pt>
                <c:pt idx="8">
                  <c:v>323</c:v>
                </c:pt>
                <c:pt idx="9">
                  <c:v>260</c:v>
                </c:pt>
                <c:pt idx="10">
                  <c:v>404</c:v>
                </c:pt>
                <c:pt idx="11">
                  <c:v>342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'24.07 Kitebi-Kabusu'!$AF$9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'24.07 Kitebi-Kabusu'!$R$10:$R$21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Kitebi-Kabusu'!$AF$10:$AF$21</c:f>
              <c:numCache>
                <c:formatCode>0</c:formatCode>
                <c:ptCount val="12"/>
                <c:pt idx="0">
                  <c:v>2087</c:v>
                </c:pt>
                <c:pt idx="1">
                  <c:v>1912</c:v>
                </c:pt>
                <c:pt idx="2">
                  <c:v>1619</c:v>
                </c:pt>
                <c:pt idx="3">
                  <c:v>1355</c:v>
                </c:pt>
                <c:pt idx="4">
                  <c:v>1201</c:v>
                </c:pt>
                <c:pt idx="5">
                  <c:v>1070</c:v>
                </c:pt>
                <c:pt idx="6">
                  <c:v>1122</c:v>
                </c:pt>
                <c:pt idx="7">
                  <c:v>983</c:v>
                </c:pt>
                <c:pt idx="8">
                  <c:v>1155</c:v>
                </c:pt>
                <c:pt idx="9">
                  <c:v>822</c:v>
                </c:pt>
                <c:pt idx="10">
                  <c:v>1187</c:v>
                </c:pt>
                <c:pt idx="11">
                  <c:v>1188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5902672"/>
        <c:axId val="265903216"/>
      </c:lineChart>
      <c:catAx>
        <c:axId val="2659026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65903216"/>
        <c:crosses val="autoZero"/>
        <c:auto val="1"/>
        <c:lblAlgn val="ctr"/>
        <c:lblOffset val="100"/>
        <c:noMultiLvlLbl val="0"/>
      </c:catAx>
      <c:valAx>
        <c:axId val="2659032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65902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Kitebi-Kabusu'!$C$9:$N$9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Kitebi-Kabusu'!$C$59:$N$59</c:f>
              <c:numCache>
                <c:formatCode>0.0%</c:formatCode>
                <c:ptCount val="12"/>
                <c:pt idx="0">
                  <c:v>0.18724921979491752</c:v>
                </c:pt>
                <c:pt idx="1">
                  <c:v>2.7068339596204062E-2</c:v>
                </c:pt>
                <c:pt idx="2">
                  <c:v>2.5985606012355902E-2</c:v>
                </c:pt>
                <c:pt idx="3">
                  <c:v>7.2415769696197688E-2</c:v>
                </c:pt>
                <c:pt idx="4">
                  <c:v>9.5535316221896692E-4</c:v>
                </c:pt>
                <c:pt idx="5">
                  <c:v>5.7321189733138022E-4</c:v>
                </c:pt>
                <c:pt idx="6">
                  <c:v>1.8915992611935547E-2</c:v>
                </c:pt>
                <c:pt idx="7">
                  <c:v>3.4392713839882811E-3</c:v>
                </c:pt>
                <c:pt idx="8">
                  <c:v>1.2738042162919558E-3</c:v>
                </c:pt>
                <c:pt idx="9">
                  <c:v>1.5922552703649449E-3</c:v>
                </c:pt>
                <c:pt idx="10">
                  <c:v>0.66053117635819369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93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Kitebi-Kabusu'!$S$9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'24.07 Kitebi-Kabusu'!$R$10:$R$21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Kitebi-Kabusu'!$S$10:$S$21</c:f>
              <c:numCache>
                <c:formatCode>0</c:formatCode>
                <c:ptCount val="12"/>
                <c:pt idx="0">
                  <c:v>577</c:v>
                </c:pt>
                <c:pt idx="1">
                  <c:v>444</c:v>
                </c:pt>
                <c:pt idx="2">
                  <c:v>328</c:v>
                </c:pt>
                <c:pt idx="3">
                  <c:v>257</c:v>
                </c:pt>
                <c:pt idx="4">
                  <c:v>186</c:v>
                </c:pt>
                <c:pt idx="5">
                  <c:v>180</c:v>
                </c:pt>
                <c:pt idx="6">
                  <c:v>149</c:v>
                </c:pt>
                <c:pt idx="7">
                  <c:v>163</c:v>
                </c:pt>
                <c:pt idx="8">
                  <c:v>161</c:v>
                </c:pt>
                <c:pt idx="9">
                  <c:v>137</c:v>
                </c:pt>
                <c:pt idx="10">
                  <c:v>208</c:v>
                </c:pt>
                <c:pt idx="11">
                  <c:v>150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'24.07 Kitebi-Kabusu'!$T$9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'24.07 Kitebi-Kabusu'!$R$10:$R$21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Kitebi-Kabusu'!$T$10:$T$21</c:f>
              <c:numCache>
                <c:formatCode>0</c:formatCode>
                <c:ptCount val="12"/>
                <c:pt idx="0">
                  <c:v>71</c:v>
                </c:pt>
                <c:pt idx="1">
                  <c:v>56</c:v>
                </c:pt>
                <c:pt idx="2">
                  <c:v>45</c:v>
                </c:pt>
                <c:pt idx="3">
                  <c:v>51</c:v>
                </c:pt>
                <c:pt idx="4">
                  <c:v>36</c:v>
                </c:pt>
                <c:pt idx="5">
                  <c:v>19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14</c:v>
                </c:pt>
                <c:pt idx="10">
                  <c:v>31</c:v>
                </c:pt>
                <c:pt idx="11">
                  <c:v>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'24.07 Kitebi-Kabusu'!$U$9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'24.07 Kitebi-Kabusu'!$U$10:$U$21</c:f>
              <c:numCache>
                <c:formatCode>0</c:formatCode>
                <c:ptCount val="12"/>
                <c:pt idx="0">
                  <c:v>63</c:v>
                </c:pt>
                <c:pt idx="1">
                  <c:v>53</c:v>
                </c:pt>
                <c:pt idx="2">
                  <c:v>33</c:v>
                </c:pt>
                <c:pt idx="3">
                  <c:v>30</c:v>
                </c:pt>
                <c:pt idx="4">
                  <c:v>38</c:v>
                </c:pt>
                <c:pt idx="5">
                  <c:v>26</c:v>
                </c:pt>
                <c:pt idx="6">
                  <c:v>28</c:v>
                </c:pt>
                <c:pt idx="7">
                  <c:v>27</c:v>
                </c:pt>
                <c:pt idx="8">
                  <c:v>28</c:v>
                </c:pt>
                <c:pt idx="9">
                  <c:v>26</c:v>
                </c:pt>
                <c:pt idx="10">
                  <c:v>37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'24.07 Kitebi-Kabusu'!$V$9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'24.07 Kitebi-Kabusu'!$V$10:$V$21</c:f>
              <c:numCache>
                <c:formatCode>0</c:formatCode>
                <c:ptCount val="12"/>
                <c:pt idx="0">
                  <c:v>169</c:v>
                </c:pt>
                <c:pt idx="1">
                  <c:v>126</c:v>
                </c:pt>
                <c:pt idx="2">
                  <c:v>116</c:v>
                </c:pt>
                <c:pt idx="3">
                  <c:v>96</c:v>
                </c:pt>
                <c:pt idx="4">
                  <c:v>84</c:v>
                </c:pt>
                <c:pt idx="5">
                  <c:v>72</c:v>
                </c:pt>
                <c:pt idx="6">
                  <c:v>71</c:v>
                </c:pt>
                <c:pt idx="7">
                  <c:v>69</c:v>
                </c:pt>
                <c:pt idx="8">
                  <c:v>73</c:v>
                </c:pt>
                <c:pt idx="9">
                  <c:v>54</c:v>
                </c:pt>
                <c:pt idx="10">
                  <c:v>86</c:v>
                </c:pt>
                <c:pt idx="11">
                  <c:v>121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'24.07 Kitebi-Kabusu'!$W$9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'24.07 Kitebi-Kabusu'!$W$10:$W$21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4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'24.07 Kitebi-Kabusu'!$X$9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'24.07 Kitebi-Kabusu'!$X$10:$X$21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3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'24.07 Kitebi-Kabusu'!$Y$9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Kitebi-Kabusu'!$Y$10:$Y$21</c:f>
              <c:numCache>
                <c:formatCode>0</c:formatCode>
                <c:ptCount val="12"/>
                <c:pt idx="0">
                  <c:v>18</c:v>
                </c:pt>
                <c:pt idx="1">
                  <c:v>21</c:v>
                </c:pt>
                <c:pt idx="2">
                  <c:v>39</c:v>
                </c:pt>
                <c:pt idx="3">
                  <c:v>31</c:v>
                </c:pt>
                <c:pt idx="4">
                  <c:v>31</c:v>
                </c:pt>
                <c:pt idx="5">
                  <c:v>22</c:v>
                </c:pt>
                <c:pt idx="6">
                  <c:v>24</c:v>
                </c:pt>
                <c:pt idx="7">
                  <c:v>20</c:v>
                </c:pt>
                <c:pt idx="8">
                  <c:v>27</c:v>
                </c:pt>
                <c:pt idx="9">
                  <c:v>20</c:v>
                </c:pt>
                <c:pt idx="10">
                  <c:v>28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'24.07 Kitebi-Kabusu'!$Z$9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Kitebi-Kabusu'!$Z$10:$Z$21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11</c:v>
                </c:pt>
                <c:pt idx="6">
                  <c:v>4</c:v>
                </c:pt>
                <c:pt idx="7">
                  <c:v>4</c:v>
                </c:pt>
                <c:pt idx="8">
                  <c:v>1</c:v>
                </c:pt>
                <c:pt idx="9">
                  <c:v>8</c:v>
                </c:pt>
                <c:pt idx="10">
                  <c:v>5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'24.07 Kitebi-Kabusu'!$AA$9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Kitebi-Kabusu'!$AA$10:$AA$21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2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'24.07 Kitebi-Kabusu'!$AB$9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Kitebi-Kabusu'!$AB$10:$AB$21</c:f>
              <c:numCache>
                <c:formatCode>0</c:formatCode>
                <c:ptCount val="12"/>
                <c:pt idx="0">
                  <c:v>0</c:v>
                </c:pt>
                <c:pt idx="1">
                  <c:v>4</c:v>
                </c:pt>
                <c:pt idx="2">
                  <c:v>0</c:v>
                </c:pt>
                <c:pt idx="3">
                  <c:v>2</c:v>
                </c:pt>
                <c:pt idx="4">
                  <c:v>3</c:v>
                </c:pt>
                <c:pt idx="5">
                  <c:v>0</c:v>
                </c:pt>
                <c:pt idx="6">
                  <c:v>5</c:v>
                </c:pt>
                <c:pt idx="7">
                  <c:v>3</c:v>
                </c:pt>
                <c:pt idx="8">
                  <c:v>3</c:v>
                </c:pt>
                <c:pt idx="9">
                  <c:v>0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'24.07 Kitebi-Kabusu'!$AC$9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Kitebi-Kabusu'!$AC$10:$AC$21</c:f>
              <c:numCache>
                <c:formatCode>0</c:formatCode>
                <c:ptCount val="12"/>
                <c:pt idx="0">
                  <c:v>1185</c:v>
                </c:pt>
                <c:pt idx="1">
                  <c:v>1204</c:v>
                </c:pt>
                <c:pt idx="2">
                  <c:v>1052</c:v>
                </c:pt>
                <c:pt idx="3">
                  <c:v>880</c:v>
                </c:pt>
                <c:pt idx="4">
                  <c:v>816</c:v>
                </c:pt>
                <c:pt idx="5">
                  <c:v>736</c:v>
                </c:pt>
                <c:pt idx="6">
                  <c:v>809</c:v>
                </c:pt>
                <c:pt idx="7">
                  <c:v>666</c:v>
                </c:pt>
                <c:pt idx="8">
                  <c:v>832</c:v>
                </c:pt>
                <c:pt idx="9">
                  <c:v>562</c:v>
                </c:pt>
                <c:pt idx="10">
                  <c:v>783</c:v>
                </c:pt>
                <c:pt idx="11">
                  <c:v>846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'24.07 Kitebi-Kabusu'!$AD$9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Kitebi-Kabusu'!$AD$10:$AD$21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4558688"/>
        <c:axId val="404554336"/>
      </c:lineChart>
      <c:catAx>
        <c:axId val="404558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04554336"/>
        <c:crosses val="autoZero"/>
        <c:auto val="1"/>
        <c:lblAlgn val="ctr"/>
        <c:lblOffset val="100"/>
        <c:noMultiLvlLbl val="0"/>
      </c:catAx>
      <c:valAx>
        <c:axId val="40455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04558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Kitebi-Kabusu'!$C$9:$N$9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Kitebi-Kabusu'!$C$60:$N$60</c:f>
              <c:numCache>
                <c:formatCode>0.00%</c:formatCode>
                <c:ptCount val="12"/>
                <c:pt idx="0">
                  <c:v>0.55159474671669795</c:v>
                </c:pt>
                <c:pt idx="1">
                  <c:v>7.9737335834896811E-2</c:v>
                </c:pt>
                <c:pt idx="2">
                  <c:v>7.6547842401500935E-2</c:v>
                </c:pt>
                <c:pt idx="3">
                  <c:v>0.21332082551594747</c:v>
                </c:pt>
                <c:pt idx="4">
                  <c:v>2.8142589118198874E-3</c:v>
                </c:pt>
                <c:pt idx="5">
                  <c:v>1.6885553470919325E-3</c:v>
                </c:pt>
                <c:pt idx="6">
                  <c:v>5.5722326454033771E-2</c:v>
                </c:pt>
                <c:pt idx="7">
                  <c:v>1.0131332082551596E-2</c:v>
                </c:pt>
                <c:pt idx="8">
                  <c:v>3.7523452157598499E-3</c:v>
                </c:pt>
                <c:pt idx="9">
                  <c:v>4.6904315196998128E-3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Kabusu-Kitebi'!$AE$9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'24.07 Kabusu-Kitebi'!$R$10:$R$21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Kabusu-Kitebi'!$AE$10:$AE$21</c:f>
              <c:numCache>
                <c:formatCode>0</c:formatCode>
                <c:ptCount val="12"/>
                <c:pt idx="0">
                  <c:v>260</c:v>
                </c:pt>
                <c:pt idx="1">
                  <c:v>212</c:v>
                </c:pt>
                <c:pt idx="2">
                  <c:v>222</c:v>
                </c:pt>
                <c:pt idx="3">
                  <c:v>248</c:v>
                </c:pt>
                <c:pt idx="4">
                  <c:v>306</c:v>
                </c:pt>
                <c:pt idx="5">
                  <c:v>297</c:v>
                </c:pt>
                <c:pt idx="6">
                  <c:v>287</c:v>
                </c:pt>
                <c:pt idx="7">
                  <c:v>312</c:v>
                </c:pt>
                <c:pt idx="8">
                  <c:v>287</c:v>
                </c:pt>
                <c:pt idx="9">
                  <c:v>335</c:v>
                </c:pt>
                <c:pt idx="10">
                  <c:v>491</c:v>
                </c:pt>
                <c:pt idx="11">
                  <c:v>797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'24.07 Kabusu-Kitebi'!$AF$9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'24.07 Kabusu-Kitebi'!$R$10:$R$21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Kabusu-Kitebi'!$AF$10:$AF$21</c:f>
              <c:numCache>
                <c:formatCode>0</c:formatCode>
                <c:ptCount val="12"/>
                <c:pt idx="0">
                  <c:v>663</c:v>
                </c:pt>
                <c:pt idx="1">
                  <c:v>732</c:v>
                </c:pt>
                <c:pt idx="2">
                  <c:v>747</c:v>
                </c:pt>
                <c:pt idx="3">
                  <c:v>913</c:v>
                </c:pt>
                <c:pt idx="4">
                  <c:v>1006</c:v>
                </c:pt>
                <c:pt idx="5">
                  <c:v>838</c:v>
                </c:pt>
                <c:pt idx="6">
                  <c:v>827</c:v>
                </c:pt>
                <c:pt idx="7">
                  <c:v>977</c:v>
                </c:pt>
                <c:pt idx="8">
                  <c:v>1007</c:v>
                </c:pt>
                <c:pt idx="9">
                  <c:v>1030</c:v>
                </c:pt>
                <c:pt idx="10">
                  <c:v>1306</c:v>
                </c:pt>
                <c:pt idx="11">
                  <c:v>1664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4551072"/>
        <c:axId val="404552160"/>
      </c:lineChart>
      <c:catAx>
        <c:axId val="4045510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04552160"/>
        <c:crosses val="autoZero"/>
        <c:auto val="1"/>
        <c:lblAlgn val="ctr"/>
        <c:lblOffset val="100"/>
        <c:noMultiLvlLbl val="0"/>
      </c:catAx>
      <c:valAx>
        <c:axId val="4045521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04551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Kabusu-Kitebi'!$C$9:$N$9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Kabusu-Kitebi'!$C$59:$N$59</c:f>
              <c:numCache>
                <c:formatCode>0.0%</c:formatCode>
                <c:ptCount val="12"/>
                <c:pt idx="0">
                  <c:v>0.16396242527754057</c:v>
                </c:pt>
                <c:pt idx="1">
                  <c:v>2.2032450896669512E-2</c:v>
                </c:pt>
                <c:pt idx="2">
                  <c:v>3.3048676345004267E-2</c:v>
                </c:pt>
                <c:pt idx="3">
                  <c:v>8.6080273270708801E-2</c:v>
                </c:pt>
                <c:pt idx="4">
                  <c:v>1.6225448334756618E-3</c:v>
                </c:pt>
                <c:pt idx="5">
                  <c:v>5.9777967549103333E-4</c:v>
                </c:pt>
                <c:pt idx="6">
                  <c:v>2.4508966695132365E-2</c:v>
                </c:pt>
                <c:pt idx="7">
                  <c:v>2.3911187019641333E-3</c:v>
                </c:pt>
                <c:pt idx="8">
                  <c:v>6.6609735269000858E-3</c:v>
                </c:pt>
                <c:pt idx="9">
                  <c:v>5.2946199829205804E-3</c:v>
                </c:pt>
                <c:pt idx="10">
                  <c:v>0.65380017079419295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Kabusu-Kitebi'!$C$9:$N$9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Kabusu-Kitebi'!$C$60:$N$60</c:f>
              <c:numCache>
                <c:formatCode>0.00%</c:formatCode>
                <c:ptCount val="12"/>
                <c:pt idx="0">
                  <c:v>0.47360631475086334</c:v>
                </c:pt>
                <c:pt idx="1">
                  <c:v>6.3640848544647258E-2</c:v>
                </c:pt>
                <c:pt idx="2">
                  <c:v>9.5461272816970894E-2</c:v>
                </c:pt>
                <c:pt idx="3">
                  <c:v>0.24864331524420324</c:v>
                </c:pt>
                <c:pt idx="4">
                  <c:v>4.6867291563887515E-3</c:v>
                </c:pt>
                <c:pt idx="5">
                  <c:v>1.726689689195856E-3</c:v>
                </c:pt>
                <c:pt idx="6">
                  <c:v>7.0794277257030094E-2</c:v>
                </c:pt>
                <c:pt idx="7">
                  <c:v>6.9067587567834239E-3</c:v>
                </c:pt>
                <c:pt idx="8">
                  <c:v>1.9240256536753823E-2</c:v>
                </c:pt>
                <c:pt idx="9">
                  <c:v>1.5293537247163296E-2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Kabusu-Kitebi'!$AE$9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'25.07 Kabusu-Kitebi'!$R$10:$R$21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Kabusu-Kitebi'!$AE$10:$AE$21</c:f>
              <c:numCache>
                <c:formatCode>0</c:formatCode>
                <c:ptCount val="12"/>
                <c:pt idx="0">
                  <c:v>281</c:v>
                </c:pt>
                <c:pt idx="1">
                  <c:v>231</c:v>
                </c:pt>
                <c:pt idx="2">
                  <c:v>262</c:v>
                </c:pt>
                <c:pt idx="3">
                  <c:v>280</c:v>
                </c:pt>
                <c:pt idx="4">
                  <c:v>259</c:v>
                </c:pt>
                <c:pt idx="5">
                  <c:v>289</c:v>
                </c:pt>
                <c:pt idx="6">
                  <c:v>321</c:v>
                </c:pt>
                <c:pt idx="7">
                  <c:v>348</c:v>
                </c:pt>
                <c:pt idx="8">
                  <c:v>337</c:v>
                </c:pt>
                <c:pt idx="9">
                  <c:v>451</c:v>
                </c:pt>
                <c:pt idx="10">
                  <c:v>625</c:v>
                </c:pt>
                <c:pt idx="11">
                  <c:v>651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'25.07 Kabusu-Kitebi'!$AF$9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'25.07 Kabusu-Kitebi'!$R$10:$R$21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Kabusu-Kitebi'!$AF$10:$AF$21</c:f>
              <c:numCache>
                <c:formatCode>0</c:formatCode>
                <c:ptCount val="12"/>
                <c:pt idx="0">
                  <c:v>868</c:v>
                </c:pt>
                <c:pt idx="1">
                  <c:v>1151</c:v>
                </c:pt>
                <c:pt idx="2">
                  <c:v>1097</c:v>
                </c:pt>
                <c:pt idx="3">
                  <c:v>1070</c:v>
                </c:pt>
                <c:pt idx="4">
                  <c:v>842</c:v>
                </c:pt>
                <c:pt idx="5">
                  <c:v>784</c:v>
                </c:pt>
                <c:pt idx="6">
                  <c:v>656</c:v>
                </c:pt>
                <c:pt idx="7">
                  <c:v>843</c:v>
                </c:pt>
                <c:pt idx="8">
                  <c:v>923</c:v>
                </c:pt>
                <c:pt idx="9">
                  <c:v>961</c:v>
                </c:pt>
                <c:pt idx="10">
                  <c:v>1105</c:v>
                </c:pt>
                <c:pt idx="11">
                  <c:v>1055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4556512"/>
        <c:axId val="404548896"/>
      </c:lineChart>
      <c:catAx>
        <c:axId val="4045565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04548896"/>
        <c:crosses val="autoZero"/>
        <c:auto val="1"/>
        <c:lblAlgn val="ctr"/>
        <c:lblOffset val="100"/>
        <c:noMultiLvlLbl val="0"/>
      </c:catAx>
      <c:valAx>
        <c:axId val="4045488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04556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Kabusu-Kitebi'!$C$9:$N$9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Kabusu-Kitebi'!$C$59:$N$59</c:f>
              <c:numCache>
                <c:formatCode>0.0%</c:formatCode>
                <c:ptCount val="12"/>
                <c:pt idx="0">
                  <c:v>0.18361955085865259</c:v>
                </c:pt>
                <c:pt idx="1">
                  <c:v>2.791721708498459E-2</c:v>
                </c:pt>
                <c:pt idx="2">
                  <c:v>3.9101717305151919E-2</c:v>
                </c:pt>
                <c:pt idx="3">
                  <c:v>8.8331131660061651E-2</c:v>
                </c:pt>
                <c:pt idx="4">
                  <c:v>2.7300748568912375E-3</c:v>
                </c:pt>
                <c:pt idx="5">
                  <c:v>5.284015852047556E-4</c:v>
                </c:pt>
                <c:pt idx="6">
                  <c:v>2.756494936151475E-2</c:v>
                </c:pt>
                <c:pt idx="7">
                  <c:v>1.8494055482166448E-3</c:v>
                </c:pt>
                <c:pt idx="8">
                  <c:v>6.2527520915896077E-3</c:v>
                </c:pt>
                <c:pt idx="9">
                  <c:v>3.8749449581682079E-3</c:v>
                </c:pt>
                <c:pt idx="10">
                  <c:v>0.61822985468956404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93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Kabusu-Kitebi'!$S$9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'25.07 Kabusu-Kitebi'!$R$10:$R$21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Kabusu-Kitebi'!$S$10:$S$21</c:f>
              <c:numCache>
                <c:formatCode>0</c:formatCode>
                <c:ptCount val="12"/>
                <c:pt idx="0">
                  <c:v>133</c:v>
                </c:pt>
                <c:pt idx="1">
                  <c:v>64</c:v>
                </c:pt>
                <c:pt idx="2">
                  <c:v>97</c:v>
                </c:pt>
                <c:pt idx="3">
                  <c:v>132</c:v>
                </c:pt>
                <c:pt idx="4">
                  <c:v>109</c:v>
                </c:pt>
                <c:pt idx="5">
                  <c:v>120</c:v>
                </c:pt>
                <c:pt idx="6">
                  <c:v>101</c:v>
                </c:pt>
                <c:pt idx="7">
                  <c:v>177</c:v>
                </c:pt>
                <c:pt idx="8">
                  <c:v>176</c:v>
                </c:pt>
                <c:pt idx="9">
                  <c:v>253</c:v>
                </c:pt>
                <c:pt idx="10">
                  <c:v>338</c:v>
                </c:pt>
                <c:pt idx="11">
                  <c:v>385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'25.07 Kabusu-Kitebi'!$T$9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'25.07 Kabusu-Kitebi'!$R$10:$R$21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Kabusu-Kitebi'!$T$10:$T$21</c:f>
              <c:numCache>
                <c:formatCode>0</c:formatCode>
                <c:ptCount val="12"/>
                <c:pt idx="0">
                  <c:v>15</c:v>
                </c:pt>
                <c:pt idx="1">
                  <c:v>9</c:v>
                </c:pt>
                <c:pt idx="2">
                  <c:v>13</c:v>
                </c:pt>
                <c:pt idx="3">
                  <c:v>19</c:v>
                </c:pt>
                <c:pt idx="4">
                  <c:v>13</c:v>
                </c:pt>
                <c:pt idx="5">
                  <c:v>32</c:v>
                </c:pt>
                <c:pt idx="6">
                  <c:v>13</c:v>
                </c:pt>
                <c:pt idx="7">
                  <c:v>32</c:v>
                </c:pt>
                <c:pt idx="8">
                  <c:v>40</c:v>
                </c:pt>
                <c:pt idx="9">
                  <c:v>48</c:v>
                </c:pt>
                <c:pt idx="10">
                  <c:v>36</c:v>
                </c:pt>
                <c:pt idx="11">
                  <c:v>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'25.07 Kabusu-Kitebi'!$U$9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'25.07 Kabusu-Kitebi'!$U$10:$U$21</c:f>
              <c:numCache>
                <c:formatCode>0</c:formatCode>
                <c:ptCount val="12"/>
                <c:pt idx="0">
                  <c:v>8</c:v>
                </c:pt>
                <c:pt idx="1">
                  <c:v>7</c:v>
                </c:pt>
                <c:pt idx="2">
                  <c:v>28</c:v>
                </c:pt>
                <c:pt idx="3">
                  <c:v>20</c:v>
                </c:pt>
                <c:pt idx="4">
                  <c:v>34</c:v>
                </c:pt>
                <c:pt idx="5">
                  <c:v>32</c:v>
                </c:pt>
                <c:pt idx="6">
                  <c:v>44</c:v>
                </c:pt>
                <c:pt idx="7">
                  <c:v>28</c:v>
                </c:pt>
                <c:pt idx="8">
                  <c:v>29</c:v>
                </c:pt>
                <c:pt idx="9">
                  <c:v>41</c:v>
                </c:pt>
                <c:pt idx="10">
                  <c:v>126</c:v>
                </c:pt>
                <c:pt idx="11">
                  <c:v>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'25.07 Kabusu-Kitebi'!$V$9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'25.07 Kabusu-Kitebi'!$V$10:$V$21</c:f>
              <c:numCache>
                <c:formatCode>0</c:formatCode>
                <c:ptCount val="12"/>
                <c:pt idx="0">
                  <c:v>101</c:v>
                </c:pt>
                <c:pt idx="1">
                  <c:v>106</c:v>
                </c:pt>
                <c:pt idx="2">
                  <c:v>95</c:v>
                </c:pt>
                <c:pt idx="3">
                  <c:v>82</c:v>
                </c:pt>
                <c:pt idx="4">
                  <c:v>64</c:v>
                </c:pt>
                <c:pt idx="5">
                  <c:v>74</c:v>
                </c:pt>
                <c:pt idx="6">
                  <c:v>114</c:v>
                </c:pt>
                <c:pt idx="7">
                  <c:v>71</c:v>
                </c:pt>
                <c:pt idx="8">
                  <c:v>53</c:v>
                </c:pt>
                <c:pt idx="9">
                  <c:v>68</c:v>
                </c:pt>
                <c:pt idx="10">
                  <c:v>82</c:v>
                </c:pt>
                <c:pt idx="11">
                  <c:v>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'25.07 Kabusu-Kitebi'!$W$9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'25.07 Kabusu-Kitebi'!$W$10:$W$21</c:f>
              <c:numCache>
                <c:formatCode>0</c:formatCode>
                <c:ptCount val="12"/>
                <c:pt idx="0">
                  <c:v>2</c:v>
                </c:pt>
                <c:pt idx="1">
                  <c:v>5</c:v>
                </c:pt>
                <c:pt idx="2">
                  <c:v>3</c:v>
                </c:pt>
                <c:pt idx="3">
                  <c:v>3</c:v>
                </c:pt>
                <c:pt idx="4">
                  <c:v>1</c:v>
                </c:pt>
                <c:pt idx="5">
                  <c:v>4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3</c:v>
                </c:pt>
                <c:pt idx="10">
                  <c:v>6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'25.07 Kabusu-Kitebi'!$X$9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'25.07 Kabusu-Kitebi'!$X$10:$X$21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'25.07 Kabusu-Kitebi'!$Y$9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Kabusu-Kitebi'!$Y$10:$Y$21</c:f>
              <c:numCache>
                <c:formatCode>0</c:formatCode>
                <c:ptCount val="12"/>
                <c:pt idx="0">
                  <c:v>13</c:v>
                </c:pt>
                <c:pt idx="1">
                  <c:v>32</c:v>
                </c:pt>
                <c:pt idx="2">
                  <c:v>17</c:v>
                </c:pt>
                <c:pt idx="3">
                  <c:v>15</c:v>
                </c:pt>
                <c:pt idx="4">
                  <c:v>23</c:v>
                </c:pt>
                <c:pt idx="5">
                  <c:v>21</c:v>
                </c:pt>
                <c:pt idx="6">
                  <c:v>26</c:v>
                </c:pt>
                <c:pt idx="7">
                  <c:v>25</c:v>
                </c:pt>
                <c:pt idx="8">
                  <c:v>24</c:v>
                </c:pt>
                <c:pt idx="9">
                  <c:v>34</c:v>
                </c:pt>
                <c:pt idx="10">
                  <c:v>28</c:v>
                </c:pt>
                <c:pt idx="11">
                  <c:v>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'25.07 Kabusu-Kitebi'!$Z$9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Kabusu-Kitebi'!$Z$10:$Z$21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5</c:v>
                </c:pt>
                <c:pt idx="7">
                  <c:v>4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'25.07 Kabusu-Kitebi'!$AA$9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Kabusu-Kitebi'!$AA$10:$AA$21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7</c:v>
                </c:pt>
                <c:pt idx="3">
                  <c:v>6</c:v>
                </c:pt>
                <c:pt idx="4">
                  <c:v>11</c:v>
                </c:pt>
                <c:pt idx="5">
                  <c:v>5</c:v>
                </c:pt>
                <c:pt idx="6">
                  <c:v>10</c:v>
                </c:pt>
                <c:pt idx="7">
                  <c:v>6</c:v>
                </c:pt>
                <c:pt idx="8">
                  <c:v>8</c:v>
                </c:pt>
                <c:pt idx="9">
                  <c:v>3</c:v>
                </c:pt>
                <c:pt idx="10">
                  <c:v>4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'25.07 Kabusu-Kitebi'!$AB$9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Kabusu-Kitebi'!$AB$10:$AB$21</c:f>
              <c:numCache>
                <c:formatCode>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1</c:v>
                </c:pt>
                <c:pt idx="3">
                  <c:v>3</c:v>
                </c:pt>
                <c:pt idx="4">
                  <c:v>2</c:v>
                </c:pt>
                <c:pt idx="5">
                  <c:v>0</c:v>
                </c:pt>
                <c:pt idx="6">
                  <c:v>6</c:v>
                </c:pt>
                <c:pt idx="7">
                  <c:v>4</c:v>
                </c:pt>
                <c:pt idx="8">
                  <c:v>6</c:v>
                </c:pt>
                <c:pt idx="9">
                  <c:v>1</c:v>
                </c:pt>
                <c:pt idx="10">
                  <c:v>4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'25.07 Kabusu-Kitebi'!$AC$9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Kabusu-Kitebi'!$AC$10:$AC$21</c:f>
              <c:numCache>
                <c:formatCode>0</c:formatCode>
                <c:ptCount val="12"/>
                <c:pt idx="0">
                  <c:v>587</c:v>
                </c:pt>
                <c:pt idx="1">
                  <c:v>920</c:v>
                </c:pt>
                <c:pt idx="2">
                  <c:v>835</c:v>
                </c:pt>
                <c:pt idx="3">
                  <c:v>790</c:v>
                </c:pt>
                <c:pt idx="4">
                  <c:v>583</c:v>
                </c:pt>
                <c:pt idx="5">
                  <c:v>495</c:v>
                </c:pt>
                <c:pt idx="6">
                  <c:v>335</c:v>
                </c:pt>
                <c:pt idx="7">
                  <c:v>495</c:v>
                </c:pt>
                <c:pt idx="8">
                  <c:v>586</c:v>
                </c:pt>
                <c:pt idx="9">
                  <c:v>510</c:v>
                </c:pt>
                <c:pt idx="10">
                  <c:v>480</c:v>
                </c:pt>
                <c:pt idx="11">
                  <c:v>404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'25.07 Kabusu-Kitebi'!$AD$9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Kabusu-Kitebi'!$AD$10:$AD$21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4549984"/>
        <c:axId val="502138592"/>
      </c:lineChart>
      <c:catAx>
        <c:axId val="404549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02138592"/>
        <c:crosses val="autoZero"/>
        <c:auto val="1"/>
        <c:lblAlgn val="ctr"/>
        <c:lblOffset val="100"/>
        <c:noMultiLvlLbl val="0"/>
      </c:catAx>
      <c:valAx>
        <c:axId val="50213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04549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Kabusu-Kitebi'!$C$9:$N$9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Kabusu-Kitebi'!$C$60:$N$60</c:f>
              <c:numCache>
                <c:formatCode>0.00%</c:formatCode>
                <c:ptCount val="12"/>
                <c:pt idx="0">
                  <c:v>0.48096885813148788</c:v>
                </c:pt>
                <c:pt idx="1">
                  <c:v>7.3125720876585934E-2</c:v>
                </c:pt>
                <c:pt idx="2">
                  <c:v>0.10242214532871972</c:v>
                </c:pt>
                <c:pt idx="3">
                  <c:v>0.23137254901960785</c:v>
                </c:pt>
                <c:pt idx="4">
                  <c:v>7.151095732410611E-3</c:v>
                </c:pt>
                <c:pt idx="5">
                  <c:v>1.3840830449826989E-3</c:v>
                </c:pt>
                <c:pt idx="6">
                  <c:v>7.2202998846597463E-2</c:v>
                </c:pt>
                <c:pt idx="7">
                  <c:v>4.844290657439446E-3</c:v>
                </c:pt>
                <c:pt idx="8">
                  <c:v>1.6378316032295271E-2</c:v>
                </c:pt>
                <c:pt idx="9">
                  <c:v>1.0149942329873126E-2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Kitebi-Kabusu'!$AE$9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'25.07 Kitebi-Kabusu'!$R$10:$R$21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Kitebi-Kabusu'!$AE$10:$AE$21</c:f>
              <c:numCache>
                <c:formatCode>0</c:formatCode>
                <c:ptCount val="12"/>
                <c:pt idx="0">
                  <c:v>1060</c:v>
                </c:pt>
                <c:pt idx="1">
                  <c:v>693</c:v>
                </c:pt>
                <c:pt idx="2">
                  <c:v>545</c:v>
                </c:pt>
                <c:pt idx="3">
                  <c:v>453</c:v>
                </c:pt>
                <c:pt idx="4">
                  <c:v>366</c:v>
                </c:pt>
                <c:pt idx="5">
                  <c:v>358</c:v>
                </c:pt>
                <c:pt idx="6">
                  <c:v>385</c:v>
                </c:pt>
                <c:pt idx="7">
                  <c:v>334</c:v>
                </c:pt>
                <c:pt idx="8">
                  <c:v>318</c:v>
                </c:pt>
                <c:pt idx="9">
                  <c:v>329</c:v>
                </c:pt>
                <c:pt idx="10">
                  <c:v>361</c:v>
                </c:pt>
                <c:pt idx="11">
                  <c:v>392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'25.07 Kitebi-Kabusu'!$AF$9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'25.07 Kitebi-Kabusu'!$R$10:$R$21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Kitebi-Kabusu'!$AF$10:$AF$21</c:f>
              <c:numCache>
                <c:formatCode>0</c:formatCode>
                <c:ptCount val="12"/>
                <c:pt idx="0">
                  <c:v>2237</c:v>
                </c:pt>
                <c:pt idx="1">
                  <c:v>1871</c:v>
                </c:pt>
                <c:pt idx="2">
                  <c:v>1662</c:v>
                </c:pt>
                <c:pt idx="3">
                  <c:v>1443</c:v>
                </c:pt>
                <c:pt idx="4">
                  <c:v>1217</c:v>
                </c:pt>
                <c:pt idx="5">
                  <c:v>1070</c:v>
                </c:pt>
                <c:pt idx="6">
                  <c:v>1005</c:v>
                </c:pt>
                <c:pt idx="7">
                  <c:v>920</c:v>
                </c:pt>
                <c:pt idx="8">
                  <c:v>1015</c:v>
                </c:pt>
                <c:pt idx="9">
                  <c:v>1045</c:v>
                </c:pt>
                <c:pt idx="10">
                  <c:v>1321</c:v>
                </c:pt>
                <c:pt idx="11">
                  <c:v>1310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2139680"/>
        <c:axId val="502140224"/>
      </c:lineChart>
      <c:catAx>
        <c:axId val="5021396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02140224"/>
        <c:crosses val="autoZero"/>
        <c:auto val="1"/>
        <c:lblAlgn val="ctr"/>
        <c:lblOffset val="100"/>
        <c:noMultiLvlLbl val="0"/>
      </c:catAx>
      <c:valAx>
        <c:axId val="5021402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02139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Kitebi-Kabusu'!$C$9:$N$9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Kitebi-Kabusu'!$C$59:$N$59</c:f>
              <c:numCache>
                <c:formatCode>0.0%</c:formatCode>
                <c:ptCount val="12"/>
                <c:pt idx="0">
                  <c:v>0.19781583519483742</c:v>
                </c:pt>
                <c:pt idx="1">
                  <c:v>2.692975924547034E-2</c:v>
                </c:pt>
                <c:pt idx="2">
                  <c:v>2.3454951600893521E-2</c:v>
                </c:pt>
                <c:pt idx="3">
                  <c:v>7.3281211218664682E-2</c:v>
                </c:pt>
                <c:pt idx="4">
                  <c:v>1.1169024571854058E-3</c:v>
                </c:pt>
                <c:pt idx="5">
                  <c:v>4.9640109208240262E-4</c:v>
                </c:pt>
                <c:pt idx="6">
                  <c:v>1.8490940680069495E-2</c:v>
                </c:pt>
                <c:pt idx="7">
                  <c:v>2.9163564159841154E-3</c:v>
                </c:pt>
                <c:pt idx="8">
                  <c:v>1.365103003226607E-3</c:v>
                </c:pt>
                <c:pt idx="9">
                  <c:v>1.2410027302060065E-3</c:v>
                </c:pt>
                <c:pt idx="10">
                  <c:v>0.65289153636137998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93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Kitebi-Kabusu'!$S$9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'25.07 Kitebi-Kabusu'!$R$10:$R$21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Kitebi-Kabusu'!$S$10:$S$21</c:f>
              <c:numCache>
                <c:formatCode>0</c:formatCode>
                <c:ptCount val="12"/>
                <c:pt idx="0">
                  <c:v>700</c:v>
                </c:pt>
                <c:pt idx="1">
                  <c:v>426</c:v>
                </c:pt>
                <c:pt idx="2">
                  <c:v>333</c:v>
                </c:pt>
                <c:pt idx="3">
                  <c:v>250</c:v>
                </c:pt>
                <c:pt idx="4">
                  <c:v>196</c:v>
                </c:pt>
                <c:pt idx="5">
                  <c:v>175</c:v>
                </c:pt>
                <c:pt idx="6">
                  <c:v>220</c:v>
                </c:pt>
                <c:pt idx="7">
                  <c:v>151</c:v>
                </c:pt>
                <c:pt idx="8">
                  <c:v>166</c:v>
                </c:pt>
                <c:pt idx="9">
                  <c:v>174</c:v>
                </c:pt>
                <c:pt idx="10">
                  <c:v>200</c:v>
                </c:pt>
                <c:pt idx="11">
                  <c:v>197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'25.07 Kitebi-Kabusu'!$T$9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'25.07 Kitebi-Kabusu'!$R$10:$R$21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Kitebi-Kabusu'!$T$10:$T$21</c:f>
              <c:numCache>
                <c:formatCode>0</c:formatCode>
                <c:ptCount val="12"/>
                <c:pt idx="0">
                  <c:v>81</c:v>
                </c:pt>
                <c:pt idx="1">
                  <c:v>53</c:v>
                </c:pt>
                <c:pt idx="2">
                  <c:v>36</c:v>
                </c:pt>
                <c:pt idx="3">
                  <c:v>42</c:v>
                </c:pt>
                <c:pt idx="4">
                  <c:v>31</c:v>
                </c:pt>
                <c:pt idx="5">
                  <c:v>35</c:v>
                </c:pt>
                <c:pt idx="6">
                  <c:v>26</c:v>
                </c:pt>
                <c:pt idx="7">
                  <c:v>41</c:v>
                </c:pt>
                <c:pt idx="8">
                  <c:v>22</c:v>
                </c:pt>
                <c:pt idx="9">
                  <c:v>22</c:v>
                </c:pt>
                <c:pt idx="10">
                  <c:v>27</c:v>
                </c:pt>
                <c:pt idx="11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'25.07 Kitebi-Kabusu'!$U$9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'25.07 Kitebi-Kabusu'!$U$10:$U$21</c:f>
              <c:numCache>
                <c:formatCode>0</c:formatCode>
                <c:ptCount val="12"/>
                <c:pt idx="0">
                  <c:v>53</c:v>
                </c:pt>
                <c:pt idx="1">
                  <c:v>53</c:v>
                </c:pt>
                <c:pt idx="2">
                  <c:v>37</c:v>
                </c:pt>
                <c:pt idx="3">
                  <c:v>32</c:v>
                </c:pt>
                <c:pt idx="4">
                  <c:v>31</c:v>
                </c:pt>
                <c:pt idx="5">
                  <c:v>29</c:v>
                </c:pt>
                <c:pt idx="6">
                  <c:v>27</c:v>
                </c:pt>
                <c:pt idx="7">
                  <c:v>21</c:v>
                </c:pt>
                <c:pt idx="8">
                  <c:v>26</c:v>
                </c:pt>
                <c:pt idx="9">
                  <c:v>25</c:v>
                </c:pt>
                <c:pt idx="10">
                  <c:v>27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'25.07 Kitebi-Kabusu'!$V$9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'25.07 Kitebi-Kabusu'!$V$10:$V$21</c:f>
              <c:numCache>
                <c:formatCode>0</c:formatCode>
                <c:ptCount val="12"/>
                <c:pt idx="0">
                  <c:v>190</c:v>
                </c:pt>
                <c:pt idx="1">
                  <c:v>124</c:v>
                </c:pt>
                <c:pt idx="2">
                  <c:v>105</c:v>
                </c:pt>
                <c:pt idx="3">
                  <c:v>94</c:v>
                </c:pt>
                <c:pt idx="4">
                  <c:v>81</c:v>
                </c:pt>
                <c:pt idx="5">
                  <c:v>79</c:v>
                </c:pt>
                <c:pt idx="6">
                  <c:v>76</c:v>
                </c:pt>
                <c:pt idx="7">
                  <c:v>85</c:v>
                </c:pt>
                <c:pt idx="8">
                  <c:v>71</c:v>
                </c:pt>
                <c:pt idx="9">
                  <c:v>72</c:v>
                </c:pt>
                <c:pt idx="10">
                  <c:v>75</c:v>
                </c:pt>
                <c:pt idx="11">
                  <c:v>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'25.07 Kitebi-Kabusu'!$W$9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'25.07 Kitebi-Kabusu'!$W$10:$W$21</c:f>
              <c:numCache>
                <c:formatCode>0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'25.07 Kitebi-Kabusu'!$X$9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'25.07 Kitebi-Kabusu'!$X$10:$X$21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2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'25.07 Kitebi-Kabusu'!$Y$9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Kitebi-Kabusu'!$Y$10:$Y$21</c:f>
              <c:numCache>
                <c:formatCode>0</c:formatCode>
                <c:ptCount val="12"/>
                <c:pt idx="0">
                  <c:v>33</c:v>
                </c:pt>
                <c:pt idx="1">
                  <c:v>25</c:v>
                </c:pt>
                <c:pt idx="2">
                  <c:v>23</c:v>
                </c:pt>
                <c:pt idx="3">
                  <c:v>26</c:v>
                </c:pt>
                <c:pt idx="4">
                  <c:v>22</c:v>
                </c:pt>
                <c:pt idx="5">
                  <c:v>30</c:v>
                </c:pt>
                <c:pt idx="6">
                  <c:v>25</c:v>
                </c:pt>
                <c:pt idx="7">
                  <c:v>22</c:v>
                </c:pt>
                <c:pt idx="8">
                  <c:v>27</c:v>
                </c:pt>
                <c:pt idx="9">
                  <c:v>23</c:v>
                </c:pt>
                <c:pt idx="10">
                  <c:v>16</c:v>
                </c:pt>
                <c:pt idx="1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'25.07 Kitebi-Kabusu'!$Z$9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Kitebi-Kabusu'!$Z$10:$Z$21</c:f>
              <c:numCache>
                <c:formatCode>0</c:formatCode>
                <c:ptCount val="12"/>
                <c:pt idx="0">
                  <c:v>0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2</c:v>
                </c:pt>
                <c:pt idx="5">
                  <c:v>5</c:v>
                </c:pt>
                <c:pt idx="6">
                  <c:v>7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'25.07 Kitebi-Kabusu'!$AA$9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Kitebi-Kabusu'!$AA$10:$AA$21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4</c:v>
                </c:pt>
                <c:pt idx="8">
                  <c:v>2</c:v>
                </c:pt>
                <c:pt idx="9">
                  <c:v>3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'25.07 Kitebi-Kabusu'!$AB$9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Kitebi-Kabusu'!$AB$10:$AB$21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5</c:v>
                </c:pt>
                <c:pt idx="8">
                  <c:v>0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'25.07 Kitebi-Kabusu'!$AC$9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Kitebi-Kabusu'!$AC$10:$AC$21</c:f>
              <c:numCache>
                <c:formatCode>0</c:formatCode>
                <c:ptCount val="12"/>
                <c:pt idx="0">
                  <c:v>1177</c:v>
                </c:pt>
                <c:pt idx="1">
                  <c:v>1178</c:v>
                </c:pt>
                <c:pt idx="2">
                  <c:v>1117</c:v>
                </c:pt>
                <c:pt idx="3">
                  <c:v>990</c:v>
                </c:pt>
                <c:pt idx="4">
                  <c:v>851</c:v>
                </c:pt>
                <c:pt idx="5">
                  <c:v>712</c:v>
                </c:pt>
                <c:pt idx="6">
                  <c:v>620</c:v>
                </c:pt>
                <c:pt idx="7">
                  <c:v>586</c:v>
                </c:pt>
                <c:pt idx="8">
                  <c:v>697</c:v>
                </c:pt>
                <c:pt idx="9">
                  <c:v>716</c:v>
                </c:pt>
                <c:pt idx="10">
                  <c:v>960</c:v>
                </c:pt>
                <c:pt idx="11">
                  <c:v>918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'25.07 Kitebi-Kabusu'!$AD$9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Kitebi-Kabusu'!$AD$10:$AD$21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2143488"/>
        <c:axId val="502144032"/>
      </c:lineChart>
      <c:catAx>
        <c:axId val="502143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02144032"/>
        <c:crosses val="autoZero"/>
        <c:auto val="1"/>
        <c:lblAlgn val="ctr"/>
        <c:lblOffset val="100"/>
        <c:noMultiLvlLbl val="0"/>
      </c:catAx>
      <c:valAx>
        <c:axId val="50214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02143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Kitebi-Kabusu'!$C$9:$N$9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Kitebi-Kabusu'!$C$60:$N$60</c:f>
              <c:numCache>
                <c:formatCode>0.00%</c:formatCode>
                <c:ptCount val="12"/>
                <c:pt idx="0">
                  <c:v>0.5698963174830175</c:v>
                </c:pt>
                <c:pt idx="1">
                  <c:v>7.7583124776546303E-2</c:v>
                </c:pt>
                <c:pt idx="2">
                  <c:v>6.7572398998927419E-2</c:v>
                </c:pt>
                <c:pt idx="3">
                  <c:v>0.21111905613156953</c:v>
                </c:pt>
                <c:pt idx="4">
                  <c:v>3.2177332856632105E-3</c:v>
                </c:pt>
                <c:pt idx="5">
                  <c:v>1.4301036825169824E-3</c:v>
                </c:pt>
                <c:pt idx="6">
                  <c:v>5.3271362173757594E-2</c:v>
                </c:pt>
                <c:pt idx="7">
                  <c:v>8.4018591347872727E-3</c:v>
                </c:pt>
                <c:pt idx="8">
                  <c:v>3.9327851269217017E-3</c:v>
                </c:pt>
                <c:pt idx="9">
                  <c:v>3.5752592062924561E-3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'26.07 Kitebi-Kabusu-24'!$AE$9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'26.07 Kitebi-Kabusu-24'!$R$10:$R$33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Kitebi-Kabusu-24'!$AE$10:$AE$33</c:f>
              <c:numCache>
                <c:formatCode>0</c:formatCode>
                <c:ptCount val="24"/>
                <c:pt idx="0">
                  <c:v>1002</c:v>
                </c:pt>
                <c:pt idx="1">
                  <c:v>773</c:v>
                </c:pt>
                <c:pt idx="2">
                  <c:v>553</c:v>
                </c:pt>
                <c:pt idx="3">
                  <c:v>502</c:v>
                </c:pt>
                <c:pt idx="4">
                  <c:v>375</c:v>
                </c:pt>
                <c:pt idx="5">
                  <c:v>363</c:v>
                </c:pt>
                <c:pt idx="6">
                  <c:v>351</c:v>
                </c:pt>
                <c:pt idx="7">
                  <c:v>367</c:v>
                </c:pt>
                <c:pt idx="8">
                  <c:v>345</c:v>
                </c:pt>
                <c:pt idx="9">
                  <c:v>348</c:v>
                </c:pt>
                <c:pt idx="10">
                  <c:v>354</c:v>
                </c:pt>
                <c:pt idx="11">
                  <c:v>457</c:v>
                </c:pt>
                <c:pt idx="12">
                  <c:v>391</c:v>
                </c:pt>
                <c:pt idx="13">
                  <c:v>358</c:v>
                </c:pt>
                <c:pt idx="14">
                  <c:v>264</c:v>
                </c:pt>
                <c:pt idx="15">
                  <c:v>219</c:v>
                </c:pt>
                <c:pt idx="16">
                  <c:v>122</c:v>
                </c:pt>
                <c:pt idx="17">
                  <c:v>83</c:v>
                </c:pt>
                <c:pt idx="18">
                  <c:v>50</c:v>
                </c:pt>
                <c:pt idx="19">
                  <c:v>39</c:v>
                </c:pt>
                <c:pt idx="20">
                  <c:v>161</c:v>
                </c:pt>
                <c:pt idx="21">
                  <c:v>76</c:v>
                </c:pt>
                <c:pt idx="22">
                  <c:v>279</c:v>
                </c:pt>
                <c:pt idx="23">
                  <c:v>332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'26.07 Kitebi-Kabusu-24'!$AF$9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'26.07 Kitebi-Kabusu-24'!$R$10:$R$33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Kitebi-Kabusu-24'!$AF$10:$AF$33</c:f>
              <c:numCache>
                <c:formatCode>0</c:formatCode>
                <c:ptCount val="24"/>
                <c:pt idx="0">
                  <c:v>1825</c:v>
                </c:pt>
                <c:pt idx="1">
                  <c:v>1726</c:v>
                </c:pt>
                <c:pt idx="2">
                  <c:v>1401</c:v>
                </c:pt>
                <c:pt idx="3">
                  <c:v>1247</c:v>
                </c:pt>
                <c:pt idx="4">
                  <c:v>1108</c:v>
                </c:pt>
                <c:pt idx="5">
                  <c:v>1040</c:v>
                </c:pt>
                <c:pt idx="6">
                  <c:v>978</c:v>
                </c:pt>
                <c:pt idx="7">
                  <c:v>983</c:v>
                </c:pt>
                <c:pt idx="8">
                  <c:v>741</c:v>
                </c:pt>
                <c:pt idx="9">
                  <c:v>1088</c:v>
                </c:pt>
                <c:pt idx="10">
                  <c:v>1187</c:v>
                </c:pt>
                <c:pt idx="11">
                  <c:v>1494</c:v>
                </c:pt>
                <c:pt idx="12">
                  <c:v>1248</c:v>
                </c:pt>
                <c:pt idx="13">
                  <c:v>1258</c:v>
                </c:pt>
                <c:pt idx="14">
                  <c:v>958</c:v>
                </c:pt>
                <c:pt idx="15">
                  <c:v>792</c:v>
                </c:pt>
                <c:pt idx="16">
                  <c:v>605</c:v>
                </c:pt>
                <c:pt idx="17">
                  <c:v>430</c:v>
                </c:pt>
                <c:pt idx="18">
                  <c:v>303</c:v>
                </c:pt>
                <c:pt idx="19">
                  <c:v>240</c:v>
                </c:pt>
                <c:pt idx="20">
                  <c:v>352</c:v>
                </c:pt>
                <c:pt idx="21">
                  <c:v>287</c:v>
                </c:pt>
                <c:pt idx="22">
                  <c:v>575</c:v>
                </c:pt>
                <c:pt idx="23">
                  <c:v>833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2133696"/>
        <c:axId val="511043808"/>
      </c:lineChart>
      <c:catAx>
        <c:axId val="5021336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11043808"/>
        <c:crosses val="autoZero"/>
        <c:auto val="1"/>
        <c:lblAlgn val="ctr"/>
        <c:lblOffset val="100"/>
        <c:noMultiLvlLbl val="0"/>
      </c:catAx>
      <c:valAx>
        <c:axId val="5110438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02133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Kitebi-Kabusu-24'!$C$9:$N$9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Kitebi-Kabusu-24'!$C$107:$N$107</c:f>
              <c:numCache>
                <c:formatCode>0.0%</c:formatCode>
                <c:ptCount val="12"/>
                <c:pt idx="0">
                  <c:v>0.19172650777567293</c:v>
                </c:pt>
                <c:pt idx="1">
                  <c:v>2.4538525926252257E-2</c:v>
                </c:pt>
                <c:pt idx="2">
                  <c:v>2.3304991409313185E-2</c:v>
                </c:pt>
                <c:pt idx="3">
                  <c:v>9.5819199083660073E-2</c:v>
                </c:pt>
                <c:pt idx="4">
                  <c:v>2.4230142297017492E-3</c:v>
                </c:pt>
                <c:pt idx="5">
                  <c:v>4.8460284594034977E-4</c:v>
                </c:pt>
                <c:pt idx="6">
                  <c:v>1.5991893916031542E-2</c:v>
                </c:pt>
                <c:pt idx="7">
                  <c:v>2.7754526631129125E-3</c:v>
                </c:pt>
                <c:pt idx="8">
                  <c:v>1.2775893211154677E-3</c:v>
                </c:pt>
                <c:pt idx="9">
                  <c:v>1.3216441252918631E-3</c:v>
                </c:pt>
                <c:pt idx="10">
                  <c:v>0.6403365787039077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Kitebi-Kabusu-24'!$C$9:$N$9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Kitebi-Kabusu-24'!$C$108:$N$108</c:f>
              <c:numCache>
                <c:formatCode>0.00%</c:formatCode>
                <c:ptCount val="12"/>
                <c:pt idx="0">
                  <c:v>0.53307202351788341</c:v>
                </c:pt>
                <c:pt idx="1">
                  <c:v>6.8226359627633515E-2</c:v>
                </c:pt>
                <c:pt idx="2">
                  <c:v>6.4796668299853019E-2</c:v>
                </c:pt>
                <c:pt idx="3">
                  <c:v>0.26641352278294955</c:v>
                </c:pt>
                <c:pt idx="4">
                  <c:v>6.7368936795688386E-3</c:v>
                </c:pt>
                <c:pt idx="5">
                  <c:v>1.3473787359137678E-3</c:v>
                </c:pt>
                <c:pt idx="6">
                  <c:v>4.4463498285154335E-2</c:v>
                </c:pt>
                <c:pt idx="7">
                  <c:v>7.7168054875061242E-3</c:v>
                </c:pt>
                <c:pt idx="8">
                  <c:v>3.5521803037726605E-3</c:v>
                </c:pt>
                <c:pt idx="9">
                  <c:v>3.6746692797648213E-3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'26.07 Kabusu-Kitebi-24'!$AE$9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'26.07 Kabusu-Kitebi-24'!$R$10:$R$33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Kabusu-Kitebi-24'!$AE$10:$AE$33</c:f>
              <c:numCache>
                <c:formatCode>0</c:formatCode>
                <c:ptCount val="24"/>
                <c:pt idx="0">
                  <c:v>276</c:v>
                </c:pt>
                <c:pt idx="1">
                  <c:v>244</c:v>
                </c:pt>
                <c:pt idx="2">
                  <c:v>237</c:v>
                </c:pt>
                <c:pt idx="3">
                  <c:v>225</c:v>
                </c:pt>
                <c:pt idx="4">
                  <c:v>275</c:v>
                </c:pt>
                <c:pt idx="5">
                  <c:v>262</c:v>
                </c:pt>
                <c:pt idx="6">
                  <c:v>324</c:v>
                </c:pt>
                <c:pt idx="7">
                  <c:v>286</c:v>
                </c:pt>
                <c:pt idx="8">
                  <c:v>308</c:v>
                </c:pt>
                <c:pt idx="9">
                  <c:v>538</c:v>
                </c:pt>
                <c:pt idx="10">
                  <c:v>506</c:v>
                </c:pt>
                <c:pt idx="11">
                  <c:v>724</c:v>
                </c:pt>
                <c:pt idx="12">
                  <c:v>684</c:v>
                </c:pt>
                <c:pt idx="13">
                  <c:v>652</c:v>
                </c:pt>
                <c:pt idx="14">
                  <c:v>663</c:v>
                </c:pt>
                <c:pt idx="15">
                  <c:v>450</c:v>
                </c:pt>
                <c:pt idx="16">
                  <c:v>252</c:v>
                </c:pt>
                <c:pt idx="17">
                  <c:v>189</c:v>
                </c:pt>
                <c:pt idx="18">
                  <c:v>86</c:v>
                </c:pt>
                <c:pt idx="19">
                  <c:v>72</c:v>
                </c:pt>
                <c:pt idx="20">
                  <c:v>55</c:v>
                </c:pt>
                <c:pt idx="21">
                  <c:v>87</c:v>
                </c:pt>
                <c:pt idx="22">
                  <c:v>91</c:v>
                </c:pt>
                <c:pt idx="23">
                  <c:v>123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'26.07 Kabusu-Kitebi-24'!$AF$9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'26.07 Kabusu-Kitebi-24'!$R$10:$R$33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Kabusu-Kitebi-24'!$AF$10:$AF$33</c:f>
              <c:numCache>
                <c:formatCode>0</c:formatCode>
                <c:ptCount val="24"/>
                <c:pt idx="0">
                  <c:v>630</c:v>
                </c:pt>
                <c:pt idx="1">
                  <c:v>654</c:v>
                </c:pt>
                <c:pt idx="2">
                  <c:v>677</c:v>
                </c:pt>
                <c:pt idx="3">
                  <c:v>588</c:v>
                </c:pt>
                <c:pt idx="4">
                  <c:v>558</c:v>
                </c:pt>
                <c:pt idx="5">
                  <c:v>587</c:v>
                </c:pt>
                <c:pt idx="6">
                  <c:v>829</c:v>
                </c:pt>
                <c:pt idx="7">
                  <c:v>758</c:v>
                </c:pt>
                <c:pt idx="8">
                  <c:v>675</c:v>
                </c:pt>
                <c:pt idx="9">
                  <c:v>1177</c:v>
                </c:pt>
                <c:pt idx="10">
                  <c:v>1101</c:v>
                </c:pt>
                <c:pt idx="11">
                  <c:v>1368</c:v>
                </c:pt>
                <c:pt idx="12">
                  <c:v>1399</c:v>
                </c:pt>
                <c:pt idx="13">
                  <c:v>1275</c:v>
                </c:pt>
                <c:pt idx="14">
                  <c:v>1095</c:v>
                </c:pt>
                <c:pt idx="15">
                  <c:v>795</c:v>
                </c:pt>
                <c:pt idx="16">
                  <c:v>544</c:v>
                </c:pt>
                <c:pt idx="17">
                  <c:v>444</c:v>
                </c:pt>
                <c:pt idx="18">
                  <c:v>279</c:v>
                </c:pt>
                <c:pt idx="19">
                  <c:v>176</c:v>
                </c:pt>
                <c:pt idx="20">
                  <c:v>184</c:v>
                </c:pt>
                <c:pt idx="21">
                  <c:v>171</c:v>
                </c:pt>
                <c:pt idx="22">
                  <c:v>184</c:v>
                </c:pt>
                <c:pt idx="23">
                  <c:v>327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1037824"/>
        <c:axId val="415923984"/>
      </c:lineChart>
      <c:catAx>
        <c:axId val="51103782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5923984"/>
        <c:crosses val="autoZero"/>
        <c:auto val="1"/>
        <c:lblAlgn val="ctr"/>
        <c:lblOffset val="100"/>
        <c:noMultiLvlLbl val="0"/>
      </c:catAx>
      <c:valAx>
        <c:axId val="4159239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11037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Kabusu-Kitebi-24'!$C$9:$N$9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Kabusu-Kitebi-24'!$C$107:$N$107</c:f>
              <c:numCache>
                <c:formatCode>0.0%</c:formatCode>
                <c:ptCount val="12"/>
                <c:pt idx="0">
                  <c:v>0.25280728376327771</c:v>
                </c:pt>
                <c:pt idx="1">
                  <c:v>3.3808801213960543E-2</c:v>
                </c:pt>
                <c:pt idx="2">
                  <c:v>2.7921092564491653E-2</c:v>
                </c:pt>
                <c:pt idx="3">
                  <c:v>0.10992412746585736</c:v>
                </c:pt>
                <c:pt idx="4">
                  <c:v>2.3065250379362672E-3</c:v>
                </c:pt>
                <c:pt idx="5">
                  <c:v>1.274658573596358E-3</c:v>
                </c:pt>
                <c:pt idx="6">
                  <c:v>1.8330804248861913E-2</c:v>
                </c:pt>
                <c:pt idx="7">
                  <c:v>9.3474962063732937E-3</c:v>
                </c:pt>
                <c:pt idx="8">
                  <c:v>4.1881638846737483E-3</c:v>
                </c:pt>
                <c:pt idx="9">
                  <c:v>1.9423368740515933E-3</c:v>
                </c:pt>
                <c:pt idx="10">
                  <c:v>0.53814871016691956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Kabusu-Kitebi-24'!$C$9:$N$9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Kabusu-Kitebi-24'!$C$108:$N$108</c:f>
              <c:numCache>
                <c:formatCode>0.00%</c:formatCode>
                <c:ptCount val="12"/>
                <c:pt idx="0">
                  <c:v>0.54737810487580496</c:v>
                </c:pt>
                <c:pt idx="1">
                  <c:v>7.3202786174267315E-2</c:v>
                </c:pt>
                <c:pt idx="2">
                  <c:v>6.0454724668156129E-2</c:v>
                </c:pt>
                <c:pt idx="3">
                  <c:v>0.23800762255224076</c:v>
                </c:pt>
                <c:pt idx="4">
                  <c:v>4.9940859508476806E-3</c:v>
                </c:pt>
                <c:pt idx="5">
                  <c:v>2.7598896044158236E-3</c:v>
                </c:pt>
                <c:pt idx="6">
                  <c:v>3.9689840977789458E-2</c:v>
                </c:pt>
                <c:pt idx="7">
                  <c:v>2.0239190432382703E-2</c:v>
                </c:pt>
                <c:pt idx="8">
                  <c:v>9.0682087002234204E-3</c:v>
                </c:pt>
                <c:pt idx="9">
                  <c:v>4.2055460638717309E-3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'27.07 Kitebi-Kabusu-24h'!$AE$9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'27.07 Kitebi-Kabusu-24h'!$R$10:$R$33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Kitebi-Kabusu-24h'!$AE$10:$AE$33</c:f>
              <c:numCache>
                <c:formatCode>0</c:formatCode>
                <c:ptCount val="24"/>
                <c:pt idx="0">
                  <c:v>402</c:v>
                </c:pt>
                <c:pt idx="1">
                  <c:v>674</c:v>
                </c:pt>
                <c:pt idx="2">
                  <c:v>719</c:v>
                </c:pt>
                <c:pt idx="3">
                  <c:v>665</c:v>
                </c:pt>
                <c:pt idx="4">
                  <c:v>621</c:v>
                </c:pt>
                <c:pt idx="5">
                  <c:v>472</c:v>
                </c:pt>
                <c:pt idx="6">
                  <c:v>399</c:v>
                </c:pt>
                <c:pt idx="7">
                  <c:v>329</c:v>
                </c:pt>
                <c:pt idx="8">
                  <c:v>319</c:v>
                </c:pt>
                <c:pt idx="9">
                  <c:v>332</c:v>
                </c:pt>
                <c:pt idx="10">
                  <c:v>364</c:v>
                </c:pt>
                <c:pt idx="11">
                  <c:v>364</c:v>
                </c:pt>
                <c:pt idx="12">
                  <c:v>236</c:v>
                </c:pt>
                <c:pt idx="13">
                  <c:v>292</c:v>
                </c:pt>
                <c:pt idx="14">
                  <c:v>205</c:v>
                </c:pt>
                <c:pt idx="15">
                  <c:v>196</c:v>
                </c:pt>
                <c:pt idx="16">
                  <c:v>132</c:v>
                </c:pt>
                <c:pt idx="17">
                  <c:v>101</c:v>
                </c:pt>
                <c:pt idx="18">
                  <c:v>41</c:v>
                </c:pt>
                <c:pt idx="19">
                  <c:v>45</c:v>
                </c:pt>
                <c:pt idx="20">
                  <c:v>33</c:v>
                </c:pt>
                <c:pt idx="21">
                  <c:v>26</c:v>
                </c:pt>
                <c:pt idx="22">
                  <c:v>192</c:v>
                </c:pt>
                <c:pt idx="23">
                  <c:v>340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'27.07 Kitebi-Kabusu-24h'!$AF$9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'27.07 Kitebi-Kabusu-24h'!$R$10:$R$33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Kitebi-Kabusu-24h'!$AF$10:$AF$33</c:f>
              <c:numCache>
                <c:formatCode>0</c:formatCode>
                <c:ptCount val="24"/>
                <c:pt idx="0">
                  <c:v>790</c:v>
                </c:pt>
                <c:pt idx="1">
                  <c:v>1389</c:v>
                </c:pt>
                <c:pt idx="2">
                  <c:v>1619</c:v>
                </c:pt>
                <c:pt idx="3">
                  <c:v>1215</c:v>
                </c:pt>
                <c:pt idx="4">
                  <c:v>1311</c:v>
                </c:pt>
                <c:pt idx="5">
                  <c:v>1151</c:v>
                </c:pt>
                <c:pt idx="6">
                  <c:v>1011</c:v>
                </c:pt>
                <c:pt idx="7">
                  <c:v>851</c:v>
                </c:pt>
                <c:pt idx="8">
                  <c:v>791</c:v>
                </c:pt>
                <c:pt idx="9">
                  <c:v>887</c:v>
                </c:pt>
                <c:pt idx="10">
                  <c:v>1058</c:v>
                </c:pt>
                <c:pt idx="11">
                  <c:v>1087</c:v>
                </c:pt>
                <c:pt idx="12">
                  <c:v>863</c:v>
                </c:pt>
                <c:pt idx="13">
                  <c:v>854</c:v>
                </c:pt>
                <c:pt idx="14">
                  <c:v>705</c:v>
                </c:pt>
                <c:pt idx="15">
                  <c:v>566</c:v>
                </c:pt>
                <c:pt idx="16">
                  <c:v>427</c:v>
                </c:pt>
                <c:pt idx="17">
                  <c:v>357</c:v>
                </c:pt>
                <c:pt idx="18">
                  <c:v>207</c:v>
                </c:pt>
                <c:pt idx="19">
                  <c:v>183</c:v>
                </c:pt>
                <c:pt idx="20">
                  <c:v>152</c:v>
                </c:pt>
                <c:pt idx="21">
                  <c:v>155</c:v>
                </c:pt>
                <c:pt idx="22">
                  <c:v>417</c:v>
                </c:pt>
                <c:pt idx="23">
                  <c:v>695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1141152"/>
        <c:axId val="361145504"/>
      </c:lineChart>
      <c:catAx>
        <c:axId val="3611411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61145504"/>
        <c:crosses val="autoZero"/>
        <c:auto val="1"/>
        <c:lblAlgn val="ctr"/>
        <c:lblOffset val="100"/>
        <c:noMultiLvlLbl val="0"/>
      </c:catAx>
      <c:valAx>
        <c:axId val="3611455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61141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Kitebi-Kabusu-24h'!$C$9:$N$9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Kitebi-Kabusu-24h'!$C$107:$N$107</c:f>
              <c:numCache>
                <c:formatCode>0.0%</c:formatCode>
                <c:ptCount val="12"/>
                <c:pt idx="0">
                  <c:v>0.24219625420201696</c:v>
                </c:pt>
                <c:pt idx="1">
                  <c:v>3.4363160983938955E-2</c:v>
                </c:pt>
                <c:pt idx="2">
                  <c:v>2.6359319139853798E-2</c:v>
                </c:pt>
                <c:pt idx="3">
                  <c:v>7.1180833466730695E-2</c:v>
                </c:pt>
                <c:pt idx="4">
                  <c:v>2.0809988794621417E-3</c:v>
                </c:pt>
                <c:pt idx="5">
                  <c:v>5.8694840189957851E-4</c:v>
                </c:pt>
                <c:pt idx="6">
                  <c:v>1.6541273144442665E-2</c:v>
                </c:pt>
                <c:pt idx="7">
                  <c:v>3.8418440851608771E-3</c:v>
                </c:pt>
                <c:pt idx="8">
                  <c:v>1.7608452056987354E-3</c:v>
                </c:pt>
                <c:pt idx="9">
                  <c:v>1.2272557494263914E-3</c:v>
                </c:pt>
                <c:pt idx="10">
                  <c:v>0.59986126674136919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Kitebi-Kabusu-24h'!$C$9:$N$9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Kitebi-Kabusu-24h'!$C$108:$N$108</c:f>
              <c:numCache>
                <c:formatCode>0.00%</c:formatCode>
                <c:ptCount val="12"/>
                <c:pt idx="0">
                  <c:v>0.60528070409387913</c:v>
                </c:pt>
                <c:pt idx="1">
                  <c:v>8.5878117082277633E-2</c:v>
                </c:pt>
                <c:pt idx="2">
                  <c:v>6.5875450060008001E-2</c:v>
                </c:pt>
                <c:pt idx="3">
                  <c:v>0.17789038538471796</c:v>
                </c:pt>
                <c:pt idx="4">
                  <c:v>5.2006934257901056E-3</c:v>
                </c:pt>
                <c:pt idx="5">
                  <c:v>1.4668622482997733E-3</c:v>
                </c:pt>
                <c:pt idx="6">
                  <c:v>4.133884517935725E-2</c:v>
                </c:pt>
                <c:pt idx="7">
                  <c:v>9.6012801706894246E-3</c:v>
                </c:pt>
                <c:pt idx="8">
                  <c:v>4.4005867448993199E-3</c:v>
                </c:pt>
                <c:pt idx="9">
                  <c:v>3.0670756100813442E-3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'27.07 Kabusu-Kitebi-24h'!$AE$9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'27.07 Kabusu-Kitebi-24h'!$R$10:$R$33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Kabusu-Kitebi-24h'!$AE$10:$AE$33</c:f>
              <c:numCache>
                <c:formatCode>0</c:formatCode>
                <c:ptCount val="24"/>
                <c:pt idx="0">
                  <c:v>70</c:v>
                </c:pt>
                <c:pt idx="1">
                  <c:v>143</c:v>
                </c:pt>
                <c:pt idx="2">
                  <c:v>203</c:v>
                </c:pt>
                <c:pt idx="3">
                  <c:v>266</c:v>
                </c:pt>
                <c:pt idx="4">
                  <c:v>219</c:v>
                </c:pt>
                <c:pt idx="5">
                  <c:v>212</c:v>
                </c:pt>
                <c:pt idx="6">
                  <c:v>332</c:v>
                </c:pt>
                <c:pt idx="7">
                  <c:v>501</c:v>
                </c:pt>
                <c:pt idx="8">
                  <c:v>309</c:v>
                </c:pt>
                <c:pt idx="9">
                  <c:v>422</c:v>
                </c:pt>
                <c:pt idx="10">
                  <c:v>488</c:v>
                </c:pt>
                <c:pt idx="11">
                  <c:v>521</c:v>
                </c:pt>
                <c:pt idx="12">
                  <c:v>317</c:v>
                </c:pt>
                <c:pt idx="13">
                  <c:v>415</c:v>
                </c:pt>
                <c:pt idx="14">
                  <c:v>410</c:v>
                </c:pt>
                <c:pt idx="15">
                  <c:v>401</c:v>
                </c:pt>
                <c:pt idx="16">
                  <c:v>219</c:v>
                </c:pt>
                <c:pt idx="17">
                  <c:v>21</c:v>
                </c:pt>
                <c:pt idx="18">
                  <c:v>22</c:v>
                </c:pt>
                <c:pt idx="19">
                  <c:v>21</c:v>
                </c:pt>
                <c:pt idx="20">
                  <c:v>54</c:v>
                </c:pt>
                <c:pt idx="21">
                  <c:v>56</c:v>
                </c:pt>
                <c:pt idx="22">
                  <c:v>68</c:v>
                </c:pt>
                <c:pt idx="23">
                  <c:v>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'27.07 Kabusu-Kitebi-24h'!$AF$9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'27.07 Kabusu-Kitebi-24h'!$R$10:$R$33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Kabusu-Kitebi-24h'!$AF$10:$AF$33</c:f>
              <c:numCache>
                <c:formatCode>0</c:formatCode>
                <c:ptCount val="24"/>
                <c:pt idx="0">
                  <c:v>290</c:v>
                </c:pt>
                <c:pt idx="1">
                  <c:v>448</c:v>
                </c:pt>
                <c:pt idx="2">
                  <c:v>583</c:v>
                </c:pt>
                <c:pt idx="3">
                  <c:v>726</c:v>
                </c:pt>
                <c:pt idx="4">
                  <c:v>579</c:v>
                </c:pt>
                <c:pt idx="5">
                  <c:v>466</c:v>
                </c:pt>
                <c:pt idx="6">
                  <c:v>772</c:v>
                </c:pt>
                <c:pt idx="7">
                  <c:v>879</c:v>
                </c:pt>
                <c:pt idx="8">
                  <c:v>644</c:v>
                </c:pt>
                <c:pt idx="9">
                  <c:v>802</c:v>
                </c:pt>
                <c:pt idx="10">
                  <c:v>943</c:v>
                </c:pt>
                <c:pt idx="11">
                  <c:v>901</c:v>
                </c:pt>
                <c:pt idx="12">
                  <c:v>645</c:v>
                </c:pt>
                <c:pt idx="13">
                  <c:v>741</c:v>
                </c:pt>
                <c:pt idx="14">
                  <c:v>688</c:v>
                </c:pt>
                <c:pt idx="15">
                  <c:v>594</c:v>
                </c:pt>
                <c:pt idx="16">
                  <c:v>450</c:v>
                </c:pt>
                <c:pt idx="17">
                  <c:v>75</c:v>
                </c:pt>
                <c:pt idx="18">
                  <c:v>46</c:v>
                </c:pt>
                <c:pt idx="19">
                  <c:v>46</c:v>
                </c:pt>
                <c:pt idx="20">
                  <c:v>188</c:v>
                </c:pt>
                <c:pt idx="21">
                  <c:v>184</c:v>
                </c:pt>
                <c:pt idx="22">
                  <c:v>231</c:v>
                </c:pt>
                <c:pt idx="23">
                  <c:v>283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1139520"/>
        <c:axId val="361140064"/>
      </c:lineChart>
      <c:catAx>
        <c:axId val="3611395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61140064"/>
        <c:crosses val="autoZero"/>
        <c:auto val="1"/>
        <c:lblAlgn val="ctr"/>
        <c:lblOffset val="100"/>
        <c:noMultiLvlLbl val="0"/>
      </c:catAx>
      <c:valAx>
        <c:axId val="3611400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61139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Kabusu-Kitebi-24h'!$C$9:$N$9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Kabusu-Kitebi-24h'!$C$107:$N$107</c:f>
              <c:numCache>
                <c:formatCode>0.0%</c:formatCode>
                <c:ptCount val="12"/>
                <c:pt idx="0">
                  <c:v>0.25843985578498851</c:v>
                </c:pt>
                <c:pt idx="1">
                  <c:v>4.1052114060963617E-2</c:v>
                </c:pt>
                <c:pt idx="2">
                  <c:v>3.3103900360537529E-2</c:v>
                </c:pt>
                <c:pt idx="3">
                  <c:v>9.5870206489675522E-2</c:v>
                </c:pt>
                <c:pt idx="4">
                  <c:v>3.8511963290724354E-3</c:v>
                </c:pt>
                <c:pt idx="5">
                  <c:v>1.8846279908226811E-3</c:v>
                </c:pt>
                <c:pt idx="6">
                  <c:v>1.7535234349393643E-2</c:v>
                </c:pt>
                <c:pt idx="7">
                  <c:v>1.1635529334644379E-2</c:v>
                </c:pt>
                <c:pt idx="8">
                  <c:v>4.6705998033431664E-3</c:v>
                </c:pt>
                <c:pt idx="9">
                  <c:v>3.7692559816453622E-3</c:v>
                </c:pt>
                <c:pt idx="10">
                  <c:v>0.52818747951491318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Kabusu-Kitebi-24h'!$C$9:$N$9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Kabusu-Kitebi-24h'!$C$108:$N$108</c:f>
              <c:numCache>
                <c:formatCode>0.00%</c:formatCode>
                <c:ptCount val="12"/>
                <c:pt idx="0">
                  <c:v>0.54775963876345957</c:v>
                </c:pt>
                <c:pt idx="1">
                  <c:v>8.7009378256339004E-2</c:v>
                </c:pt>
                <c:pt idx="2">
                  <c:v>7.0163251128864193E-2</c:v>
                </c:pt>
                <c:pt idx="3">
                  <c:v>0.20319555401180966</c:v>
                </c:pt>
                <c:pt idx="4">
                  <c:v>8.1625564432094479E-3</c:v>
                </c:pt>
                <c:pt idx="5">
                  <c:v>3.9944425147620697E-3</c:v>
                </c:pt>
                <c:pt idx="6">
                  <c:v>3.7165682528655784E-2</c:v>
                </c:pt>
                <c:pt idx="7">
                  <c:v>2.4661340743313651E-2</c:v>
                </c:pt>
                <c:pt idx="8">
                  <c:v>9.8992705800625223E-3</c:v>
                </c:pt>
                <c:pt idx="9">
                  <c:v>7.9888850295241395E-3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Kitebi-Kabusu'!$AE$9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'28.07 Kitebi-Kabusu'!$R$10:$R$21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Kitebi-Kabusu'!$AE$10:$AE$21</c:f>
              <c:numCache>
                <c:formatCode>0</c:formatCode>
                <c:ptCount val="12"/>
                <c:pt idx="0">
                  <c:v>266</c:v>
                </c:pt>
                <c:pt idx="1">
                  <c:v>370</c:v>
                </c:pt>
                <c:pt idx="2">
                  <c:v>481</c:v>
                </c:pt>
                <c:pt idx="3">
                  <c:v>506</c:v>
                </c:pt>
                <c:pt idx="4">
                  <c:v>565</c:v>
                </c:pt>
                <c:pt idx="5">
                  <c:v>431</c:v>
                </c:pt>
                <c:pt idx="6">
                  <c:v>372</c:v>
                </c:pt>
                <c:pt idx="7">
                  <c:v>358</c:v>
                </c:pt>
                <c:pt idx="8">
                  <c:v>367</c:v>
                </c:pt>
                <c:pt idx="9">
                  <c:v>270</c:v>
                </c:pt>
                <c:pt idx="10">
                  <c:v>311</c:v>
                </c:pt>
                <c:pt idx="11">
                  <c:v>330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'28.07 Kitebi-Kabusu'!$AF$9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'28.07 Kitebi-Kabusu'!$R$10:$R$21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Kitebi-Kabusu'!$AF$10:$AF$21</c:f>
              <c:numCache>
                <c:formatCode>0</c:formatCode>
                <c:ptCount val="12"/>
                <c:pt idx="0">
                  <c:v>852</c:v>
                </c:pt>
                <c:pt idx="1">
                  <c:v>1195</c:v>
                </c:pt>
                <c:pt idx="2">
                  <c:v>1346</c:v>
                </c:pt>
                <c:pt idx="3">
                  <c:v>1241</c:v>
                </c:pt>
                <c:pt idx="4">
                  <c:v>1140</c:v>
                </c:pt>
                <c:pt idx="5">
                  <c:v>883</c:v>
                </c:pt>
                <c:pt idx="6">
                  <c:v>873</c:v>
                </c:pt>
                <c:pt idx="7">
                  <c:v>980</c:v>
                </c:pt>
                <c:pt idx="8">
                  <c:v>1029</c:v>
                </c:pt>
                <c:pt idx="9">
                  <c:v>685</c:v>
                </c:pt>
                <c:pt idx="10">
                  <c:v>782</c:v>
                </c:pt>
                <c:pt idx="11">
                  <c:v>793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4804256"/>
        <c:axId val="404809152"/>
      </c:lineChart>
      <c:catAx>
        <c:axId val="4048042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04809152"/>
        <c:crosses val="autoZero"/>
        <c:auto val="1"/>
        <c:lblAlgn val="ctr"/>
        <c:lblOffset val="100"/>
        <c:noMultiLvlLbl val="0"/>
      </c:catAx>
      <c:valAx>
        <c:axId val="4048091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04804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Kitebi-Kabusu'!$C$9:$N$9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Kitebi-Kabusu'!$C$59:$N$59</c:f>
              <c:numCache>
                <c:formatCode>0.0%</c:formatCode>
                <c:ptCount val="12"/>
                <c:pt idx="0">
                  <c:v>0.225612340028816</c:v>
                </c:pt>
                <c:pt idx="1">
                  <c:v>3.1951860327146371E-2</c:v>
                </c:pt>
                <c:pt idx="2">
                  <c:v>2.4747859988134589E-2</c:v>
                </c:pt>
                <c:pt idx="3">
                  <c:v>9.1278921942537505E-2</c:v>
                </c:pt>
                <c:pt idx="4">
                  <c:v>1.4408000678023561E-3</c:v>
                </c:pt>
                <c:pt idx="5">
                  <c:v>5.0851767098906682E-4</c:v>
                </c:pt>
                <c:pt idx="6">
                  <c:v>1.3729977116704805E-2</c:v>
                </c:pt>
                <c:pt idx="7">
                  <c:v>1.1865412323078227E-3</c:v>
                </c:pt>
                <c:pt idx="8">
                  <c:v>6.7802356131875584E-4</c:v>
                </c:pt>
                <c:pt idx="9">
                  <c:v>1.0170353419781336E-3</c:v>
                </c:pt>
                <c:pt idx="10">
                  <c:v>0.60784812272226463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93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Kitebi-Kabusu'!$S$9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'28.07 Kitebi-Kabusu'!$R$10:$R$21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Kitebi-Kabusu'!$S$10:$S$21</c:f>
              <c:numCache>
                <c:formatCode>0</c:formatCode>
                <c:ptCount val="12"/>
                <c:pt idx="0">
                  <c:v>127</c:v>
                </c:pt>
                <c:pt idx="1">
                  <c:v>198</c:v>
                </c:pt>
                <c:pt idx="2">
                  <c:v>262</c:v>
                </c:pt>
                <c:pt idx="3">
                  <c:v>331</c:v>
                </c:pt>
                <c:pt idx="4">
                  <c:v>335</c:v>
                </c:pt>
                <c:pt idx="5">
                  <c:v>246</c:v>
                </c:pt>
                <c:pt idx="6">
                  <c:v>239</c:v>
                </c:pt>
                <c:pt idx="7">
                  <c:v>207</c:v>
                </c:pt>
                <c:pt idx="8">
                  <c:v>203</c:v>
                </c:pt>
                <c:pt idx="9">
                  <c:v>153</c:v>
                </c:pt>
                <c:pt idx="10">
                  <c:v>173</c:v>
                </c:pt>
                <c:pt idx="11">
                  <c:v>188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'28.07 Kitebi-Kabusu'!$T$9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'28.07 Kitebi-Kabusu'!$R$10:$R$21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Kitebi-Kabusu'!$T$10:$T$21</c:f>
              <c:numCache>
                <c:formatCode>0</c:formatCode>
                <c:ptCount val="12"/>
                <c:pt idx="0">
                  <c:v>12</c:v>
                </c:pt>
                <c:pt idx="1">
                  <c:v>23</c:v>
                </c:pt>
                <c:pt idx="2">
                  <c:v>49</c:v>
                </c:pt>
                <c:pt idx="3">
                  <c:v>33</c:v>
                </c:pt>
                <c:pt idx="4">
                  <c:v>43</c:v>
                </c:pt>
                <c:pt idx="5">
                  <c:v>31</c:v>
                </c:pt>
                <c:pt idx="6">
                  <c:v>28</c:v>
                </c:pt>
                <c:pt idx="7">
                  <c:v>42</c:v>
                </c:pt>
                <c:pt idx="8">
                  <c:v>39</c:v>
                </c:pt>
                <c:pt idx="9">
                  <c:v>16</c:v>
                </c:pt>
                <c:pt idx="10">
                  <c:v>29</c:v>
                </c:pt>
                <c:pt idx="11">
                  <c:v>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'28.07 Kitebi-Kabusu'!$U$9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'28.07 Kitebi-Kabusu'!$U$10:$U$21</c:f>
              <c:numCache>
                <c:formatCode>0</c:formatCode>
                <c:ptCount val="12"/>
                <c:pt idx="0">
                  <c:v>24</c:v>
                </c:pt>
                <c:pt idx="1">
                  <c:v>23</c:v>
                </c:pt>
                <c:pt idx="2">
                  <c:v>45</c:v>
                </c:pt>
                <c:pt idx="3">
                  <c:v>21</c:v>
                </c:pt>
                <c:pt idx="4">
                  <c:v>26</c:v>
                </c:pt>
                <c:pt idx="5">
                  <c:v>34</c:v>
                </c:pt>
                <c:pt idx="6">
                  <c:v>18</c:v>
                </c:pt>
                <c:pt idx="7">
                  <c:v>24</c:v>
                </c:pt>
                <c:pt idx="8">
                  <c:v>21</c:v>
                </c:pt>
                <c:pt idx="9">
                  <c:v>23</c:v>
                </c:pt>
                <c:pt idx="10">
                  <c:v>21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'28.07 Kitebi-Kabusu'!$V$9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'28.07 Kitebi-Kabusu'!$V$10:$V$21</c:f>
              <c:numCache>
                <c:formatCode>0</c:formatCode>
                <c:ptCount val="12"/>
                <c:pt idx="0">
                  <c:v>89</c:v>
                </c:pt>
                <c:pt idx="1">
                  <c:v>107</c:v>
                </c:pt>
                <c:pt idx="2">
                  <c:v>100</c:v>
                </c:pt>
                <c:pt idx="3">
                  <c:v>94</c:v>
                </c:pt>
                <c:pt idx="4">
                  <c:v>141</c:v>
                </c:pt>
                <c:pt idx="5">
                  <c:v>109</c:v>
                </c:pt>
                <c:pt idx="6">
                  <c:v>72</c:v>
                </c:pt>
                <c:pt idx="7">
                  <c:v>67</c:v>
                </c:pt>
                <c:pt idx="8">
                  <c:v>86</c:v>
                </c:pt>
                <c:pt idx="9">
                  <c:v>61</c:v>
                </c:pt>
                <c:pt idx="10">
                  <c:v>65</c:v>
                </c:pt>
                <c:pt idx="11">
                  <c:v>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'28.07 Kitebi-Kabusu'!$W$9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'28.07 Kitebi-Kabusu'!$W$10:$W$21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5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'28.07 Kitebi-Kabusu'!$X$9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'28.07 Kitebi-Kabusu'!$X$10:$X$21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'28.07 Kitebi-Kabusu'!$Y$9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Kitebi-Kabusu'!$Y$10:$Y$21</c:f>
              <c:numCache>
                <c:formatCode>0</c:formatCode>
                <c:ptCount val="12"/>
                <c:pt idx="0">
                  <c:v>10</c:v>
                </c:pt>
                <c:pt idx="1">
                  <c:v>13</c:v>
                </c:pt>
                <c:pt idx="2">
                  <c:v>20</c:v>
                </c:pt>
                <c:pt idx="3">
                  <c:v>24</c:v>
                </c:pt>
                <c:pt idx="4">
                  <c:v>15</c:v>
                </c:pt>
                <c:pt idx="5">
                  <c:v>10</c:v>
                </c:pt>
                <c:pt idx="6">
                  <c:v>14</c:v>
                </c:pt>
                <c:pt idx="7">
                  <c:v>9</c:v>
                </c:pt>
                <c:pt idx="8">
                  <c:v>10</c:v>
                </c:pt>
                <c:pt idx="9">
                  <c:v>9</c:v>
                </c:pt>
                <c:pt idx="10">
                  <c:v>19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'28.07 Kitebi-Kabusu'!$Z$9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Kitebi-Kabusu'!$Z$10:$Z$21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'28.07 Kitebi-Kabusu'!$AA$9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Kitebi-Kabusu'!$AA$10:$AA$21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'28.07 Kitebi-Kabusu'!$AB$9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Kitebi-Kabusu'!$AB$10:$AB$21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4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'28.07 Kitebi-Kabusu'!$AC$9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Kitebi-Kabusu'!$AC$10:$AC$21</c:f>
              <c:numCache>
                <c:formatCode>0</c:formatCode>
                <c:ptCount val="12"/>
                <c:pt idx="0">
                  <c:v>586</c:v>
                </c:pt>
                <c:pt idx="1">
                  <c:v>825</c:v>
                </c:pt>
                <c:pt idx="2">
                  <c:v>865</c:v>
                </c:pt>
                <c:pt idx="3">
                  <c:v>735</c:v>
                </c:pt>
                <c:pt idx="4">
                  <c:v>575</c:v>
                </c:pt>
                <c:pt idx="5">
                  <c:v>452</c:v>
                </c:pt>
                <c:pt idx="6">
                  <c:v>501</c:v>
                </c:pt>
                <c:pt idx="7">
                  <c:v>622</c:v>
                </c:pt>
                <c:pt idx="8">
                  <c:v>662</c:v>
                </c:pt>
                <c:pt idx="9">
                  <c:v>415</c:v>
                </c:pt>
                <c:pt idx="10">
                  <c:v>471</c:v>
                </c:pt>
                <c:pt idx="11">
                  <c:v>463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'28.07 Kitebi-Kabusu'!$AD$9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Kitebi-Kabusu'!$AD$10:$AD$21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4806976"/>
        <c:axId val="404815136"/>
      </c:lineChart>
      <c:catAx>
        <c:axId val="404806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04815136"/>
        <c:crosses val="autoZero"/>
        <c:auto val="1"/>
        <c:lblAlgn val="ctr"/>
        <c:lblOffset val="100"/>
        <c:noMultiLvlLbl val="0"/>
      </c:catAx>
      <c:valAx>
        <c:axId val="404815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0480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Kitebi-Kabusu'!$C$9:$N$9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Kitebi-Kabusu'!$C$60:$N$60</c:f>
              <c:numCache>
                <c:formatCode>0.00%</c:formatCode>
                <c:ptCount val="12"/>
                <c:pt idx="0">
                  <c:v>0.57531878106764645</c:v>
                </c:pt>
                <c:pt idx="1">
                  <c:v>8.1478279662848499E-2</c:v>
                </c:pt>
                <c:pt idx="2">
                  <c:v>6.3107845256105466E-2</c:v>
                </c:pt>
                <c:pt idx="3">
                  <c:v>0.2327642100713205</c:v>
                </c:pt>
                <c:pt idx="4">
                  <c:v>3.6740868813486061E-3</c:v>
                </c:pt>
                <c:pt idx="5">
                  <c:v>1.2967365463583316E-3</c:v>
                </c:pt>
                <c:pt idx="6">
                  <c:v>3.501188675167495E-2</c:v>
                </c:pt>
                <c:pt idx="7">
                  <c:v>3.0257186081694403E-3</c:v>
                </c:pt>
                <c:pt idx="8">
                  <c:v>1.7289820618111088E-3</c:v>
                </c:pt>
                <c:pt idx="9">
                  <c:v>2.5934730927166631E-3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Kabusu-Kitebi'!$AE$9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'28.07 Kabusu-Kitebi'!$R$10:$R$21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Kabusu-Kitebi'!$AE$10:$AE$21</c:f>
              <c:numCache>
                <c:formatCode>0</c:formatCode>
                <c:ptCount val="12"/>
                <c:pt idx="0">
                  <c:v>132</c:v>
                </c:pt>
                <c:pt idx="1">
                  <c:v>182</c:v>
                </c:pt>
                <c:pt idx="2">
                  <c:v>185</c:v>
                </c:pt>
                <c:pt idx="3">
                  <c:v>240</c:v>
                </c:pt>
                <c:pt idx="4">
                  <c:v>215</c:v>
                </c:pt>
                <c:pt idx="5">
                  <c:v>266</c:v>
                </c:pt>
                <c:pt idx="6">
                  <c:v>297</c:v>
                </c:pt>
                <c:pt idx="7">
                  <c:v>348</c:v>
                </c:pt>
                <c:pt idx="8">
                  <c:v>392</c:v>
                </c:pt>
                <c:pt idx="9">
                  <c:v>361</c:v>
                </c:pt>
                <c:pt idx="10">
                  <c:v>348</c:v>
                </c:pt>
                <c:pt idx="11">
                  <c:v>334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'28.07 Kabusu-Kitebi'!$AF$9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'28.07 Kabusu-Kitebi'!$R$10:$R$21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Kabusu-Kitebi'!$AF$10:$AF$21</c:f>
              <c:numCache>
                <c:formatCode>0</c:formatCode>
                <c:ptCount val="12"/>
                <c:pt idx="0">
                  <c:v>419</c:v>
                </c:pt>
                <c:pt idx="1">
                  <c:v>592</c:v>
                </c:pt>
                <c:pt idx="2">
                  <c:v>523</c:v>
                </c:pt>
                <c:pt idx="3">
                  <c:v>595</c:v>
                </c:pt>
                <c:pt idx="4">
                  <c:v>603</c:v>
                </c:pt>
                <c:pt idx="5">
                  <c:v>609</c:v>
                </c:pt>
                <c:pt idx="6">
                  <c:v>586</c:v>
                </c:pt>
                <c:pt idx="7">
                  <c:v>723</c:v>
                </c:pt>
                <c:pt idx="8">
                  <c:v>747</c:v>
                </c:pt>
                <c:pt idx="9">
                  <c:v>627</c:v>
                </c:pt>
                <c:pt idx="10">
                  <c:v>842</c:v>
                </c:pt>
                <c:pt idx="11">
                  <c:v>772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4809696"/>
        <c:axId val="404815680"/>
      </c:lineChart>
      <c:catAx>
        <c:axId val="4048096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04815680"/>
        <c:crosses val="autoZero"/>
        <c:auto val="1"/>
        <c:lblAlgn val="ctr"/>
        <c:lblOffset val="100"/>
        <c:noMultiLvlLbl val="0"/>
      </c:catAx>
      <c:valAx>
        <c:axId val="4048156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04809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Kabusu-Kitebi'!$C$9:$N$9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Kabusu-Kitebi'!$C$59:$N$59</c:f>
              <c:numCache>
                <c:formatCode>0.0%</c:formatCode>
                <c:ptCount val="12"/>
                <c:pt idx="0">
                  <c:v>0.21903639696255564</c:v>
                </c:pt>
                <c:pt idx="1">
                  <c:v>4.1503011259492011E-2</c:v>
                </c:pt>
                <c:pt idx="2">
                  <c:v>2.4482848913328095E-2</c:v>
                </c:pt>
                <c:pt idx="3">
                  <c:v>0.10814349306101073</c:v>
                </c:pt>
                <c:pt idx="4">
                  <c:v>6.2843676355066776E-3</c:v>
                </c:pt>
                <c:pt idx="5">
                  <c:v>2.4875621890547263E-3</c:v>
                </c:pt>
                <c:pt idx="6">
                  <c:v>1.3747054202670856E-2</c:v>
                </c:pt>
                <c:pt idx="7">
                  <c:v>1.0212097407698351E-2</c:v>
                </c:pt>
                <c:pt idx="8">
                  <c:v>3.6658811207122281E-3</c:v>
                </c:pt>
                <c:pt idx="9">
                  <c:v>2.4875621890547263E-3</c:v>
                </c:pt>
                <c:pt idx="10">
                  <c:v>0.56794972505891594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9093"/>
          <c:y val="2.2960226637323802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Kabusu-Kitebi'!$S$9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'28.07 Kabusu-Kitebi'!$R$10:$R$21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Kabusu-Kitebi'!$S$10:$S$21</c:f>
              <c:numCache>
                <c:formatCode>0</c:formatCode>
                <c:ptCount val="12"/>
                <c:pt idx="0">
                  <c:v>50</c:v>
                </c:pt>
                <c:pt idx="1">
                  <c:v>68</c:v>
                </c:pt>
                <c:pt idx="2">
                  <c:v>60</c:v>
                </c:pt>
                <c:pt idx="3">
                  <c:v>89</c:v>
                </c:pt>
                <c:pt idx="4">
                  <c:v>76</c:v>
                </c:pt>
                <c:pt idx="5">
                  <c:v>134</c:v>
                </c:pt>
                <c:pt idx="6">
                  <c:v>144</c:v>
                </c:pt>
                <c:pt idx="7">
                  <c:v>186</c:v>
                </c:pt>
                <c:pt idx="8">
                  <c:v>224</c:v>
                </c:pt>
                <c:pt idx="9">
                  <c:v>200</c:v>
                </c:pt>
                <c:pt idx="10">
                  <c:v>218</c:v>
                </c:pt>
                <c:pt idx="11">
                  <c:v>224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'28.07 Kabusu-Kitebi'!$T$9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'28.07 Kabusu-Kitebi'!$R$10:$R$21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Kabusu-Kitebi'!$T$10:$T$21</c:f>
              <c:numCache>
                <c:formatCode>0</c:formatCode>
                <c:ptCount val="12"/>
                <c:pt idx="0">
                  <c:v>9</c:v>
                </c:pt>
                <c:pt idx="1">
                  <c:v>14</c:v>
                </c:pt>
                <c:pt idx="2">
                  <c:v>14</c:v>
                </c:pt>
                <c:pt idx="3">
                  <c:v>29</c:v>
                </c:pt>
                <c:pt idx="4">
                  <c:v>22</c:v>
                </c:pt>
                <c:pt idx="5">
                  <c:v>23</c:v>
                </c:pt>
                <c:pt idx="6">
                  <c:v>28</c:v>
                </c:pt>
                <c:pt idx="7">
                  <c:v>56</c:v>
                </c:pt>
                <c:pt idx="8">
                  <c:v>39</c:v>
                </c:pt>
                <c:pt idx="9">
                  <c:v>25</c:v>
                </c:pt>
                <c:pt idx="10">
                  <c:v>27</c:v>
                </c:pt>
                <c:pt idx="11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'28.07 Kabusu-Kitebi'!$U$9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'28.07 Kabusu-Kitebi'!$U$10:$U$21</c:f>
              <c:numCache>
                <c:formatCode>0</c:formatCode>
                <c:ptCount val="12"/>
                <c:pt idx="0">
                  <c:v>10</c:v>
                </c:pt>
                <c:pt idx="1">
                  <c:v>9</c:v>
                </c:pt>
                <c:pt idx="2">
                  <c:v>16</c:v>
                </c:pt>
                <c:pt idx="3">
                  <c:v>11</c:v>
                </c:pt>
                <c:pt idx="4">
                  <c:v>18</c:v>
                </c:pt>
                <c:pt idx="5">
                  <c:v>16</c:v>
                </c:pt>
                <c:pt idx="6">
                  <c:v>23</c:v>
                </c:pt>
                <c:pt idx="7">
                  <c:v>19</c:v>
                </c:pt>
                <c:pt idx="8">
                  <c:v>13</c:v>
                </c:pt>
                <c:pt idx="9">
                  <c:v>18</c:v>
                </c:pt>
                <c:pt idx="10">
                  <c:v>23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'28.07 Kabusu-Kitebi'!$V$9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'28.07 Kabusu-Kitebi'!$V$10:$V$21</c:f>
              <c:numCache>
                <c:formatCode>0</c:formatCode>
                <c:ptCount val="12"/>
                <c:pt idx="0">
                  <c:v>50</c:v>
                </c:pt>
                <c:pt idx="1">
                  <c:v>63</c:v>
                </c:pt>
                <c:pt idx="2">
                  <c:v>77</c:v>
                </c:pt>
                <c:pt idx="3">
                  <c:v>78</c:v>
                </c:pt>
                <c:pt idx="4">
                  <c:v>56</c:v>
                </c:pt>
                <c:pt idx="5">
                  <c:v>73</c:v>
                </c:pt>
                <c:pt idx="6">
                  <c:v>78</c:v>
                </c:pt>
                <c:pt idx="7">
                  <c:v>65</c:v>
                </c:pt>
                <c:pt idx="8">
                  <c:v>85</c:v>
                </c:pt>
                <c:pt idx="9">
                  <c:v>87</c:v>
                </c:pt>
                <c:pt idx="10">
                  <c:v>60</c:v>
                </c:pt>
                <c:pt idx="11">
                  <c:v>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'28.07 Kabusu-Kitebi'!$W$9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'28.07 Kabusu-Kitebi'!$W$10:$W$21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16</c:v>
                </c:pt>
                <c:pt idx="5">
                  <c:v>2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  <c:pt idx="9">
                  <c:v>3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'28.07 Kabusu-Kitebi'!$X$9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'28.07 Kabusu-Kitebi'!$X$10:$X$21</c:f>
              <c:numCache>
                <c:formatCode>0</c:formatCode>
                <c:ptCount val="12"/>
                <c:pt idx="0">
                  <c:v>1</c:v>
                </c:pt>
                <c:pt idx="1">
                  <c:v>6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3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'28.07 Kabusu-Kitebi'!$Y$9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Kabusu-Kitebi'!$Y$10:$Y$21</c:f>
              <c:numCache>
                <c:formatCode>0</c:formatCode>
                <c:ptCount val="12"/>
                <c:pt idx="0">
                  <c:v>5</c:v>
                </c:pt>
                <c:pt idx="1">
                  <c:v>10</c:v>
                </c:pt>
                <c:pt idx="2">
                  <c:v>4</c:v>
                </c:pt>
                <c:pt idx="3">
                  <c:v>13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11</c:v>
                </c:pt>
                <c:pt idx="8">
                  <c:v>7</c:v>
                </c:pt>
                <c:pt idx="9">
                  <c:v>14</c:v>
                </c:pt>
                <c:pt idx="10">
                  <c:v>9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'28.07 Kabusu-Kitebi'!$Z$9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Kabusu-Kitebi'!$Z$10:$Z$21</c:f>
              <c:numCache>
                <c:formatCode>0</c:formatCode>
                <c:ptCount val="12"/>
                <c:pt idx="0">
                  <c:v>4</c:v>
                </c:pt>
                <c:pt idx="1">
                  <c:v>7</c:v>
                </c:pt>
                <c:pt idx="2">
                  <c:v>11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7</c:v>
                </c:pt>
                <c:pt idx="7">
                  <c:v>5</c:v>
                </c:pt>
                <c:pt idx="8">
                  <c:v>7</c:v>
                </c:pt>
                <c:pt idx="9">
                  <c:v>4</c:v>
                </c:pt>
                <c:pt idx="10">
                  <c:v>5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'28.07 Kabusu-Kitebi'!$AA$9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Kabusu-Kitebi'!$AA$10:$AA$21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3</c:v>
                </c:pt>
                <c:pt idx="4">
                  <c:v>5</c:v>
                </c:pt>
                <c:pt idx="5">
                  <c:v>0</c:v>
                </c:pt>
                <c:pt idx="6">
                  <c:v>4</c:v>
                </c:pt>
                <c:pt idx="7">
                  <c:v>1</c:v>
                </c:pt>
                <c:pt idx="8">
                  <c:v>3</c:v>
                </c:pt>
                <c:pt idx="9">
                  <c:v>5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'28.07 Kabusu-Kitebi'!$AB$9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Kabusu-Kitebi'!$AB$10:$AB$21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'28.07 Kabusu-Kitebi'!$AC$9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Kabusu-Kitebi'!$AC$10:$AC$21</c:f>
              <c:numCache>
                <c:formatCode>0</c:formatCode>
                <c:ptCount val="12"/>
                <c:pt idx="0">
                  <c:v>287</c:v>
                </c:pt>
                <c:pt idx="1">
                  <c:v>410</c:v>
                </c:pt>
                <c:pt idx="2">
                  <c:v>338</c:v>
                </c:pt>
                <c:pt idx="3">
                  <c:v>355</c:v>
                </c:pt>
                <c:pt idx="4">
                  <c:v>388</c:v>
                </c:pt>
                <c:pt idx="5">
                  <c:v>343</c:v>
                </c:pt>
                <c:pt idx="6">
                  <c:v>289</c:v>
                </c:pt>
                <c:pt idx="7">
                  <c:v>375</c:v>
                </c:pt>
                <c:pt idx="8">
                  <c:v>355</c:v>
                </c:pt>
                <c:pt idx="9">
                  <c:v>266</c:v>
                </c:pt>
                <c:pt idx="10">
                  <c:v>494</c:v>
                </c:pt>
                <c:pt idx="11">
                  <c:v>438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'28.07 Kabusu-Kitebi'!$AD$9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Kabusu-Kitebi'!$AD$10:$AD$21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4807520"/>
        <c:axId val="404812960"/>
      </c:lineChart>
      <c:catAx>
        <c:axId val="404807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04812960"/>
        <c:crosses val="autoZero"/>
        <c:auto val="1"/>
        <c:lblAlgn val="ctr"/>
        <c:lblOffset val="100"/>
        <c:noMultiLvlLbl val="0"/>
      </c:catAx>
      <c:valAx>
        <c:axId val="40481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04807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Kabusu-Kitebi'!$C$9:$N$9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Kabusu-Kitebi'!$C$60:$N$60</c:f>
              <c:numCache>
                <c:formatCode>0.00%</c:formatCode>
                <c:ptCount val="12"/>
                <c:pt idx="0">
                  <c:v>0.50696969696969696</c:v>
                </c:pt>
                <c:pt idx="1">
                  <c:v>9.6060606060606055E-2</c:v>
                </c:pt>
                <c:pt idx="2">
                  <c:v>5.6666666666666664E-2</c:v>
                </c:pt>
                <c:pt idx="3">
                  <c:v>0.2503030303030303</c:v>
                </c:pt>
                <c:pt idx="4">
                  <c:v>1.4545454545454545E-2</c:v>
                </c:pt>
                <c:pt idx="5">
                  <c:v>5.7575757575757574E-3</c:v>
                </c:pt>
                <c:pt idx="6">
                  <c:v>3.1818181818181815E-2</c:v>
                </c:pt>
                <c:pt idx="7">
                  <c:v>2.3636363636363636E-2</c:v>
                </c:pt>
                <c:pt idx="8">
                  <c:v>8.4848484848484857E-3</c:v>
                </c:pt>
                <c:pt idx="9">
                  <c:v>5.7575757575757574E-3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10700188233972"/>
          <c:y val="2.027785778633018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Kitebi-Kabusu'!$AE$9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Kitebi-Kabusu'!$R$10:$R$33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Kitebi-Kabusu'!$AE$10:$AE$33</c:f>
              <c:numCache>
                <c:formatCode>0</c:formatCode>
                <c:ptCount val="24"/>
                <c:pt idx="0">
                  <c:v>592.71428571428567</c:v>
                </c:pt>
                <c:pt idx="1">
                  <c:v>553.28571428571422</c:v>
                </c:pt>
                <c:pt idx="2">
                  <c:v>518.47619047619037</c:v>
                </c:pt>
                <c:pt idx="3">
                  <c:v>486.85714285714289</c:v>
                </c:pt>
                <c:pt idx="4">
                  <c:v>437.14285714285717</c:v>
                </c:pt>
                <c:pt idx="5">
                  <c:v>373.85714285714283</c:v>
                </c:pt>
                <c:pt idx="6">
                  <c:v>344.71428571428572</c:v>
                </c:pt>
                <c:pt idx="7">
                  <c:v>336.28571428571428</c:v>
                </c:pt>
                <c:pt idx="8">
                  <c:v>328.42857142857144</c:v>
                </c:pt>
                <c:pt idx="9">
                  <c:v>336.85714285714295</c:v>
                </c:pt>
                <c:pt idx="10">
                  <c:v>385.14285714285722</c:v>
                </c:pt>
                <c:pt idx="11">
                  <c:v>416.71428571428561</c:v>
                </c:pt>
                <c:pt idx="12">
                  <c:v>313.5</c:v>
                </c:pt>
                <c:pt idx="13">
                  <c:v>325</c:v>
                </c:pt>
                <c:pt idx="14">
                  <c:v>234.5</c:v>
                </c:pt>
                <c:pt idx="15">
                  <c:v>207.5</c:v>
                </c:pt>
                <c:pt idx="16">
                  <c:v>127</c:v>
                </c:pt>
                <c:pt idx="17">
                  <c:v>92</c:v>
                </c:pt>
                <c:pt idx="18">
                  <c:v>45.5</c:v>
                </c:pt>
                <c:pt idx="19">
                  <c:v>42</c:v>
                </c:pt>
                <c:pt idx="20">
                  <c:v>97</c:v>
                </c:pt>
                <c:pt idx="21">
                  <c:v>51</c:v>
                </c:pt>
                <c:pt idx="22">
                  <c:v>235.5</c:v>
                </c:pt>
                <c:pt idx="23">
                  <c:v>336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Kitebi-Kabusu'!$AF$9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Kitebi-Kabusu'!$R$10:$R$33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Kitebi-Kabusu'!$AF$10:$AF$33</c:f>
              <c:numCache>
                <c:formatCode>0</c:formatCode>
                <c:ptCount val="24"/>
                <c:pt idx="0">
                  <c:v>1305.4285714285716</c:v>
                </c:pt>
                <c:pt idx="1">
                  <c:v>1443.5714285714284</c:v>
                </c:pt>
                <c:pt idx="2">
                  <c:v>1399.761904761905</c:v>
                </c:pt>
                <c:pt idx="3">
                  <c:v>1271</c:v>
                </c:pt>
                <c:pt idx="4">
                  <c:v>1161</c:v>
                </c:pt>
                <c:pt idx="5">
                  <c:v>1038.4285714285716</c:v>
                </c:pt>
                <c:pt idx="6">
                  <c:v>962</c:v>
                </c:pt>
                <c:pt idx="7">
                  <c:v>971.28571428571422</c:v>
                </c:pt>
                <c:pt idx="8">
                  <c:v>890.71428571428578</c:v>
                </c:pt>
                <c:pt idx="9">
                  <c:v>967.14285714285711</c:v>
                </c:pt>
                <c:pt idx="10">
                  <c:v>1078.4285714285716</c:v>
                </c:pt>
                <c:pt idx="11">
                  <c:v>1159.1428571428571</c:v>
                </c:pt>
                <c:pt idx="12">
                  <c:v>1055.5</c:v>
                </c:pt>
                <c:pt idx="13">
                  <c:v>1056</c:v>
                </c:pt>
                <c:pt idx="14">
                  <c:v>831.5</c:v>
                </c:pt>
                <c:pt idx="15">
                  <c:v>679</c:v>
                </c:pt>
                <c:pt idx="16">
                  <c:v>516</c:v>
                </c:pt>
                <c:pt idx="17">
                  <c:v>393.5</c:v>
                </c:pt>
                <c:pt idx="18">
                  <c:v>255</c:v>
                </c:pt>
                <c:pt idx="19">
                  <c:v>211.5</c:v>
                </c:pt>
                <c:pt idx="20">
                  <c:v>252</c:v>
                </c:pt>
                <c:pt idx="21">
                  <c:v>221</c:v>
                </c:pt>
                <c:pt idx="22">
                  <c:v>496</c:v>
                </c:pt>
                <c:pt idx="23">
                  <c:v>764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1492960"/>
        <c:axId val="421488608"/>
      </c:lineChart>
      <c:catAx>
        <c:axId val="42149296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21488608"/>
        <c:crosses val="autoZero"/>
        <c:auto val="1"/>
        <c:lblAlgn val="ctr"/>
        <c:lblOffset val="100"/>
        <c:noMultiLvlLbl val="0"/>
      </c:catAx>
      <c:valAx>
        <c:axId val="4214886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2149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2.1720924228733765E-3"/>
          <c:y val="9.6167823696594143E-2"/>
          <c:w val="0.81729515941654829"/>
          <c:h val="0.75087452825793222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Kitebi-Kabusu'!$C$9:$N$9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Kitebi-Kabusu'!$C$107:$N$107</c:f>
              <c:numCache>
                <c:formatCode>0.0%</c:formatCode>
                <c:ptCount val="12"/>
                <c:pt idx="0">
                  <c:v>0.19366314840042342</c:v>
                </c:pt>
                <c:pt idx="1">
                  <c:v>2.6168516930439267E-2</c:v>
                </c:pt>
                <c:pt idx="2">
                  <c:v>2.3017499421670872E-2</c:v>
                </c:pt>
                <c:pt idx="3">
                  <c:v>8.5760952619071532E-2</c:v>
                </c:pt>
                <c:pt idx="4">
                  <c:v>2.1380652729129333E-3</c:v>
                </c:pt>
                <c:pt idx="5">
                  <c:v>5.1757536388001612E-4</c:v>
                </c:pt>
                <c:pt idx="6">
                  <c:v>1.6911745806237541E-2</c:v>
                </c:pt>
                <c:pt idx="7">
                  <c:v>2.8671104807258671E-3</c:v>
                </c:pt>
                <c:pt idx="8">
                  <c:v>1.6053014672034803E-3</c:v>
                </c:pt>
                <c:pt idx="9">
                  <c:v>1.4896356409639282E-3</c:v>
                </c:pt>
                <c:pt idx="10">
                  <c:v>0.64586044859647118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7575296461436293"/>
          <c:y val="0.24732878390201224"/>
          <c:w val="0.82198804667488856"/>
          <c:h val="0.75069069699620883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Kitebi-Kabusu'!$C$9:$N$9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Kitebi-Kabusu'!$C$108:$N$108</c:f>
              <c:numCache>
                <c:formatCode>0.00%</c:formatCode>
                <c:ptCount val="12"/>
                <c:pt idx="0">
                  <c:v>0.54685546314410804</c:v>
                </c:pt>
                <c:pt idx="1">
                  <c:v>7.3893234536295038E-2</c:v>
                </c:pt>
                <c:pt idx="2">
                  <c:v>6.4995562710936192E-2</c:v>
                </c:pt>
                <c:pt idx="3">
                  <c:v>0.24216711259497281</c:v>
                </c:pt>
                <c:pt idx="4">
                  <c:v>6.03735240652826E-3</c:v>
                </c:pt>
                <c:pt idx="5">
                  <c:v>1.4615011563344367E-3</c:v>
                </c:pt>
                <c:pt idx="6">
                  <c:v>4.7754467805735813E-2</c:v>
                </c:pt>
                <c:pt idx="7">
                  <c:v>8.0959906041641223E-3</c:v>
                </c:pt>
                <c:pt idx="8">
                  <c:v>4.5329629544097402E-3</c:v>
                </c:pt>
                <c:pt idx="9">
                  <c:v>4.206352086515589E-3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98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Kabusu-Kitebi'!$AE$9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Kabusu-Kitebi'!$R$10:$R$33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Kabusu-Kitebi'!$AE$10:$AE$33</c:f>
              <c:numCache>
                <c:formatCode>0</c:formatCode>
                <c:ptCount val="24"/>
                <c:pt idx="0">
                  <c:v>344.14285714285717</c:v>
                </c:pt>
                <c:pt idx="1">
                  <c:v>270.57142857142856</c:v>
                </c:pt>
                <c:pt idx="2">
                  <c:v>263</c:v>
                </c:pt>
                <c:pt idx="3">
                  <c:v>283.42857142857144</c:v>
                </c:pt>
                <c:pt idx="4">
                  <c:v>286</c:v>
                </c:pt>
                <c:pt idx="5">
                  <c:v>282.28571428571428</c:v>
                </c:pt>
                <c:pt idx="6">
                  <c:v>307.57142857142861</c:v>
                </c:pt>
                <c:pt idx="7">
                  <c:v>335.57142857142856</c:v>
                </c:pt>
                <c:pt idx="8">
                  <c:v>310</c:v>
                </c:pt>
                <c:pt idx="9">
                  <c:v>394.42857142857144</c:v>
                </c:pt>
                <c:pt idx="10">
                  <c:v>477.71428571428572</c:v>
                </c:pt>
                <c:pt idx="11">
                  <c:v>607.85714285714278</c:v>
                </c:pt>
                <c:pt idx="12">
                  <c:v>500.5</c:v>
                </c:pt>
                <c:pt idx="13">
                  <c:v>533.5</c:v>
                </c:pt>
                <c:pt idx="14">
                  <c:v>536.5</c:v>
                </c:pt>
                <c:pt idx="15">
                  <c:v>425.5</c:v>
                </c:pt>
                <c:pt idx="16">
                  <c:v>235.5</c:v>
                </c:pt>
                <c:pt idx="17">
                  <c:v>105</c:v>
                </c:pt>
                <c:pt idx="18">
                  <c:v>54</c:v>
                </c:pt>
                <c:pt idx="19">
                  <c:v>46.5</c:v>
                </c:pt>
                <c:pt idx="20">
                  <c:v>54.5</c:v>
                </c:pt>
                <c:pt idx="21">
                  <c:v>71.5</c:v>
                </c:pt>
                <c:pt idx="22">
                  <c:v>79.5</c:v>
                </c:pt>
                <c:pt idx="23">
                  <c:v>95.5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Kabusu-Kitebi'!$AF$9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Kabusu-Kitebi'!$R$10:$R$33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Kabusu-Kitebi'!$AF$10:$AF$33</c:f>
              <c:numCache>
                <c:formatCode>0</c:formatCode>
                <c:ptCount val="24"/>
                <c:pt idx="0">
                  <c:v>793.42857142857133</c:v>
                </c:pt>
                <c:pt idx="1">
                  <c:v>836.28571428571445</c:v>
                </c:pt>
                <c:pt idx="2">
                  <c:v>823.71428571428578</c:v>
                </c:pt>
                <c:pt idx="3">
                  <c:v>867.42857142857133</c:v>
                </c:pt>
                <c:pt idx="4">
                  <c:v>821.85714285714278</c:v>
                </c:pt>
                <c:pt idx="5">
                  <c:v>741.57142857142856</c:v>
                </c:pt>
                <c:pt idx="6">
                  <c:v>807</c:v>
                </c:pt>
                <c:pt idx="7">
                  <c:v>843.85714285714289</c:v>
                </c:pt>
                <c:pt idx="8">
                  <c:v>774.28571428571422</c:v>
                </c:pt>
                <c:pt idx="9">
                  <c:v>964.14285714285711</c:v>
                </c:pt>
                <c:pt idx="10">
                  <c:v>1164.1428571428571</c:v>
                </c:pt>
                <c:pt idx="11">
                  <c:v>1282.5714285714284</c:v>
                </c:pt>
                <c:pt idx="12">
                  <c:v>1230</c:v>
                </c:pt>
                <c:pt idx="13">
                  <c:v>1211</c:v>
                </c:pt>
                <c:pt idx="14">
                  <c:v>1096.5</c:v>
                </c:pt>
                <c:pt idx="15">
                  <c:v>871.5</c:v>
                </c:pt>
                <c:pt idx="16">
                  <c:v>582</c:v>
                </c:pt>
                <c:pt idx="17">
                  <c:v>288.5</c:v>
                </c:pt>
                <c:pt idx="18">
                  <c:v>181</c:v>
                </c:pt>
                <c:pt idx="19">
                  <c:v>130.5</c:v>
                </c:pt>
                <c:pt idx="20">
                  <c:v>210</c:v>
                </c:pt>
                <c:pt idx="21">
                  <c:v>206.5</c:v>
                </c:pt>
                <c:pt idx="22">
                  <c:v>266</c:v>
                </c:pt>
                <c:pt idx="23">
                  <c:v>374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1497856"/>
        <c:axId val="421485888"/>
      </c:lineChart>
      <c:catAx>
        <c:axId val="4214978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21485888"/>
        <c:crosses val="autoZero"/>
        <c:auto val="1"/>
        <c:lblAlgn val="ctr"/>
        <c:lblOffset val="100"/>
        <c:noMultiLvlLbl val="0"/>
      </c:catAx>
      <c:valAx>
        <c:axId val="4214858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21497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7.4179940622176406E-3"/>
          <c:y val="9.0250663933280531E-2"/>
          <c:w val="0.81729515941654829"/>
          <c:h val="0.75087452825793222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Kabusu-Kitebi'!$C$9:$N$9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Kabusu-Kitebi'!$C$107:$N$107</c:f>
              <c:numCache>
                <c:formatCode>0.0%</c:formatCode>
                <c:ptCount val="12"/>
                <c:pt idx="0">
                  <c:v>0.21576481910269019</c:v>
                </c:pt>
                <c:pt idx="1">
                  <c:v>3.0450464529979571E-2</c:v>
                </c:pt>
                <c:pt idx="2">
                  <c:v>2.7082159498908086E-2</c:v>
                </c:pt>
                <c:pt idx="3">
                  <c:v>8.8896108970219934E-2</c:v>
                </c:pt>
                <c:pt idx="4">
                  <c:v>2.4264956878292734E-3</c:v>
                </c:pt>
                <c:pt idx="5">
                  <c:v>1.1680080938025659E-3</c:v>
                </c:pt>
                <c:pt idx="6">
                  <c:v>1.8025984067382556E-2</c:v>
                </c:pt>
                <c:pt idx="7">
                  <c:v>5.9716470147934001E-3</c:v>
                </c:pt>
                <c:pt idx="8">
                  <c:v>5.1984585583325447E-3</c:v>
                </c:pt>
                <c:pt idx="9">
                  <c:v>2.3360161876051313E-3</c:v>
                </c:pt>
                <c:pt idx="10">
                  <c:v>0.53787595260519272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7783743352252226"/>
          <c:y val="0.24616436633633723"/>
          <c:w val="0.82101228366016787"/>
          <c:h val="0.74738241370018865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895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Kabusu-Kitebi'!$C$9:$N$9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Kabusu-Kitebi'!$C$108:$N$108</c:f>
              <c:numCache>
                <c:formatCode>0.00%</c:formatCode>
                <c:ptCount val="12"/>
                <c:pt idx="0">
                  <c:v>0.54305026498840669</c:v>
                </c:pt>
                <c:pt idx="1">
                  <c:v>7.6639615766810193E-2</c:v>
                </c:pt>
                <c:pt idx="2">
                  <c:v>6.8162056972507448E-2</c:v>
                </c:pt>
                <c:pt idx="3">
                  <c:v>0.22373923484597549</c:v>
                </c:pt>
                <c:pt idx="4">
                  <c:v>6.1071546869824423E-3</c:v>
                </c:pt>
                <c:pt idx="5">
                  <c:v>2.9397151374627359E-3</c:v>
                </c:pt>
                <c:pt idx="6">
                  <c:v>4.5368913547532287E-2</c:v>
                </c:pt>
                <c:pt idx="7">
                  <c:v>1.5029811195760185E-2</c:v>
                </c:pt>
                <c:pt idx="8">
                  <c:v>1.3083802583636962E-2</c:v>
                </c:pt>
                <c:pt idx="9">
                  <c:v>5.879430274925471E-3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" l="0.70000000000000062" r="0.70000000000000062" t="0.750000000000003" header="0.30000000000000032" footer="0.30000000000000032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Kitebi-Kabusu-2Dir'!$AE$9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'[1]Avg Week Munyonyo-Kibuye-2Dir'!$R$10:$R$33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Kitebi-Kabusu-2Dir'!$AE$10:$AE$33</c:f>
              <c:numCache>
                <c:formatCode>0</c:formatCode>
                <c:ptCount val="24"/>
                <c:pt idx="0">
                  <c:v>936.85714285714289</c:v>
                </c:pt>
                <c:pt idx="1">
                  <c:v>823.85714285714278</c:v>
                </c:pt>
                <c:pt idx="2">
                  <c:v>781.47619047619048</c:v>
                </c:pt>
                <c:pt idx="3">
                  <c:v>770.28571428571422</c:v>
                </c:pt>
                <c:pt idx="4">
                  <c:v>723.14285714285711</c:v>
                </c:pt>
                <c:pt idx="5">
                  <c:v>656.14285714285711</c:v>
                </c:pt>
                <c:pt idx="6">
                  <c:v>652.28571428571433</c:v>
                </c:pt>
                <c:pt idx="7">
                  <c:v>671.857142857143</c:v>
                </c:pt>
                <c:pt idx="8">
                  <c:v>638.42857142857156</c:v>
                </c:pt>
                <c:pt idx="9">
                  <c:v>731.28571428571422</c:v>
                </c:pt>
                <c:pt idx="10">
                  <c:v>862.85714285714278</c:v>
                </c:pt>
                <c:pt idx="11">
                  <c:v>1024.5714285714287</c:v>
                </c:pt>
                <c:pt idx="12">
                  <c:v>814</c:v>
                </c:pt>
                <c:pt idx="13">
                  <c:v>858.5</c:v>
                </c:pt>
                <c:pt idx="14">
                  <c:v>771</c:v>
                </c:pt>
                <c:pt idx="15">
                  <c:v>633</c:v>
                </c:pt>
                <c:pt idx="16">
                  <c:v>362.5</c:v>
                </c:pt>
                <c:pt idx="17">
                  <c:v>197</c:v>
                </c:pt>
                <c:pt idx="18">
                  <c:v>99.5</c:v>
                </c:pt>
                <c:pt idx="19">
                  <c:v>88.5</c:v>
                </c:pt>
                <c:pt idx="20">
                  <c:v>151.5</c:v>
                </c:pt>
                <c:pt idx="21">
                  <c:v>122.5</c:v>
                </c:pt>
                <c:pt idx="22">
                  <c:v>315</c:v>
                </c:pt>
                <c:pt idx="23">
                  <c:v>431.5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289-4DCF-B882-877A22CF008F}"/>
            </c:ext>
          </c:extLst>
        </c:ser>
        <c:ser>
          <c:idx val="1"/>
          <c:order val="1"/>
          <c:tx>
            <c:strRef>
              <c:f>'Avg Week Kitebi-Kabusu-2Dir'!$AF$9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'[1]Avg Week Munyonyo-Kibuye-2Dir'!$R$10:$R$33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Kitebi-Kabusu-2Dir'!$AF$10:$AF$33</c:f>
              <c:numCache>
                <c:formatCode>0</c:formatCode>
                <c:ptCount val="24"/>
                <c:pt idx="0">
                  <c:v>2098.8571428571427</c:v>
                </c:pt>
                <c:pt idx="1">
                  <c:v>2279.8571428571431</c:v>
                </c:pt>
                <c:pt idx="2">
                  <c:v>2223.4761904761904</c:v>
                </c:pt>
                <c:pt idx="3">
                  <c:v>2138.4285714285716</c:v>
                </c:pt>
                <c:pt idx="4">
                  <c:v>1982.8571428571429</c:v>
                </c:pt>
                <c:pt idx="5">
                  <c:v>1780</c:v>
                </c:pt>
                <c:pt idx="6">
                  <c:v>1769</c:v>
                </c:pt>
                <c:pt idx="7">
                  <c:v>1815.1428571428571</c:v>
                </c:pt>
                <c:pt idx="8">
                  <c:v>1665</c:v>
                </c:pt>
                <c:pt idx="9">
                  <c:v>1931.2857142857142</c:v>
                </c:pt>
                <c:pt idx="10">
                  <c:v>2242.5714285714284</c:v>
                </c:pt>
                <c:pt idx="11">
                  <c:v>2441.7142857142858</c:v>
                </c:pt>
                <c:pt idx="12">
                  <c:v>2077.5</c:v>
                </c:pt>
                <c:pt idx="13">
                  <c:v>2064</c:v>
                </c:pt>
                <c:pt idx="14">
                  <c:v>1723</c:v>
                </c:pt>
                <c:pt idx="15">
                  <c:v>1373.5</c:v>
                </c:pt>
                <c:pt idx="16">
                  <c:v>1013</c:v>
                </c:pt>
                <c:pt idx="17">
                  <c:v>653</c:v>
                </c:pt>
                <c:pt idx="18">
                  <c:v>417.5</c:v>
                </c:pt>
                <c:pt idx="19">
                  <c:v>322.5</c:v>
                </c:pt>
                <c:pt idx="20">
                  <c:v>438</c:v>
                </c:pt>
                <c:pt idx="21">
                  <c:v>398.5</c:v>
                </c:pt>
                <c:pt idx="22">
                  <c:v>703.5</c:v>
                </c:pt>
                <c:pt idx="23">
                  <c:v>1069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289-4DCF-B882-877A22CF008F}"/>
            </c:ext>
          </c:extLst>
        </c:ser>
        <c:ser>
          <c:idx val="5"/>
          <c:order val="2"/>
          <c:tx>
            <c:strRef>
              <c:f>'Avg Week Kitebi-Kabusu-2Dir'!$AC$9</c:f>
              <c:strCache>
                <c:ptCount val="1"/>
                <c:pt idx="0">
                  <c:v>11. Motorcycles</c:v>
                </c:pt>
              </c:strCache>
            </c:strRef>
          </c:tx>
          <c:val>
            <c:numRef>
              <c:f>'Avg Week Kitebi-Kabusu-2Dir'!$AC$10:$AC$33</c:f>
              <c:numCache>
                <c:formatCode>0</c:formatCode>
                <c:ptCount val="24"/>
                <c:pt idx="0">
                  <c:v>1162</c:v>
                </c:pt>
                <c:pt idx="1">
                  <c:v>1456</c:v>
                </c:pt>
                <c:pt idx="2">
                  <c:v>1442</c:v>
                </c:pt>
                <c:pt idx="3">
                  <c:v>1368.1428571428569</c:v>
                </c:pt>
                <c:pt idx="4">
                  <c:v>1259.7142857142858</c:v>
                </c:pt>
                <c:pt idx="5">
                  <c:v>1123.8571428571429</c:v>
                </c:pt>
                <c:pt idx="6">
                  <c:v>1116.7142857142856</c:v>
                </c:pt>
                <c:pt idx="7">
                  <c:v>1143.2857142857142</c:v>
                </c:pt>
                <c:pt idx="8">
                  <c:v>1026.5714285714284</c:v>
                </c:pt>
                <c:pt idx="9">
                  <c:v>1200</c:v>
                </c:pt>
                <c:pt idx="10">
                  <c:v>1379.7142857142858</c:v>
                </c:pt>
                <c:pt idx="11">
                  <c:v>1417.1428571428573</c:v>
                </c:pt>
                <c:pt idx="12">
                  <c:v>1263.5</c:v>
                </c:pt>
                <c:pt idx="13">
                  <c:v>1205.5</c:v>
                </c:pt>
                <c:pt idx="14">
                  <c:v>952</c:v>
                </c:pt>
                <c:pt idx="15">
                  <c:v>740.5</c:v>
                </c:pt>
                <c:pt idx="16">
                  <c:v>650.5</c:v>
                </c:pt>
                <c:pt idx="17">
                  <c:v>456</c:v>
                </c:pt>
                <c:pt idx="18">
                  <c:v>318</c:v>
                </c:pt>
                <c:pt idx="19">
                  <c:v>234</c:v>
                </c:pt>
                <c:pt idx="20">
                  <c:v>286.5</c:v>
                </c:pt>
                <c:pt idx="21">
                  <c:v>276</c:v>
                </c:pt>
                <c:pt idx="22">
                  <c:v>388.5</c:v>
                </c:pt>
                <c:pt idx="23">
                  <c:v>637.5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0DC-4269-83A4-9C67FBDC44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1484256"/>
        <c:axId val="421486432"/>
      </c:lineChart>
      <c:catAx>
        <c:axId val="4214842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21486432"/>
        <c:crosses val="autoZero"/>
        <c:auto val="1"/>
        <c:lblAlgn val="ctr"/>
        <c:lblOffset val="100"/>
        <c:noMultiLvlLbl val="0"/>
      </c:catAx>
      <c:valAx>
        <c:axId val="4214864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21484256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Including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66"/>
      <c:depthPercent val="100"/>
      <c:rAngAx val="0"/>
      <c:perspective val="1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5862766740250188E-2"/>
          <c:y val="8.013560502587487E-2"/>
          <c:w val="0.82827446651949965"/>
          <c:h val="0.75902399207700977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Kitebi-Kabusu-2Dir'!$C$9:$N$9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Kitebi-Kabusu-2Dir'!$C$107:$N$107</c:f>
              <c:numCache>
                <c:formatCode>0.0%</c:formatCode>
                <c:ptCount val="12"/>
                <c:pt idx="0">
                  <c:v>0.21009693841062618</c:v>
                </c:pt>
                <c:pt idx="1">
                  <c:v>2.9003504346299627E-2</c:v>
                </c:pt>
                <c:pt idx="2">
                  <c:v>2.5652595101717062E-2</c:v>
                </c:pt>
                <c:pt idx="3">
                  <c:v>8.988355687898629E-2</c:v>
                </c:pt>
                <c:pt idx="4">
                  <c:v>2.3405652465070315E-3</c:v>
                </c:pt>
                <c:pt idx="5">
                  <c:v>8.4195333172961252E-4</c:v>
                </c:pt>
                <c:pt idx="6">
                  <c:v>1.7959937324863957E-2</c:v>
                </c:pt>
                <c:pt idx="7">
                  <c:v>4.4275692579758023E-3</c:v>
                </c:pt>
                <c:pt idx="8">
                  <c:v>3.3587111287375899E-3</c:v>
                </c:pt>
                <c:pt idx="9">
                  <c:v>1.9368177414845679E-3</c:v>
                </c:pt>
                <c:pt idx="10">
                  <c:v>0.61449785123107226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Excluding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5621349354452078E-2"/>
          <c:y val="0.20025731425750379"/>
          <c:w val="0.83261086583830202"/>
          <c:h val="0.76871916342946045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Kitebi-Kabusu-2Dir'!$C$9:$N$9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Kitebi-Kabusu-2Dir'!$C$108:$N$108</c:f>
              <c:numCache>
                <c:formatCode>0.00%</c:formatCode>
                <c:ptCount val="12"/>
                <c:pt idx="0">
                  <c:v>0.544995505424691</c:v>
                </c:pt>
                <c:pt idx="1">
                  <c:v>7.5235648981257688E-2</c:v>
                </c:pt>
                <c:pt idx="2">
                  <c:v>6.6543325850807078E-2</c:v>
                </c:pt>
                <c:pt idx="3">
                  <c:v>0.2331596780096368</c:v>
                </c:pt>
                <c:pt idx="4">
                  <c:v>6.0714713367524707E-3</c:v>
                </c:pt>
                <c:pt idx="5">
                  <c:v>2.1840431614151244E-3</c:v>
                </c:pt>
                <c:pt idx="6">
                  <c:v>4.6588423390680637E-2</c:v>
                </c:pt>
                <c:pt idx="7">
                  <c:v>1.148519994535676E-2</c:v>
                </c:pt>
                <c:pt idx="8">
                  <c:v>8.7125613682397952E-3</c:v>
                </c:pt>
                <c:pt idx="9">
                  <c:v>5.0241425311626682E-3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'Avg Week Kitebi-Kabusu-2Dir'!$S$9:$AF$9</c15:sqref>
                  </c15:fullRef>
                </c:ext>
              </c:extLst>
              <c:f>'Avg Week Kitebi-Kabusu-2Dir'!$S$9:$AD$9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'Avg Week Kitebi-Kabusu-2Dir'!$S$41:$AF$41</c15:sqref>
                  </c15:fullRef>
                </c:ext>
              </c:extLst>
              <c:f>'Avg Week Kitebi-Kabusu-2Dir'!$S$41:$AD$41</c:f>
              <c:numCache>
                <c:formatCode>_(* #,##0_);_(* \(#,##0\);_(* "-"_);_(@_)</c:formatCode>
                <c:ptCount val="12"/>
                <c:pt idx="0">
                  <c:v>7694</c:v>
                </c:pt>
                <c:pt idx="1">
                  <c:v>1062.1428571428571</c:v>
                </c:pt>
                <c:pt idx="2">
                  <c:v>939.42857142857144</c:v>
                </c:pt>
                <c:pt idx="3">
                  <c:v>3291.6428571428569</c:v>
                </c:pt>
                <c:pt idx="4">
                  <c:v>85.714285714285722</c:v>
                </c:pt>
                <c:pt idx="5">
                  <c:v>30.833333333333336</c:v>
                </c:pt>
                <c:pt idx="6">
                  <c:v>657.71428571428578</c:v>
                </c:pt>
                <c:pt idx="7">
                  <c:v>162.14285714285717</c:v>
                </c:pt>
                <c:pt idx="8">
                  <c:v>123</c:v>
                </c:pt>
                <c:pt idx="9">
                  <c:v>70.928571428571431</c:v>
                </c:pt>
                <c:pt idx="10">
                  <c:v>22503.642857142855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84-4A20-879A-D9A0A0F9050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449344"/>
        <c:axId val="613443904"/>
      </c:barChart>
      <c:catAx>
        <c:axId val="613449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443904"/>
        <c:crosses val="autoZero"/>
        <c:auto val="1"/>
        <c:lblAlgn val="ctr"/>
        <c:lblOffset val="100"/>
        <c:noMultiLvlLbl val="0"/>
      </c:catAx>
      <c:valAx>
        <c:axId val="613443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449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Kitebi-Kabusu-2Dir'!$S$9:$AF$9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Kitebi-Kabusu-2Dir'!$S$42:$AF$42</c:f>
              <c:numCache>
                <c:formatCode>0.000</c:formatCode>
                <c:ptCount val="14"/>
                <c:pt idx="0">
                  <c:v>1.546843586650583</c:v>
                </c:pt>
                <c:pt idx="1">
                  <c:v>1.4389394232630153</c:v>
                </c:pt>
                <c:pt idx="2">
                  <c:v>1.394993635977938</c:v>
                </c:pt>
                <c:pt idx="3">
                  <c:v>1.6016613374113722</c:v>
                </c:pt>
                <c:pt idx="4">
                  <c:v>1.834862385321101</c:v>
                </c:pt>
                <c:pt idx="5">
                  <c:v>1.5163934426229508</c:v>
                </c:pt>
                <c:pt idx="6">
                  <c:v>1.3083262290423416</c:v>
                </c:pt>
                <c:pt idx="7">
                  <c:v>1.6191155492154066</c:v>
                </c:pt>
                <c:pt idx="8">
                  <c:v>1.1826923076923077</c:v>
                </c:pt>
                <c:pt idx="9">
                  <c:v>1.2139364303178484</c:v>
                </c:pt>
                <c:pt idx="10">
                  <c:v>1.490787008119925</c:v>
                </c:pt>
                <c:pt idx="11">
                  <c:v>0</c:v>
                </c:pt>
                <c:pt idx="12">
                  <c:v>1.5224280300307085</c:v>
                </c:pt>
                <c:pt idx="13">
                  <c:v>1.50282765197408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84-4A20-879A-D9A0A0F9050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444992"/>
        <c:axId val="613446624"/>
      </c:barChart>
      <c:catAx>
        <c:axId val="613444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446624"/>
        <c:crosses val="autoZero"/>
        <c:auto val="1"/>
        <c:lblAlgn val="ctr"/>
        <c:lblOffset val="100"/>
        <c:noMultiLvlLbl val="0"/>
      </c:catAx>
      <c:valAx>
        <c:axId val="613446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444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5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26.xml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0.xml"/><Relationship Id="rId1" Type="http://schemas.openxmlformats.org/officeDocument/2006/relationships/chart" Target="../charts/chart2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7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31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3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2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34.xml"/><Relationship Id="rId6" Type="http://schemas.openxmlformats.org/officeDocument/2006/relationships/image" Target="../media/image5.emf"/><Relationship Id="rId11" Type="http://schemas.openxmlformats.org/officeDocument/2006/relationships/image" Target="../media/image18.jpeg"/><Relationship Id="rId5" Type="http://schemas.openxmlformats.org/officeDocument/2006/relationships/image" Target="../media/image4.emf"/><Relationship Id="rId15" Type="http://schemas.openxmlformats.org/officeDocument/2006/relationships/chart" Target="../charts/chart3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5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8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9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jpe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6349</xdr:rowOff>
    </xdr:from>
    <xdr:to>
      <xdr:col>27</xdr:col>
      <xdr:colOff>714374</xdr:colOff>
      <xdr:row>59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0</xdr:colOff>
      <xdr:row>59</xdr:row>
      <xdr:rowOff>279400</xdr:rowOff>
    </xdr:from>
    <xdr:to>
      <xdr:col>31</xdr:col>
      <xdr:colOff>555625</xdr:colOff>
      <xdr:row>75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60</xdr:row>
      <xdr:rowOff>1</xdr:rowOff>
    </xdr:from>
    <xdr:to>
      <xdr:col>24</xdr:col>
      <xdr:colOff>15875</xdr:colOff>
      <xdr:row>75</xdr:row>
      <xdr:rowOff>1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6349</xdr:rowOff>
    </xdr:from>
    <xdr:to>
      <xdr:col>27</xdr:col>
      <xdr:colOff>714374</xdr:colOff>
      <xdr:row>59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15875</xdr:colOff>
      <xdr:row>59</xdr:row>
      <xdr:rowOff>279400</xdr:rowOff>
    </xdr:from>
    <xdr:to>
      <xdr:col>31</xdr:col>
      <xdr:colOff>571500</xdr:colOff>
      <xdr:row>75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60</xdr:row>
      <xdr:rowOff>1</xdr:rowOff>
    </xdr:from>
    <xdr:to>
      <xdr:col>24</xdr:col>
      <xdr:colOff>0</xdr:colOff>
      <xdr:row>75</xdr:row>
      <xdr:rowOff>1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13612</xdr:colOff>
      <xdr:row>43</xdr:row>
      <xdr:rowOff>0</xdr:rowOff>
    </xdr:from>
    <xdr:to>
      <xdr:col>28</xdr:col>
      <xdr:colOff>0</xdr:colOff>
      <xdr:row>59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1F3C755B-FA06-4641-8226-864954F6E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16</xdr:col>
      <xdr:colOff>142875</xdr:colOff>
      <xdr:row>75</xdr:row>
      <xdr:rowOff>3179</xdr:rowOff>
    </xdr:from>
    <xdr:to>
      <xdr:col>24</xdr:col>
      <xdr:colOff>0</xdr:colOff>
      <xdr:row>91</xdr:row>
      <xdr:rowOff>1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6351</xdr:colOff>
      <xdr:row>58</xdr:row>
      <xdr:rowOff>282579</xdr:rowOff>
    </xdr:from>
    <xdr:to>
      <xdr:col>24</xdr:col>
      <xdr:colOff>0</xdr:colOff>
      <xdr:row>74</xdr:row>
      <xdr:rowOff>279403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9526</xdr:colOff>
      <xdr:row>58</xdr:row>
      <xdr:rowOff>280990</xdr:rowOff>
    </xdr:from>
    <xdr:to>
      <xdr:col>31</xdr:col>
      <xdr:colOff>539750</xdr:colOff>
      <xdr:row>74</xdr:row>
      <xdr:rowOff>279403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23627A04-1E0E-4C3A-8B25-FA92ABCB6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9526</xdr:colOff>
      <xdr:row>74</xdr:row>
      <xdr:rowOff>280990</xdr:rowOff>
    </xdr:from>
    <xdr:to>
      <xdr:col>31</xdr:col>
      <xdr:colOff>523875</xdr:colOff>
      <xdr:row>91</xdr:row>
      <xdr:rowOff>9528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2020\STN-C1-RD-1A-SALAMA%20ROAD\MCC%20DATA\MCC-C1-STN1A-%20SALAMA%20R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2.07 Kibuye-Munyonyo"/>
      <sheetName val="22.07 Munyonyo-Kibuye"/>
      <sheetName val="23.07 Kibuye-Munyonyo"/>
      <sheetName val="23.07 Munyonyo-Kibuye"/>
      <sheetName val="24.07 Kibuye-Munyonyo"/>
      <sheetName val="24.07 Munyonyo-Kibuye"/>
      <sheetName val="25.07 Kibuye-Munyonyo"/>
      <sheetName val="25.07 Munyonyo-Kibuye"/>
      <sheetName val="26.07 Kibuye-Munyonyo-24h"/>
      <sheetName val="26.07 Munyonyo-Kibuye-24h"/>
      <sheetName val="27.07 Kibuye-Munyonyo-24h"/>
      <sheetName val="27.07 Munyonyo-Kibuye-24h"/>
      <sheetName val="28.07 Kibuye-Munyonyo"/>
      <sheetName val="28.07 Munyonyo-Kibuye"/>
      <sheetName val="Avg Week Kibuye-Munyonyo"/>
      <sheetName val="Avg Week Munyonyo-Kibuye"/>
      <sheetName val="Avg Week Munyonyo-Kibuye-2Di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9">
          <cell r="C9" t="str">
            <v>1. Car</v>
          </cell>
        </row>
        <row r="10">
          <cell r="R10" t="str">
            <v>0700-0800</v>
          </cell>
        </row>
        <row r="11">
          <cell r="R11" t="str">
            <v>0800-0900</v>
          </cell>
        </row>
        <row r="12">
          <cell r="R12" t="str">
            <v>0900-1000</v>
          </cell>
        </row>
        <row r="13">
          <cell r="R13" t="str">
            <v>1000-1100</v>
          </cell>
        </row>
        <row r="14">
          <cell r="R14" t="str">
            <v>1100-1200</v>
          </cell>
        </row>
        <row r="15">
          <cell r="R15" t="str">
            <v>1200-1300</v>
          </cell>
        </row>
        <row r="16">
          <cell r="R16" t="str">
            <v>1300-1400</v>
          </cell>
        </row>
        <row r="17">
          <cell r="R17" t="str">
            <v>1400-1500</v>
          </cell>
        </row>
        <row r="18">
          <cell r="R18" t="str">
            <v>1500-1600</v>
          </cell>
        </row>
        <row r="19">
          <cell r="R19" t="str">
            <v>1600-1700</v>
          </cell>
        </row>
        <row r="20">
          <cell r="R20" t="str">
            <v>1700-1800</v>
          </cell>
        </row>
        <row r="21">
          <cell r="R21" t="str">
            <v>1800-1900</v>
          </cell>
        </row>
        <row r="22">
          <cell r="R22" t="str">
            <v>1900-2000</v>
          </cell>
        </row>
        <row r="23">
          <cell r="R23" t="str">
            <v>2000-2100</v>
          </cell>
        </row>
        <row r="24">
          <cell r="R24" t="str">
            <v>2100-2200</v>
          </cell>
        </row>
        <row r="25">
          <cell r="R25" t="str">
            <v>2200-2300</v>
          </cell>
        </row>
        <row r="26">
          <cell r="R26" t="str">
            <v>2300-0000</v>
          </cell>
        </row>
        <row r="27">
          <cell r="R27" t="str">
            <v>0000-0100</v>
          </cell>
        </row>
        <row r="28">
          <cell r="R28" t="str">
            <v>0100-0200</v>
          </cell>
        </row>
        <row r="29">
          <cell r="R29" t="str">
            <v>0200-0300</v>
          </cell>
        </row>
        <row r="30">
          <cell r="R30" t="str">
            <v>0300-0400</v>
          </cell>
        </row>
        <row r="31">
          <cell r="R31" t="str">
            <v>0400-0500</v>
          </cell>
        </row>
        <row r="32">
          <cell r="R32" t="str">
            <v>0500-0600</v>
          </cell>
        </row>
        <row r="33">
          <cell r="R33" t="str">
            <v>0600-0700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84" zoomScaleSheetLayoutView="84" workbookViewId="0">
      <selection activeCell="I6" sqref="I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1" t="s">
        <v>96</v>
      </c>
      <c r="C3" s="62" t="s">
        <v>177</v>
      </c>
      <c r="D3" s="62"/>
      <c r="E3" s="62"/>
      <c r="F3" s="62"/>
      <c r="G3" s="62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162</v>
      </c>
      <c r="E5" s="3"/>
      <c r="F5" s="41" t="s">
        <v>1</v>
      </c>
      <c r="G5" s="57" t="s">
        <v>170</v>
      </c>
      <c r="H5" s="58"/>
      <c r="I5" s="14"/>
      <c r="J5" s="2" t="s">
        <v>5</v>
      </c>
      <c r="K5" s="57" t="s">
        <v>172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171</v>
      </c>
      <c r="E6" s="58"/>
      <c r="F6" s="2" t="s">
        <v>2</v>
      </c>
      <c r="G6" s="57" t="s">
        <v>176</v>
      </c>
      <c r="H6" s="58"/>
      <c r="J6" s="2" t="s">
        <v>21</v>
      </c>
      <c r="K6" s="57" t="s">
        <v>173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30</v>
      </c>
      <c r="D10" s="50">
        <v>19</v>
      </c>
      <c r="E10" s="50">
        <v>2</v>
      </c>
      <c r="F10" s="50">
        <v>21</v>
      </c>
      <c r="G10" s="50">
        <v>0</v>
      </c>
      <c r="H10" s="50">
        <v>2</v>
      </c>
      <c r="I10" s="50">
        <v>2</v>
      </c>
      <c r="J10" s="50">
        <v>1</v>
      </c>
      <c r="K10" s="50">
        <v>0</v>
      </c>
      <c r="L10" s="50">
        <v>0</v>
      </c>
      <c r="M10" s="50">
        <v>40</v>
      </c>
      <c r="N10" s="50">
        <v>0</v>
      </c>
      <c r="O10" s="15">
        <f t="shared" ref="O10:O57" si="0">SUM(C10:L10,N10)</f>
        <v>77</v>
      </c>
      <c r="P10" s="15">
        <f t="shared" ref="P10:P57" si="1">SUM(C10:N10)</f>
        <v>117</v>
      </c>
      <c r="R10" s="1" t="s">
        <v>6</v>
      </c>
      <c r="S10" s="17">
        <f t="shared" ref="S10:AF10" si="2">SUM(C10:C13)</f>
        <v>146</v>
      </c>
      <c r="T10" s="17">
        <f t="shared" si="2"/>
        <v>53</v>
      </c>
      <c r="U10" s="17">
        <f t="shared" si="2"/>
        <v>20</v>
      </c>
      <c r="V10" s="17">
        <f t="shared" si="2"/>
        <v>67</v>
      </c>
      <c r="W10" s="17">
        <f t="shared" si="2"/>
        <v>1</v>
      </c>
      <c r="X10" s="17">
        <f t="shared" si="2"/>
        <v>3</v>
      </c>
      <c r="Y10" s="17">
        <f t="shared" si="2"/>
        <v>4</v>
      </c>
      <c r="Z10" s="17">
        <f t="shared" si="2"/>
        <v>4</v>
      </c>
      <c r="AA10" s="17">
        <f t="shared" si="2"/>
        <v>3</v>
      </c>
      <c r="AB10" s="17">
        <f t="shared" si="2"/>
        <v>0</v>
      </c>
      <c r="AC10" s="17">
        <f t="shared" si="2"/>
        <v>267</v>
      </c>
      <c r="AD10" s="17">
        <f t="shared" si="2"/>
        <v>0</v>
      </c>
      <c r="AE10" s="31">
        <f t="shared" si="2"/>
        <v>301</v>
      </c>
      <c r="AF10" s="31">
        <f t="shared" si="2"/>
        <v>568</v>
      </c>
    </row>
    <row r="11" spans="2:32" s="6" customFormat="1" ht="23.1" customHeight="1" x14ac:dyDescent="0.25">
      <c r="B11" s="23" t="s">
        <v>38</v>
      </c>
      <c r="C11" s="50">
        <v>37</v>
      </c>
      <c r="D11" s="50">
        <v>12</v>
      </c>
      <c r="E11" s="50">
        <v>6</v>
      </c>
      <c r="F11" s="50">
        <v>22</v>
      </c>
      <c r="G11" s="50">
        <v>0</v>
      </c>
      <c r="H11" s="50">
        <v>1</v>
      </c>
      <c r="I11" s="50">
        <v>0</v>
      </c>
      <c r="J11" s="50">
        <v>1</v>
      </c>
      <c r="K11" s="50">
        <v>0</v>
      </c>
      <c r="L11" s="50">
        <v>0</v>
      </c>
      <c r="M11" s="50">
        <v>65</v>
      </c>
      <c r="N11" s="50">
        <v>0</v>
      </c>
      <c r="O11" s="15">
        <f t="shared" si="0"/>
        <v>79</v>
      </c>
      <c r="P11" s="15">
        <f t="shared" si="1"/>
        <v>144</v>
      </c>
      <c r="R11" s="1" t="s">
        <v>7</v>
      </c>
      <c r="S11" s="17">
        <f t="shared" ref="S11:AF11" si="3">SUM(C14:C17)</f>
        <v>205</v>
      </c>
      <c r="T11" s="17">
        <f t="shared" si="3"/>
        <v>43</v>
      </c>
      <c r="U11" s="17">
        <f t="shared" si="3"/>
        <v>11</v>
      </c>
      <c r="V11" s="17">
        <f t="shared" si="3"/>
        <v>61</v>
      </c>
      <c r="W11" s="17">
        <f t="shared" si="3"/>
        <v>1</v>
      </c>
      <c r="X11" s="17">
        <f t="shared" si="3"/>
        <v>0</v>
      </c>
      <c r="Y11" s="17">
        <f t="shared" si="3"/>
        <v>13</v>
      </c>
      <c r="Z11" s="17">
        <f t="shared" si="3"/>
        <v>4</v>
      </c>
      <c r="AA11" s="17">
        <f t="shared" si="3"/>
        <v>3</v>
      </c>
      <c r="AB11" s="17">
        <f t="shared" si="3"/>
        <v>0</v>
      </c>
      <c r="AC11" s="17">
        <f t="shared" si="3"/>
        <v>428</v>
      </c>
      <c r="AD11" s="17">
        <f t="shared" si="3"/>
        <v>0</v>
      </c>
      <c r="AE11" s="31">
        <f t="shared" si="3"/>
        <v>341</v>
      </c>
      <c r="AF11" s="31">
        <f t="shared" si="3"/>
        <v>769</v>
      </c>
    </row>
    <row r="12" spans="2:32" ht="23.1" customHeight="1" x14ac:dyDescent="0.25">
      <c r="B12" s="23" t="s">
        <v>39</v>
      </c>
      <c r="C12" s="50">
        <v>57</v>
      </c>
      <c r="D12" s="50">
        <v>22</v>
      </c>
      <c r="E12" s="50">
        <v>7</v>
      </c>
      <c r="F12" s="50">
        <v>13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85</v>
      </c>
      <c r="N12" s="50">
        <v>0</v>
      </c>
      <c r="O12" s="15">
        <f t="shared" si="0"/>
        <v>99</v>
      </c>
      <c r="P12" s="15">
        <f t="shared" si="1"/>
        <v>184</v>
      </c>
      <c r="R12" s="1" t="s">
        <v>8</v>
      </c>
      <c r="S12" s="17">
        <f t="shared" ref="S12:AF12" si="4">SUM(C18:C21)</f>
        <v>270</v>
      </c>
      <c r="T12" s="17">
        <f t="shared" si="4"/>
        <v>63</v>
      </c>
      <c r="U12" s="17">
        <f t="shared" si="4"/>
        <v>33</v>
      </c>
      <c r="V12" s="17">
        <f t="shared" si="4"/>
        <v>97</v>
      </c>
      <c r="W12" s="17">
        <f t="shared" si="4"/>
        <v>1</v>
      </c>
      <c r="X12" s="17">
        <f t="shared" si="4"/>
        <v>0</v>
      </c>
      <c r="Y12" s="17">
        <f t="shared" si="4"/>
        <v>31</v>
      </c>
      <c r="Z12" s="17">
        <f t="shared" si="4"/>
        <v>2</v>
      </c>
      <c r="AA12" s="17">
        <f t="shared" si="4"/>
        <v>2</v>
      </c>
      <c r="AB12" s="17">
        <f t="shared" si="4"/>
        <v>0</v>
      </c>
      <c r="AC12" s="17">
        <f t="shared" si="4"/>
        <v>618</v>
      </c>
      <c r="AD12" s="17">
        <f t="shared" si="4"/>
        <v>0</v>
      </c>
      <c r="AE12" s="31">
        <f t="shared" si="4"/>
        <v>499</v>
      </c>
      <c r="AF12" s="31">
        <f t="shared" si="4"/>
        <v>1117</v>
      </c>
    </row>
    <row r="13" spans="2:32" ht="23.1" customHeight="1" x14ac:dyDescent="0.25">
      <c r="B13" s="23" t="s">
        <v>40</v>
      </c>
      <c r="C13" s="50">
        <v>22</v>
      </c>
      <c r="D13" s="50">
        <v>0</v>
      </c>
      <c r="E13" s="50">
        <v>5</v>
      </c>
      <c r="F13" s="50">
        <v>11</v>
      </c>
      <c r="G13" s="50">
        <v>1</v>
      </c>
      <c r="H13" s="50">
        <v>0</v>
      </c>
      <c r="I13" s="50">
        <v>2</v>
      </c>
      <c r="J13" s="50">
        <v>2</v>
      </c>
      <c r="K13" s="50">
        <v>3</v>
      </c>
      <c r="L13" s="50">
        <v>0</v>
      </c>
      <c r="M13" s="50">
        <v>77</v>
      </c>
      <c r="N13" s="50">
        <v>0</v>
      </c>
      <c r="O13" s="15">
        <f t="shared" si="0"/>
        <v>46</v>
      </c>
      <c r="P13" s="15">
        <f t="shared" si="1"/>
        <v>123</v>
      </c>
      <c r="R13" s="1" t="s">
        <v>9</v>
      </c>
      <c r="S13" s="17">
        <f t="shared" ref="S13:AF13" si="5">SUM(C22:C25)</f>
        <v>215</v>
      </c>
      <c r="T13" s="17">
        <f t="shared" si="5"/>
        <v>46</v>
      </c>
      <c r="U13" s="17">
        <f t="shared" si="5"/>
        <v>35</v>
      </c>
      <c r="V13" s="17">
        <f t="shared" si="5"/>
        <v>138</v>
      </c>
      <c r="W13" s="17">
        <f t="shared" si="5"/>
        <v>1</v>
      </c>
      <c r="X13" s="17">
        <f t="shared" si="5"/>
        <v>1</v>
      </c>
      <c r="Y13" s="17">
        <f t="shared" si="5"/>
        <v>32</v>
      </c>
      <c r="Z13" s="17">
        <f t="shared" si="5"/>
        <v>10</v>
      </c>
      <c r="AA13" s="17">
        <f t="shared" si="5"/>
        <v>6</v>
      </c>
      <c r="AB13" s="17">
        <f t="shared" si="5"/>
        <v>1</v>
      </c>
      <c r="AC13" s="17">
        <f t="shared" si="5"/>
        <v>791</v>
      </c>
      <c r="AD13" s="17">
        <f t="shared" si="5"/>
        <v>0</v>
      </c>
      <c r="AE13" s="31">
        <f t="shared" si="5"/>
        <v>485</v>
      </c>
      <c r="AF13" s="31">
        <f t="shared" si="5"/>
        <v>1276</v>
      </c>
    </row>
    <row r="14" spans="2:32" ht="23.1" customHeight="1" x14ac:dyDescent="0.25">
      <c r="B14" s="23" t="s">
        <v>41</v>
      </c>
      <c r="C14" s="50">
        <v>36</v>
      </c>
      <c r="D14" s="50">
        <v>7</v>
      </c>
      <c r="E14" s="50">
        <v>0</v>
      </c>
      <c r="F14" s="50">
        <v>9</v>
      </c>
      <c r="G14" s="50">
        <v>0</v>
      </c>
      <c r="H14" s="50">
        <v>0</v>
      </c>
      <c r="I14" s="50">
        <v>0</v>
      </c>
      <c r="J14" s="50">
        <v>1</v>
      </c>
      <c r="K14" s="50">
        <v>0</v>
      </c>
      <c r="L14" s="50">
        <v>0</v>
      </c>
      <c r="M14" s="50">
        <v>111</v>
      </c>
      <c r="N14" s="50">
        <v>0</v>
      </c>
      <c r="O14" s="15">
        <f t="shared" si="0"/>
        <v>53</v>
      </c>
      <c r="P14" s="15">
        <f t="shared" si="1"/>
        <v>164</v>
      </c>
      <c r="R14" s="1" t="s">
        <v>10</v>
      </c>
      <c r="S14" s="17">
        <f t="shared" ref="S14:AF14" si="6">SUM(C26:C29)</f>
        <v>200</v>
      </c>
      <c r="T14" s="17">
        <f t="shared" si="6"/>
        <v>31</v>
      </c>
      <c r="U14" s="17">
        <f t="shared" si="6"/>
        <v>34</v>
      </c>
      <c r="V14" s="17">
        <f t="shared" si="6"/>
        <v>100</v>
      </c>
      <c r="W14" s="17">
        <f t="shared" si="6"/>
        <v>3</v>
      </c>
      <c r="X14" s="17">
        <f t="shared" si="6"/>
        <v>1</v>
      </c>
      <c r="Y14" s="17">
        <f t="shared" si="6"/>
        <v>23</v>
      </c>
      <c r="Z14" s="17">
        <f t="shared" si="6"/>
        <v>9</v>
      </c>
      <c r="AA14" s="17">
        <f t="shared" si="6"/>
        <v>4</v>
      </c>
      <c r="AB14" s="17">
        <f t="shared" si="6"/>
        <v>3</v>
      </c>
      <c r="AC14" s="17">
        <f t="shared" si="6"/>
        <v>786</v>
      </c>
      <c r="AD14" s="17">
        <f t="shared" si="6"/>
        <v>0</v>
      </c>
      <c r="AE14" s="31">
        <f t="shared" si="6"/>
        <v>408</v>
      </c>
      <c r="AF14" s="31">
        <f t="shared" si="6"/>
        <v>1194</v>
      </c>
    </row>
    <row r="15" spans="2:32" ht="23.1" customHeight="1" x14ac:dyDescent="0.25">
      <c r="B15" s="23" t="s">
        <v>42</v>
      </c>
      <c r="C15" s="50">
        <v>45</v>
      </c>
      <c r="D15" s="50">
        <v>0</v>
      </c>
      <c r="E15" s="50">
        <v>0</v>
      </c>
      <c r="F15" s="50">
        <v>11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55</v>
      </c>
      <c r="N15" s="50">
        <v>0</v>
      </c>
      <c r="O15" s="15">
        <f t="shared" si="0"/>
        <v>56</v>
      </c>
      <c r="P15" s="15">
        <f t="shared" si="1"/>
        <v>111</v>
      </c>
      <c r="R15" s="1" t="s">
        <v>11</v>
      </c>
      <c r="S15" s="17">
        <f t="shared" ref="S15:AF15" si="7">SUM(C30:C33)</f>
        <v>207</v>
      </c>
      <c r="T15" s="17">
        <f t="shared" si="7"/>
        <v>25</v>
      </c>
      <c r="U15" s="17">
        <f t="shared" si="7"/>
        <v>20</v>
      </c>
      <c r="V15" s="17">
        <f t="shared" si="7"/>
        <v>93</v>
      </c>
      <c r="W15" s="17">
        <f t="shared" si="7"/>
        <v>0</v>
      </c>
      <c r="X15" s="17">
        <f t="shared" si="7"/>
        <v>0</v>
      </c>
      <c r="Y15" s="17">
        <f t="shared" si="7"/>
        <v>29</v>
      </c>
      <c r="Z15" s="17">
        <f t="shared" si="7"/>
        <v>5</v>
      </c>
      <c r="AA15" s="17">
        <f t="shared" si="7"/>
        <v>0</v>
      </c>
      <c r="AB15" s="17">
        <f t="shared" si="7"/>
        <v>1</v>
      </c>
      <c r="AC15" s="17">
        <f t="shared" si="7"/>
        <v>740</v>
      </c>
      <c r="AD15" s="17">
        <f t="shared" si="7"/>
        <v>0</v>
      </c>
      <c r="AE15" s="31">
        <f t="shared" si="7"/>
        <v>380</v>
      </c>
      <c r="AF15" s="31">
        <f t="shared" si="7"/>
        <v>1120</v>
      </c>
    </row>
    <row r="16" spans="2:32" ht="23.1" customHeight="1" x14ac:dyDescent="0.25">
      <c r="B16" s="23" t="s">
        <v>43</v>
      </c>
      <c r="C16" s="50">
        <v>46</v>
      </c>
      <c r="D16" s="50">
        <v>14</v>
      </c>
      <c r="E16" s="50">
        <v>5</v>
      </c>
      <c r="F16" s="50">
        <v>11</v>
      </c>
      <c r="G16" s="50">
        <v>0</v>
      </c>
      <c r="H16" s="50">
        <v>0</v>
      </c>
      <c r="I16" s="50">
        <v>5</v>
      </c>
      <c r="J16" s="50">
        <v>1</v>
      </c>
      <c r="K16" s="50">
        <v>0</v>
      </c>
      <c r="L16" s="50">
        <v>0</v>
      </c>
      <c r="M16" s="50">
        <v>112</v>
      </c>
      <c r="N16" s="50">
        <v>0</v>
      </c>
      <c r="O16" s="15">
        <f t="shared" si="0"/>
        <v>82</v>
      </c>
      <c r="P16" s="15">
        <f t="shared" si="1"/>
        <v>194</v>
      </c>
      <c r="R16" s="1" t="s">
        <v>12</v>
      </c>
      <c r="S16" s="17">
        <f t="shared" ref="S16:AF16" si="8">SUM(C34:C37)</f>
        <v>185</v>
      </c>
      <c r="T16" s="17">
        <f t="shared" si="8"/>
        <v>20</v>
      </c>
      <c r="U16" s="17">
        <f t="shared" si="8"/>
        <v>29</v>
      </c>
      <c r="V16" s="17">
        <f t="shared" si="8"/>
        <v>74</v>
      </c>
      <c r="W16" s="17">
        <f t="shared" si="8"/>
        <v>2</v>
      </c>
      <c r="X16" s="17">
        <f t="shared" si="8"/>
        <v>1</v>
      </c>
      <c r="Y16" s="17">
        <f t="shared" si="8"/>
        <v>27</v>
      </c>
      <c r="Z16" s="17">
        <f t="shared" si="8"/>
        <v>3</v>
      </c>
      <c r="AA16" s="17">
        <f t="shared" si="8"/>
        <v>1</v>
      </c>
      <c r="AB16" s="17">
        <f t="shared" si="8"/>
        <v>2</v>
      </c>
      <c r="AC16" s="17">
        <f t="shared" si="8"/>
        <v>703</v>
      </c>
      <c r="AD16" s="17">
        <f t="shared" si="8"/>
        <v>0</v>
      </c>
      <c r="AE16" s="31">
        <f t="shared" si="8"/>
        <v>344</v>
      </c>
      <c r="AF16" s="31">
        <f t="shared" si="8"/>
        <v>1047</v>
      </c>
    </row>
    <row r="17" spans="2:32" ht="23.1" customHeight="1" x14ac:dyDescent="0.25">
      <c r="B17" s="23" t="s">
        <v>44</v>
      </c>
      <c r="C17" s="50">
        <v>78</v>
      </c>
      <c r="D17" s="50">
        <v>22</v>
      </c>
      <c r="E17" s="50">
        <v>6</v>
      </c>
      <c r="F17" s="50">
        <v>30</v>
      </c>
      <c r="G17" s="50">
        <v>1</v>
      </c>
      <c r="H17" s="50">
        <v>0</v>
      </c>
      <c r="I17" s="50">
        <v>8</v>
      </c>
      <c r="J17" s="50">
        <v>2</v>
      </c>
      <c r="K17" s="50">
        <v>3</v>
      </c>
      <c r="L17" s="50">
        <v>0</v>
      </c>
      <c r="M17" s="50">
        <v>150</v>
      </c>
      <c r="N17" s="50">
        <v>0</v>
      </c>
      <c r="O17" s="15">
        <f t="shared" si="0"/>
        <v>150</v>
      </c>
      <c r="P17" s="15">
        <f t="shared" si="1"/>
        <v>300</v>
      </c>
      <c r="R17" s="1" t="s">
        <v>13</v>
      </c>
      <c r="S17" s="17">
        <f t="shared" ref="S17:AF17" si="9">SUM(C38:C41)</f>
        <v>161</v>
      </c>
      <c r="T17" s="17">
        <f t="shared" si="9"/>
        <v>29</v>
      </c>
      <c r="U17" s="17">
        <f t="shared" si="9"/>
        <v>18</v>
      </c>
      <c r="V17" s="17">
        <f t="shared" si="9"/>
        <v>76</v>
      </c>
      <c r="W17" s="17">
        <f t="shared" si="9"/>
        <v>1</v>
      </c>
      <c r="X17" s="17">
        <f t="shared" si="9"/>
        <v>2</v>
      </c>
      <c r="Y17" s="17">
        <f t="shared" si="9"/>
        <v>22</v>
      </c>
      <c r="Z17" s="17">
        <f t="shared" si="9"/>
        <v>4</v>
      </c>
      <c r="AA17" s="17">
        <f t="shared" si="9"/>
        <v>2</v>
      </c>
      <c r="AB17" s="17">
        <f t="shared" si="9"/>
        <v>3</v>
      </c>
      <c r="AC17" s="17">
        <f t="shared" si="9"/>
        <v>730</v>
      </c>
      <c r="AD17" s="17">
        <f t="shared" si="9"/>
        <v>0</v>
      </c>
      <c r="AE17" s="31">
        <f t="shared" si="9"/>
        <v>318</v>
      </c>
      <c r="AF17" s="31">
        <f t="shared" si="9"/>
        <v>1048</v>
      </c>
    </row>
    <row r="18" spans="2:32" ht="23.1" customHeight="1" x14ac:dyDescent="0.25">
      <c r="B18" s="23" t="s">
        <v>45</v>
      </c>
      <c r="C18" s="50">
        <v>106</v>
      </c>
      <c r="D18" s="50">
        <v>26</v>
      </c>
      <c r="E18" s="50">
        <v>7</v>
      </c>
      <c r="F18" s="50">
        <v>26</v>
      </c>
      <c r="G18" s="50">
        <v>0</v>
      </c>
      <c r="H18" s="50">
        <v>0</v>
      </c>
      <c r="I18" s="50">
        <v>10</v>
      </c>
      <c r="J18" s="50">
        <v>1</v>
      </c>
      <c r="K18" s="50">
        <v>0</v>
      </c>
      <c r="L18" s="50">
        <v>0</v>
      </c>
      <c r="M18" s="50">
        <v>130</v>
      </c>
      <c r="N18" s="50">
        <v>0</v>
      </c>
      <c r="O18" s="15">
        <f t="shared" si="0"/>
        <v>176</v>
      </c>
      <c r="P18" s="15">
        <f t="shared" si="1"/>
        <v>306</v>
      </c>
      <c r="R18" s="1" t="s">
        <v>14</v>
      </c>
      <c r="S18" s="17">
        <f t="shared" ref="S18:AF18" si="10">SUM(C42:C45)</f>
        <v>175</v>
      </c>
      <c r="T18" s="17">
        <f t="shared" si="10"/>
        <v>16</v>
      </c>
      <c r="U18" s="17">
        <f t="shared" si="10"/>
        <v>22</v>
      </c>
      <c r="V18" s="17">
        <f t="shared" si="10"/>
        <v>46</v>
      </c>
      <c r="W18" s="17">
        <f t="shared" si="10"/>
        <v>3</v>
      </c>
      <c r="X18" s="17">
        <f t="shared" si="10"/>
        <v>0</v>
      </c>
      <c r="Y18" s="17">
        <f t="shared" si="10"/>
        <v>17</v>
      </c>
      <c r="Z18" s="17">
        <f t="shared" si="10"/>
        <v>2</v>
      </c>
      <c r="AA18" s="17">
        <f t="shared" si="10"/>
        <v>2</v>
      </c>
      <c r="AB18" s="17">
        <f t="shared" si="10"/>
        <v>0</v>
      </c>
      <c r="AC18" s="17">
        <f t="shared" si="10"/>
        <v>224</v>
      </c>
      <c r="AD18" s="17">
        <f t="shared" si="10"/>
        <v>0</v>
      </c>
      <c r="AE18" s="31">
        <f t="shared" si="10"/>
        <v>283</v>
      </c>
      <c r="AF18" s="31">
        <f t="shared" si="10"/>
        <v>507</v>
      </c>
    </row>
    <row r="19" spans="2:32" ht="23.1" customHeight="1" x14ac:dyDescent="0.25">
      <c r="B19" s="23" t="s">
        <v>46</v>
      </c>
      <c r="C19" s="50">
        <v>53</v>
      </c>
      <c r="D19" s="50">
        <v>15</v>
      </c>
      <c r="E19" s="50">
        <v>8</v>
      </c>
      <c r="F19" s="50">
        <v>16</v>
      </c>
      <c r="G19" s="50">
        <v>0</v>
      </c>
      <c r="H19" s="50">
        <v>0</v>
      </c>
      <c r="I19" s="50">
        <v>8</v>
      </c>
      <c r="J19" s="50">
        <v>1</v>
      </c>
      <c r="K19" s="50">
        <v>1</v>
      </c>
      <c r="L19" s="50">
        <v>0</v>
      </c>
      <c r="M19" s="50">
        <v>167</v>
      </c>
      <c r="N19" s="50">
        <v>0</v>
      </c>
      <c r="O19" s="15">
        <f t="shared" si="0"/>
        <v>102</v>
      </c>
      <c r="P19" s="15">
        <f t="shared" si="1"/>
        <v>269</v>
      </c>
      <c r="R19" s="1" t="s">
        <v>15</v>
      </c>
      <c r="S19" s="17">
        <f t="shared" ref="S19:AF19" si="11">SUM(C46:C49)</f>
        <v>202</v>
      </c>
      <c r="T19" s="17">
        <f t="shared" si="11"/>
        <v>12</v>
      </c>
      <c r="U19" s="17">
        <f t="shared" si="11"/>
        <v>32</v>
      </c>
      <c r="V19" s="17">
        <f t="shared" si="11"/>
        <v>62</v>
      </c>
      <c r="W19" s="17">
        <f t="shared" si="11"/>
        <v>0</v>
      </c>
      <c r="X19" s="17">
        <f t="shared" si="11"/>
        <v>2</v>
      </c>
      <c r="Y19" s="17">
        <f t="shared" si="11"/>
        <v>22</v>
      </c>
      <c r="Z19" s="17">
        <f t="shared" si="11"/>
        <v>2</v>
      </c>
      <c r="AA19" s="17">
        <f t="shared" si="11"/>
        <v>2</v>
      </c>
      <c r="AB19" s="17">
        <f t="shared" si="11"/>
        <v>3</v>
      </c>
      <c r="AC19" s="17">
        <f t="shared" si="11"/>
        <v>858</v>
      </c>
      <c r="AD19" s="17">
        <f t="shared" si="11"/>
        <v>0</v>
      </c>
      <c r="AE19" s="31">
        <f t="shared" si="11"/>
        <v>339</v>
      </c>
      <c r="AF19" s="31">
        <f t="shared" si="11"/>
        <v>1197</v>
      </c>
    </row>
    <row r="20" spans="2:32" ht="23.1" customHeight="1" x14ac:dyDescent="0.25">
      <c r="B20" s="23" t="s">
        <v>47</v>
      </c>
      <c r="C20" s="50">
        <v>41</v>
      </c>
      <c r="D20" s="50">
        <v>13</v>
      </c>
      <c r="E20" s="50">
        <v>3</v>
      </c>
      <c r="F20" s="50">
        <v>27</v>
      </c>
      <c r="G20" s="50">
        <v>1</v>
      </c>
      <c r="H20" s="50">
        <v>0</v>
      </c>
      <c r="I20" s="50">
        <v>6</v>
      </c>
      <c r="J20" s="50">
        <v>0</v>
      </c>
      <c r="K20" s="50">
        <v>0</v>
      </c>
      <c r="L20" s="50">
        <v>0</v>
      </c>
      <c r="M20" s="50">
        <v>166</v>
      </c>
      <c r="N20" s="50">
        <v>0</v>
      </c>
      <c r="O20" s="15">
        <f t="shared" si="0"/>
        <v>91</v>
      </c>
      <c r="P20" s="15">
        <f t="shared" si="1"/>
        <v>257</v>
      </c>
      <c r="R20" s="1" t="s">
        <v>16</v>
      </c>
      <c r="S20" s="17">
        <f t="shared" ref="S20:AF20" si="12">SUM(C50:C53)</f>
        <v>172</v>
      </c>
      <c r="T20" s="17">
        <f t="shared" si="12"/>
        <v>23</v>
      </c>
      <c r="U20" s="17">
        <f t="shared" si="12"/>
        <v>17</v>
      </c>
      <c r="V20" s="17">
        <f t="shared" si="12"/>
        <v>74</v>
      </c>
      <c r="W20" s="17">
        <f t="shared" si="12"/>
        <v>2</v>
      </c>
      <c r="X20" s="17">
        <f t="shared" si="12"/>
        <v>0</v>
      </c>
      <c r="Y20" s="17">
        <f t="shared" si="12"/>
        <v>23</v>
      </c>
      <c r="Z20" s="17">
        <f t="shared" si="12"/>
        <v>0</v>
      </c>
      <c r="AA20" s="17">
        <f t="shared" si="12"/>
        <v>2</v>
      </c>
      <c r="AB20" s="17">
        <f t="shared" si="12"/>
        <v>4</v>
      </c>
      <c r="AC20" s="17">
        <f t="shared" si="12"/>
        <v>828</v>
      </c>
      <c r="AD20" s="17">
        <f t="shared" si="12"/>
        <v>0</v>
      </c>
      <c r="AE20" s="31">
        <f t="shared" si="12"/>
        <v>317</v>
      </c>
      <c r="AF20" s="31">
        <f t="shared" si="12"/>
        <v>1145</v>
      </c>
    </row>
    <row r="21" spans="2:32" ht="23.1" customHeight="1" x14ac:dyDescent="0.25">
      <c r="B21" s="23" t="s">
        <v>48</v>
      </c>
      <c r="C21" s="50">
        <v>70</v>
      </c>
      <c r="D21" s="50">
        <v>9</v>
      </c>
      <c r="E21" s="50">
        <v>15</v>
      </c>
      <c r="F21" s="50">
        <v>28</v>
      </c>
      <c r="G21" s="50">
        <v>0</v>
      </c>
      <c r="H21" s="50">
        <v>0</v>
      </c>
      <c r="I21" s="50">
        <v>7</v>
      </c>
      <c r="J21" s="50">
        <v>0</v>
      </c>
      <c r="K21" s="50">
        <v>1</v>
      </c>
      <c r="L21" s="50">
        <v>0</v>
      </c>
      <c r="M21" s="50">
        <v>155</v>
      </c>
      <c r="N21" s="50">
        <v>0</v>
      </c>
      <c r="O21" s="15">
        <f t="shared" si="0"/>
        <v>130</v>
      </c>
      <c r="P21" s="15">
        <f t="shared" si="1"/>
        <v>285</v>
      </c>
      <c r="R21" s="36" t="s">
        <v>20</v>
      </c>
      <c r="S21" s="34">
        <f t="shared" ref="S21:AF21" si="13">SUM(C54:C57)</f>
        <v>145</v>
      </c>
      <c r="T21" s="17">
        <f t="shared" si="13"/>
        <v>26</v>
      </c>
      <c r="U21" s="17">
        <f t="shared" si="13"/>
        <v>18</v>
      </c>
      <c r="V21" s="17">
        <f t="shared" si="13"/>
        <v>123</v>
      </c>
      <c r="W21" s="17">
        <f t="shared" si="13"/>
        <v>6</v>
      </c>
      <c r="X21" s="17">
        <f t="shared" si="13"/>
        <v>2</v>
      </c>
      <c r="Y21" s="17">
        <f t="shared" si="13"/>
        <v>23</v>
      </c>
      <c r="Z21" s="17">
        <f t="shared" si="13"/>
        <v>1</v>
      </c>
      <c r="AA21" s="17">
        <f t="shared" si="13"/>
        <v>1</v>
      </c>
      <c r="AB21" s="17">
        <f t="shared" si="13"/>
        <v>2</v>
      </c>
      <c r="AC21" s="17">
        <f t="shared" si="13"/>
        <v>873</v>
      </c>
      <c r="AD21" s="17">
        <f t="shared" si="13"/>
        <v>0</v>
      </c>
      <c r="AE21" s="31">
        <f t="shared" si="13"/>
        <v>347</v>
      </c>
      <c r="AF21" s="31">
        <f t="shared" si="13"/>
        <v>1220</v>
      </c>
    </row>
    <row r="22" spans="2:32" ht="23.1" customHeight="1" x14ac:dyDescent="0.25">
      <c r="B22" s="23" t="s">
        <v>49</v>
      </c>
      <c r="C22" s="50">
        <v>55</v>
      </c>
      <c r="D22" s="50">
        <v>10</v>
      </c>
      <c r="E22" s="50">
        <v>9</v>
      </c>
      <c r="F22" s="50">
        <v>41</v>
      </c>
      <c r="G22" s="50">
        <v>0</v>
      </c>
      <c r="H22" s="50">
        <v>1</v>
      </c>
      <c r="I22" s="50">
        <v>10</v>
      </c>
      <c r="J22" s="50">
        <v>1</v>
      </c>
      <c r="K22" s="50">
        <v>0</v>
      </c>
      <c r="L22" s="50">
        <v>1</v>
      </c>
      <c r="M22" s="50">
        <v>210</v>
      </c>
      <c r="N22" s="50">
        <v>0</v>
      </c>
      <c r="O22" s="15">
        <f t="shared" si="0"/>
        <v>128</v>
      </c>
      <c r="P22" s="15">
        <f t="shared" si="1"/>
        <v>338</v>
      </c>
      <c r="R22" s="38" t="s">
        <v>90</v>
      </c>
      <c r="S22" s="39">
        <f>MAX(S10:S12)</f>
        <v>270</v>
      </c>
      <c r="T22" s="39">
        <f t="shared" ref="T22:AF22" si="14">MAX(T10:T12)</f>
        <v>63</v>
      </c>
      <c r="U22" s="39">
        <f t="shared" si="14"/>
        <v>33</v>
      </c>
      <c r="V22" s="39">
        <f t="shared" si="14"/>
        <v>97</v>
      </c>
      <c r="W22" s="39">
        <f t="shared" si="14"/>
        <v>1</v>
      </c>
      <c r="X22" s="39">
        <f t="shared" si="14"/>
        <v>3</v>
      </c>
      <c r="Y22" s="39">
        <f t="shared" si="14"/>
        <v>31</v>
      </c>
      <c r="Z22" s="39">
        <f t="shared" si="14"/>
        <v>4</v>
      </c>
      <c r="AA22" s="39">
        <f t="shared" si="14"/>
        <v>3</v>
      </c>
      <c r="AB22" s="39">
        <f t="shared" si="14"/>
        <v>0</v>
      </c>
      <c r="AC22" s="39">
        <f t="shared" si="14"/>
        <v>618</v>
      </c>
      <c r="AD22" s="39">
        <f t="shared" si="14"/>
        <v>0</v>
      </c>
      <c r="AE22" s="40">
        <f t="shared" si="14"/>
        <v>499</v>
      </c>
      <c r="AF22" s="40">
        <f t="shared" si="14"/>
        <v>1117</v>
      </c>
    </row>
    <row r="23" spans="2:32" ht="23.1" customHeight="1" x14ac:dyDescent="0.25">
      <c r="B23" s="23" t="s">
        <v>50</v>
      </c>
      <c r="C23" s="50">
        <v>40</v>
      </c>
      <c r="D23" s="50">
        <v>13</v>
      </c>
      <c r="E23" s="50">
        <v>13</v>
      </c>
      <c r="F23" s="50">
        <v>28</v>
      </c>
      <c r="G23" s="50">
        <v>0</v>
      </c>
      <c r="H23" s="50">
        <v>0</v>
      </c>
      <c r="I23" s="50">
        <v>5</v>
      </c>
      <c r="J23" s="50">
        <v>3</v>
      </c>
      <c r="K23" s="50">
        <v>4</v>
      </c>
      <c r="L23" s="50">
        <v>0</v>
      </c>
      <c r="M23" s="50">
        <v>166</v>
      </c>
      <c r="N23" s="50">
        <v>0</v>
      </c>
      <c r="O23" s="15">
        <f t="shared" si="0"/>
        <v>106</v>
      </c>
      <c r="P23" s="15">
        <f t="shared" si="1"/>
        <v>272</v>
      </c>
      <c r="R23" s="38" t="s">
        <v>91</v>
      </c>
      <c r="S23" s="39">
        <f>MAX(S13:S18)</f>
        <v>215</v>
      </c>
      <c r="T23" s="39">
        <f t="shared" ref="T23:AF23" si="15">MAX(T13:T18)</f>
        <v>46</v>
      </c>
      <c r="U23" s="39">
        <f t="shared" si="15"/>
        <v>35</v>
      </c>
      <c r="V23" s="39">
        <f t="shared" si="15"/>
        <v>138</v>
      </c>
      <c r="W23" s="39">
        <f t="shared" si="15"/>
        <v>3</v>
      </c>
      <c r="X23" s="39">
        <f t="shared" si="15"/>
        <v>2</v>
      </c>
      <c r="Y23" s="39">
        <f t="shared" si="15"/>
        <v>32</v>
      </c>
      <c r="Z23" s="39">
        <f t="shared" si="15"/>
        <v>10</v>
      </c>
      <c r="AA23" s="39">
        <f t="shared" si="15"/>
        <v>6</v>
      </c>
      <c r="AB23" s="39">
        <f t="shared" si="15"/>
        <v>3</v>
      </c>
      <c r="AC23" s="39">
        <f t="shared" si="15"/>
        <v>791</v>
      </c>
      <c r="AD23" s="39">
        <f t="shared" si="15"/>
        <v>0</v>
      </c>
      <c r="AE23" s="40">
        <f t="shared" si="15"/>
        <v>485</v>
      </c>
      <c r="AF23" s="40">
        <f t="shared" si="15"/>
        <v>1276</v>
      </c>
    </row>
    <row r="24" spans="2:32" ht="23.1" customHeight="1" x14ac:dyDescent="0.25">
      <c r="B24" s="23" t="s">
        <v>51</v>
      </c>
      <c r="C24" s="50">
        <v>68</v>
      </c>
      <c r="D24" s="50">
        <v>11</v>
      </c>
      <c r="E24" s="50">
        <v>7</v>
      </c>
      <c r="F24" s="50">
        <v>32</v>
      </c>
      <c r="G24" s="50">
        <v>0</v>
      </c>
      <c r="H24" s="50">
        <v>0</v>
      </c>
      <c r="I24" s="50">
        <v>9</v>
      </c>
      <c r="J24" s="50">
        <v>4</v>
      </c>
      <c r="K24" s="50">
        <v>1</v>
      </c>
      <c r="L24" s="50">
        <v>0</v>
      </c>
      <c r="M24" s="50">
        <v>205</v>
      </c>
      <c r="N24" s="50">
        <v>0</v>
      </c>
      <c r="O24" s="15">
        <f t="shared" si="0"/>
        <v>132</v>
      </c>
      <c r="P24" s="15">
        <f t="shared" si="1"/>
        <v>337</v>
      </c>
      <c r="R24" s="38" t="s">
        <v>92</v>
      </c>
      <c r="S24" s="39">
        <f>MAX(S19:S21)</f>
        <v>202</v>
      </c>
      <c r="T24" s="39">
        <f t="shared" ref="T24:AF24" si="16">MAX(T19:T21)</f>
        <v>26</v>
      </c>
      <c r="U24" s="39">
        <f t="shared" si="16"/>
        <v>32</v>
      </c>
      <c r="V24" s="39">
        <f t="shared" si="16"/>
        <v>123</v>
      </c>
      <c r="W24" s="39">
        <f t="shared" si="16"/>
        <v>6</v>
      </c>
      <c r="X24" s="39">
        <f t="shared" si="16"/>
        <v>2</v>
      </c>
      <c r="Y24" s="39">
        <f t="shared" si="16"/>
        <v>23</v>
      </c>
      <c r="Z24" s="39">
        <f t="shared" si="16"/>
        <v>2</v>
      </c>
      <c r="AA24" s="39">
        <f t="shared" si="16"/>
        <v>2</v>
      </c>
      <c r="AB24" s="39">
        <f t="shared" si="16"/>
        <v>4</v>
      </c>
      <c r="AC24" s="39">
        <f t="shared" si="16"/>
        <v>873</v>
      </c>
      <c r="AD24" s="39">
        <f t="shared" si="16"/>
        <v>0</v>
      </c>
      <c r="AE24" s="40">
        <f t="shared" si="16"/>
        <v>347</v>
      </c>
      <c r="AF24" s="40">
        <f t="shared" si="16"/>
        <v>1220</v>
      </c>
    </row>
    <row r="25" spans="2:32" ht="23.1" customHeight="1" x14ac:dyDescent="0.25">
      <c r="B25" s="23" t="s">
        <v>52</v>
      </c>
      <c r="C25" s="50">
        <v>52</v>
      </c>
      <c r="D25" s="50">
        <v>12</v>
      </c>
      <c r="E25" s="50">
        <v>6</v>
      </c>
      <c r="F25" s="50">
        <v>37</v>
      </c>
      <c r="G25" s="50">
        <v>1</v>
      </c>
      <c r="H25" s="50">
        <v>0</v>
      </c>
      <c r="I25" s="50">
        <v>8</v>
      </c>
      <c r="J25" s="50">
        <v>2</v>
      </c>
      <c r="K25" s="50">
        <v>1</v>
      </c>
      <c r="L25" s="50">
        <v>0</v>
      </c>
      <c r="M25" s="50">
        <v>210</v>
      </c>
      <c r="N25" s="50">
        <v>0</v>
      </c>
      <c r="O25" s="15">
        <f t="shared" si="0"/>
        <v>119</v>
      </c>
      <c r="P25" s="15">
        <f t="shared" si="1"/>
        <v>329</v>
      </c>
      <c r="R25" s="37" t="s">
        <v>85</v>
      </c>
      <c r="S25" s="35">
        <f t="shared" ref="S25:AF25" si="17">SUM(S10:S12)</f>
        <v>621</v>
      </c>
      <c r="T25" s="16">
        <f t="shared" si="17"/>
        <v>159</v>
      </c>
      <c r="U25" s="16">
        <f t="shared" si="17"/>
        <v>64</v>
      </c>
      <c r="V25" s="16">
        <f t="shared" si="17"/>
        <v>225</v>
      </c>
      <c r="W25" s="16">
        <f t="shared" si="17"/>
        <v>3</v>
      </c>
      <c r="X25" s="16">
        <f t="shared" si="17"/>
        <v>3</v>
      </c>
      <c r="Y25" s="16">
        <f t="shared" si="17"/>
        <v>48</v>
      </c>
      <c r="Z25" s="16">
        <f t="shared" si="17"/>
        <v>10</v>
      </c>
      <c r="AA25" s="16">
        <f t="shared" si="17"/>
        <v>8</v>
      </c>
      <c r="AB25" s="16">
        <f t="shared" si="17"/>
        <v>0</v>
      </c>
      <c r="AC25" s="16">
        <f t="shared" si="17"/>
        <v>1313</v>
      </c>
      <c r="AD25" s="16">
        <f t="shared" si="17"/>
        <v>0</v>
      </c>
      <c r="AE25" s="32">
        <f t="shared" si="17"/>
        <v>1141</v>
      </c>
      <c r="AF25" s="32">
        <f t="shared" si="17"/>
        <v>2454</v>
      </c>
    </row>
    <row r="26" spans="2:32" ht="23.1" customHeight="1" x14ac:dyDescent="0.25">
      <c r="B26" s="23" t="s">
        <v>53</v>
      </c>
      <c r="C26" s="50">
        <v>45</v>
      </c>
      <c r="D26" s="50">
        <v>8</v>
      </c>
      <c r="E26" s="50">
        <v>8</v>
      </c>
      <c r="F26" s="50">
        <v>28</v>
      </c>
      <c r="G26" s="50">
        <v>0</v>
      </c>
      <c r="H26" s="50">
        <v>0</v>
      </c>
      <c r="I26" s="50">
        <v>6</v>
      </c>
      <c r="J26" s="50">
        <v>3</v>
      </c>
      <c r="K26" s="50">
        <v>0</v>
      </c>
      <c r="L26" s="50">
        <v>0</v>
      </c>
      <c r="M26" s="50">
        <v>226</v>
      </c>
      <c r="N26" s="50">
        <v>0</v>
      </c>
      <c r="O26" s="15">
        <f t="shared" si="0"/>
        <v>98</v>
      </c>
      <c r="P26" s="15">
        <f t="shared" si="1"/>
        <v>324</v>
      </c>
      <c r="R26" s="28" t="s">
        <v>86</v>
      </c>
      <c r="S26" s="16">
        <f t="shared" ref="S26:AF26" si="18">SUM(S13:S18)</f>
        <v>1143</v>
      </c>
      <c r="T26" s="16">
        <f t="shared" si="18"/>
        <v>167</v>
      </c>
      <c r="U26" s="16">
        <f t="shared" si="18"/>
        <v>158</v>
      </c>
      <c r="V26" s="16">
        <f t="shared" si="18"/>
        <v>527</v>
      </c>
      <c r="W26" s="16">
        <f t="shared" si="18"/>
        <v>10</v>
      </c>
      <c r="X26" s="16">
        <f t="shared" si="18"/>
        <v>5</v>
      </c>
      <c r="Y26" s="16">
        <f t="shared" si="18"/>
        <v>150</v>
      </c>
      <c r="Z26" s="16">
        <f t="shared" si="18"/>
        <v>33</v>
      </c>
      <c r="AA26" s="16">
        <f t="shared" si="18"/>
        <v>15</v>
      </c>
      <c r="AB26" s="16">
        <f t="shared" si="18"/>
        <v>10</v>
      </c>
      <c r="AC26" s="16">
        <f t="shared" si="18"/>
        <v>3974</v>
      </c>
      <c r="AD26" s="16">
        <f t="shared" si="18"/>
        <v>0</v>
      </c>
      <c r="AE26" s="32">
        <f t="shared" si="18"/>
        <v>2218</v>
      </c>
      <c r="AF26" s="32">
        <f t="shared" si="18"/>
        <v>6192</v>
      </c>
    </row>
    <row r="27" spans="2:32" ht="23.1" customHeight="1" x14ac:dyDescent="0.25">
      <c r="B27" s="23" t="s">
        <v>54</v>
      </c>
      <c r="C27" s="50">
        <v>54</v>
      </c>
      <c r="D27" s="50">
        <v>8</v>
      </c>
      <c r="E27" s="50">
        <v>9</v>
      </c>
      <c r="F27" s="50">
        <v>25</v>
      </c>
      <c r="G27" s="50">
        <v>1</v>
      </c>
      <c r="H27" s="50">
        <v>0</v>
      </c>
      <c r="I27" s="50">
        <v>5</v>
      </c>
      <c r="J27" s="50">
        <v>0</v>
      </c>
      <c r="K27" s="50">
        <v>4</v>
      </c>
      <c r="L27" s="50">
        <v>1</v>
      </c>
      <c r="M27" s="50">
        <v>214</v>
      </c>
      <c r="N27" s="50">
        <v>0</v>
      </c>
      <c r="O27" s="15">
        <f t="shared" si="0"/>
        <v>107</v>
      </c>
      <c r="P27" s="15">
        <f t="shared" si="1"/>
        <v>321</v>
      </c>
      <c r="R27" s="29" t="s">
        <v>87</v>
      </c>
      <c r="S27" s="16">
        <f t="shared" ref="S27:AF27" si="19">SUM(S19:S21)</f>
        <v>519</v>
      </c>
      <c r="T27" s="16">
        <f t="shared" si="19"/>
        <v>61</v>
      </c>
      <c r="U27" s="16">
        <f t="shared" si="19"/>
        <v>67</v>
      </c>
      <c r="V27" s="16">
        <f t="shared" si="19"/>
        <v>259</v>
      </c>
      <c r="W27" s="16">
        <f t="shared" si="19"/>
        <v>8</v>
      </c>
      <c r="X27" s="16">
        <f t="shared" si="19"/>
        <v>4</v>
      </c>
      <c r="Y27" s="16">
        <f t="shared" si="19"/>
        <v>68</v>
      </c>
      <c r="Z27" s="16">
        <f t="shared" si="19"/>
        <v>3</v>
      </c>
      <c r="AA27" s="16">
        <f t="shared" si="19"/>
        <v>5</v>
      </c>
      <c r="AB27" s="16">
        <f t="shared" si="19"/>
        <v>9</v>
      </c>
      <c r="AC27" s="16">
        <f t="shared" si="19"/>
        <v>2559</v>
      </c>
      <c r="AD27" s="16">
        <f t="shared" si="19"/>
        <v>0</v>
      </c>
      <c r="AE27" s="32">
        <f t="shared" si="19"/>
        <v>1003</v>
      </c>
      <c r="AF27" s="32">
        <f t="shared" si="19"/>
        <v>3562</v>
      </c>
    </row>
    <row r="28" spans="2:32" ht="23.1" customHeight="1" x14ac:dyDescent="0.25">
      <c r="B28" s="23" t="s">
        <v>55</v>
      </c>
      <c r="C28" s="50">
        <v>59</v>
      </c>
      <c r="D28" s="50">
        <v>8</v>
      </c>
      <c r="E28" s="50">
        <v>4</v>
      </c>
      <c r="F28" s="50">
        <v>26</v>
      </c>
      <c r="G28" s="50">
        <v>0</v>
      </c>
      <c r="H28" s="50">
        <v>0</v>
      </c>
      <c r="I28" s="50">
        <v>8</v>
      </c>
      <c r="J28" s="50">
        <v>2</v>
      </c>
      <c r="K28" s="50">
        <v>0</v>
      </c>
      <c r="L28" s="50">
        <v>0</v>
      </c>
      <c r="M28" s="50">
        <v>189</v>
      </c>
      <c r="N28" s="50">
        <v>0</v>
      </c>
      <c r="O28" s="15">
        <f t="shared" si="0"/>
        <v>107</v>
      </c>
      <c r="P28" s="15">
        <f t="shared" si="1"/>
        <v>296</v>
      </c>
      <c r="R28" s="5" t="s">
        <v>17</v>
      </c>
      <c r="S28" s="16">
        <f t="shared" ref="S28:AF28" si="20">SUM(S10:S21)</f>
        <v>2283</v>
      </c>
      <c r="T28" s="16">
        <f t="shared" si="20"/>
        <v>387</v>
      </c>
      <c r="U28" s="16">
        <f t="shared" si="20"/>
        <v>289</v>
      </c>
      <c r="V28" s="16">
        <f t="shared" si="20"/>
        <v>1011</v>
      </c>
      <c r="W28" s="16">
        <f t="shared" si="20"/>
        <v>21</v>
      </c>
      <c r="X28" s="16">
        <f t="shared" si="20"/>
        <v>12</v>
      </c>
      <c r="Y28" s="16">
        <f t="shared" si="20"/>
        <v>266</v>
      </c>
      <c r="Z28" s="16">
        <f t="shared" si="20"/>
        <v>46</v>
      </c>
      <c r="AA28" s="16">
        <f t="shared" si="20"/>
        <v>28</v>
      </c>
      <c r="AB28" s="16">
        <f t="shared" si="20"/>
        <v>19</v>
      </c>
      <c r="AC28" s="16">
        <f t="shared" si="20"/>
        <v>7846</v>
      </c>
      <c r="AD28" s="16">
        <f t="shared" si="20"/>
        <v>0</v>
      </c>
      <c r="AE28" s="32">
        <f t="shared" si="20"/>
        <v>4362</v>
      </c>
      <c r="AF28" s="32">
        <f t="shared" si="20"/>
        <v>12208</v>
      </c>
    </row>
    <row r="29" spans="2:32" ht="23.1" customHeight="1" x14ac:dyDescent="0.25">
      <c r="B29" s="23" t="s">
        <v>56</v>
      </c>
      <c r="C29" s="50">
        <v>42</v>
      </c>
      <c r="D29" s="50">
        <v>7</v>
      </c>
      <c r="E29" s="50">
        <v>13</v>
      </c>
      <c r="F29" s="50">
        <v>21</v>
      </c>
      <c r="G29" s="50">
        <v>2</v>
      </c>
      <c r="H29" s="50">
        <v>1</v>
      </c>
      <c r="I29" s="50">
        <v>4</v>
      </c>
      <c r="J29" s="50">
        <v>4</v>
      </c>
      <c r="K29" s="50">
        <v>0</v>
      </c>
      <c r="L29" s="50">
        <v>2</v>
      </c>
      <c r="M29" s="50">
        <v>157</v>
      </c>
      <c r="N29" s="50">
        <v>0</v>
      </c>
      <c r="O29" s="15">
        <f t="shared" si="0"/>
        <v>96</v>
      </c>
      <c r="P29" s="15">
        <f t="shared" si="1"/>
        <v>253</v>
      </c>
      <c r="R29"/>
      <c r="S29" s="20"/>
      <c r="T29" s="19"/>
    </row>
    <row r="30" spans="2:32" ht="23.1" customHeight="1" x14ac:dyDescent="0.25">
      <c r="B30" s="23" t="s">
        <v>57</v>
      </c>
      <c r="C30" s="50">
        <v>50</v>
      </c>
      <c r="D30" s="50">
        <v>10</v>
      </c>
      <c r="E30" s="50">
        <v>3</v>
      </c>
      <c r="F30" s="50">
        <v>26</v>
      </c>
      <c r="G30" s="50">
        <v>0</v>
      </c>
      <c r="H30" s="50">
        <v>0</v>
      </c>
      <c r="I30" s="50">
        <v>9</v>
      </c>
      <c r="J30" s="50">
        <v>0</v>
      </c>
      <c r="K30" s="50">
        <v>0</v>
      </c>
      <c r="L30" s="50">
        <v>0</v>
      </c>
      <c r="M30" s="50">
        <v>220</v>
      </c>
      <c r="N30" s="50">
        <v>0</v>
      </c>
      <c r="O30" s="15">
        <f t="shared" si="0"/>
        <v>98</v>
      </c>
      <c r="P30" s="15">
        <f t="shared" si="1"/>
        <v>318</v>
      </c>
    </row>
    <row r="31" spans="2:32" ht="23.1" customHeight="1" x14ac:dyDescent="0.25">
      <c r="B31" s="24" t="s">
        <v>58</v>
      </c>
      <c r="C31" s="50">
        <v>56</v>
      </c>
      <c r="D31" s="50">
        <v>7</v>
      </c>
      <c r="E31" s="50">
        <v>8</v>
      </c>
      <c r="F31" s="50">
        <v>20</v>
      </c>
      <c r="G31" s="50">
        <v>0</v>
      </c>
      <c r="H31" s="50">
        <v>0</v>
      </c>
      <c r="I31" s="50">
        <v>9</v>
      </c>
      <c r="J31" s="50">
        <v>0</v>
      </c>
      <c r="K31" s="50">
        <v>0</v>
      </c>
      <c r="L31" s="50">
        <v>0</v>
      </c>
      <c r="M31" s="50">
        <v>194</v>
      </c>
      <c r="N31" s="50">
        <v>0</v>
      </c>
      <c r="O31" s="15">
        <f t="shared" si="0"/>
        <v>100</v>
      </c>
      <c r="P31" s="15">
        <f t="shared" si="1"/>
        <v>294</v>
      </c>
    </row>
    <row r="32" spans="2:32" ht="23.1" customHeight="1" x14ac:dyDescent="0.25">
      <c r="B32" s="24" t="s">
        <v>59</v>
      </c>
      <c r="C32" s="50">
        <v>55</v>
      </c>
      <c r="D32" s="50">
        <v>1</v>
      </c>
      <c r="E32" s="50">
        <v>3</v>
      </c>
      <c r="F32" s="50">
        <v>24</v>
      </c>
      <c r="G32" s="50">
        <v>0</v>
      </c>
      <c r="H32" s="50">
        <v>0</v>
      </c>
      <c r="I32" s="50">
        <v>4</v>
      </c>
      <c r="J32" s="50">
        <v>2</v>
      </c>
      <c r="K32" s="50">
        <v>0</v>
      </c>
      <c r="L32" s="50">
        <v>1</v>
      </c>
      <c r="M32" s="50">
        <v>170</v>
      </c>
      <c r="N32" s="50">
        <v>0</v>
      </c>
      <c r="O32" s="15">
        <f t="shared" si="0"/>
        <v>90</v>
      </c>
      <c r="P32" s="15">
        <f t="shared" si="1"/>
        <v>260</v>
      </c>
    </row>
    <row r="33" spans="2:20" ht="23.1" customHeight="1" x14ac:dyDescent="0.25">
      <c r="B33" s="23" t="s">
        <v>60</v>
      </c>
      <c r="C33" s="50">
        <v>46</v>
      </c>
      <c r="D33" s="50">
        <v>7</v>
      </c>
      <c r="E33" s="50">
        <v>6</v>
      </c>
      <c r="F33" s="50">
        <v>23</v>
      </c>
      <c r="G33" s="50">
        <v>0</v>
      </c>
      <c r="H33" s="50">
        <v>0</v>
      </c>
      <c r="I33" s="50">
        <v>7</v>
      </c>
      <c r="J33" s="50">
        <v>3</v>
      </c>
      <c r="K33" s="50">
        <v>0</v>
      </c>
      <c r="L33" s="50">
        <v>0</v>
      </c>
      <c r="M33" s="50">
        <v>156</v>
      </c>
      <c r="N33" s="50">
        <v>0</v>
      </c>
      <c r="O33" s="15">
        <f t="shared" si="0"/>
        <v>92</v>
      </c>
      <c r="P33" s="15">
        <f t="shared" si="1"/>
        <v>248</v>
      </c>
    </row>
    <row r="34" spans="2:20" ht="23.1" customHeight="1" x14ac:dyDescent="0.25">
      <c r="B34" s="24" t="s">
        <v>61</v>
      </c>
      <c r="C34" s="50">
        <v>50</v>
      </c>
      <c r="D34" s="50">
        <v>4</v>
      </c>
      <c r="E34" s="50">
        <v>10</v>
      </c>
      <c r="F34" s="50">
        <v>19</v>
      </c>
      <c r="G34" s="50">
        <v>0</v>
      </c>
      <c r="H34" s="50">
        <v>1</v>
      </c>
      <c r="I34" s="50">
        <v>8</v>
      </c>
      <c r="J34" s="50">
        <v>2</v>
      </c>
      <c r="K34" s="50">
        <v>0</v>
      </c>
      <c r="L34" s="50">
        <v>0</v>
      </c>
      <c r="M34" s="50">
        <v>183</v>
      </c>
      <c r="N34" s="50">
        <v>0</v>
      </c>
      <c r="O34" s="15">
        <f t="shared" si="0"/>
        <v>94</v>
      </c>
      <c r="P34" s="15">
        <f t="shared" si="1"/>
        <v>277</v>
      </c>
    </row>
    <row r="35" spans="2:20" ht="23.1" customHeight="1" x14ac:dyDescent="0.25">
      <c r="B35" s="24" t="s">
        <v>62</v>
      </c>
      <c r="C35" s="50">
        <v>51</v>
      </c>
      <c r="D35" s="50">
        <v>4</v>
      </c>
      <c r="E35" s="50">
        <v>7</v>
      </c>
      <c r="F35" s="50">
        <v>22</v>
      </c>
      <c r="G35" s="50">
        <v>0</v>
      </c>
      <c r="H35" s="50">
        <v>0</v>
      </c>
      <c r="I35" s="50">
        <v>4</v>
      </c>
      <c r="J35" s="50">
        <v>0</v>
      </c>
      <c r="K35" s="50">
        <v>0</v>
      </c>
      <c r="L35" s="50">
        <v>1</v>
      </c>
      <c r="M35" s="50">
        <v>193</v>
      </c>
      <c r="N35" s="50">
        <v>0</v>
      </c>
      <c r="O35" s="15">
        <f t="shared" si="0"/>
        <v>89</v>
      </c>
      <c r="P35" s="15">
        <f t="shared" si="1"/>
        <v>282</v>
      </c>
    </row>
    <row r="36" spans="2:20" ht="23.1" customHeight="1" x14ac:dyDescent="0.25">
      <c r="B36" s="24" t="s">
        <v>63</v>
      </c>
      <c r="C36" s="50">
        <v>35</v>
      </c>
      <c r="D36" s="50">
        <v>8</v>
      </c>
      <c r="E36" s="50">
        <v>5</v>
      </c>
      <c r="F36" s="50">
        <v>15</v>
      </c>
      <c r="G36" s="50">
        <v>0</v>
      </c>
      <c r="H36" s="50">
        <v>0</v>
      </c>
      <c r="I36" s="50">
        <v>7</v>
      </c>
      <c r="J36" s="50">
        <v>0</v>
      </c>
      <c r="K36" s="50">
        <v>1</v>
      </c>
      <c r="L36" s="50">
        <v>1</v>
      </c>
      <c r="M36" s="50">
        <v>171</v>
      </c>
      <c r="N36" s="50">
        <v>0</v>
      </c>
      <c r="O36" s="15">
        <f t="shared" si="0"/>
        <v>72</v>
      </c>
      <c r="P36" s="15">
        <f t="shared" si="1"/>
        <v>243</v>
      </c>
    </row>
    <row r="37" spans="2:20" ht="23.1" customHeight="1" x14ac:dyDescent="0.25">
      <c r="B37" s="23" t="s">
        <v>64</v>
      </c>
      <c r="C37" s="50">
        <v>49</v>
      </c>
      <c r="D37" s="50">
        <v>4</v>
      </c>
      <c r="E37" s="50">
        <v>7</v>
      </c>
      <c r="F37" s="50">
        <v>18</v>
      </c>
      <c r="G37" s="50">
        <v>2</v>
      </c>
      <c r="H37" s="50">
        <v>0</v>
      </c>
      <c r="I37" s="50">
        <v>8</v>
      </c>
      <c r="J37" s="50">
        <v>1</v>
      </c>
      <c r="K37" s="50">
        <v>0</v>
      </c>
      <c r="L37" s="50">
        <v>0</v>
      </c>
      <c r="M37" s="50">
        <v>156</v>
      </c>
      <c r="N37" s="50">
        <v>0</v>
      </c>
      <c r="O37" s="15">
        <f t="shared" si="0"/>
        <v>89</v>
      </c>
      <c r="P37" s="15">
        <f t="shared" si="1"/>
        <v>245</v>
      </c>
    </row>
    <row r="38" spans="2:20" ht="23.1" customHeight="1" x14ac:dyDescent="0.25">
      <c r="B38" s="24" t="s">
        <v>65</v>
      </c>
      <c r="C38" s="50">
        <v>39</v>
      </c>
      <c r="D38" s="50">
        <v>4</v>
      </c>
      <c r="E38" s="50">
        <v>5</v>
      </c>
      <c r="F38" s="50">
        <v>16</v>
      </c>
      <c r="G38" s="50">
        <v>0</v>
      </c>
      <c r="H38" s="50">
        <v>1</v>
      </c>
      <c r="I38" s="50">
        <v>3</v>
      </c>
      <c r="J38" s="50">
        <v>2</v>
      </c>
      <c r="K38" s="50">
        <v>0</v>
      </c>
      <c r="L38" s="50">
        <v>0</v>
      </c>
      <c r="M38" s="50">
        <v>204</v>
      </c>
      <c r="N38" s="50">
        <v>0</v>
      </c>
      <c r="O38" s="15">
        <f t="shared" si="0"/>
        <v>70</v>
      </c>
      <c r="P38" s="15">
        <f t="shared" si="1"/>
        <v>274</v>
      </c>
    </row>
    <row r="39" spans="2:20" ht="23.1" customHeight="1" x14ac:dyDescent="0.25">
      <c r="B39" s="24" t="s">
        <v>66</v>
      </c>
      <c r="C39" s="50">
        <v>47</v>
      </c>
      <c r="D39" s="50">
        <v>8</v>
      </c>
      <c r="E39" s="50">
        <v>3</v>
      </c>
      <c r="F39" s="50">
        <v>14</v>
      </c>
      <c r="G39" s="50">
        <v>0</v>
      </c>
      <c r="H39" s="50">
        <v>0</v>
      </c>
      <c r="I39" s="50">
        <v>6</v>
      </c>
      <c r="J39" s="50">
        <v>1</v>
      </c>
      <c r="K39" s="50">
        <v>1</v>
      </c>
      <c r="L39" s="50">
        <v>2</v>
      </c>
      <c r="M39" s="50">
        <v>154</v>
      </c>
      <c r="N39" s="50">
        <v>0</v>
      </c>
      <c r="O39" s="15">
        <f t="shared" si="0"/>
        <v>82</v>
      </c>
      <c r="P39" s="15">
        <f t="shared" si="1"/>
        <v>236</v>
      </c>
    </row>
    <row r="40" spans="2:20" ht="23.1" customHeight="1" x14ac:dyDescent="0.25">
      <c r="B40" s="24" t="s">
        <v>67</v>
      </c>
      <c r="C40" s="50">
        <v>35</v>
      </c>
      <c r="D40" s="50">
        <v>8</v>
      </c>
      <c r="E40" s="50">
        <v>4</v>
      </c>
      <c r="F40" s="50">
        <v>24</v>
      </c>
      <c r="G40" s="50">
        <v>0</v>
      </c>
      <c r="H40" s="50">
        <v>0</v>
      </c>
      <c r="I40" s="50">
        <v>6</v>
      </c>
      <c r="J40" s="50">
        <v>0</v>
      </c>
      <c r="K40" s="50">
        <v>1</v>
      </c>
      <c r="L40" s="50">
        <v>0</v>
      </c>
      <c r="M40" s="50">
        <v>187</v>
      </c>
      <c r="N40" s="50">
        <v>0</v>
      </c>
      <c r="O40" s="15">
        <f t="shared" si="0"/>
        <v>78</v>
      </c>
      <c r="P40" s="15">
        <f t="shared" si="1"/>
        <v>265</v>
      </c>
    </row>
    <row r="41" spans="2:20" ht="23.1" customHeight="1" x14ac:dyDescent="0.25">
      <c r="B41" s="23" t="s">
        <v>68</v>
      </c>
      <c r="C41" s="50">
        <v>40</v>
      </c>
      <c r="D41" s="50">
        <v>9</v>
      </c>
      <c r="E41" s="50">
        <v>6</v>
      </c>
      <c r="F41" s="50">
        <v>22</v>
      </c>
      <c r="G41" s="50">
        <v>1</v>
      </c>
      <c r="H41" s="50">
        <v>1</v>
      </c>
      <c r="I41" s="50">
        <v>7</v>
      </c>
      <c r="J41" s="50">
        <v>1</v>
      </c>
      <c r="K41" s="50">
        <v>0</v>
      </c>
      <c r="L41" s="50">
        <v>1</v>
      </c>
      <c r="M41" s="50">
        <v>185</v>
      </c>
      <c r="N41" s="50">
        <v>0</v>
      </c>
      <c r="O41" s="15">
        <f t="shared" si="0"/>
        <v>88</v>
      </c>
      <c r="P41" s="15">
        <f t="shared" si="1"/>
        <v>273</v>
      </c>
    </row>
    <row r="42" spans="2:20" ht="23.1" customHeight="1" x14ac:dyDescent="0.25">
      <c r="B42" s="24" t="s">
        <v>69</v>
      </c>
      <c r="C42" s="50">
        <v>42</v>
      </c>
      <c r="D42" s="50">
        <v>4</v>
      </c>
      <c r="E42" s="50">
        <v>6</v>
      </c>
      <c r="F42" s="50">
        <v>17</v>
      </c>
      <c r="G42" s="50">
        <v>1</v>
      </c>
      <c r="H42" s="50">
        <v>0</v>
      </c>
      <c r="I42" s="50">
        <v>6</v>
      </c>
      <c r="J42" s="50">
        <v>1</v>
      </c>
      <c r="K42" s="50">
        <v>0</v>
      </c>
      <c r="L42" s="50">
        <v>0</v>
      </c>
      <c r="M42" s="50">
        <v>38</v>
      </c>
      <c r="N42" s="50">
        <v>0</v>
      </c>
      <c r="O42" s="15">
        <f t="shared" si="0"/>
        <v>77</v>
      </c>
      <c r="P42" s="15">
        <f t="shared" si="1"/>
        <v>115</v>
      </c>
    </row>
    <row r="43" spans="2:20" ht="23.1" customHeight="1" x14ac:dyDescent="0.25">
      <c r="B43" s="23" t="s">
        <v>70</v>
      </c>
      <c r="C43" s="50">
        <v>54</v>
      </c>
      <c r="D43" s="50">
        <v>3</v>
      </c>
      <c r="E43" s="50">
        <v>8</v>
      </c>
      <c r="F43" s="50">
        <v>13</v>
      </c>
      <c r="G43" s="50">
        <v>0</v>
      </c>
      <c r="H43" s="50">
        <v>0</v>
      </c>
      <c r="I43" s="50">
        <v>8</v>
      </c>
      <c r="J43" s="50">
        <v>1</v>
      </c>
      <c r="K43" s="50">
        <v>1</v>
      </c>
      <c r="L43" s="50">
        <v>0</v>
      </c>
      <c r="M43" s="50">
        <v>23</v>
      </c>
      <c r="N43" s="50">
        <v>0</v>
      </c>
      <c r="O43" s="15">
        <f t="shared" si="0"/>
        <v>88</v>
      </c>
      <c r="P43" s="15">
        <f t="shared" si="1"/>
        <v>111</v>
      </c>
    </row>
    <row r="44" spans="2:20" ht="23.1" customHeight="1" x14ac:dyDescent="0.25">
      <c r="B44" s="25" t="s">
        <v>71</v>
      </c>
      <c r="C44" s="50">
        <v>32</v>
      </c>
      <c r="D44" s="50">
        <v>2</v>
      </c>
      <c r="E44" s="50">
        <v>3</v>
      </c>
      <c r="F44" s="50">
        <v>16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43</v>
      </c>
      <c r="N44" s="50">
        <v>0</v>
      </c>
      <c r="O44" s="15">
        <f t="shared" si="0"/>
        <v>54</v>
      </c>
      <c r="P44" s="15">
        <f t="shared" si="1"/>
        <v>97</v>
      </c>
    </row>
    <row r="45" spans="2:20" ht="23.1" customHeight="1" x14ac:dyDescent="0.25">
      <c r="B45" s="23" t="s">
        <v>72</v>
      </c>
      <c r="C45" s="50">
        <v>47</v>
      </c>
      <c r="D45" s="50">
        <v>7</v>
      </c>
      <c r="E45" s="50">
        <v>5</v>
      </c>
      <c r="F45" s="50">
        <v>0</v>
      </c>
      <c r="G45" s="50">
        <v>2</v>
      </c>
      <c r="H45" s="50">
        <v>0</v>
      </c>
      <c r="I45" s="50">
        <v>2</v>
      </c>
      <c r="J45" s="50">
        <v>0</v>
      </c>
      <c r="K45" s="50">
        <v>1</v>
      </c>
      <c r="L45" s="50">
        <v>0</v>
      </c>
      <c r="M45" s="50">
        <v>120</v>
      </c>
      <c r="N45" s="50">
        <v>0</v>
      </c>
      <c r="O45" s="15">
        <f t="shared" si="0"/>
        <v>64</v>
      </c>
      <c r="P45" s="15">
        <f t="shared" si="1"/>
        <v>184</v>
      </c>
    </row>
    <row r="46" spans="2:20" ht="23.1" customHeight="1" x14ac:dyDescent="0.25">
      <c r="B46" s="24" t="s">
        <v>73</v>
      </c>
      <c r="C46" s="50">
        <v>57</v>
      </c>
      <c r="D46" s="50">
        <v>2</v>
      </c>
      <c r="E46" s="50">
        <v>3</v>
      </c>
      <c r="F46" s="50">
        <v>17</v>
      </c>
      <c r="G46" s="50">
        <v>0</v>
      </c>
      <c r="H46" s="50">
        <v>2</v>
      </c>
      <c r="I46" s="50">
        <v>5</v>
      </c>
      <c r="J46" s="50">
        <v>0</v>
      </c>
      <c r="K46" s="50">
        <v>0</v>
      </c>
      <c r="L46" s="50">
        <v>1</v>
      </c>
      <c r="M46" s="50">
        <v>191</v>
      </c>
      <c r="N46" s="50">
        <v>0</v>
      </c>
      <c r="O46" s="15">
        <f t="shared" si="0"/>
        <v>87</v>
      </c>
      <c r="P46" s="15">
        <f t="shared" si="1"/>
        <v>278</v>
      </c>
      <c r="R46" s="8"/>
      <c r="T46"/>
    </row>
    <row r="47" spans="2:20" ht="23.1" customHeight="1" x14ac:dyDescent="0.25">
      <c r="B47" s="24" t="s">
        <v>74</v>
      </c>
      <c r="C47" s="50">
        <v>47</v>
      </c>
      <c r="D47" s="50">
        <v>3</v>
      </c>
      <c r="E47" s="50">
        <v>10</v>
      </c>
      <c r="F47" s="50">
        <v>20</v>
      </c>
      <c r="G47" s="50">
        <v>0</v>
      </c>
      <c r="H47" s="50">
        <v>0</v>
      </c>
      <c r="I47" s="50">
        <v>6</v>
      </c>
      <c r="J47" s="50">
        <v>0</v>
      </c>
      <c r="K47" s="50">
        <v>2</v>
      </c>
      <c r="L47" s="50">
        <v>1</v>
      </c>
      <c r="M47" s="50">
        <v>202</v>
      </c>
      <c r="N47" s="50">
        <v>0</v>
      </c>
      <c r="O47" s="15">
        <f t="shared" si="0"/>
        <v>89</v>
      </c>
      <c r="P47" s="15">
        <f t="shared" si="1"/>
        <v>291</v>
      </c>
      <c r="R47" s="8"/>
      <c r="T47"/>
    </row>
    <row r="48" spans="2:20" ht="23.1" customHeight="1" x14ac:dyDescent="0.25">
      <c r="B48" s="24" t="s">
        <v>75</v>
      </c>
      <c r="C48" s="50">
        <v>46</v>
      </c>
      <c r="D48" s="50">
        <v>5</v>
      </c>
      <c r="E48" s="50">
        <v>6</v>
      </c>
      <c r="F48" s="50">
        <v>14</v>
      </c>
      <c r="G48" s="50">
        <v>0</v>
      </c>
      <c r="H48" s="50">
        <v>0</v>
      </c>
      <c r="I48" s="50">
        <v>4</v>
      </c>
      <c r="J48" s="50">
        <v>0</v>
      </c>
      <c r="K48" s="50">
        <v>0</v>
      </c>
      <c r="L48" s="50">
        <v>0</v>
      </c>
      <c r="M48" s="50">
        <v>209</v>
      </c>
      <c r="N48" s="50">
        <v>0</v>
      </c>
      <c r="O48" s="15">
        <f t="shared" si="0"/>
        <v>75</v>
      </c>
      <c r="P48" s="15">
        <f t="shared" si="1"/>
        <v>284</v>
      </c>
      <c r="R48" s="8"/>
      <c r="T48"/>
    </row>
    <row r="49" spans="2:20" ht="23.1" customHeight="1" x14ac:dyDescent="0.25">
      <c r="B49" s="23" t="s">
        <v>76</v>
      </c>
      <c r="C49" s="50">
        <v>52</v>
      </c>
      <c r="D49" s="50">
        <v>2</v>
      </c>
      <c r="E49" s="50">
        <v>13</v>
      </c>
      <c r="F49" s="50">
        <v>11</v>
      </c>
      <c r="G49" s="50">
        <v>0</v>
      </c>
      <c r="H49" s="50">
        <v>0</v>
      </c>
      <c r="I49" s="50">
        <v>7</v>
      </c>
      <c r="J49" s="50">
        <v>2</v>
      </c>
      <c r="K49" s="50">
        <v>0</v>
      </c>
      <c r="L49" s="50">
        <v>1</v>
      </c>
      <c r="M49" s="50">
        <v>256</v>
      </c>
      <c r="N49" s="50">
        <v>0</v>
      </c>
      <c r="O49" s="15">
        <f t="shared" si="0"/>
        <v>88</v>
      </c>
      <c r="P49" s="15">
        <f t="shared" si="1"/>
        <v>344</v>
      </c>
      <c r="R49" s="8"/>
      <c r="T49"/>
    </row>
    <row r="50" spans="2:20" ht="23.1" customHeight="1" x14ac:dyDescent="0.25">
      <c r="B50" s="24" t="s">
        <v>77</v>
      </c>
      <c r="C50" s="50">
        <v>43</v>
      </c>
      <c r="D50" s="50">
        <v>3</v>
      </c>
      <c r="E50" s="50">
        <v>2</v>
      </c>
      <c r="F50" s="50">
        <v>19</v>
      </c>
      <c r="G50" s="50">
        <v>1</v>
      </c>
      <c r="H50" s="50">
        <v>0</v>
      </c>
      <c r="I50" s="50">
        <v>1</v>
      </c>
      <c r="J50" s="50">
        <v>0</v>
      </c>
      <c r="K50" s="50">
        <v>0</v>
      </c>
      <c r="L50" s="50">
        <v>3</v>
      </c>
      <c r="M50" s="50">
        <v>218</v>
      </c>
      <c r="N50" s="50">
        <v>0</v>
      </c>
      <c r="O50" s="15">
        <f t="shared" si="0"/>
        <v>72</v>
      </c>
      <c r="P50" s="15">
        <f t="shared" si="1"/>
        <v>290</v>
      </c>
      <c r="R50" s="8"/>
      <c r="T50"/>
    </row>
    <row r="51" spans="2:20" ht="23.1" customHeight="1" x14ac:dyDescent="0.25">
      <c r="B51" s="24" t="s">
        <v>78</v>
      </c>
      <c r="C51" s="50">
        <v>46</v>
      </c>
      <c r="D51" s="50">
        <v>6</v>
      </c>
      <c r="E51" s="50">
        <v>4</v>
      </c>
      <c r="F51" s="50">
        <v>13</v>
      </c>
      <c r="G51" s="50">
        <v>0</v>
      </c>
      <c r="H51" s="50">
        <v>0</v>
      </c>
      <c r="I51" s="50">
        <v>7</v>
      </c>
      <c r="J51" s="50">
        <v>0</v>
      </c>
      <c r="K51" s="50">
        <v>1</v>
      </c>
      <c r="L51" s="50">
        <v>0</v>
      </c>
      <c r="M51" s="50">
        <v>215</v>
      </c>
      <c r="N51" s="50">
        <v>0</v>
      </c>
      <c r="O51" s="15">
        <f t="shared" si="0"/>
        <v>77</v>
      </c>
      <c r="P51" s="15">
        <f t="shared" si="1"/>
        <v>292</v>
      </c>
      <c r="R51" s="8"/>
      <c r="T51"/>
    </row>
    <row r="52" spans="2:20" ht="23.1" customHeight="1" x14ac:dyDescent="0.25">
      <c r="B52" s="24" t="s">
        <v>79</v>
      </c>
      <c r="C52" s="50">
        <v>42</v>
      </c>
      <c r="D52" s="50">
        <v>9</v>
      </c>
      <c r="E52" s="50">
        <v>5</v>
      </c>
      <c r="F52" s="50">
        <v>22</v>
      </c>
      <c r="G52" s="50">
        <v>0</v>
      </c>
      <c r="H52" s="50">
        <v>0</v>
      </c>
      <c r="I52" s="50">
        <v>5</v>
      </c>
      <c r="J52" s="50">
        <v>0</v>
      </c>
      <c r="K52" s="50">
        <v>0</v>
      </c>
      <c r="L52" s="50">
        <v>1</v>
      </c>
      <c r="M52" s="50">
        <v>201</v>
      </c>
      <c r="N52" s="50">
        <v>0</v>
      </c>
      <c r="O52" s="15">
        <f t="shared" si="0"/>
        <v>84</v>
      </c>
      <c r="P52" s="15">
        <f t="shared" si="1"/>
        <v>285</v>
      </c>
      <c r="R52" s="8"/>
      <c r="T52"/>
    </row>
    <row r="53" spans="2:20" ht="23.1" customHeight="1" x14ac:dyDescent="0.25">
      <c r="B53" s="23" t="s">
        <v>80</v>
      </c>
      <c r="C53" s="50">
        <v>41</v>
      </c>
      <c r="D53" s="50">
        <v>5</v>
      </c>
      <c r="E53" s="50">
        <v>6</v>
      </c>
      <c r="F53" s="50">
        <v>20</v>
      </c>
      <c r="G53" s="50">
        <v>1</v>
      </c>
      <c r="H53" s="50">
        <v>0</v>
      </c>
      <c r="I53" s="50">
        <v>10</v>
      </c>
      <c r="J53" s="50">
        <v>0</v>
      </c>
      <c r="K53" s="50">
        <v>1</v>
      </c>
      <c r="L53" s="50">
        <v>0</v>
      </c>
      <c r="M53" s="50">
        <v>194</v>
      </c>
      <c r="N53" s="50">
        <v>0</v>
      </c>
      <c r="O53" s="15">
        <f t="shared" si="0"/>
        <v>84</v>
      </c>
      <c r="P53" s="15">
        <f t="shared" si="1"/>
        <v>278</v>
      </c>
      <c r="R53" s="8"/>
      <c r="T53"/>
    </row>
    <row r="54" spans="2:20" ht="23.1" customHeight="1" x14ac:dyDescent="0.25">
      <c r="B54" s="23" t="s">
        <v>81</v>
      </c>
      <c r="C54" s="50">
        <v>54</v>
      </c>
      <c r="D54" s="50">
        <v>11</v>
      </c>
      <c r="E54" s="50">
        <v>2</v>
      </c>
      <c r="F54" s="50">
        <v>22</v>
      </c>
      <c r="G54" s="50">
        <v>3</v>
      </c>
      <c r="H54" s="50">
        <v>1</v>
      </c>
      <c r="I54" s="50">
        <v>7</v>
      </c>
      <c r="J54" s="50">
        <v>0</v>
      </c>
      <c r="K54" s="50">
        <v>0</v>
      </c>
      <c r="L54" s="50">
        <v>2</v>
      </c>
      <c r="M54" s="50">
        <v>193</v>
      </c>
      <c r="N54" s="50">
        <v>0</v>
      </c>
      <c r="O54" s="15">
        <f t="shared" si="0"/>
        <v>102</v>
      </c>
      <c r="P54" s="15">
        <f t="shared" si="1"/>
        <v>295</v>
      </c>
      <c r="R54" s="8"/>
      <c r="T54"/>
    </row>
    <row r="55" spans="2:20" ht="23.1" customHeight="1" x14ac:dyDescent="0.25">
      <c r="B55" s="23" t="s">
        <v>82</v>
      </c>
      <c r="C55" s="50">
        <v>32</v>
      </c>
      <c r="D55" s="50">
        <v>7</v>
      </c>
      <c r="E55" s="50">
        <v>9</v>
      </c>
      <c r="F55" s="50">
        <v>42</v>
      </c>
      <c r="G55" s="50">
        <v>0</v>
      </c>
      <c r="H55" s="50">
        <v>1</v>
      </c>
      <c r="I55" s="50">
        <v>8</v>
      </c>
      <c r="J55" s="50">
        <v>1</v>
      </c>
      <c r="K55" s="50">
        <v>1</v>
      </c>
      <c r="L55" s="50">
        <v>0</v>
      </c>
      <c r="M55" s="50">
        <v>197</v>
      </c>
      <c r="N55" s="50">
        <v>0</v>
      </c>
      <c r="O55" s="15">
        <f t="shared" si="0"/>
        <v>101</v>
      </c>
      <c r="P55" s="15">
        <f t="shared" si="1"/>
        <v>298</v>
      </c>
      <c r="R55" s="8"/>
      <c r="T55"/>
    </row>
    <row r="56" spans="2:20" ht="23.1" customHeight="1" x14ac:dyDescent="0.25">
      <c r="B56" s="23" t="s">
        <v>83</v>
      </c>
      <c r="C56" s="50">
        <v>39</v>
      </c>
      <c r="D56" s="50">
        <v>6</v>
      </c>
      <c r="E56" s="50">
        <v>3</v>
      </c>
      <c r="F56" s="50">
        <v>40</v>
      </c>
      <c r="G56" s="50">
        <v>2</v>
      </c>
      <c r="H56" s="50">
        <v>0</v>
      </c>
      <c r="I56" s="50">
        <v>7</v>
      </c>
      <c r="J56" s="50">
        <v>0</v>
      </c>
      <c r="K56" s="50">
        <v>0</v>
      </c>
      <c r="L56" s="50">
        <v>0</v>
      </c>
      <c r="M56" s="50">
        <v>300</v>
      </c>
      <c r="N56" s="50">
        <v>0</v>
      </c>
      <c r="O56" s="15">
        <f t="shared" si="0"/>
        <v>97</v>
      </c>
      <c r="P56" s="15">
        <f t="shared" si="1"/>
        <v>397</v>
      </c>
      <c r="R56" s="8"/>
      <c r="T56"/>
    </row>
    <row r="57" spans="2:20" ht="23.1" customHeight="1" x14ac:dyDescent="0.25">
      <c r="B57" s="23" t="s">
        <v>84</v>
      </c>
      <c r="C57" s="50">
        <v>20</v>
      </c>
      <c r="D57" s="50">
        <v>2</v>
      </c>
      <c r="E57" s="50">
        <v>4</v>
      </c>
      <c r="F57" s="50">
        <v>19</v>
      </c>
      <c r="G57" s="50">
        <v>1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183</v>
      </c>
      <c r="N57" s="50">
        <v>0</v>
      </c>
      <c r="O57" s="15">
        <f t="shared" si="0"/>
        <v>47</v>
      </c>
      <c r="P57" s="15">
        <f t="shared" si="1"/>
        <v>230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2283</v>
      </c>
      <c r="D58" s="16">
        <f t="shared" si="21"/>
        <v>387</v>
      </c>
      <c r="E58" s="16">
        <f t="shared" si="21"/>
        <v>289</v>
      </c>
      <c r="F58" s="16">
        <f t="shared" si="21"/>
        <v>1011</v>
      </c>
      <c r="G58" s="16">
        <f t="shared" si="21"/>
        <v>21</v>
      </c>
      <c r="H58" s="16">
        <f t="shared" si="21"/>
        <v>12</v>
      </c>
      <c r="I58" s="16">
        <f t="shared" si="21"/>
        <v>266</v>
      </c>
      <c r="J58" s="16">
        <f t="shared" si="21"/>
        <v>46</v>
      </c>
      <c r="K58" s="16">
        <f t="shared" si="21"/>
        <v>28</v>
      </c>
      <c r="L58" s="16">
        <f t="shared" si="21"/>
        <v>19</v>
      </c>
      <c r="M58" s="16">
        <f t="shared" si="21"/>
        <v>7846</v>
      </c>
      <c r="N58" s="16">
        <f t="shared" si="21"/>
        <v>0</v>
      </c>
      <c r="O58" s="16">
        <f t="shared" si="21"/>
        <v>4362</v>
      </c>
      <c r="P58" s="16">
        <f t="shared" si="21"/>
        <v>12208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0.18700851900393184</v>
      </c>
      <c r="D59" s="43">
        <f t="shared" si="22"/>
        <v>3.1700524246395807E-2</v>
      </c>
      <c r="E59" s="43">
        <f t="shared" si="22"/>
        <v>2.367300131061599E-2</v>
      </c>
      <c r="F59" s="43">
        <f t="shared" si="22"/>
        <v>8.2814547837483612E-2</v>
      </c>
      <c r="G59" s="43">
        <f t="shared" si="22"/>
        <v>1.7201834862385322E-3</v>
      </c>
      <c r="H59" s="43">
        <f t="shared" si="22"/>
        <v>9.8296199213630396E-4</v>
      </c>
      <c r="I59" s="43">
        <f t="shared" si="22"/>
        <v>2.1788990825688075E-2</v>
      </c>
      <c r="J59" s="43">
        <f t="shared" si="22"/>
        <v>3.7680209698558323E-3</v>
      </c>
      <c r="K59" s="43">
        <f t="shared" si="22"/>
        <v>2.2935779816513763E-3</v>
      </c>
      <c r="L59" s="43">
        <f t="shared" si="22"/>
        <v>1.556356487549148E-3</v>
      </c>
      <c r="M59" s="43">
        <f t="shared" si="22"/>
        <v>0.64269331585845346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0.52338376891334248</v>
      </c>
      <c r="D60" s="44">
        <f t="shared" ref="D60:N60" si="23">D58/$O$58</f>
        <v>8.8720770288858317E-2</v>
      </c>
      <c r="E60" s="44">
        <f t="shared" si="23"/>
        <v>6.6254011921137099E-2</v>
      </c>
      <c r="F60" s="44">
        <f t="shared" si="23"/>
        <v>0.23177441540577717</v>
      </c>
      <c r="G60" s="44">
        <f t="shared" si="23"/>
        <v>4.8143053645116922E-3</v>
      </c>
      <c r="H60" s="44">
        <f t="shared" si="23"/>
        <v>2.751031636863824E-3</v>
      </c>
      <c r="I60" s="44">
        <f t="shared" si="23"/>
        <v>6.0981201283814762E-2</v>
      </c>
      <c r="J60" s="44">
        <f t="shared" si="23"/>
        <v>1.0545621274644659E-2</v>
      </c>
      <c r="K60" s="44">
        <f t="shared" si="23"/>
        <v>6.4190738193489229E-3</v>
      </c>
      <c r="L60" s="44">
        <f t="shared" si="23"/>
        <v>4.3558000917010547E-3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52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D1" zoomScale="84" zoomScaleSheetLayoutView="84" workbookViewId="0">
      <selection activeCell="H8" sqref="H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2" t="str">
        <f>'22.07 Kitebi-Kabusu'!C3:G3</f>
        <v>MCC - C1 - STN06-WANKULUKUKU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'22.07 Kitebi-Kabusu'!D5</f>
        <v>22.07.19</v>
      </c>
      <c r="E5" s="3"/>
      <c r="F5" s="41" t="s">
        <v>1</v>
      </c>
      <c r="G5" s="57" t="str">
        <f>'22.07 Kitebi-Kabusu'!G5:H5</f>
        <v>kobil head office</v>
      </c>
      <c r="H5" s="58"/>
      <c r="I5" s="14"/>
      <c r="J5" s="2" t="s">
        <v>5</v>
      </c>
      <c r="K5" s="57" t="s">
        <v>174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176</v>
      </c>
      <c r="E6" s="58"/>
      <c r="F6" s="2" t="s">
        <v>2</v>
      </c>
      <c r="G6" s="57" t="s">
        <v>171</v>
      </c>
      <c r="H6" s="58"/>
      <c r="J6" s="2" t="s">
        <v>21</v>
      </c>
      <c r="K6" s="57" t="str">
        <f>'22.07 Kitebi-Kabusu'!K6:L6</f>
        <v>Felix Oloya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8</v>
      </c>
      <c r="D10" s="50">
        <v>3</v>
      </c>
      <c r="E10" s="50">
        <v>2</v>
      </c>
      <c r="F10" s="50">
        <v>16</v>
      </c>
      <c r="G10" s="50">
        <v>1</v>
      </c>
      <c r="H10" s="50">
        <v>0</v>
      </c>
      <c r="I10" s="50">
        <v>6</v>
      </c>
      <c r="J10" s="50">
        <v>0</v>
      </c>
      <c r="K10" s="50">
        <v>0</v>
      </c>
      <c r="L10" s="50">
        <v>1</v>
      </c>
      <c r="M10" s="50">
        <v>42</v>
      </c>
      <c r="N10" s="50">
        <v>0</v>
      </c>
      <c r="O10" s="15">
        <f t="shared" ref="O10:O57" si="0">SUM(C10:L10,N10)</f>
        <v>37</v>
      </c>
      <c r="P10" s="15">
        <f t="shared" ref="P10:P57" si="1">SUM(C10:N10)</f>
        <v>79</v>
      </c>
      <c r="R10" s="1" t="s">
        <v>6</v>
      </c>
      <c r="S10" s="17">
        <f t="shared" ref="S10:AF10" si="2">SUM(C10:C13)</f>
        <v>34</v>
      </c>
      <c r="T10" s="17">
        <f t="shared" si="2"/>
        <v>25</v>
      </c>
      <c r="U10" s="17">
        <f t="shared" si="2"/>
        <v>20</v>
      </c>
      <c r="V10" s="17">
        <f t="shared" si="2"/>
        <v>88</v>
      </c>
      <c r="W10" s="17">
        <f t="shared" si="2"/>
        <v>2</v>
      </c>
      <c r="X10" s="17">
        <f t="shared" si="2"/>
        <v>2</v>
      </c>
      <c r="Y10" s="17">
        <f t="shared" si="2"/>
        <v>6</v>
      </c>
      <c r="Z10" s="17">
        <f t="shared" si="2"/>
        <v>2</v>
      </c>
      <c r="AA10" s="17">
        <f t="shared" si="2"/>
        <v>1</v>
      </c>
      <c r="AB10" s="17">
        <f t="shared" si="2"/>
        <v>3</v>
      </c>
      <c r="AC10" s="17">
        <f t="shared" si="2"/>
        <v>159</v>
      </c>
      <c r="AD10" s="17">
        <f t="shared" si="2"/>
        <v>0</v>
      </c>
      <c r="AE10" s="31">
        <f t="shared" si="2"/>
        <v>183</v>
      </c>
      <c r="AF10" s="31">
        <f t="shared" si="2"/>
        <v>342</v>
      </c>
    </row>
    <row r="11" spans="2:32" s="6" customFormat="1" ht="23.1" customHeight="1" x14ac:dyDescent="0.25">
      <c r="B11" s="23" t="s">
        <v>38</v>
      </c>
      <c r="C11" s="50">
        <v>7</v>
      </c>
      <c r="D11" s="50">
        <v>4</v>
      </c>
      <c r="E11" s="50">
        <v>6</v>
      </c>
      <c r="F11" s="50">
        <v>22</v>
      </c>
      <c r="G11" s="50">
        <v>1</v>
      </c>
      <c r="H11" s="50">
        <v>1</v>
      </c>
      <c r="I11" s="50">
        <v>0</v>
      </c>
      <c r="J11" s="50">
        <v>2</v>
      </c>
      <c r="K11" s="50">
        <v>1</v>
      </c>
      <c r="L11" s="50">
        <v>2</v>
      </c>
      <c r="M11" s="50">
        <v>45</v>
      </c>
      <c r="N11" s="50">
        <v>0</v>
      </c>
      <c r="O11" s="15">
        <f t="shared" si="0"/>
        <v>46</v>
      </c>
      <c r="P11" s="15">
        <f t="shared" si="1"/>
        <v>91</v>
      </c>
      <c r="R11" s="1" t="s">
        <v>7</v>
      </c>
      <c r="S11" s="17">
        <f t="shared" ref="S11:AF11" si="3">SUM(C14:C17)</f>
        <v>28</v>
      </c>
      <c r="T11" s="17">
        <f t="shared" si="3"/>
        <v>19</v>
      </c>
      <c r="U11" s="17">
        <f t="shared" si="3"/>
        <v>15</v>
      </c>
      <c r="V11" s="17">
        <f t="shared" si="3"/>
        <v>68</v>
      </c>
      <c r="W11" s="17">
        <f t="shared" si="3"/>
        <v>2</v>
      </c>
      <c r="X11" s="17">
        <f t="shared" si="3"/>
        <v>2</v>
      </c>
      <c r="Y11" s="17">
        <f t="shared" si="3"/>
        <v>12</v>
      </c>
      <c r="Z11" s="17">
        <f t="shared" si="3"/>
        <v>0</v>
      </c>
      <c r="AA11" s="17">
        <f t="shared" si="3"/>
        <v>3</v>
      </c>
      <c r="AB11" s="17">
        <f t="shared" si="3"/>
        <v>5</v>
      </c>
      <c r="AC11" s="17">
        <f t="shared" si="3"/>
        <v>297</v>
      </c>
      <c r="AD11" s="17">
        <f t="shared" si="3"/>
        <v>0</v>
      </c>
      <c r="AE11" s="31">
        <f t="shared" si="3"/>
        <v>154</v>
      </c>
      <c r="AF11" s="31">
        <f t="shared" si="3"/>
        <v>451</v>
      </c>
    </row>
    <row r="12" spans="2:32" ht="23.1" customHeight="1" x14ac:dyDescent="0.25">
      <c r="B12" s="23" t="s">
        <v>39</v>
      </c>
      <c r="C12" s="50">
        <v>12</v>
      </c>
      <c r="D12" s="50">
        <v>6</v>
      </c>
      <c r="E12" s="50">
        <v>12</v>
      </c>
      <c r="F12" s="50">
        <v>34</v>
      </c>
      <c r="G12" s="50">
        <v>0</v>
      </c>
      <c r="H12" s="50">
        <v>1</v>
      </c>
      <c r="I12" s="50">
        <v>0</v>
      </c>
      <c r="J12" s="50">
        <v>0</v>
      </c>
      <c r="K12" s="50">
        <v>0</v>
      </c>
      <c r="L12" s="50">
        <v>0</v>
      </c>
      <c r="M12" s="50">
        <v>30</v>
      </c>
      <c r="N12" s="50">
        <v>0</v>
      </c>
      <c r="O12" s="15">
        <f t="shared" si="0"/>
        <v>65</v>
      </c>
      <c r="P12" s="15">
        <f t="shared" si="1"/>
        <v>95</v>
      </c>
      <c r="R12" s="1" t="s">
        <v>8</v>
      </c>
      <c r="S12" s="17">
        <f t="shared" ref="S12:AF12" si="4">SUM(C18:C21)</f>
        <v>71</v>
      </c>
      <c r="T12" s="17">
        <f t="shared" si="4"/>
        <v>14</v>
      </c>
      <c r="U12" s="17">
        <f t="shared" si="4"/>
        <v>14</v>
      </c>
      <c r="V12" s="17">
        <f t="shared" si="4"/>
        <v>89</v>
      </c>
      <c r="W12" s="17">
        <f t="shared" si="4"/>
        <v>4</v>
      </c>
      <c r="X12" s="17">
        <f t="shared" si="4"/>
        <v>1</v>
      </c>
      <c r="Y12" s="17">
        <f t="shared" si="4"/>
        <v>18</v>
      </c>
      <c r="Z12" s="17">
        <f t="shared" si="4"/>
        <v>0</v>
      </c>
      <c r="AA12" s="17">
        <f t="shared" si="4"/>
        <v>8</v>
      </c>
      <c r="AB12" s="17">
        <f t="shared" si="4"/>
        <v>3</v>
      </c>
      <c r="AC12" s="17">
        <f t="shared" si="4"/>
        <v>390</v>
      </c>
      <c r="AD12" s="17">
        <f t="shared" si="4"/>
        <v>0</v>
      </c>
      <c r="AE12" s="31">
        <f t="shared" si="4"/>
        <v>222</v>
      </c>
      <c r="AF12" s="31">
        <f t="shared" si="4"/>
        <v>612</v>
      </c>
    </row>
    <row r="13" spans="2:32" ht="23.1" customHeight="1" x14ac:dyDescent="0.25">
      <c r="B13" s="23" t="s">
        <v>40</v>
      </c>
      <c r="C13" s="50">
        <v>7</v>
      </c>
      <c r="D13" s="50">
        <v>12</v>
      </c>
      <c r="E13" s="50">
        <v>0</v>
      </c>
      <c r="F13" s="50">
        <v>16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42</v>
      </c>
      <c r="N13" s="50">
        <v>0</v>
      </c>
      <c r="O13" s="15">
        <f t="shared" si="0"/>
        <v>35</v>
      </c>
      <c r="P13" s="15">
        <f t="shared" si="1"/>
        <v>77</v>
      </c>
      <c r="R13" s="1" t="s">
        <v>9</v>
      </c>
      <c r="S13" s="17">
        <f t="shared" ref="S13:AF13" si="5">SUM(C22:C25)</f>
        <v>103</v>
      </c>
      <c r="T13" s="17">
        <f t="shared" si="5"/>
        <v>26</v>
      </c>
      <c r="U13" s="17">
        <f t="shared" si="5"/>
        <v>10</v>
      </c>
      <c r="V13" s="17">
        <f t="shared" si="5"/>
        <v>100</v>
      </c>
      <c r="W13" s="17">
        <f t="shared" si="5"/>
        <v>1</v>
      </c>
      <c r="X13" s="17">
        <f t="shared" si="5"/>
        <v>1</v>
      </c>
      <c r="Y13" s="17">
        <f t="shared" si="5"/>
        <v>24</v>
      </c>
      <c r="Z13" s="17">
        <f t="shared" si="5"/>
        <v>0</v>
      </c>
      <c r="AA13" s="17">
        <f t="shared" si="5"/>
        <v>16</v>
      </c>
      <c r="AB13" s="17">
        <f t="shared" si="5"/>
        <v>1</v>
      </c>
      <c r="AC13" s="17">
        <f t="shared" si="5"/>
        <v>515</v>
      </c>
      <c r="AD13" s="17">
        <f t="shared" si="5"/>
        <v>0</v>
      </c>
      <c r="AE13" s="31">
        <f t="shared" si="5"/>
        <v>282</v>
      </c>
      <c r="AF13" s="31">
        <f t="shared" si="5"/>
        <v>797</v>
      </c>
    </row>
    <row r="14" spans="2:32" ht="23.1" customHeight="1" x14ac:dyDescent="0.25">
      <c r="B14" s="23" t="s">
        <v>41</v>
      </c>
      <c r="C14" s="50">
        <v>6</v>
      </c>
      <c r="D14" s="50">
        <v>4</v>
      </c>
      <c r="E14" s="50">
        <v>2</v>
      </c>
      <c r="F14" s="50">
        <v>22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1</v>
      </c>
      <c r="M14" s="50">
        <v>47</v>
      </c>
      <c r="N14" s="50">
        <v>0</v>
      </c>
      <c r="O14" s="15">
        <f t="shared" si="0"/>
        <v>36</v>
      </c>
      <c r="P14" s="15">
        <f t="shared" si="1"/>
        <v>83</v>
      </c>
      <c r="R14" s="1" t="s">
        <v>10</v>
      </c>
      <c r="S14" s="17">
        <f t="shared" ref="S14:AF14" si="6">SUM(C26:C29)</f>
        <v>101</v>
      </c>
      <c r="T14" s="17">
        <f t="shared" si="6"/>
        <v>19</v>
      </c>
      <c r="U14" s="17">
        <f t="shared" si="6"/>
        <v>20</v>
      </c>
      <c r="V14" s="17">
        <f t="shared" si="6"/>
        <v>82</v>
      </c>
      <c r="W14" s="17">
        <f t="shared" si="6"/>
        <v>2</v>
      </c>
      <c r="X14" s="17">
        <f t="shared" si="6"/>
        <v>0</v>
      </c>
      <c r="Y14" s="17">
        <f t="shared" si="6"/>
        <v>31</v>
      </c>
      <c r="Z14" s="17">
        <f t="shared" si="6"/>
        <v>1</v>
      </c>
      <c r="AA14" s="17">
        <f t="shared" si="6"/>
        <v>14</v>
      </c>
      <c r="AB14" s="17">
        <f t="shared" si="6"/>
        <v>5</v>
      </c>
      <c r="AC14" s="17">
        <f t="shared" si="6"/>
        <v>512</v>
      </c>
      <c r="AD14" s="17">
        <f t="shared" si="6"/>
        <v>0</v>
      </c>
      <c r="AE14" s="31">
        <f t="shared" si="6"/>
        <v>275</v>
      </c>
      <c r="AF14" s="31">
        <f t="shared" si="6"/>
        <v>787</v>
      </c>
    </row>
    <row r="15" spans="2:32" ht="23.1" customHeight="1" x14ac:dyDescent="0.25">
      <c r="B15" s="23" t="s">
        <v>42</v>
      </c>
      <c r="C15" s="50">
        <v>2</v>
      </c>
      <c r="D15" s="50">
        <v>5</v>
      </c>
      <c r="E15" s="50">
        <v>2</v>
      </c>
      <c r="F15" s="50">
        <v>12</v>
      </c>
      <c r="G15" s="50">
        <v>1</v>
      </c>
      <c r="H15" s="50">
        <v>1</v>
      </c>
      <c r="I15" s="50">
        <v>2</v>
      </c>
      <c r="J15" s="50">
        <v>0</v>
      </c>
      <c r="K15" s="50">
        <v>1</v>
      </c>
      <c r="L15" s="50">
        <v>2</v>
      </c>
      <c r="M15" s="50">
        <v>60</v>
      </c>
      <c r="N15" s="50">
        <v>0</v>
      </c>
      <c r="O15" s="15">
        <f t="shared" si="0"/>
        <v>28</v>
      </c>
      <c r="P15" s="15">
        <f t="shared" si="1"/>
        <v>88</v>
      </c>
      <c r="R15" s="1" t="s">
        <v>11</v>
      </c>
      <c r="S15" s="17">
        <f t="shared" ref="S15:AF15" si="7">SUM(C30:C33)</f>
        <v>135</v>
      </c>
      <c r="T15" s="17">
        <f t="shared" si="7"/>
        <v>18</v>
      </c>
      <c r="U15" s="17">
        <f t="shared" si="7"/>
        <v>20</v>
      </c>
      <c r="V15" s="17">
        <f t="shared" si="7"/>
        <v>69</v>
      </c>
      <c r="W15" s="17">
        <f t="shared" si="7"/>
        <v>1</v>
      </c>
      <c r="X15" s="17">
        <f t="shared" si="7"/>
        <v>0</v>
      </c>
      <c r="Y15" s="17">
        <f t="shared" si="7"/>
        <v>45</v>
      </c>
      <c r="Z15" s="17">
        <f t="shared" si="7"/>
        <v>3</v>
      </c>
      <c r="AA15" s="17">
        <f t="shared" si="7"/>
        <v>3</v>
      </c>
      <c r="AB15" s="17">
        <f t="shared" si="7"/>
        <v>0</v>
      </c>
      <c r="AC15" s="17">
        <f t="shared" si="7"/>
        <v>430</v>
      </c>
      <c r="AD15" s="17">
        <f t="shared" si="7"/>
        <v>0</v>
      </c>
      <c r="AE15" s="31">
        <f t="shared" si="7"/>
        <v>294</v>
      </c>
      <c r="AF15" s="31">
        <f t="shared" si="7"/>
        <v>724</v>
      </c>
    </row>
    <row r="16" spans="2:32" ht="23.1" customHeight="1" x14ac:dyDescent="0.25">
      <c r="B16" s="23" t="s">
        <v>43</v>
      </c>
      <c r="C16" s="50">
        <v>9</v>
      </c>
      <c r="D16" s="50">
        <v>1</v>
      </c>
      <c r="E16" s="50">
        <v>8</v>
      </c>
      <c r="F16" s="50">
        <v>23</v>
      </c>
      <c r="G16" s="50">
        <v>0</v>
      </c>
      <c r="H16" s="50">
        <v>0</v>
      </c>
      <c r="I16" s="50">
        <v>6</v>
      </c>
      <c r="J16" s="50">
        <v>0</v>
      </c>
      <c r="K16" s="50">
        <v>1</v>
      </c>
      <c r="L16" s="50">
        <v>1</v>
      </c>
      <c r="M16" s="50">
        <v>105</v>
      </c>
      <c r="N16" s="50">
        <v>0</v>
      </c>
      <c r="O16" s="15">
        <f t="shared" si="0"/>
        <v>49</v>
      </c>
      <c r="P16" s="15">
        <f t="shared" si="1"/>
        <v>154</v>
      </c>
      <c r="R16" s="1" t="s">
        <v>12</v>
      </c>
      <c r="S16" s="17">
        <f t="shared" ref="S16:AF16" si="8">SUM(C34:C37)</f>
        <v>127</v>
      </c>
      <c r="T16" s="17">
        <f t="shared" si="8"/>
        <v>15</v>
      </c>
      <c r="U16" s="17">
        <f t="shared" si="8"/>
        <v>29</v>
      </c>
      <c r="V16" s="17">
        <f t="shared" si="8"/>
        <v>70</v>
      </c>
      <c r="W16" s="17">
        <f t="shared" si="8"/>
        <v>1</v>
      </c>
      <c r="X16" s="17">
        <f t="shared" si="8"/>
        <v>1</v>
      </c>
      <c r="Y16" s="17">
        <f t="shared" si="8"/>
        <v>19</v>
      </c>
      <c r="Z16" s="17">
        <f t="shared" si="8"/>
        <v>5</v>
      </c>
      <c r="AA16" s="17">
        <f t="shared" si="8"/>
        <v>5</v>
      </c>
      <c r="AB16" s="17">
        <f t="shared" si="8"/>
        <v>2</v>
      </c>
      <c r="AC16" s="17">
        <f t="shared" si="8"/>
        <v>436</v>
      </c>
      <c r="AD16" s="17">
        <f t="shared" si="8"/>
        <v>0</v>
      </c>
      <c r="AE16" s="31">
        <f t="shared" si="8"/>
        <v>274</v>
      </c>
      <c r="AF16" s="31">
        <f t="shared" si="8"/>
        <v>710</v>
      </c>
    </row>
    <row r="17" spans="2:32" ht="23.1" customHeight="1" x14ac:dyDescent="0.25">
      <c r="B17" s="23" t="s">
        <v>44</v>
      </c>
      <c r="C17" s="50">
        <v>11</v>
      </c>
      <c r="D17" s="50">
        <v>9</v>
      </c>
      <c r="E17" s="50">
        <v>3</v>
      </c>
      <c r="F17" s="50">
        <v>11</v>
      </c>
      <c r="G17" s="50">
        <v>1</v>
      </c>
      <c r="H17" s="50">
        <v>1</v>
      </c>
      <c r="I17" s="50">
        <v>3</v>
      </c>
      <c r="J17" s="50">
        <v>0</v>
      </c>
      <c r="K17" s="50">
        <v>1</v>
      </c>
      <c r="L17" s="50">
        <v>1</v>
      </c>
      <c r="M17" s="50">
        <v>85</v>
      </c>
      <c r="N17" s="50">
        <v>0</v>
      </c>
      <c r="O17" s="15">
        <f t="shared" si="0"/>
        <v>41</v>
      </c>
      <c r="P17" s="15">
        <f t="shared" si="1"/>
        <v>126</v>
      </c>
      <c r="R17" s="1" t="s">
        <v>13</v>
      </c>
      <c r="S17" s="17">
        <f t="shared" ref="S17:AF17" si="9">SUM(C38:C41)</f>
        <v>163</v>
      </c>
      <c r="T17" s="17">
        <f t="shared" si="9"/>
        <v>18</v>
      </c>
      <c r="U17" s="17">
        <f t="shared" si="9"/>
        <v>19</v>
      </c>
      <c r="V17" s="17">
        <f t="shared" si="9"/>
        <v>58</v>
      </c>
      <c r="W17" s="17">
        <f t="shared" si="9"/>
        <v>1</v>
      </c>
      <c r="X17" s="17">
        <f t="shared" si="9"/>
        <v>1</v>
      </c>
      <c r="Y17" s="17">
        <f t="shared" si="9"/>
        <v>35</v>
      </c>
      <c r="Z17" s="17">
        <f t="shared" si="9"/>
        <v>2</v>
      </c>
      <c r="AA17" s="17">
        <f t="shared" si="9"/>
        <v>2</v>
      </c>
      <c r="AB17" s="17">
        <f t="shared" si="9"/>
        <v>2</v>
      </c>
      <c r="AC17" s="17">
        <f t="shared" si="9"/>
        <v>462</v>
      </c>
      <c r="AD17" s="17">
        <f t="shared" si="9"/>
        <v>0</v>
      </c>
      <c r="AE17" s="31">
        <f t="shared" si="9"/>
        <v>301</v>
      </c>
      <c r="AF17" s="31">
        <f t="shared" si="9"/>
        <v>763</v>
      </c>
    </row>
    <row r="18" spans="2:32" ht="23.1" customHeight="1" x14ac:dyDescent="0.25">
      <c r="B18" s="23" t="s">
        <v>45</v>
      </c>
      <c r="C18" s="50">
        <v>10</v>
      </c>
      <c r="D18" s="50">
        <v>6</v>
      </c>
      <c r="E18" s="50">
        <v>5</v>
      </c>
      <c r="F18" s="50">
        <v>23</v>
      </c>
      <c r="G18" s="50">
        <v>1</v>
      </c>
      <c r="H18" s="50">
        <v>1</v>
      </c>
      <c r="I18" s="50">
        <v>5</v>
      </c>
      <c r="J18" s="50">
        <v>0</v>
      </c>
      <c r="K18" s="50">
        <v>1</v>
      </c>
      <c r="L18" s="50">
        <v>1</v>
      </c>
      <c r="M18" s="50">
        <v>90</v>
      </c>
      <c r="N18" s="50">
        <v>0</v>
      </c>
      <c r="O18" s="15">
        <f t="shared" si="0"/>
        <v>53</v>
      </c>
      <c r="P18" s="15">
        <f t="shared" si="1"/>
        <v>143</v>
      </c>
      <c r="R18" s="1" t="s">
        <v>14</v>
      </c>
      <c r="S18" s="17">
        <f t="shared" ref="S18:AF18" si="10">SUM(C42:C45)</f>
        <v>150</v>
      </c>
      <c r="T18" s="17">
        <f t="shared" si="10"/>
        <v>21</v>
      </c>
      <c r="U18" s="17">
        <f t="shared" si="10"/>
        <v>22</v>
      </c>
      <c r="V18" s="17">
        <f t="shared" si="10"/>
        <v>46</v>
      </c>
      <c r="W18" s="17">
        <f t="shared" si="10"/>
        <v>4</v>
      </c>
      <c r="X18" s="17">
        <f t="shared" si="10"/>
        <v>0</v>
      </c>
      <c r="Y18" s="17">
        <f t="shared" si="10"/>
        <v>16</v>
      </c>
      <c r="Z18" s="17">
        <f t="shared" si="10"/>
        <v>0</v>
      </c>
      <c r="AA18" s="17">
        <f t="shared" si="10"/>
        <v>6</v>
      </c>
      <c r="AB18" s="17">
        <f t="shared" si="10"/>
        <v>1</v>
      </c>
      <c r="AC18" s="17">
        <f t="shared" si="10"/>
        <v>151</v>
      </c>
      <c r="AD18" s="17">
        <f t="shared" si="10"/>
        <v>0</v>
      </c>
      <c r="AE18" s="31">
        <f t="shared" si="10"/>
        <v>266</v>
      </c>
      <c r="AF18" s="31">
        <f t="shared" si="10"/>
        <v>417</v>
      </c>
    </row>
    <row r="19" spans="2:32" ht="23.1" customHeight="1" x14ac:dyDescent="0.25">
      <c r="B19" s="23" t="s">
        <v>46</v>
      </c>
      <c r="C19" s="50">
        <v>14</v>
      </c>
      <c r="D19" s="50">
        <v>0</v>
      </c>
      <c r="E19" s="50">
        <v>2</v>
      </c>
      <c r="F19" s="50">
        <v>22</v>
      </c>
      <c r="G19" s="50">
        <v>0</v>
      </c>
      <c r="H19" s="50">
        <v>0</v>
      </c>
      <c r="I19" s="50">
        <v>5</v>
      </c>
      <c r="J19" s="50">
        <v>0</v>
      </c>
      <c r="K19" s="50">
        <v>2</v>
      </c>
      <c r="L19" s="50">
        <v>0</v>
      </c>
      <c r="M19" s="50">
        <v>95</v>
      </c>
      <c r="N19" s="50">
        <v>0</v>
      </c>
      <c r="O19" s="15">
        <f t="shared" si="0"/>
        <v>45</v>
      </c>
      <c r="P19" s="15">
        <f t="shared" si="1"/>
        <v>140</v>
      </c>
      <c r="R19" s="1" t="s">
        <v>15</v>
      </c>
      <c r="S19" s="17">
        <f t="shared" ref="S19:AF19" si="11">SUM(C46:C49)</f>
        <v>221</v>
      </c>
      <c r="T19" s="17">
        <f t="shared" si="11"/>
        <v>35</v>
      </c>
      <c r="U19" s="17">
        <f t="shared" si="11"/>
        <v>24</v>
      </c>
      <c r="V19" s="17">
        <f t="shared" si="11"/>
        <v>67</v>
      </c>
      <c r="W19" s="17">
        <f t="shared" si="11"/>
        <v>2</v>
      </c>
      <c r="X19" s="17">
        <f t="shared" si="11"/>
        <v>0</v>
      </c>
      <c r="Y19" s="17">
        <f t="shared" si="11"/>
        <v>25</v>
      </c>
      <c r="Z19" s="17">
        <f t="shared" si="11"/>
        <v>0</v>
      </c>
      <c r="AA19" s="17">
        <f t="shared" si="11"/>
        <v>7</v>
      </c>
      <c r="AB19" s="17">
        <f t="shared" si="11"/>
        <v>1</v>
      </c>
      <c r="AC19" s="17">
        <f t="shared" si="11"/>
        <v>662</v>
      </c>
      <c r="AD19" s="17">
        <f t="shared" si="11"/>
        <v>0</v>
      </c>
      <c r="AE19" s="31">
        <f t="shared" si="11"/>
        <v>382</v>
      </c>
      <c r="AF19" s="31">
        <f t="shared" si="11"/>
        <v>1044</v>
      </c>
    </row>
    <row r="20" spans="2:32" ht="23.1" customHeight="1" x14ac:dyDescent="0.25">
      <c r="B20" s="23" t="s">
        <v>47</v>
      </c>
      <c r="C20" s="50">
        <v>25</v>
      </c>
      <c r="D20" s="50">
        <v>2</v>
      </c>
      <c r="E20" s="50">
        <v>5</v>
      </c>
      <c r="F20" s="50">
        <v>23</v>
      </c>
      <c r="G20" s="50">
        <v>1</v>
      </c>
      <c r="H20" s="50">
        <v>0</v>
      </c>
      <c r="I20" s="50">
        <v>3</v>
      </c>
      <c r="J20" s="50">
        <v>0</v>
      </c>
      <c r="K20" s="50">
        <v>3</v>
      </c>
      <c r="L20" s="50">
        <v>2</v>
      </c>
      <c r="M20" s="50">
        <v>100</v>
      </c>
      <c r="N20" s="50">
        <v>0</v>
      </c>
      <c r="O20" s="15">
        <f t="shared" si="0"/>
        <v>64</v>
      </c>
      <c r="P20" s="15">
        <f t="shared" si="1"/>
        <v>164</v>
      </c>
      <c r="R20" s="1" t="s">
        <v>16</v>
      </c>
      <c r="S20" s="17">
        <f t="shared" ref="S20:AF20" si="12">SUM(C50:C53)</f>
        <v>304</v>
      </c>
      <c r="T20" s="17">
        <f t="shared" si="12"/>
        <v>35</v>
      </c>
      <c r="U20" s="17">
        <f t="shared" si="12"/>
        <v>40</v>
      </c>
      <c r="V20" s="17">
        <f t="shared" si="12"/>
        <v>85</v>
      </c>
      <c r="W20" s="17">
        <f t="shared" si="12"/>
        <v>0</v>
      </c>
      <c r="X20" s="17">
        <f t="shared" si="12"/>
        <v>0</v>
      </c>
      <c r="Y20" s="17">
        <f t="shared" si="12"/>
        <v>24</v>
      </c>
      <c r="Z20" s="17">
        <f t="shared" si="12"/>
        <v>0</v>
      </c>
      <c r="AA20" s="17">
        <f t="shared" si="12"/>
        <v>10</v>
      </c>
      <c r="AB20" s="17">
        <f t="shared" si="12"/>
        <v>2</v>
      </c>
      <c r="AC20" s="17">
        <f t="shared" si="12"/>
        <v>645</v>
      </c>
      <c r="AD20" s="17">
        <f t="shared" si="12"/>
        <v>0</v>
      </c>
      <c r="AE20" s="31">
        <f t="shared" si="12"/>
        <v>500</v>
      </c>
      <c r="AF20" s="31">
        <f t="shared" si="12"/>
        <v>1145</v>
      </c>
    </row>
    <row r="21" spans="2:32" ht="23.1" customHeight="1" x14ac:dyDescent="0.25">
      <c r="B21" s="23" t="s">
        <v>48</v>
      </c>
      <c r="C21" s="50">
        <v>22</v>
      </c>
      <c r="D21" s="50">
        <v>6</v>
      </c>
      <c r="E21" s="50">
        <v>2</v>
      </c>
      <c r="F21" s="50">
        <v>21</v>
      </c>
      <c r="G21" s="50">
        <v>2</v>
      </c>
      <c r="H21" s="50">
        <v>0</v>
      </c>
      <c r="I21" s="50">
        <v>5</v>
      </c>
      <c r="J21" s="50">
        <v>0</v>
      </c>
      <c r="K21" s="50">
        <v>2</v>
      </c>
      <c r="L21" s="50">
        <v>0</v>
      </c>
      <c r="M21" s="50">
        <v>105</v>
      </c>
      <c r="N21" s="50">
        <v>0</v>
      </c>
      <c r="O21" s="15">
        <f t="shared" si="0"/>
        <v>60</v>
      </c>
      <c r="P21" s="15">
        <f t="shared" si="1"/>
        <v>165</v>
      </c>
      <c r="R21" s="36" t="s">
        <v>20</v>
      </c>
      <c r="S21" s="34">
        <f t="shared" ref="S21:AF21" si="13">SUM(C54:C57)</f>
        <v>489</v>
      </c>
      <c r="T21" s="17">
        <f t="shared" si="13"/>
        <v>65</v>
      </c>
      <c r="U21" s="17">
        <f t="shared" si="13"/>
        <v>57</v>
      </c>
      <c r="V21" s="17">
        <f t="shared" si="13"/>
        <v>113</v>
      </c>
      <c r="W21" s="17">
        <f t="shared" si="13"/>
        <v>5</v>
      </c>
      <c r="X21" s="17">
        <f t="shared" si="13"/>
        <v>0</v>
      </c>
      <c r="Y21" s="17">
        <f t="shared" si="13"/>
        <v>24</v>
      </c>
      <c r="Z21" s="17">
        <f t="shared" si="13"/>
        <v>0</v>
      </c>
      <c r="AA21" s="17">
        <f t="shared" si="13"/>
        <v>1</v>
      </c>
      <c r="AB21" s="17">
        <f t="shared" si="13"/>
        <v>2</v>
      </c>
      <c r="AC21" s="17">
        <f t="shared" si="13"/>
        <v>638</v>
      </c>
      <c r="AD21" s="17">
        <f t="shared" si="13"/>
        <v>0</v>
      </c>
      <c r="AE21" s="31">
        <f t="shared" si="13"/>
        <v>756</v>
      </c>
      <c r="AF21" s="31">
        <f t="shared" si="13"/>
        <v>1394</v>
      </c>
    </row>
    <row r="22" spans="2:32" ht="23.1" customHeight="1" x14ac:dyDescent="0.25">
      <c r="B22" s="23" t="s">
        <v>49</v>
      </c>
      <c r="C22" s="50">
        <v>30</v>
      </c>
      <c r="D22" s="50">
        <v>8</v>
      </c>
      <c r="E22" s="50">
        <v>4</v>
      </c>
      <c r="F22" s="50">
        <v>21</v>
      </c>
      <c r="G22" s="50">
        <v>0</v>
      </c>
      <c r="H22" s="50">
        <v>1</v>
      </c>
      <c r="I22" s="50">
        <v>7</v>
      </c>
      <c r="J22" s="50">
        <v>0</v>
      </c>
      <c r="K22" s="50">
        <v>5</v>
      </c>
      <c r="L22" s="50">
        <v>0</v>
      </c>
      <c r="M22" s="50">
        <v>95</v>
      </c>
      <c r="N22" s="50">
        <v>0</v>
      </c>
      <c r="O22" s="15">
        <f t="shared" si="0"/>
        <v>76</v>
      </c>
      <c r="P22" s="15">
        <f t="shared" si="1"/>
        <v>171</v>
      </c>
      <c r="R22" s="38" t="s">
        <v>90</v>
      </c>
      <c r="S22" s="39">
        <f>MAX(S10:S12)</f>
        <v>71</v>
      </c>
      <c r="T22" s="39">
        <f t="shared" ref="T22:AF22" si="14">MAX(T10:T12)</f>
        <v>25</v>
      </c>
      <c r="U22" s="39">
        <f t="shared" si="14"/>
        <v>20</v>
      </c>
      <c r="V22" s="39">
        <f t="shared" si="14"/>
        <v>89</v>
      </c>
      <c r="W22" s="39">
        <f t="shared" si="14"/>
        <v>4</v>
      </c>
      <c r="X22" s="39">
        <f t="shared" si="14"/>
        <v>2</v>
      </c>
      <c r="Y22" s="39">
        <f t="shared" si="14"/>
        <v>18</v>
      </c>
      <c r="Z22" s="39">
        <f t="shared" si="14"/>
        <v>2</v>
      </c>
      <c r="AA22" s="39">
        <f t="shared" si="14"/>
        <v>8</v>
      </c>
      <c r="AB22" s="39">
        <f t="shared" si="14"/>
        <v>5</v>
      </c>
      <c r="AC22" s="39">
        <f t="shared" si="14"/>
        <v>390</v>
      </c>
      <c r="AD22" s="39">
        <f t="shared" si="14"/>
        <v>0</v>
      </c>
      <c r="AE22" s="40">
        <f t="shared" si="14"/>
        <v>222</v>
      </c>
      <c r="AF22" s="40">
        <f t="shared" si="14"/>
        <v>612</v>
      </c>
    </row>
    <row r="23" spans="2:32" ht="23.1" customHeight="1" x14ac:dyDescent="0.25">
      <c r="B23" s="23" t="s">
        <v>50</v>
      </c>
      <c r="C23" s="50">
        <v>13</v>
      </c>
      <c r="D23" s="50">
        <v>5</v>
      </c>
      <c r="E23" s="50">
        <v>2</v>
      </c>
      <c r="F23" s="50">
        <v>22</v>
      </c>
      <c r="G23" s="50">
        <v>1</v>
      </c>
      <c r="H23" s="50">
        <v>0</v>
      </c>
      <c r="I23" s="50">
        <v>6</v>
      </c>
      <c r="J23" s="50">
        <v>0</v>
      </c>
      <c r="K23" s="50">
        <v>3</v>
      </c>
      <c r="L23" s="50">
        <v>0</v>
      </c>
      <c r="M23" s="50">
        <v>120</v>
      </c>
      <c r="N23" s="50">
        <v>0</v>
      </c>
      <c r="O23" s="15">
        <f t="shared" si="0"/>
        <v>52</v>
      </c>
      <c r="P23" s="15">
        <f t="shared" si="1"/>
        <v>172</v>
      </c>
      <c r="R23" s="38" t="s">
        <v>91</v>
      </c>
      <c r="S23" s="39">
        <f>MAX(S13:S18)</f>
        <v>163</v>
      </c>
      <c r="T23" s="39">
        <f t="shared" ref="T23:AF23" si="15">MAX(T13:T18)</f>
        <v>26</v>
      </c>
      <c r="U23" s="39">
        <f t="shared" si="15"/>
        <v>29</v>
      </c>
      <c r="V23" s="39">
        <f t="shared" si="15"/>
        <v>100</v>
      </c>
      <c r="W23" s="39">
        <f t="shared" si="15"/>
        <v>4</v>
      </c>
      <c r="X23" s="39">
        <f t="shared" si="15"/>
        <v>1</v>
      </c>
      <c r="Y23" s="39">
        <f t="shared" si="15"/>
        <v>45</v>
      </c>
      <c r="Z23" s="39">
        <f t="shared" si="15"/>
        <v>5</v>
      </c>
      <c r="AA23" s="39">
        <f t="shared" si="15"/>
        <v>16</v>
      </c>
      <c r="AB23" s="39">
        <f t="shared" si="15"/>
        <v>5</v>
      </c>
      <c r="AC23" s="39">
        <f t="shared" si="15"/>
        <v>515</v>
      </c>
      <c r="AD23" s="39">
        <f t="shared" si="15"/>
        <v>0</v>
      </c>
      <c r="AE23" s="40">
        <f t="shared" si="15"/>
        <v>301</v>
      </c>
      <c r="AF23" s="40">
        <f t="shared" si="15"/>
        <v>797</v>
      </c>
    </row>
    <row r="24" spans="2:32" ht="23.1" customHeight="1" x14ac:dyDescent="0.25">
      <c r="B24" s="23" t="s">
        <v>51</v>
      </c>
      <c r="C24" s="50">
        <v>30</v>
      </c>
      <c r="D24" s="50">
        <v>5</v>
      </c>
      <c r="E24" s="50">
        <v>1</v>
      </c>
      <c r="F24" s="50">
        <v>30</v>
      </c>
      <c r="G24" s="50">
        <v>0</v>
      </c>
      <c r="H24" s="50">
        <v>0</v>
      </c>
      <c r="I24" s="50">
        <v>7</v>
      </c>
      <c r="J24" s="50">
        <v>0</v>
      </c>
      <c r="K24" s="50">
        <v>2</v>
      </c>
      <c r="L24" s="50">
        <v>1</v>
      </c>
      <c r="M24" s="50">
        <v>155</v>
      </c>
      <c r="N24" s="50">
        <v>0</v>
      </c>
      <c r="O24" s="15">
        <f t="shared" si="0"/>
        <v>76</v>
      </c>
      <c r="P24" s="15">
        <f t="shared" si="1"/>
        <v>231</v>
      </c>
      <c r="R24" s="38" t="s">
        <v>92</v>
      </c>
      <c r="S24" s="39">
        <f>MAX(S19:S21)</f>
        <v>489</v>
      </c>
      <c r="T24" s="39">
        <f t="shared" ref="T24:AF24" si="16">MAX(T19:T21)</f>
        <v>65</v>
      </c>
      <c r="U24" s="39">
        <f t="shared" si="16"/>
        <v>57</v>
      </c>
      <c r="V24" s="39">
        <f t="shared" si="16"/>
        <v>113</v>
      </c>
      <c r="W24" s="39">
        <f t="shared" si="16"/>
        <v>5</v>
      </c>
      <c r="X24" s="39">
        <f t="shared" si="16"/>
        <v>0</v>
      </c>
      <c r="Y24" s="39">
        <f t="shared" si="16"/>
        <v>25</v>
      </c>
      <c r="Z24" s="39">
        <f t="shared" si="16"/>
        <v>0</v>
      </c>
      <c r="AA24" s="39">
        <f t="shared" si="16"/>
        <v>10</v>
      </c>
      <c r="AB24" s="39">
        <f t="shared" si="16"/>
        <v>2</v>
      </c>
      <c r="AC24" s="39">
        <f t="shared" si="16"/>
        <v>662</v>
      </c>
      <c r="AD24" s="39">
        <f t="shared" si="16"/>
        <v>0</v>
      </c>
      <c r="AE24" s="40">
        <f t="shared" si="16"/>
        <v>756</v>
      </c>
      <c r="AF24" s="40">
        <f t="shared" si="16"/>
        <v>1394</v>
      </c>
    </row>
    <row r="25" spans="2:32" ht="23.1" customHeight="1" x14ac:dyDescent="0.25">
      <c r="B25" s="23" t="s">
        <v>52</v>
      </c>
      <c r="C25" s="50">
        <v>30</v>
      </c>
      <c r="D25" s="50">
        <v>8</v>
      </c>
      <c r="E25" s="50">
        <v>3</v>
      </c>
      <c r="F25" s="50">
        <v>27</v>
      </c>
      <c r="G25" s="50">
        <v>0</v>
      </c>
      <c r="H25" s="50">
        <v>0</v>
      </c>
      <c r="I25" s="50">
        <v>4</v>
      </c>
      <c r="J25" s="50">
        <v>0</v>
      </c>
      <c r="K25" s="50">
        <v>6</v>
      </c>
      <c r="L25" s="50">
        <v>0</v>
      </c>
      <c r="M25" s="50">
        <v>145</v>
      </c>
      <c r="N25" s="50">
        <v>0</v>
      </c>
      <c r="O25" s="15">
        <f t="shared" si="0"/>
        <v>78</v>
      </c>
      <c r="P25" s="15">
        <f t="shared" si="1"/>
        <v>223</v>
      </c>
      <c r="R25" s="37" t="s">
        <v>85</v>
      </c>
      <c r="S25" s="35">
        <f t="shared" ref="S25:AF25" si="17">SUM(S10:S12)</f>
        <v>133</v>
      </c>
      <c r="T25" s="16">
        <f t="shared" si="17"/>
        <v>58</v>
      </c>
      <c r="U25" s="16">
        <f t="shared" si="17"/>
        <v>49</v>
      </c>
      <c r="V25" s="16">
        <f t="shared" si="17"/>
        <v>245</v>
      </c>
      <c r="W25" s="16">
        <f t="shared" si="17"/>
        <v>8</v>
      </c>
      <c r="X25" s="16">
        <f t="shared" si="17"/>
        <v>5</v>
      </c>
      <c r="Y25" s="16">
        <f t="shared" si="17"/>
        <v>36</v>
      </c>
      <c r="Z25" s="16">
        <f t="shared" si="17"/>
        <v>2</v>
      </c>
      <c r="AA25" s="16">
        <f t="shared" si="17"/>
        <v>12</v>
      </c>
      <c r="AB25" s="16">
        <f t="shared" si="17"/>
        <v>11</v>
      </c>
      <c r="AC25" s="16">
        <f t="shared" si="17"/>
        <v>846</v>
      </c>
      <c r="AD25" s="16">
        <f t="shared" si="17"/>
        <v>0</v>
      </c>
      <c r="AE25" s="32">
        <f t="shared" si="17"/>
        <v>559</v>
      </c>
      <c r="AF25" s="32">
        <f t="shared" si="17"/>
        <v>1405</v>
      </c>
    </row>
    <row r="26" spans="2:32" ht="23.1" customHeight="1" x14ac:dyDescent="0.25">
      <c r="B26" s="23" t="s">
        <v>53</v>
      </c>
      <c r="C26" s="50">
        <v>30</v>
      </c>
      <c r="D26" s="50">
        <v>6</v>
      </c>
      <c r="E26" s="50">
        <v>3</v>
      </c>
      <c r="F26" s="50">
        <v>21</v>
      </c>
      <c r="G26" s="50">
        <v>0</v>
      </c>
      <c r="H26" s="50">
        <v>0</v>
      </c>
      <c r="I26" s="50">
        <v>8</v>
      </c>
      <c r="J26" s="50">
        <v>0</v>
      </c>
      <c r="K26" s="50">
        <v>7</v>
      </c>
      <c r="L26" s="50">
        <v>3</v>
      </c>
      <c r="M26" s="50">
        <v>145</v>
      </c>
      <c r="N26" s="50">
        <v>0</v>
      </c>
      <c r="O26" s="15">
        <f t="shared" si="0"/>
        <v>78</v>
      </c>
      <c r="P26" s="15">
        <f t="shared" si="1"/>
        <v>223</v>
      </c>
      <c r="R26" s="28" t="s">
        <v>86</v>
      </c>
      <c r="S26" s="16">
        <f t="shared" ref="S26:AF26" si="18">SUM(S13:S18)</f>
        <v>779</v>
      </c>
      <c r="T26" s="16">
        <f t="shared" si="18"/>
        <v>117</v>
      </c>
      <c r="U26" s="16">
        <f t="shared" si="18"/>
        <v>120</v>
      </c>
      <c r="V26" s="16">
        <f t="shared" si="18"/>
        <v>425</v>
      </c>
      <c r="W26" s="16">
        <f t="shared" si="18"/>
        <v>10</v>
      </c>
      <c r="X26" s="16">
        <f t="shared" si="18"/>
        <v>3</v>
      </c>
      <c r="Y26" s="16">
        <f t="shared" si="18"/>
        <v>170</v>
      </c>
      <c r="Z26" s="16">
        <f t="shared" si="18"/>
        <v>11</v>
      </c>
      <c r="AA26" s="16">
        <f t="shared" si="18"/>
        <v>46</v>
      </c>
      <c r="AB26" s="16">
        <f t="shared" si="18"/>
        <v>11</v>
      </c>
      <c r="AC26" s="16">
        <f t="shared" si="18"/>
        <v>2506</v>
      </c>
      <c r="AD26" s="16">
        <f t="shared" si="18"/>
        <v>0</v>
      </c>
      <c r="AE26" s="32">
        <f t="shared" si="18"/>
        <v>1692</v>
      </c>
      <c r="AF26" s="32">
        <f t="shared" si="18"/>
        <v>4198</v>
      </c>
    </row>
    <row r="27" spans="2:32" ht="23.1" customHeight="1" x14ac:dyDescent="0.25">
      <c r="B27" s="23" t="s">
        <v>54</v>
      </c>
      <c r="C27" s="50">
        <v>21</v>
      </c>
      <c r="D27" s="50">
        <v>6</v>
      </c>
      <c r="E27" s="50">
        <v>4</v>
      </c>
      <c r="F27" s="50">
        <v>20</v>
      </c>
      <c r="G27" s="50">
        <v>2</v>
      </c>
      <c r="H27" s="50">
        <v>0</v>
      </c>
      <c r="I27" s="50">
        <v>8</v>
      </c>
      <c r="J27" s="50">
        <v>0</v>
      </c>
      <c r="K27" s="50">
        <v>2</v>
      </c>
      <c r="L27" s="50">
        <v>1</v>
      </c>
      <c r="M27" s="50">
        <v>156</v>
      </c>
      <c r="N27" s="50">
        <v>0</v>
      </c>
      <c r="O27" s="15">
        <f t="shared" si="0"/>
        <v>64</v>
      </c>
      <c r="P27" s="15">
        <f t="shared" si="1"/>
        <v>220</v>
      </c>
      <c r="R27" s="29" t="s">
        <v>87</v>
      </c>
      <c r="S27" s="16">
        <f t="shared" ref="S27:AF27" si="19">SUM(S19:S21)</f>
        <v>1014</v>
      </c>
      <c r="T27" s="16">
        <f t="shared" si="19"/>
        <v>135</v>
      </c>
      <c r="U27" s="16">
        <f t="shared" si="19"/>
        <v>121</v>
      </c>
      <c r="V27" s="16">
        <f t="shared" si="19"/>
        <v>265</v>
      </c>
      <c r="W27" s="16">
        <f t="shared" si="19"/>
        <v>7</v>
      </c>
      <c r="X27" s="16">
        <f t="shared" si="19"/>
        <v>0</v>
      </c>
      <c r="Y27" s="16">
        <f t="shared" si="19"/>
        <v>73</v>
      </c>
      <c r="Z27" s="16">
        <f t="shared" si="19"/>
        <v>0</v>
      </c>
      <c r="AA27" s="16">
        <f t="shared" si="19"/>
        <v>18</v>
      </c>
      <c r="AB27" s="16">
        <f t="shared" si="19"/>
        <v>5</v>
      </c>
      <c r="AC27" s="16">
        <f t="shared" si="19"/>
        <v>1945</v>
      </c>
      <c r="AD27" s="16">
        <f t="shared" si="19"/>
        <v>0</v>
      </c>
      <c r="AE27" s="32">
        <f t="shared" si="19"/>
        <v>1638</v>
      </c>
      <c r="AF27" s="32">
        <f t="shared" si="19"/>
        <v>3583</v>
      </c>
    </row>
    <row r="28" spans="2:32" ht="23.1" customHeight="1" x14ac:dyDescent="0.25">
      <c r="B28" s="23" t="s">
        <v>55</v>
      </c>
      <c r="C28" s="50">
        <v>26</v>
      </c>
      <c r="D28" s="50">
        <v>3</v>
      </c>
      <c r="E28" s="50">
        <v>7</v>
      </c>
      <c r="F28" s="50">
        <v>20</v>
      </c>
      <c r="G28" s="50">
        <v>0</v>
      </c>
      <c r="H28" s="50">
        <v>0</v>
      </c>
      <c r="I28" s="50">
        <v>7</v>
      </c>
      <c r="J28" s="50">
        <v>0</v>
      </c>
      <c r="K28" s="50">
        <v>3</v>
      </c>
      <c r="L28" s="50">
        <v>0</v>
      </c>
      <c r="M28" s="50">
        <v>101</v>
      </c>
      <c r="N28" s="50">
        <v>0</v>
      </c>
      <c r="O28" s="15">
        <f t="shared" si="0"/>
        <v>66</v>
      </c>
      <c r="P28" s="15">
        <f t="shared" si="1"/>
        <v>167</v>
      </c>
      <c r="R28" s="5" t="s">
        <v>17</v>
      </c>
      <c r="S28" s="16">
        <f t="shared" ref="S28:AF28" si="20">SUM(S10:S21)</f>
        <v>1926</v>
      </c>
      <c r="T28" s="16">
        <f t="shared" si="20"/>
        <v>310</v>
      </c>
      <c r="U28" s="16">
        <f t="shared" si="20"/>
        <v>290</v>
      </c>
      <c r="V28" s="16">
        <f t="shared" si="20"/>
        <v>935</v>
      </c>
      <c r="W28" s="16">
        <f t="shared" si="20"/>
        <v>25</v>
      </c>
      <c r="X28" s="16">
        <f t="shared" si="20"/>
        <v>8</v>
      </c>
      <c r="Y28" s="16">
        <f t="shared" si="20"/>
        <v>279</v>
      </c>
      <c r="Z28" s="16">
        <f t="shared" si="20"/>
        <v>13</v>
      </c>
      <c r="AA28" s="16">
        <f t="shared" si="20"/>
        <v>76</v>
      </c>
      <c r="AB28" s="16">
        <f t="shared" si="20"/>
        <v>27</v>
      </c>
      <c r="AC28" s="16">
        <f t="shared" si="20"/>
        <v>5297</v>
      </c>
      <c r="AD28" s="16">
        <f t="shared" si="20"/>
        <v>0</v>
      </c>
      <c r="AE28" s="32">
        <f t="shared" si="20"/>
        <v>3889</v>
      </c>
      <c r="AF28" s="32">
        <f t="shared" si="20"/>
        <v>9186</v>
      </c>
    </row>
    <row r="29" spans="2:32" ht="23.1" customHeight="1" x14ac:dyDescent="0.25">
      <c r="B29" s="23" t="s">
        <v>56</v>
      </c>
      <c r="C29" s="50">
        <v>24</v>
      </c>
      <c r="D29" s="50">
        <v>4</v>
      </c>
      <c r="E29" s="50">
        <v>6</v>
      </c>
      <c r="F29" s="50">
        <v>21</v>
      </c>
      <c r="G29" s="50">
        <v>0</v>
      </c>
      <c r="H29" s="50">
        <v>0</v>
      </c>
      <c r="I29" s="50">
        <v>8</v>
      </c>
      <c r="J29" s="50">
        <v>1</v>
      </c>
      <c r="K29" s="50">
        <v>2</v>
      </c>
      <c r="L29" s="50">
        <v>1</v>
      </c>
      <c r="M29" s="50">
        <v>110</v>
      </c>
      <c r="N29" s="50">
        <v>0</v>
      </c>
      <c r="O29" s="15">
        <f t="shared" si="0"/>
        <v>67</v>
      </c>
      <c r="P29" s="15">
        <f t="shared" si="1"/>
        <v>177</v>
      </c>
      <c r="R29"/>
      <c r="S29" s="20"/>
      <c r="T29" s="19"/>
    </row>
    <row r="30" spans="2:32" ht="23.1" customHeight="1" x14ac:dyDescent="0.25">
      <c r="B30" s="23" t="s">
        <v>57</v>
      </c>
      <c r="C30" s="50">
        <v>36</v>
      </c>
      <c r="D30" s="50">
        <v>5</v>
      </c>
      <c r="E30" s="50">
        <v>5</v>
      </c>
      <c r="F30" s="50">
        <v>20</v>
      </c>
      <c r="G30" s="50">
        <v>0</v>
      </c>
      <c r="H30" s="50">
        <v>0</v>
      </c>
      <c r="I30" s="50">
        <v>13</v>
      </c>
      <c r="J30" s="50">
        <v>0</v>
      </c>
      <c r="K30" s="50">
        <v>0</v>
      </c>
      <c r="L30" s="50">
        <v>0</v>
      </c>
      <c r="M30" s="50">
        <v>90</v>
      </c>
      <c r="N30" s="50">
        <v>0</v>
      </c>
      <c r="O30" s="15">
        <f t="shared" si="0"/>
        <v>79</v>
      </c>
      <c r="P30" s="15">
        <f t="shared" si="1"/>
        <v>169</v>
      </c>
    </row>
    <row r="31" spans="2:32" ht="23.1" customHeight="1" x14ac:dyDescent="0.25">
      <c r="B31" s="24" t="s">
        <v>58</v>
      </c>
      <c r="C31" s="50">
        <v>31</v>
      </c>
      <c r="D31" s="50">
        <v>6</v>
      </c>
      <c r="E31" s="50">
        <v>3</v>
      </c>
      <c r="F31" s="50">
        <v>17</v>
      </c>
      <c r="G31" s="50">
        <v>0</v>
      </c>
      <c r="H31" s="50">
        <v>0</v>
      </c>
      <c r="I31" s="50">
        <v>6</v>
      </c>
      <c r="J31" s="50">
        <v>2</v>
      </c>
      <c r="K31" s="50">
        <v>0</v>
      </c>
      <c r="L31" s="50">
        <v>0</v>
      </c>
      <c r="M31" s="50">
        <v>100</v>
      </c>
      <c r="N31" s="50">
        <v>0</v>
      </c>
      <c r="O31" s="15">
        <f t="shared" si="0"/>
        <v>65</v>
      </c>
      <c r="P31" s="15">
        <f t="shared" si="1"/>
        <v>165</v>
      </c>
    </row>
    <row r="32" spans="2:32" ht="23.1" customHeight="1" x14ac:dyDescent="0.25">
      <c r="B32" s="24" t="s">
        <v>59</v>
      </c>
      <c r="C32" s="50">
        <v>28</v>
      </c>
      <c r="D32" s="50">
        <v>1</v>
      </c>
      <c r="E32" s="50">
        <v>9</v>
      </c>
      <c r="F32" s="50">
        <v>16</v>
      </c>
      <c r="G32" s="50">
        <v>0</v>
      </c>
      <c r="H32" s="50">
        <v>0</v>
      </c>
      <c r="I32" s="50">
        <v>20</v>
      </c>
      <c r="J32" s="50">
        <v>1</v>
      </c>
      <c r="K32" s="50">
        <v>1</v>
      </c>
      <c r="L32" s="50">
        <v>0</v>
      </c>
      <c r="M32" s="50">
        <v>120</v>
      </c>
      <c r="N32" s="50">
        <v>0</v>
      </c>
      <c r="O32" s="15">
        <f t="shared" si="0"/>
        <v>76</v>
      </c>
      <c r="P32" s="15">
        <f t="shared" si="1"/>
        <v>196</v>
      </c>
    </row>
    <row r="33" spans="2:20" ht="23.1" customHeight="1" x14ac:dyDescent="0.25">
      <c r="B33" s="23" t="s">
        <v>60</v>
      </c>
      <c r="C33" s="50">
        <v>40</v>
      </c>
      <c r="D33" s="50">
        <v>6</v>
      </c>
      <c r="E33" s="50">
        <v>3</v>
      </c>
      <c r="F33" s="50">
        <v>16</v>
      </c>
      <c r="G33" s="50">
        <v>1</v>
      </c>
      <c r="H33" s="50">
        <v>0</v>
      </c>
      <c r="I33" s="50">
        <v>6</v>
      </c>
      <c r="J33" s="50">
        <v>0</v>
      </c>
      <c r="K33" s="50">
        <v>2</v>
      </c>
      <c r="L33" s="50">
        <v>0</v>
      </c>
      <c r="M33" s="50">
        <v>120</v>
      </c>
      <c r="N33" s="50">
        <v>0</v>
      </c>
      <c r="O33" s="15">
        <f t="shared" si="0"/>
        <v>74</v>
      </c>
      <c r="P33" s="15">
        <f t="shared" si="1"/>
        <v>194</v>
      </c>
    </row>
    <row r="34" spans="2:20" ht="23.1" customHeight="1" x14ac:dyDescent="0.25">
      <c r="B34" s="24" t="s">
        <v>61</v>
      </c>
      <c r="C34" s="50">
        <v>38</v>
      </c>
      <c r="D34" s="50">
        <v>4</v>
      </c>
      <c r="E34" s="50">
        <v>3</v>
      </c>
      <c r="F34" s="50">
        <v>26</v>
      </c>
      <c r="G34" s="50">
        <v>1</v>
      </c>
      <c r="H34" s="50">
        <v>0</v>
      </c>
      <c r="I34" s="50">
        <v>7</v>
      </c>
      <c r="J34" s="50">
        <v>2</v>
      </c>
      <c r="K34" s="50">
        <v>2</v>
      </c>
      <c r="L34" s="50">
        <v>0</v>
      </c>
      <c r="M34" s="50">
        <v>120</v>
      </c>
      <c r="N34" s="50">
        <v>0</v>
      </c>
      <c r="O34" s="15">
        <f t="shared" si="0"/>
        <v>83</v>
      </c>
      <c r="P34" s="15">
        <f t="shared" si="1"/>
        <v>203</v>
      </c>
    </row>
    <row r="35" spans="2:20" ht="23.1" customHeight="1" x14ac:dyDescent="0.25">
      <c r="B35" s="24" t="s">
        <v>62</v>
      </c>
      <c r="C35" s="50">
        <v>20</v>
      </c>
      <c r="D35" s="50">
        <v>4</v>
      </c>
      <c r="E35" s="50">
        <v>6</v>
      </c>
      <c r="F35" s="50">
        <v>10</v>
      </c>
      <c r="G35" s="50">
        <v>0</v>
      </c>
      <c r="H35" s="50">
        <v>0</v>
      </c>
      <c r="I35" s="50">
        <v>5</v>
      </c>
      <c r="J35" s="50">
        <v>1</v>
      </c>
      <c r="K35" s="50">
        <v>0</v>
      </c>
      <c r="L35" s="50">
        <v>0</v>
      </c>
      <c r="M35" s="50">
        <v>135</v>
      </c>
      <c r="N35" s="50">
        <v>0</v>
      </c>
      <c r="O35" s="15">
        <f t="shared" si="0"/>
        <v>46</v>
      </c>
      <c r="P35" s="15">
        <f t="shared" si="1"/>
        <v>181</v>
      </c>
    </row>
    <row r="36" spans="2:20" ht="23.1" customHeight="1" x14ac:dyDescent="0.25">
      <c r="B36" s="24" t="s">
        <v>63</v>
      </c>
      <c r="C36" s="50">
        <v>37</v>
      </c>
      <c r="D36" s="50">
        <v>4</v>
      </c>
      <c r="E36" s="50">
        <v>6</v>
      </c>
      <c r="F36" s="50">
        <v>24</v>
      </c>
      <c r="G36" s="50">
        <v>0</v>
      </c>
      <c r="H36" s="50">
        <v>0</v>
      </c>
      <c r="I36" s="50">
        <v>4</v>
      </c>
      <c r="J36" s="50">
        <v>1</v>
      </c>
      <c r="K36" s="50">
        <v>3</v>
      </c>
      <c r="L36" s="50">
        <v>2</v>
      </c>
      <c r="M36" s="50">
        <v>106</v>
      </c>
      <c r="N36" s="50">
        <v>0</v>
      </c>
      <c r="O36" s="15">
        <f t="shared" si="0"/>
        <v>81</v>
      </c>
      <c r="P36" s="15">
        <f t="shared" si="1"/>
        <v>187</v>
      </c>
    </row>
    <row r="37" spans="2:20" ht="23.1" customHeight="1" x14ac:dyDescent="0.25">
      <c r="B37" s="23" t="s">
        <v>64</v>
      </c>
      <c r="C37" s="50">
        <v>32</v>
      </c>
      <c r="D37" s="50">
        <v>3</v>
      </c>
      <c r="E37" s="50">
        <v>14</v>
      </c>
      <c r="F37" s="50">
        <v>10</v>
      </c>
      <c r="G37" s="50">
        <v>0</v>
      </c>
      <c r="H37" s="50">
        <v>1</v>
      </c>
      <c r="I37" s="50">
        <v>3</v>
      </c>
      <c r="J37" s="50">
        <v>1</v>
      </c>
      <c r="K37" s="50">
        <v>0</v>
      </c>
      <c r="L37" s="50">
        <v>0</v>
      </c>
      <c r="M37" s="50">
        <v>75</v>
      </c>
      <c r="N37" s="50">
        <v>0</v>
      </c>
      <c r="O37" s="15">
        <f t="shared" si="0"/>
        <v>64</v>
      </c>
      <c r="P37" s="15">
        <f t="shared" si="1"/>
        <v>139</v>
      </c>
    </row>
    <row r="38" spans="2:20" ht="23.1" customHeight="1" x14ac:dyDescent="0.25">
      <c r="B38" s="24" t="s">
        <v>65</v>
      </c>
      <c r="C38" s="50">
        <v>42</v>
      </c>
      <c r="D38" s="50">
        <v>7</v>
      </c>
      <c r="E38" s="50">
        <v>8</v>
      </c>
      <c r="F38" s="50">
        <v>11</v>
      </c>
      <c r="G38" s="50">
        <v>0</v>
      </c>
      <c r="H38" s="50">
        <v>0</v>
      </c>
      <c r="I38" s="50">
        <v>7</v>
      </c>
      <c r="J38" s="50">
        <v>1</v>
      </c>
      <c r="K38" s="50">
        <v>1</v>
      </c>
      <c r="L38" s="50">
        <v>2</v>
      </c>
      <c r="M38" s="50">
        <v>132</v>
      </c>
      <c r="N38" s="50">
        <v>0</v>
      </c>
      <c r="O38" s="15">
        <f t="shared" si="0"/>
        <v>79</v>
      </c>
      <c r="P38" s="15">
        <f t="shared" si="1"/>
        <v>211</v>
      </c>
    </row>
    <row r="39" spans="2:20" ht="23.1" customHeight="1" x14ac:dyDescent="0.25">
      <c r="B39" s="24" t="s">
        <v>66</v>
      </c>
      <c r="C39" s="50">
        <v>43</v>
      </c>
      <c r="D39" s="50">
        <v>3</v>
      </c>
      <c r="E39" s="50">
        <v>2</v>
      </c>
      <c r="F39" s="50">
        <v>16</v>
      </c>
      <c r="G39" s="50">
        <v>0</v>
      </c>
      <c r="H39" s="50">
        <v>1</v>
      </c>
      <c r="I39" s="50">
        <v>6</v>
      </c>
      <c r="J39" s="50">
        <v>1</v>
      </c>
      <c r="K39" s="50">
        <v>0</v>
      </c>
      <c r="L39" s="50">
        <v>0</v>
      </c>
      <c r="M39" s="50">
        <v>95</v>
      </c>
      <c r="N39" s="50">
        <v>0</v>
      </c>
      <c r="O39" s="15">
        <f t="shared" si="0"/>
        <v>72</v>
      </c>
      <c r="P39" s="15">
        <f t="shared" si="1"/>
        <v>167</v>
      </c>
    </row>
    <row r="40" spans="2:20" ht="23.1" customHeight="1" x14ac:dyDescent="0.25">
      <c r="B40" s="24" t="s">
        <v>67</v>
      </c>
      <c r="C40" s="50">
        <v>37</v>
      </c>
      <c r="D40" s="50">
        <v>4</v>
      </c>
      <c r="E40" s="50">
        <v>6</v>
      </c>
      <c r="F40" s="50">
        <v>15</v>
      </c>
      <c r="G40" s="50">
        <v>0</v>
      </c>
      <c r="H40" s="50">
        <v>0</v>
      </c>
      <c r="I40" s="50">
        <v>12</v>
      </c>
      <c r="J40" s="50">
        <v>0</v>
      </c>
      <c r="K40" s="50">
        <v>0</v>
      </c>
      <c r="L40" s="50">
        <v>0</v>
      </c>
      <c r="M40" s="50">
        <v>150</v>
      </c>
      <c r="N40" s="50">
        <v>0</v>
      </c>
      <c r="O40" s="15">
        <f t="shared" si="0"/>
        <v>74</v>
      </c>
      <c r="P40" s="15">
        <f t="shared" si="1"/>
        <v>224</v>
      </c>
    </row>
    <row r="41" spans="2:20" ht="23.1" customHeight="1" x14ac:dyDescent="0.25">
      <c r="B41" s="23" t="s">
        <v>68</v>
      </c>
      <c r="C41" s="50">
        <v>41</v>
      </c>
      <c r="D41" s="50">
        <v>4</v>
      </c>
      <c r="E41" s="50">
        <v>3</v>
      </c>
      <c r="F41" s="50">
        <v>16</v>
      </c>
      <c r="G41" s="50">
        <v>1</v>
      </c>
      <c r="H41" s="50">
        <v>0</v>
      </c>
      <c r="I41" s="50">
        <v>10</v>
      </c>
      <c r="J41" s="50">
        <v>0</v>
      </c>
      <c r="K41" s="50">
        <v>1</v>
      </c>
      <c r="L41" s="50">
        <v>0</v>
      </c>
      <c r="M41" s="50">
        <v>85</v>
      </c>
      <c r="N41" s="50">
        <v>0</v>
      </c>
      <c r="O41" s="15">
        <f t="shared" si="0"/>
        <v>76</v>
      </c>
      <c r="P41" s="15">
        <f t="shared" si="1"/>
        <v>161</v>
      </c>
    </row>
    <row r="42" spans="2:20" ht="23.1" customHeight="1" x14ac:dyDescent="0.25">
      <c r="B42" s="24" t="s">
        <v>69</v>
      </c>
      <c r="C42" s="50">
        <v>50</v>
      </c>
      <c r="D42" s="50">
        <v>7</v>
      </c>
      <c r="E42" s="50">
        <v>6</v>
      </c>
      <c r="F42" s="50">
        <v>20</v>
      </c>
      <c r="G42" s="50">
        <v>1</v>
      </c>
      <c r="H42" s="50">
        <v>0</v>
      </c>
      <c r="I42" s="50">
        <v>8</v>
      </c>
      <c r="J42" s="50">
        <v>0</v>
      </c>
      <c r="K42" s="50">
        <v>0</v>
      </c>
      <c r="L42" s="50">
        <v>0</v>
      </c>
      <c r="M42" s="50">
        <v>22</v>
      </c>
      <c r="N42" s="50">
        <v>0</v>
      </c>
      <c r="O42" s="15">
        <f t="shared" si="0"/>
        <v>92</v>
      </c>
      <c r="P42" s="15">
        <f t="shared" si="1"/>
        <v>114</v>
      </c>
    </row>
    <row r="43" spans="2:20" ht="23.1" customHeight="1" x14ac:dyDescent="0.25">
      <c r="B43" s="23" t="s">
        <v>70</v>
      </c>
      <c r="C43" s="50">
        <v>40</v>
      </c>
      <c r="D43" s="50">
        <v>6</v>
      </c>
      <c r="E43" s="50">
        <v>5</v>
      </c>
      <c r="F43" s="50">
        <v>6</v>
      </c>
      <c r="G43" s="50">
        <v>1</v>
      </c>
      <c r="H43" s="50">
        <v>0</v>
      </c>
      <c r="I43" s="50">
        <v>0</v>
      </c>
      <c r="J43" s="50">
        <v>0</v>
      </c>
      <c r="K43" s="50">
        <v>2</v>
      </c>
      <c r="L43" s="50">
        <v>0</v>
      </c>
      <c r="M43" s="50">
        <v>11</v>
      </c>
      <c r="N43" s="50">
        <v>0</v>
      </c>
      <c r="O43" s="15">
        <f t="shared" si="0"/>
        <v>60</v>
      </c>
      <c r="P43" s="15">
        <f t="shared" si="1"/>
        <v>71</v>
      </c>
    </row>
    <row r="44" spans="2:20" ht="23.1" customHeight="1" x14ac:dyDescent="0.25">
      <c r="B44" s="25" t="s">
        <v>71</v>
      </c>
      <c r="C44" s="50">
        <v>35</v>
      </c>
      <c r="D44" s="50">
        <v>2</v>
      </c>
      <c r="E44" s="50">
        <v>7</v>
      </c>
      <c r="F44" s="50">
        <v>4</v>
      </c>
      <c r="G44" s="50">
        <v>0</v>
      </c>
      <c r="H44" s="50">
        <v>0</v>
      </c>
      <c r="I44" s="50">
        <v>3</v>
      </c>
      <c r="J44" s="50">
        <v>0</v>
      </c>
      <c r="K44" s="50">
        <v>0</v>
      </c>
      <c r="L44" s="50">
        <v>0</v>
      </c>
      <c r="M44" s="50">
        <v>21</v>
      </c>
      <c r="N44" s="50">
        <v>0</v>
      </c>
      <c r="O44" s="15">
        <f t="shared" si="0"/>
        <v>51</v>
      </c>
      <c r="P44" s="15">
        <f t="shared" si="1"/>
        <v>72</v>
      </c>
    </row>
    <row r="45" spans="2:20" ht="23.1" customHeight="1" x14ac:dyDescent="0.25">
      <c r="B45" s="23" t="s">
        <v>72</v>
      </c>
      <c r="C45" s="50">
        <v>25</v>
      </c>
      <c r="D45" s="50">
        <v>6</v>
      </c>
      <c r="E45" s="50">
        <v>4</v>
      </c>
      <c r="F45" s="50">
        <v>16</v>
      </c>
      <c r="G45" s="50">
        <v>2</v>
      </c>
      <c r="H45" s="50">
        <v>0</v>
      </c>
      <c r="I45" s="50">
        <v>5</v>
      </c>
      <c r="J45" s="50">
        <v>0</v>
      </c>
      <c r="K45" s="50">
        <v>4</v>
      </c>
      <c r="L45" s="50">
        <v>1</v>
      </c>
      <c r="M45" s="50">
        <v>97</v>
      </c>
      <c r="N45" s="50">
        <v>0</v>
      </c>
      <c r="O45" s="15">
        <f t="shared" si="0"/>
        <v>63</v>
      </c>
      <c r="P45" s="15">
        <f t="shared" si="1"/>
        <v>160</v>
      </c>
    </row>
    <row r="46" spans="2:20" ht="23.1" customHeight="1" x14ac:dyDescent="0.25">
      <c r="B46" s="24" t="s">
        <v>73</v>
      </c>
      <c r="C46" s="50">
        <v>45</v>
      </c>
      <c r="D46" s="50">
        <v>9</v>
      </c>
      <c r="E46" s="50">
        <v>3</v>
      </c>
      <c r="F46" s="50">
        <v>15</v>
      </c>
      <c r="G46" s="50">
        <v>0</v>
      </c>
      <c r="H46" s="50">
        <v>0</v>
      </c>
      <c r="I46" s="50">
        <v>5</v>
      </c>
      <c r="J46" s="50">
        <v>0</v>
      </c>
      <c r="K46" s="50">
        <v>1</v>
      </c>
      <c r="L46" s="50">
        <v>0</v>
      </c>
      <c r="M46" s="50">
        <v>155</v>
      </c>
      <c r="N46" s="50">
        <v>0</v>
      </c>
      <c r="O46" s="15">
        <f t="shared" si="0"/>
        <v>78</v>
      </c>
      <c r="P46" s="15">
        <f t="shared" si="1"/>
        <v>233</v>
      </c>
      <c r="R46" s="8"/>
      <c r="T46"/>
    </row>
    <row r="47" spans="2:20" ht="23.1" customHeight="1" x14ac:dyDescent="0.25">
      <c r="B47" s="24" t="s">
        <v>74</v>
      </c>
      <c r="C47" s="50">
        <v>60</v>
      </c>
      <c r="D47" s="50">
        <v>7</v>
      </c>
      <c r="E47" s="50">
        <v>6</v>
      </c>
      <c r="F47" s="50">
        <v>18</v>
      </c>
      <c r="G47" s="50">
        <v>0</v>
      </c>
      <c r="H47" s="50">
        <v>0</v>
      </c>
      <c r="I47" s="50">
        <v>6</v>
      </c>
      <c r="J47" s="50">
        <v>0</v>
      </c>
      <c r="K47" s="50">
        <v>0</v>
      </c>
      <c r="L47" s="50">
        <v>1</v>
      </c>
      <c r="M47" s="50">
        <v>162</v>
      </c>
      <c r="N47" s="50">
        <v>0</v>
      </c>
      <c r="O47" s="15">
        <f t="shared" si="0"/>
        <v>98</v>
      </c>
      <c r="P47" s="15">
        <f t="shared" si="1"/>
        <v>260</v>
      </c>
      <c r="R47" s="8"/>
      <c r="T47"/>
    </row>
    <row r="48" spans="2:20" ht="23.1" customHeight="1" x14ac:dyDescent="0.25">
      <c r="B48" s="24" t="s">
        <v>75</v>
      </c>
      <c r="C48" s="50">
        <v>55</v>
      </c>
      <c r="D48" s="50">
        <v>6</v>
      </c>
      <c r="E48" s="50">
        <v>6</v>
      </c>
      <c r="F48" s="50">
        <v>21</v>
      </c>
      <c r="G48" s="50">
        <v>2</v>
      </c>
      <c r="H48" s="50">
        <v>0</v>
      </c>
      <c r="I48" s="50">
        <v>8</v>
      </c>
      <c r="J48" s="50">
        <v>0</v>
      </c>
      <c r="K48" s="50">
        <v>3</v>
      </c>
      <c r="L48" s="50">
        <v>0</v>
      </c>
      <c r="M48" s="50">
        <v>170</v>
      </c>
      <c r="N48" s="50">
        <v>0</v>
      </c>
      <c r="O48" s="15">
        <f t="shared" si="0"/>
        <v>101</v>
      </c>
      <c r="P48" s="15">
        <f t="shared" si="1"/>
        <v>271</v>
      </c>
      <c r="R48" s="8"/>
      <c r="T48"/>
    </row>
    <row r="49" spans="2:20" ht="23.1" customHeight="1" x14ac:dyDescent="0.25">
      <c r="B49" s="23" t="s">
        <v>76</v>
      </c>
      <c r="C49" s="50">
        <v>61</v>
      </c>
      <c r="D49" s="50">
        <v>13</v>
      </c>
      <c r="E49" s="50">
        <v>9</v>
      </c>
      <c r="F49" s="50">
        <v>13</v>
      </c>
      <c r="G49" s="50">
        <v>0</v>
      </c>
      <c r="H49" s="50">
        <v>0</v>
      </c>
      <c r="I49" s="50">
        <v>6</v>
      </c>
      <c r="J49" s="50">
        <v>0</v>
      </c>
      <c r="K49" s="50">
        <v>3</v>
      </c>
      <c r="L49" s="50">
        <v>0</v>
      </c>
      <c r="M49" s="50">
        <v>175</v>
      </c>
      <c r="N49" s="50">
        <v>0</v>
      </c>
      <c r="O49" s="15">
        <f t="shared" si="0"/>
        <v>105</v>
      </c>
      <c r="P49" s="15">
        <f t="shared" si="1"/>
        <v>280</v>
      </c>
      <c r="R49" s="8"/>
      <c r="T49"/>
    </row>
    <row r="50" spans="2:20" ht="23.1" customHeight="1" x14ac:dyDescent="0.25">
      <c r="B50" s="24" t="s">
        <v>77</v>
      </c>
      <c r="C50" s="50">
        <v>59</v>
      </c>
      <c r="D50" s="50">
        <v>10</v>
      </c>
      <c r="E50" s="50">
        <v>10</v>
      </c>
      <c r="F50" s="50">
        <v>13</v>
      </c>
      <c r="G50" s="50">
        <v>0</v>
      </c>
      <c r="H50" s="50">
        <v>0</v>
      </c>
      <c r="I50" s="50">
        <v>10</v>
      </c>
      <c r="J50" s="50">
        <v>0</v>
      </c>
      <c r="K50" s="50">
        <v>10</v>
      </c>
      <c r="L50" s="50">
        <v>0</v>
      </c>
      <c r="M50" s="50">
        <v>132</v>
      </c>
      <c r="N50" s="50">
        <v>0</v>
      </c>
      <c r="O50" s="15">
        <f t="shared" si="0"/>
        <v>112</v>
      </c>
      <c r="P50" s="15">
        <f t="shared" si="1"/>
        <v>244</v>
      </c>
      <c r="R50" s="8"/>
      <c r="T50"/>
    </row>
    <row r="51" spans="2:20" ht="23.1" customHeight="1" x14ac:dyDescent="0.25">
      <c r="B51" s="24" t="s">
        <v>78</v>
      </c>
      <c r="C51" s="50">
        <v>70</v>
      </c>
      <c r="D51" s="50">
        <v>5</v>
      </c>
      <c r="E51" s="50">
        <v>8</v>
      </c>
      <c r="F51" s="50">
        <v>21</v>
      </c>
      <c r="G51" s="50">
        <v>0</v>
      </c>
      <c r="H51" s="50">
        <v>0</v>
      </c>
      <c r="I51" s="50">
        <v>3</v>
      </c>
      <c r="J51" s="50">
        <v>0</v>
      </c>
      <c r="K51" s="50">
        <v>0</v>
      </c>
      <c r="L51" s="50">
        <v>2</v>
      </c>
      <c r="M51" s="50">
        <v>145</v>
      </c>
      <c r="N51" s="50">
        <v>0</v>
      </c>
      <c r="O51" s="15">
        <f t="shared" si="0"/>
        <v>109</v>
      </c>
      <c r="P51" s="15">
        <f t="shared" si="1"/>
        <v>254</v>
      </c>
      <c r="R51" s="8"/>
      <c r="T51"/>
    </row>
    <row r="52" spans="2:20" ht="23.1" customHeight="1" x14ac:dyDescent="0.25">
      <c r="B52" s="24" t="s">
        <v>79</v>
      </c>
      <c r="C52" s="50">
        <v>80</v>
      </c>
      <c r="D52" s="50">
        <v>13</v>
      </c>
      <c r="E52" s="50">
        <v>12</v>
      </c>
      <c r="F52" s="50">
        <v>18</v>
      </c>
      <c r="G52" s="50">
        <v>0</v>
      </c>
      <c r="H52" s="50">
        <v>0</v>
      </c>
      <c r="I52" s="50">
        <v>8</v>
      </c>
      <c r="J52" s="50">
        <v>0</v>
      </c>
      <c r="K52" s="50">
        <v>0</v>
      </c>
      <c r="L52" s="50">
        <v>0</v>
      </c>
      <c r="M52" s="50">
        <v>168</v>
      </c>
      <c r="N52" s="50">
        <v>0</v>
      </c>
      <c r="O52" s="15">
        <f t="shared" si="0"/>
        <v>131</v>
      </c>
      <c r="P52" s="15">
        <f t="shared" si="1"/>
        <v>299</v>
      </c>
      <c r="R52" s="8"/>
      <c r="T52"/>
    </row>
    <row r="53" spans="2:20" ht="23.1" customHeight="1" x14ac:dyDescent="0.25">
      <c r="B53" s="23" t="s">
        <v>80</v>
      </c>
      <c r="C53" s="50">
        <v>95</v>
      </c>
      <c r="D53" s="50">
        <v>7</v>
      </c>
      <c r="E53" s="50">
        <v>10</v>
      </c>
      <c r="F53" s="50">
        <v>33</v>
      </c>
      <c r="G53" s="50">
        <v>0</v>
      </c>
      <c r="H53" s="50">
        <v>0</v>
      </c>
      <c r="I53" s="50">
        <v>3</v>
      </c>
      <c r="J53" s="50">
        <v>0</v>
      </c>
      <c r="K53" s="50">
        <v>0</v>
      </c>
      <c r="L53" s="50">
        <v>0</v>
      </c>
      <c r="M53" s="50">
        <v>200</v>
      </c>
      <c r="N53" s="50">
        <v>0</v>
      </c>
      <c r="O53" s="15">
        <f t="shared" si="0"/>
        <v>148</v>
      </c>
      <c r="P53" s="15">
        <f t="shared" si="1"/>
        <v>348</v>
      </c>
      <c r="R53" s="8"/>
      <c r="T53"/>
    </row>
    <row r="54" spans="2:20" ht="23.1" customHeight="1" x14ac:dyDescent="0.25">
      <c r="B54" s="23" t="s">
        <v>81</v>
      </c>
      <c r="C54" s="50">
        <v>115</v>
      </c>
      <c r="D54" s="50">
        <v>15</v>
      </c>
      <c r="E54" s="50">
        <v>13</v>
      </c>
      <c r="F54" s="50">
        <v>23</v>
      </c>
      <c r="G54" s="50">
        <v>0</v>
      </c>
      <c r="H54" s="50">
        <v>0</v>
      </c>
      <c r="I54" s="50">
        <v>5</v>
      </c>
      <c r="J54" s="50">
        <v>0</v>
      </c>
      <c r="K54" s="50">
        <v>0</v>
      </c>
      <c r="L54" s="50">
        <v>2</v>
      </c>
      <c r="M54" s="50">
        <v>155</v>
      </c>
      <c r="N54" s="50">
        <v>0</v>
      </c>
      <c r="O54" s="15">
        <f t="shared" si="0"/>
        <v>173</v>
      </c>
      <c r="P54" s="15">
        <f t="shared" si="1"/>
        <v>328</v>
      </c>
      <c r="R54" s="8"/>
      <c r="T54"/>
    </row>
    <row r="55" spans="2:20" ht="23.1" customHeight="1" x14ac:dyDescent="0.25">
      <c r="B55" s="23" t="s">
        <v>82</v>
      </c>
      <c r="C55" s="50">
        <v>124</v>
      </c>
      <c r="D55" s="50">
        <v>14</v>
      </c>
      <c r="E55" s="50">
        <v>12</v>
      </c>
      <c r="F55" s="50">
        <v>25</v>
      </c>
      <c r="G55" s="50">
        <v>1</v>
      </c>
      <c r="H55" s="50">
        <v>0</v>
      </c>
      <c r="I55" s="50">
        <v>11</v>
      </c>
      <c r="J55" s="50">
        <v>0</v>
      </c>
      <c r="K55" s="50">
        <v>0</v>
      </c>
      <c r="L55" s="50">
        <v>0</v>
      </c>
      <c r="M55" s="50">
        <v>158</v>
      </c>
      <c r="N55" s="50">
        <v>0</v>
      </c>
      <c r="O55" s="15">
        <f t="shared" si="0"/>
        <v>187</v>
      </c>
      <c r="P55" s="15">
        <f t="shared" si="1"/>
        <v>345</v>
      </c>
      <c r="R55" s="8"/>
      <c r="T55"/>
    </row>
    <row r="56" spans="2:20" ht="23.1" customHeight="1" x14ac:dyDescent="0.25">
      <c r="B56" s="23" t="s">
        <v>83</v>
      </c>
      <c r="C56" s="50">
        <v>145</v>
      </c>
      <c r="D56" s="50">
        <v>16</v>
      </c>
      <c r="E56" s="50">
        <v>17</v>
      </c>
      <c r="F56" s="50">
        <v>35</v>
      </c>
      <c r="G56" s="50">
        <v>2</v>
      </c>
      <c r="H56" s="50">
        <v>0</v>
      </c>
      <c r="I56" s="50">
        <v>3</v>
      </c>
      <c r="J56" s="50">
        <v>0</v>
      </c>
      <c r="K56" s="50">
        <v>0</v>
      </c>
      <c r="L56" s="50">
        <v>0</v>
      </c>
      <c r="M56" s="50">
        <v>185</v>
      </c>
      <c r="N56" s="50">
        <v>0</v>
      </c>
      <c r="O56" s="15">
        <f t="shared" si="0"/>
        <v>218</v>
      </c>
      <c r="P56" s="15">
        <f t="shared" si="1"/>
        <v>403</v>
      </c>
      <c r="R56" s="8"/>
      <c r="T56"/>
    </row>
    <row r="57" spans="2:20" ht="23.1" customHeight="1" x14ac:dyDescent="0.25">
      <c r="B57" s="23" t="s">
        <v>84</v>
      </c>
      <c r="C57" s="50">
        <v>105</v>
      </c>
      <c r="D57" s="50">
        <v>20</v>
      </c>
      <c r="E57" s="50">
        <v>15</v>
      </c>
      <c r="F57" s="50">
        <v>30</v>
      </c>
      <c r="G57" s="50">
        <v>2</v>
      </c>
      <c r="H57" s="50">
        <v>0</v>
      </c>
      <c r="I57" s="50">
        <v>5</v>
      </c>
      <c r="J57" s="50">
        <v>0</v>
      </c>
      <c r="K57" s="50">
        <v>1</v>
      </c>
      <c r="L57" s="50">
        <v>0</v>
      </c>
      <c r="M57" s="50">
        <v>140</v>
      </c>
      <c r="N57" s="50">
        <v>0</v>
      </c>
      <c r="O57" s="15">
        <f t="shared" si="0"/>
        <v>178</v>
      </c>
      <c r="P57" s="15">
        <f t="shared" si="1"/>
        <v>318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1926</v>
      </c>
      <c r="D58" s="16">
        <f t="shared" si="21"/>
        <v>310</v>
      </c>
      <c r="E58" s="16">
        <f t="shared" si="21"/>
        <v>290</v>
      </c>
      <c r="F58" s="16">
        <f t="shared" si="21"/>
        <v>935</v>
      </c>
      <c r="G58" s="16">
        <f t="shared" si="21"/>
        <v>25</v>
      </c>
      <c r="H58" s="16">
        <f t="shared" si="21"/>
        <v>8</v>
      </c>
      <c r="I58" s="16">
        <f t="shared" si="21"/>
        <v>279</v>
      </c>
      <c r="J58" s="16">
        <f t="shared" si="21"/>
        <v>13</v>
      </c>
      <c r="K58" s="16">
        <f t="shared" si="21"/>
        <v>76</v>
      </c>
      <c r="L58" s="16">
        <f t="shared" si="21"/>
        <v>27</v>
      </c>
      <c r="M58" s="16">
        <f t="shared" si="21"/>
        <v>5297</v>
      </c>
      <c r="N58" s="16">
        <f t="shared" si="21"/>
        <v>0</v>
      </c>
      <c r="O58" s="16">
        <f t="shared" si="21"/>
        <v>3889</v>
      </c>
      <c r="P58" s="16">
        <f t="shared" si="21"/>
        <v>9186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0.20966688438928804</v>
      </c>
      <c r="D59" s="43">
        <f t="shared" si="22"/>
        <v>3.3747006313956017E-2</v>
      </c>
      <c r="E59" s="43">
        <f t="shared" si="22"/>
        <v>3.1569780100152406E-2</v>
      </c>
      <c r="F59" s="43">
        <f t="shared" si="22"/>
        <v>0.10178532549531896</v>
      </c>
      <c r="G59" s="43">
        <f t="shared" si="22"/>
        <v>2.7215327672545178E-3</v>
      </c>
      <c r="H59" s="43">
        <f t="shared" si="22"/>
        <v>8.7089048552144567E-4</v>
      </c>
      <c r="I59" s="43">
        <f t="shared" si="22"/>
        <v>3.0372305682560417E-2</v>
      </c>
      <c r="J59" s="43">
        <f t="shared" si="22"/>
        <v>1.4151970389723492E-3</v>
      </c>
      <c r="K59" s="43">
        <f t="shared" si="22"/>
        <v>8.2734596124537339E-3</v>
      </c>
      <c r="L59" s="43">
        <f t="shared" si="22"/>
        <v>2.939255388634879E-3</v>
      </c>
      <c r="M59" s="43">
        <f t="shared" si="22"/>
        <v>0.5766383627258872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0.49524299305734121</v>
      </c>
      <c r="D60" s="44">
        <f t="shared" ref="D60:N60" si="23">D58/$O$58</f>
        <v>7.9712008228336337E-2</v>
      </c>
      <c r="E60" s="44">
        <f t="shared" si="23"/>
        <v>7.4569298020056574E-2</v>
      </c>
      <c r="F60" s="44">
        <f t="shared" si="23"/>
        <v>0.24042170223707893</v>
      </c>
      <c r="G60" s="44">
        <f t="shared" si="23"/>
        <v>6.428387760349704E-3</v>
      </c>
      <c r="H60" s="44">
        <f t="shared" si="23"/>
        <v>2.0570840833119054E-3</v>
      </c>
      <c r="I60" s="44">
        <f t="shared" si="23"/>
        <v>7.1740807405502705E-2</v>
      </c>
      <c r="J60" s="44">
        <f t="shared" si="23"/>
        <v>3.3427616353818462E-3</v>
      </c>
      <c r="K60" s="44">
        <f t="shared" si="23"/>
        <v>1.95422987914631E-2</v>
      </c>
      <c r="L60" s="44">
        <f t="shared" si="23"/>
        <v>6.9426587811776807E-3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52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D5" zoomScale="84" zoomScaleSheetLayoutView="84" workbookViewId="0">
      <selection activeCell="D6" sqref="D6:E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2" t="str">
        <f>'22.07 Kitebi-Kabusu'!C3:G3</f>
        <v>MCC - C1 - STN06-WANKULUKUKU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163</v>
      </c>
      <c r="E5" s="3"/>
      <c r="F5" s="41" t="s">
        <v>1</v>
      </c>
      <c r="G5" s="57" t="str">
        <f>'22.07 Kitebi-Kabusu'!G5:H5</f>
        <v>kobil head office</v>
      </c>
      <c r="H5" s="58"/>
      <c r="I5" s="14"/>
      <c r="J5" s="2" t="s">
        <v>5</v>
      </c>
      <c r="K5" s="57" t="str">
        <f>'22.07 Kitebi-Kabusu'!K5:L5</f>
        <v>Mawa Haston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171</v>
      </c>
      <c r="E6" s="58"/>
      <c r="F6" s="2" t="s">
        <v>2</v>
      </c>
      <c r="G6" s="57" t="s">
        <v>176</v>
      </c>
      <c r="H6" s="58"/>
      <c r="J6" s="2" t="s">
        <v>21</v>
      </c>
      <c r="K6" s="57" t="str">
        <f>'22.07 Kitebi-Kabusu'!K6:L6</f>
        <v>Felix Oloya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180</v>
      </c>
      <c r="D10" s="50">
        <v>20</v>
      </c>
      <c r="E10" s="50">
        <v>15</v>
      </c>
      <c r="F10" s="50">
        <v>41</v>
      </c>
      <c r="G10" s="50">
        <v>1</v>
      </c>
      <c r="H10" s="50">
        <v>0</v>
      </c>
      <c r="I10" s="50">
        <v>5</v>
      </c>
      <c r="J10" s="50">
        <v>0</v>
      </c>
      <c r="K10" s="50">
        <v>0</v>
      </c>
      <c r="L10" s="50">
        <v>0</v>
      </c>
      <c r="M10" s="50">
        <v>272</v>
      </c>
      <c r="N10" s="50">
        <v>0</v>
      </c>
      <c r="O10" s="15">
        <f t="shared" ref="O10:O57" si="0">SUM(C10:L10,N10)</f>
        <v>262</v>
      </c>
      <c r="P10" s="15">
        <f t="shared" ref="P10:P57" si="1">SUM(C10:N10)</f>
        <v>534</v>
      </c>
      <c r="R10" s="1" t="s">
        <v>6</v>
      </c>
      <c r="S10" s="17">
        <f t="shared" ref="S10:AF10" si="2">SUM(C10:C13)</f>
        <v>669</v>
      </c>
      <c r="T10" s="17">
        <f t="shared" si="2"/>
        <v>64</v>
      </c>
      <c r="U10" s="17">
        <f t="shared" si="2"/>
        <v>59</v>
      </c>
      <c r="V10" s="17">
        <f t="shared" si="2"/>
        <v>176</v>
      </c>
      <c r="W10" s="17">
        <f t="shared" si="2"/>
        <v>2</v>
      </c>
      <c r="X10" s="17">
        <f t="shared" si="2"/>
        <v>0</v>
      </c>
      <c r="Y10" s="17">
        <f t="shared" si="2"/>
        <v>23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1153</v>
      </c>
      <c r="AD10" s="17">
        <f t="shared" si="2"/>
        <v>0</v>
      </c>
      <c r="AE10" s="31">
        <f t="shared" si="2"/>
        <v>995</v>
      </c>
      <c r="AF10" s="31">
        <f t="shared" si="2"/>
        <v>2148</v>
      </c>
    </row>
    <row r="11" spans="2:32" s="6" customFormat="1" ht="23.1" customHeight="1" x14ac:dyDescent="0.25">
      <c r="B11" s="23" t="s">
        <v>38</v>
      </c>
      <c r="C11" s="50">
        <v>184</v>
      </c>
      <c r="D11" s="50">
        <v>16</v>
      </c>
      <c r="E11" s="50">
        <v>16</v>
      </c>
      <c r="F11" s="50">
        <v>51</v>
      </c>
      <c r="G11" s="50">
        <v>0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285</v>
      </c>
      <c r="N11" s="50">
        <v>0</v>
      </c>
      <c r="O11" s="15">
        <f t="shared" si="0"/>
        <v>269</v>
      </c>
      <c r="P11" s="15">
        <f t="shared" si="1"/>
        <v>554</v>
      </c>
      <c r="R11" s="1" t="s">
        <v>7</v>
      </c>
      <c r="S11" s="17">
        <f t="shared" ref="S11:AF11" si="3">SUM(C14:C17)</f>
        <v>476</v>
      </c>
      <c r="T11" s="17">
        <f t="shared" si="3"/>
        <v>60</v>
      </c>
      <c r="U11" s="17">
        <f t="shared" si="3"/>
        <v>51</v>
      </c>
      <c r="V11" s="17">
        <f t="shared" si="3"/>
        <v>151</v>
      </c>
      <c r="W11" s="17">
        <f t="shared" si="3"/>
        <v>1</v>
      </c>
      <c r="X11" s="17">
        <f t="shared" si="3"/>
        <v>0</v>
      </c>
      <c r="Y11" s="17">
        <f t="shared" si="3"/>
        <v>35</v>
      </c>
      <c r="Z11" s="17">
        <f t="shared" si="3"/>
        <v>1</v>
      </c>
      <c r="AA11" s="17">
        <f t="shared" si="3"/>
        <v>0</v>
      </c>
      <c r="AB11" s="17">
        <f t="shared" si="3"/>
        <v>1</v>
      </c>
      <c r="AC11" s="17">
        <f t="shared" si="3"/>
        <v>1187</v>
      </c>
      <c r="AD11" s="17">
        <f t="shared" si="3"/>
        <v>0</v>
      </c>
      <c r="AE11" s="31">
        <f t="shared" si="3"/>
        <v>776</v>
      </c>
      <c r="AF11" s="31">
        <f t="shared" si="3"/>
        <v>1963</v>
      </c>
    </row>
    <row r="12" spans="2:32" ht="23.1" customHeight="1" x14ac:dyDescent="0.25">
      <c r="B12" s="23" t="s">
        <v>39</v>
      </c>
      <c r="C12" s="50">
        <v>172</v>
      </c>
      <c r="D12" s="50">
        <v>15</v>
      </c>
      <c r="E12" s="50">
        <v>11</v>
      </c>
      <c r="F12" s="50">
        <v>47</v>
      </c>
      <c r="G12" s="50">
        <v>0</v>
      </c>
      <c r="H12" s="50">
        <v>0</v>
      </c>
      <c r="I12" s="50">
        <v>7</v>
      </c>
      <c r="J12" s="50">
        <v>2</v>
      </c>
      <c r="K12" s="50">
        <v>0</v>
      </c>
      <c r="L12" s="50">
        <v>0</v>
      </c>
      <c r="M12" s="50">
        <v>301</v>
      </c>
      <c r="N12" s="50">
        <v>0</v>
      </c>
      <c r="O12" s="15">
        <f t="shared" si="0"/>
        <v>254</v>
      </c>
      <c r="P12" s="15">
        <f t="shared" si="1"/>
        <v>555</v>
      </c>
      <c r="R12" s="1" t="s">
        <v>8</v>
      </c>
      <c r="S12" s="17">
        <f t="shared" ref="S12:AF12" si="4">SUM(C18:C21)</f>
        <v>329</v>
      </c>
      <c r="T12" s="17">
        <f t="shared" si="4"/>
        <v>48</v>
      </c>
      <c r="U12" s="17">
        <f t="shared" si="4"/>
        <v>26</v>
      </c>
      <c r="V12" s="17">
        <f t="shared" si="4"/>
        <v>110</v>
      </c>
      <c r="W12" s="17">
        <f t="shared" si="4"/>
        <v>0</v>
      </c>
      <c r="X12" s="17">
        <f t="shared" si="4"/>
        <v>1</v>
      </c>
      <c r="Y12" s="17">
        <f t="shared" si="4"/>
        <v>30</v>
      </c>
      <c r="Z12" s="17">
        <f t="shared" si="4"/>
        <v>1</v>
      </c>
      <c r="AA12" s="17">
        <f t="shared" si="4"/>
        <v>0</v>
      </c>
      <c r="AB12" s="17">
        <f t="shared" si="4"/>
        <v>3</v>
      </c>
      <c r="AC12" s="17">
        <f t="shared" si="4"/>
        <v>1051</v>
      </c>
      <c r="AD12" s="17">
        <f t="shared" si="4"/>
        <v>0</v>
      </c>
      <c r="AE12" s="31">
        <f t="shared" si="4"/>
        <v>548</v>
      </c>
      <c r="AF12" s="31">
        <f t="shared" si="4"/>
        <v>1599</v>
      </c>
    </row>
    <row r="13" spans="2:32" ht="23.1" customHeight="1" x14ac:dyDescent="0.25">
      <c r="B13" s="23" t="s">
        <v>40</v>
      </c>
      <c r="C13" s="50">
        <v>133</v>
      </c>
      <c r="D13" s="50">
        <v>13</v>
      </c>
      <c r="E13" s="50">
        <v>17</v>
      </c>
      <c r="F13" s="50">
        <v>37</v>
      </c>
      <c r="G13" s="50">
        <v>1</v>
      </c>
      <c r="H13" s="50">
        <v>0</v>
      </c>
      <c r="I13" s="50">
        <v>9</v>
      </c>
      <c r="J13" s="50">
        <v>0</v>
      </c>
      <c r="K13" s="50">
        <v>0</v>
      </c>
      <c r="L13" s="50">
        <v>0</v>
      </c>
      <c r="M13" s="50">
        <v>295</v>
      </c>
      <c r="N13" s="50">
        <v>0</v>
      </c>
      <c r="O13" s="15">
        <f t="shared" si="0"/>
        <v>210</v>
      </c>
      <c r="P13" s="15">
        <f t="shared" si="1"/>
        <v>505</v>
      </c>
      <c r="R13" s="1" t="s">
        <v>9</v>
      </c>
      <c r="S13" s="17">
        <f t="shared" ref="S13:AF13" si="5">SUM(C22:C25)</f>
        <v>275</v>
      </c>
      <c r="T13" s="17">
        <f t="shared" si="5"/>
        <v>31</v>
      </c>
      <c r="U13" s="17">
        <f t="shared" si="5"/>
        <v>31</v>
      </c>
      <c r="V13" s="17">
        <f t="shared" si="5"/>
        <v>105</v>
      </c>
      <c r="W13" s="17">
        <f t="shared" si="5"/>
        <v>0</v>
      </c>
      <c r="X13" s="17">
        <f t="shared" si="5"/>
        <v>1</v>
      </c>
      <c r="Y13" s="17">
        <f t="shared" si="5"/>
        <v>38</v>
      </c>
      <c r="Z13" s="17">
        <f t="shared" si="5"/>
        <v>2</v>
      </c>
      <c r="AA13" s="17">
        <f t="shared" si="5"/>
        <v>3</v>
      </c>
      <c r="AB13" s="17">
        <f t="shared" si="5"/>
        <v>9</v>
      </c>
      <c r="AC13" s="17">
        <f t="shared" si="5"/>
        <v>998</v>
      </c>
      <c r="AD13" s="17">
        <f t="shared" si="5"/>
        <v>0</v>
      </c>
      <c r="AE13" s="31">
        <f t="shared" si="5"/>
        <v>495</v>
      </c>
      <c r="AF13" s="31">
        <f t="shared" si="5"/>
        <v>1493</v>
      </c>
    </row>
    <row r="14" spans="2:32" ht="23.1" customHeight="1" x14ac:dyDescent="0.25">
      <c r="B14" s="23" t="s">
        <v>41</v>
      </c>
      <c r="C14" s="50">
        <v>147</v>
      </c>
      <c r="D14" s="50">
        <v>17</v>
      </c>
      <c r="E14" s="50">
        <v>13</v>
      </c>
      <c r="F14" s="50">
        <v>43</v>
      </c>
      <c r="G14" s="50">
        <v>0</v>
      </c>
      <c r="H14" s="50">
        <v>0</v>
      </c>
      <c r="I14" s="50">
        <v>9</v>
      </c>
      <c r="J14" s="50">
        <v>1</v>
      </c>
      <c r="K14" s="50">
        <v>0</v>
      </c>
      <c r="L14" s="50">
        <v>0</v>
      </c>
      <c r="M14" s="50">
        <v>334</v>
      </c>
      <c r="N14" s="50">
        <v>0</v>
      </c>
      <c r="O14" s="15">
        <f t="shared" si="0"/>
        <v>230</v>
      </c>
      <c r="P14" s="15">
        <f t="shared" si="1"/>
        <v>564</v>
      </c>
      <c r="R14" s="1" t="s">
        <v>10</v>
      </c>
      <c r="S14" s="17">
        <f t="shared" ref="S14:AF14" si="6">SUM(C26:C29)</f>
        <v>243</v>
      </c>
      <c r="T14" s="17">
        <f t="shared" si="6"/>
        <v>31</v>
      </c>
      <c r="U14" s="17">
        <f t="shared" si="6"/>
        <v>23</v>
      </c>
      <c r="V14" s="17">
        <f t="shared" si="6"/>
        <v>95</v>
      </c>
      <c r="W14" s="17">
        <f t="shared" si="6"/>
        <v>0</v>
      </c>
      <c r="X14" s="17">
        <f t="shared" si="6"/>
        <v>0</v>
      </c>
      <c r="Y14" s="17">
        <f t="shared" si="6"/>
        <v>42</v>
      </c>
      <c r="Z14" s="17">
        <f t="shared" si="6"/>
        <v>3</v>
      </c>
      <c r="AA14" s="17">
        <f t="shared" si="6"/>
        <v>2</v>
      </c>
      <c r="AB14" s="17">
        <f t="shared" si="6"/>
        <v>8</v>
      </c>
      <c r="AC14" s="17">
        <f t="shared" si="6"/>
        <v>884</v>
      </c>
      <c r="AD14" s="17">
        <f t="shared" si="6"/>
        <v>0</v>
      </c>
      <c r="AE14" s="31">
        <f t="shared" si="6"/>
        <v>447</v>
      </c>
      <c r="AF14" s="31">
        <f t="shared" si="6"/>
        <v>1331</v>
      </c>
    </row>
    <row r="15" spans="2:32" ht="23.1" customHeight="1" x14ac:dyDescent="0.25">
      <c r="B15" s="23" t="s">
        <v>42</v>
      </c>
      <c r="C15" s="50">
        <v>127</v>
      </c>
      <c r="D15" s="50">
        <v>13</v>
      </c>
      <c r="E15" s="50">
        <v>16</v>
      </c>
      <c r="F15" s="50">
        <v>41</v>
      </c>
      <c r="G15" s="50">
        <v>1</v>
      </c>
      <c r="H15" s="50">
        <v>0</v>
      </c>
      <c r="I15" s="50">
        <v>11</v>
      </c>
      <c r="J15" s="50">
        <v>0</v>
      </c>
      <c r="K15" s="50">
        <v>0</v>
      </c>
      <c r="L15" s="50">
        <v>1</v>
      </c>
      <c r="M15" s="50">
        <v>275</v>
      </c>
      <c r="N15" s="50">
        <v>0</v>
      </c>
      <c r="O15" s="15">
        <f t="shared" si="0"/>
        <v>210</v>
      </c>
      <c r="P15" s="15">
        <f t="shared" si="1"/>
        <v>485</v>
      </c>
      <c r="R15" s="1" t="s">
        <v>11</v>
      </c>
      <c r="S15" s="17">
        <f t="shared" ref="S15:AF15" si="7">SUM(C30:C33)</f>
        <v>180</v>
      </c>
      <c r="T15" s="17">
        <f t="shared" si="7"/>
        <v>19</v>
      </c>
      <c r="U15" s="17">
        <f t="shared" si="7"/>
        <v>27</v>
      </c>
      <c r="V15" s="17">
        <f t="shared" si="7"/>
        <v>78</v>
      </c>
      <c r="W15" s="17">
        <f t="shared" si="7"/>
        <v>1</v>
      </c>
      <c r="X15" s="17">
        <f t="shared" si="7"/>
        <v>0</v>
      </c>
      <c r="Y15" s="17">
        <f t="shared" si="7"/>
        <v>35</v>
      </c>
      <c r="Z15" s="17">
        <f t="shared" si="7"/>
        <v>3</v>
      </c>
      <c r="AA15" s="17">
        <f t="shared" si="7"/>
        <v>0</v>
      </c>
      <c r="AB15" s="17">
        <f t="shared" si="7"/>
        <v>5</v>
      </c>
      <c r="AC15" s="17">
        <f t="shared" si="7"/>
        <v>873</v>
      </c>
      <c r="AD15" s="17">
        <f t="shared" si="7"/>
        <v>0</v>
      </c>
      <c r="AE15" s="31">
        <f t="shared" si="7"/>
        <v>348</v>
      </c>
      <c r="AF15" s="31">
        <f t="shared" si="7"/>
        <v>1221</v>
      </c>
    </row>
    <row r="16" spans="2:32" ht="23.1" customHeight="1" x14ac:dyDescent="0.25">
      <c r="B16" s="23" t="s">
        <v>43</v>
      </c>
      <c r="C16" s="50">
        <v>114</v>
      </c>
      <c r="D16" s="50">
        <v>13</v>
      </c>
      <c r="E16" s="50">
        <v>11</v>
      </c>
      <c r="F16" s="50">
        <v>34</v>
      </c>
      <c r="G16" s="50">
        <v>0</v>
      </c>
      <c r="H16" s="50">
        <v>0</v>
      </c>
      <c r="I16" s="50">
        <v>11</v>
      </c>
      <c r="J16" s="50">
        <v>0</v>
      </c>
      <c r="K16" s="50">
        <v>0</v>
      </c>
      <c r="L16" s="50">
        <v>0</v>
      </c>
      <c r="M16" s="50">
        <v>335</v>
      </c>
      <c r="N16" s="50">
        <v>0</v>
      </c>
      <c r="O16" s="15">
        <f t="shared" si="0"/>
        <v>183</v>
      </c>
      <c r="P16" s="15">
        <f t="shared" si="1"/>
        <v>518</v>
      </c>
      <c r="R16" s="1" t="s">
        <v>12</v>
      </c>
      <c r="S16" s="17">
        <f t="shared" ref="S16:AF16" si="8">SUM(C34:C37)</f>
        <v>151</v>
      </c>
      <c r="T16" s="17">
        <f t="shared" si="8"/>
        <v>14</v>
      </c>
      <c r="U16" s="17">
        <f t="shared" si="8"/>
        <v>24</v>
      </c>
      <c r="V16" s="17">
        <f t="shared" si="8"/>
        <v>78</v>
      </c>
      <c r="W16" s="17">
        <f t="shared" si="8"/>
        <v>3</v>
      </c>
      <c r="X16" s="17">
        <f t="shared" si="8"/>
        <v>1</v>
      </c>
      <c r="Y16" s="17">
        <f t="shared" si="8"/>
        <v>31</v>
      </c>
      <c r="Z16" s="17">
        <f t="shared" si="8"/>
        <v>4</v>
      </c>
      <c r="AA16" s="17">
        <f t="shared" si="8"/>
        <v>4</v>
      </c>
      <c r="AB16" s="17">
        <f t="shared" si="8"/>
        <v>3</v>
      </c>
      <c r="AC16" s="17">
        <f t="shared" si="8"/>
        <v>734</v>
      </c>
      <c r="AD16" s="17">
        <f t="shared" si="8"/>
        <v>0</v>
      </c>
      <c r="AE16" s="31">
        <f t="shared" si="8"/>
        <v>313</v>
      </c>
      <c r="AF16" s="31">
        <f t="shared" si="8"/>
        <v>1047</v>
      </c>
    </row>
    <row r="17" spans="2:32" ht="23.1" customHeight="1" x14ac:dyDescent="0.25">
      <c r="B17" s="23" t="s">
        <v>44</v>
      </c>
      <c r="C17" s="50">
        <v>88</v>
      </c>
      <c r="D17" s="50">
        <v>17</v>
      </c>
      <c r="E17" s="50">
        <v>11</v>
      </c>
      <c r="F17" s="50">
        <v>33</v>
      </c>
      <c r="G17" s="50">
        <v>0</v>
      </c>
      <c r="H17" s="50">
        <v>0</v>
      </c>
      <c r="I17" s="50">
        <v>4</v>
      </c>
      <c r="J17" s="50">
        <v>0</v>
      </c>
      <c r="K17" s="50">
        <v>0</v>
      </c>
      <c r="L17" s="50">
        <v>0</v>
      </c>
      <c r="M17" s="50">
        <v>243</v>
      </c>
      <c r="N17" s="50">
        <v>0</v>
      </c>
      <c r="O17" s="15">
        <f t="shared" si="0"/>
        <v>153</v>
      </c>
      <c r="P17" s="15">
        <f t="shared" si="1"/>
        <v>396</v>
      </c>
      <c r="R17" s="1" t="s">
        <v>13</v>
      </c>
      <c r="S17" s="17">
        <f t="shared" ref="S17:AF17" si="9">SUM(C38:C41)</f>
        <v>155</v>
      </c>
      <c r="T17" s="17">
        <f t="shared" si="9"/>
        <v>21</v>
      </c>
      <c r="U17" s="17">
        <f t="shared" si="9"/>
        <v>29</v>
      </c>
      <c r="V17" s="17">
        <f t="shared" si="9"/>
        <v>71</v>
      </c>
      <c r="W17" s="17">
        <f t="shared" si="9"/>
        <v>0</v>
      </c>
      <c r="X17" s="17">
        <f t="shared" si="9"/>
        <v>0</v>
      </c>
      <c r="Y17" s="17">
        <f t="shared" si="9"/>
        <v>22</v>
      </c>
      <c r="Z17" s="17">
        <f t="shared" si="9"/>
        <v>16</v>
      </c>
      <c r="AA17" s="17">
        <f t="shared" si="9"/>
        <v>2</v>
      </c>
      <c r="AB17" s="17">
        <f t="shared" si="9"/>
        <v>1</v>
      </c>
      <c r="AC17" s="17">
        <f t="shared" si="9"/>
        <v>794</v>
      </c>
      <c r="AD17" s="17">
        <f t="shared" si="9"/>
        <v>0</v>
      </c>
      <c r="AE17" s="31">
        <f t="shared" si="9"/>
        <v>317</v>
      </c>
      <c r="AF17" s="31">
        <f t="shared" si="9"/>
        <v>1111</v>
      </c>
    </row>
    <row r="18" spans="2:32" ht="23.1" customHeight="1" x14ac:dyDescent="0.25">
      <c r="B18" s="23" t="s">
        <v>45</v>
      </c>
      <c r="C18" s="50">
        <v>87</v>
      </c>
      <c r="D18" s="50">
        <v>12</v>
      </c>
      <c r="E18" s="50">
        <v>9</v>
      </c>
      <c r="F18" s="50">
        <v>27</v>
      </c>
      <c r="G18" s="50">
        <v>0</v>
      </c>
      <c r="H18" s="50">
        <v>0</v>
      </c>
      <c r="I18" s="50">
        <v>3</v>
      </c>
      <c r="J18" s="50">
        <v>1</v>
      </c>
      <c r="K18" s="50">
        <v>0</v>
      </c>
      <c r="L18" s="50">
        <v>0</v>
      </c>
      <c r="M18" s="50">
        <v>271</v>
      </c>
      <c r="N18" s="50">
        <v>0</v>
      </c>
      <c r="O18" s="15">
        <f t="shared" si="0"/>
        <v>139</v>
      </c>
      <c r="P18" s="15">
        <f t="shared" si="1"/>
        <v>410</v>
      </c>
      <c r="R18" s="1" t="s">
        <v>14</v>
      </c>
      <c r="S18" s="17">
        <f t="shared" ref="S18:AF18" si="10">SUM(C42:C45)</f>
        <v>167</v>
      </c>
      <c r="T18" s="17">
        <f t="shared" si="10"/>
        <v>24</v>
      </c>
      <c r="U18" s="17">
        <f t="shared" si="10"/>
        <v>24</v>
      </c>
      <c r="V18" s="17">
        <f t="shared" si="10"/>
        <v>67</v>
      </c>
      <c r="W18" s="17">
        <f t="shared" si="10"/>
        <v>0</v>
      </c>
      <c r="X18" s="17">
        <f t="shared" si="10"/>
        <v>2</v>
      </c>
      <c r="Y18" s="17">
        <f t="shared" si="10"/>
        <v>28</v>
      </c>
      <c r="Z18" s="17">
        <f t="shared" si="10"/>
        <v>8</v>
      </c>
      <c r="AA18" s="17">
        <f t="shared" si="10"/>
        <v>2</v>
      </c>
      <c r="AB18" s="17">
        <f t="shared" si="10"/>
        <v>3</v>
      </c>
      <c r="AC18" s="17">
        <f t="shared" si="10"/>
        <v>764</v>
      </c>
      <c r="AD18" s="17">
        <f t="shared" si="10"/>
        <v>0</v>
      </c>
      <c r="AE18" s="31">
        <f t="shared" si="10"/>
        <v>325</v>
      </c>
      <c r="AF18" s="31">
        <f t="shared" si="10"/>
        <v>1089</v>
      </c>
    </row>
    <row r="19" spans="2:32" ht="23.1" customHeight="1" x14ac:dyDescent="0.25">
      <c r="B19" s="23" t="s">
        <v>46</v>
      </c>
      <c r="C19" s="50">
        <v>98</v>
      </c>
      <c r="D19" s="50">
        <v>14</v>
      </c>
      <c r="E19" s="50">
        <v>6</v>
      </c>
      <c r="F19" s="50">
        <v>30</v>
      </c>
      <c r="G19" s="50">
        <v>0</v>
      </c>
      <c r="H19" s="50">
        <v>0</v>
      </c>
      <c r="I19" s="50">
        <v>9</v>
      </c>
      <c r="J19" s="50">
        <v>0</v>
      </c>
      <c r="K19" s="50">
        <v>0</v>
      </c>
      <c r="L19" s="50">
        <v>0</v>
      </c>
      <c r="M19" s="50">
        <v>237</v>
      </c>
      <c r="N19" s="50">
        <v>0</v>
      </c>
      <c r="O19" s="15">
        <f t="shared" si="0"/>
        <v>157</v>
      </c>
      <c r="P19" s="15">
        <f t="shared" si="1"/>
        <v>394</v>
      </c>
      <c r="R19" s="1" t="s">
        <v>15</v>
      </c>
      <c r="S19" s="17">
        <f t="shared" ref="S19:AF19" si="11">SUM(C46:C49)</f>
        <v>193</v>
      </c>
      <c r="T19" s="17">
        <f t="shared" si="11"/>
        <v>29</v>
      </c>
      <c r="U19" s="17">
        <f t="shared" si="11"/>
        <v>26</v>
      </c>
      <c r="V19" s="17">
        <f t="shared" si="11"/>
        <v>69</v>
      </c>
      <c r="W19" s="17">
        <f t="shared" si="11"/>
        <v>5</v>
      </c>
      <c r="X19" s="17">
        <f t="shared" si="11"/>
        <v>0</v>
      </c>
      <c r="Y19" s="17">
        <f t="shared" si="11"/>
        <v>28</v>
      </c>
      <c r="Z19" s="17">
        <f t="shared" si="11"/>
        <v>7</v>
      </c>
      <c r="AA19" s="17">
        <f t="shared" si="11"/>
        <v>1</v>
      </c>
      <c r="AB19" s="17">
        <f t="shared" si="11"/>
        <v>0</v>
      </c>
      <c r="AC19" s="17">
        <f t="shared" si="11"/>
        <v>772</v>
      </c>
      <c r="AD19" s="17">
        <f t="shared" si="11"/>
        <v>0</v>
      </c>
      <c r="AE19" s="31">
        <f t="shared" si="11"/>
        <v>358</v>
      </c>
      <c r="AF19" s="31">
        <f t="shared" si="11"/>
        <v>1130</v>
      </c>
    </row>
    <row r="20" spans="2:32" ht="23.1" customHeight="1" x14ac:dyDescent="0.25">
      <c r="B20" s="23" t="s">
        <v>47</v>
      </c>
      <c r="C20" s="50">
        <v>75</v>
      </c>
      <c r="D20" s="50">
        <v>10</v>
      </c>
      <c r="E20" s="50">
        <v>4</v>
      </c>
      <c r="F20" s="50">
        <v>27</v>
      </c>
      <c r="G20" s="50">
        <v>0</v>
      </c>
      <c r="H20" s="50">
        <v>0</v>
      </c>
      <c r="I20" s="50">
        <v>8</v>
      </c>
      <c r="J20" s="50">
        <v>0</v>
      </c>
      <c r="K20" s="50">
        <v>0</v>
      </c>
      <c r="L20" s="50">
        <v>0</v>
      </c>
      <c r="M20" s="50">
        <v>280</v>
      </c>
      <c r="N20" s="50">
        <v>0</v>
      </c>
      <c r="O20" s="15">
        <f t="shared" si="0"/>
        <v>124</v>
      </c>
      <c r="P20" s="15">
        <f t="shared" si="1"/>
        <v>404</v>
      </c>
      <c r="R20" s="1" t="s">
        <v>16</v>
      </c>
      <c r="S20" s="17">
        <f t="shared" ref="S20:AF20" si="12">SUM(C50:C53)</f>
        <v>174</v>
      </c>
      <c r="T20" s="17">
        <f t="shared" si="12"/>
        <v>22</v>
      </c>
      <c r="U20" s="17">
        <f t="shared" si="12"/>
        <v>22</v>
      </c>
      <c r="V20" s="17">
        <f t="shared" si="12"/>
        <v>71</v>
      </c>
      <c r="W20" s="17">
        <f t="shared" si="12"/>
        <v>2</v>
      </c>
      <c r="X20" s="17">
        <f t="shared" si="12"/>
        <v>0</v>
      </c>
      <c r="Y20" s="17">
        <f t="shared" si="12"/>
        <v>23</v>
      </c>
      <c r="Z20" s="17">
        <f t="shared" si="12"/>
        <v>4</v>
      </c>
      <c r="AA20" s="17">
        <f t="shared" si="12"/>
        <v>1</v>
      </c>
      <c r="AB20" s="17">
        <f t="shared" si="12"/>
        <v>2</v>
      </c>
      <c r="AC20" s="17">
        <f t="shared" si="12"/>
        <v>764</v>
      </c>
      <c r="AD20" s="17">
        <f t="shared" si="12"/>
        <v>0</v>
      </c>
      <c r="AE20" s="31">
        <f t="shared" si="12"/>
        <v>321</v>
      </c>
      <c r="AF20" s="31">
        <f t="shared" si="12"/>
        <v>1085</v>
      </c>
    </row>
    <row r="21" spans="2:32" ht="23.1" customHeight="1" x14ac:dyDescent="0.25">
      <c r="B21" s="23" t="s">
        <v>48</v>
      </c>
      <c r="C21" s="50">
        <v>69</v>
      </c>
      <c r="D21" s="50">
        <v>12</v>
      </c>
      <c r="E21" s="50">
        <v>7</v>
      </c>
      <c r="F21" s="50">
        <v>26</v>
      </c>
      <c r="G21" s="50">
        <v>0</v>
      </c>
      <c r="H21" s="50">
        <v>1</v>
      </c>
      <c r="I21" s="50">
        <v>10</v>
      </c>
      <c r="J21" s="50">
        <v>0</v>
      </c>
      <c r="K21" s="50">
        <v>0</v>
      </c>
      <c r="L21" s="50">
        <v>3</v>
      </c>
      <c r="M21" s="50">
        <v>263</v>
      </c>
      <c r="N21" s="50">
        <v>0</v>
      </c>
      <c r="O21" s="15">
        <f t="shared" si="0"/>
        <v>128</v>
      </c>
      <c r="P21" s="15">
        <f t="shared" si="1"/>
        <v>391</v>
      </c>
      <c r="R21" s="36" t="s">
        <v>20</v>
      </c>
      <c r="S21" s="34">
        <f t="shared" ref="S21:AF21" si="13">SUM(C54:C57)</f>
        <v>216</v>
      </c>
      <c r="T21" s="17">
        <f t="shared" si="13"/>
        <v>23</v>
      </c>
      <c r="U21" s="17">
        <f t="shared" si="13"/>
        <v>23</v>
      </c>
      <c r="V21" s="17">
        <f t="shared" si="13"/>
        <v>136</v>
      </c>
      <c r="W21" s="17">
        <f t="shared" si="13"/>
        <v>3</v>
      </c>
      <c r="X21" s="17">
        <f t="shared" si="13"/>
        <v>1</v>
      </c>
      <c r="Y21" s="17">
        <f t="shared" si="13"/>
        <v>19</v>
      </c>
      <c r="Z21" s="17">
        <f t="shared" si="13"/>
        <v>3</v>
      </c>
      <c r="AA21" s="17">
        <f t="shared" si="13"/>
        <v>0</v>
      </c>
      <c r="AB21" s="17">
        <f t="shared" si="13"/>
        <v>2</v>
      </c>
      <c r="AC21" s="17">
        <f t="shared" si="13"/>
        <v>851</v>
      </c>
      <c r="AD21" s="17">
        <f t="shared" si="13"/>
        <v>0</v>
      </c>
      <c r="AE21" s="31">
        <f t="shared" si="13"/>
        <v>426</v>
      </c>
      <c r="AF21" s="31">
        <f t="shared" si="13"/>
        <v>1277</v>
      </c>
    </row>
    <row r="22" spans="2:32" ht="23.1" customHeight="1" x14ac:dyDescent="0.25">
      <c r="B22" s="23" t="s">
        <v>49</v>
      </c>
      <c r="C22" s="50">
        <v>77</v>
      </c>
      <c r="D22" s="50">
        <v>12</v>
      </c>
      <c r="E22" s="50">
        <v>5</v>
      </c>
      <c r="F22" s="50">
        <v>28</v>
      </c>
      <c r="G22" s="50">
        <v>0</v>
      </c>
      <c r="H22" s="50">
        <v>0</v>
      </c>
      <c r="I22" s="50">
        <v>10</v>
      </c>
      <c r="J22" s="50">
        <v>1</v>
      </c>
      <c r="K22" s="50">
        <v>1</v>
      </c>
      <c r="L22" s="50">
        <v>2</v>
      </c>
      <c r="M22" s="50">
        <v>281</v>
      </c>
      <c r="N22" s="50">
        <v>0</v>
      </c>
      <c r="O22" s="15">
        <f t="shared" si="0"/>
        <v>136</v>
      </c>
      <c r="P22" s="15">
        <f t="shared" si="1"/>
        <v>417</v>
      </c>
      <c r="R22" s="38" t="s">
        <v>90</v>
      </c>
      <c r="S22" s="39">
        <f>MAX(S10:S12)</f>
        <v>669</v>
      </c>
      <c r="T22" s="39">
        <f t="shared" ref="T22:AF22" si="14">MAX(T10:T12)</f>
        <v>64</v>
      </c>
      <c r="U22" s="39">
        <f t="shared" si="14"/>
        <v>59</v>
      </c>
      <c r="V22" s="39">
        <f t="shared" si="14"/>
        <v>176</v>
      </c>
      <c r="W22" s="39">
        <f t="shared" si="14"/>
        <v>2</v>
      </c>
      <c r="X22" s="39">
        <f t="shared" si="14"/>
        <v>1</v>
      </c>
      <c r="Y22" s="39">
        <f t="shared" si="14"/>
        <v>35</v>
      </c>
      <c r="Z22" s="39">
        <f t="shared" si="14"/>
        <v>2</v>
      </c>
      <c r="AA22" s="39">
        <f t="shared" si="14"/>
        <v>0</v>
      </c>
      <c r="AB22" s="39">
        <f t="shared" si="14"/>
        <v>3</v>
      </c>
      <c r="AC22" s="39">
        <f t="shared" si="14"/>
        <v>1187</v>
      </c>
      <c r="AD22" s="39">
        <f t="shared" si="14"/>
        <v>0</v>
      </c>
      <c r="AE22" s="40">
        <f t="shared" si="14"/>
        <v>995</v>
      </c>
      <c r="AF22" s="40">
        <f t="shared" si="14"/>
        <v>2148</v>
      </c>
    </row>
    <row r="23" spans="2:32" ht="23.1" customHeight="1" x14ac:dyDescent="0.25">
      <c r="B23" s="23" t="s">
        <v>50</v>
      </c>
      <c r="C23" s="50">
        <v>60</v>
      </c>
      <c r="D23" s="50">
        <v>6</v>
      </c>
      <c r="E23" s="50">
        <v>7</v>
      </c>
      <c r="F23" s="50">
        <v>26</v>
      </c>
      <c r="G23" s="50">
        <v>0</v>
      </c>
      <c r="H23" s="50">
        <v>1</v>
      </c>
      <c r="I23" s="50">
        <v>12</v>
      </c>
      <c r="J23" s="50">
        <v>0</v>
      </c>
      <c r="K23" s="50">
        <v>0</v>
      </c>
      <c r="L23" s="50">
        <v>2</v>
      </c>
      <c r="M23" s="50">
        <v>234</v>
      </c>
      <c r="N23" s="50">
        <v>0</v>
      </c>
      <c r="O23" s="15">
        <f t="shared" si="0"/>
        <v>114</v>
      </c>
      <c r="P23" s="15">
        <f t="shared" si="1"/>
        <v>348</v>
      </c>
      <c r="R23" s="38" t="s">
        <v>91</v>
      </c>
      <c r="S23" s="39">
        <f>MAX(S13:S18)</f>
        <v>275</v>
      </c>
      <c r="T23" s="39">
        <f t="shared" ref="T23:AF23" si="15">MAX(T13:T18)</f>
        <v>31</v>
      </c>
      <c r="U23" s="39">
        <f t="shared" si="15"/>
        <v>31</v>
      </c>
      <c r="V23" s="39">
        <f t="shared" si="15"/>
        <v>105</v>
      </c>
      <c r="W23" s="39">
        <f t="shared" si="15"/>
        <v>3</v>
      </c>
      <c r="X23" s="39">
        <f t="shared" si="15"/>
        <v>2</v>
      </c>
      <c r="Y23" s="39">
        <f t="shared" si="15"/>
        <v>42</v>
      </c>
      <c r="Z23" s="39">
        <f t="shared" si="15"/>
        <v>16</v>
      </c>
      <c r="AA23" s="39">
        <f t="shared" si="15"/>
        <v>4</v>
      </c>
      <c r="AB23" s="39">
        <f t="shared" si="15"/>
        <v>9</v>
      </c>
      <c r="AC23" s="39">
        <f t="shared" si="15"/>
        <v>998</v>
      </c>
      <c r="AD23" s="39">
        <f t="shared" si="15"/>
        <v>0</v>
      </c>
      <c r="AE23" s="40">
        <f t="shared" si="15"/>
        <v>495</v>
      </c>
      <c r="AF23" s="40">
        <f t="shared" si="15"/>
        <v>1493</v>
      </c>
    </row>
    <row r="24" spans="2:32" ht="23.1" customHeight="1" x14ac:dyDescent="0.25">
      <c r="B24" s="23" t="s">
        <v>51</v>
      </c>
      <c r="C24" s="50">
        <v>68</v>
      </c>
      <c r="D24" s="50">
        <v>7</v>
      </c>
      <c r="E24" s="50">
        <v>10</v>
      </c>
      <c r="F24" s="50">
        <v>23</v>
      </c>
      <c r="G24" s="50">
        <v>0</v>
      </c>
      <c r="H24" s="50">
        <v>0</v>
      </c>
      <c r="I24" s="50">
        <v>6</v>
      </c>
      <c r="J24" s="50">
        <v>0</v>
      </c>
      <c r="K24" s="50">
        <v>2</v>
      </c>
      <c r="L24" s="50">
        <v>4</v>
      </c>
      <c r="M24" s="50">
        <v>230</v>
      </c>
      <c r="N24" s="50">
        <v>0</v>
      </c>
      <c r="O24" s="15">
        <f t="shared" si="0"/>
        <v>120</v>
      </c>
      <c r="P24" s="15">
        <f t="shared" si="1"/>
        <v>350</v>
      </c>
      <c r="R24" s="38" t="s">
        <v>92</v>
      </c>
      <c r="S24" s="39">
        <f>MAX(S19:S21)</f>
        <v>216</v>
      </c>
      <c r="T24" s="39">
        <f t="shared" ref="T24:AF24" si="16">MAX(T19:T21)</f>
        <v>29</v>
      </c>
      <c r="U24" s="39">
        <f t="shared" si="16"/>
        <v>26</v>
      </c>
      <c r="V24" s="39">
        <f t="shared" si="16"/>
        <v>136</v>
      </c>
      <c r="W24" s="39">
        <f t="shared" si="16"/>
        <v>5</v>
      </c>
      <c r="X24" s="39">
        <f t="shared" si="16"/>
        <v>1</v>
      </c>
      <c r="Y24" s="39">
        <f t="shared" si="16"/>
        <v>28</v>
      </c>
      <c r="Z24" s="39">
        <f t="shared" si="16"/>
        <v>7</v>
      </c>
      <c r="AA24" s="39">
        <f t="shared" si="16"/>
        <v>1</v>
      </c>
      <c r="AB24" s="39">
        <f t="shared" si="16"/>
        <v>2</v>
      </c>
      <c r="AC24" s="39">
        <f t="shared" si="16"/>
        <v>851</v>
      </c>
      <c r="AD24" s="39">
        <f t="shared" si="16"/>
        <v>0</v>
      </c>
      <c r="AE24" s="40">
        <f t="shared" si="16"/>
        <v>426</v>
      </c>
      <c r="AF24" s="40">
        <f t="shared" si="16"/>
        <v>1277</v>
      </c>
    </row>
    <row r="25" spans="2:32" ht="23.1" customHeight="1" x14ac:dyDescent="0.25">
      <c r="B25" s="23" t="s">
        <v>52</v>
      </c>
      <c r="C25" s="50">
        <v>70</v>
      </c>
      <c r="D25" s="50">
        <v>6</v>
      </c>
      <c r="E25" s="50">
        <v>9</v>
      </c>
      <c r="F25" s="50">
        <v>28</v>
      </c>
      <c r="G25" s="50">
        <v>0</v>
      </c>
      <c r="H25" s="50">
        <v>0</v>
      </c>
      <c r="I25" s="50">
        <v>10</v>
      </c>
      <c r="J25" s="50">
        <v>1</v>
      </c>
      <c r="K25" s="50">
        <v>0</v>
      </c>
      <c r="L25" s="50">
        <v>1</v>
      </c>
      <c r="M25" s="50">
        <v>253</v>
      </c>
      <c r="N25" s="50">
        <v>0</v>
      </c>
      <c r="O25" s="15">
        <f t="shared" si="0"/>
        <v>125</v>
      </c>
      <c r="P25" s="15">
        <f t="shared" si="1"/>
        <v>378</v>
      </c>
      <c r="R25" s="37" t="s">
        <v>85</v>
      </c>
      <c r="S25" s="35">
        <f t="shared" ref="S25:AF25" si="17">SUM(S10:S12)</f>
        <v>1474</v>
      </c>
      <c r="T25" s="16">
        <f t="shared" si="17"/>
        <v>172</v>
      </c>
      <c r="U25" s="16">
        <f t="shared" si="17"/>
        <v>136</v>
      </c>
      <c r="V25" s="16">
        <f t="shared" si="17"/>
        <v>437</v>
      </c>
      <c r="W25" s="16">
        <f t="shared" si="17"/>
        <v>3</v>
      </c>
      <c r="X25" s="16">
        <f t="shared" si="17"/>
        <v>1</v>
      </c>
      <c r="Y25" s="16">
        <f t="shared" si="17"/>
        <v>88</v>
      </c>
      <c r="Z25" s="16">
        <f t="shared" si="17"/>
        <v>4</v>
      </c>
      <c r="AA25" s="16">
        <f t="shared" si="17"/>
        <v>0</v>
      </c>
      <c r="AB25" s="16">
        <f t="shared" si="17"/>
        <v>4</v>
      </c>
      <c r="AC25" s="16">
        <f t="shared" si="17"/>
        <v>3391</v>
      </c>
      <c r="AD25" s="16">
        <f t="shared" si="17"/>
        <v>0</v>
      </c>
      <c r="AE25" s="32">
        <f t="shared" si="17"/>
        <v>2319</v>
      </c>
      <c r="AF25" s="32">
        <f t="shared" si="17"/>
        <v>5710</v>
      </c>
    </row>
    <row r="26" spans="2:32" ht="23.1" customHeight="1" x14ac:dyDescent="0.25">
      <c r="B26" s="23" t="s">
        <v>53</v>
      </c>
      <c r="C26" s="50">
        <v>57</v>
      </c>
      <c r="D26" s="50">
        <v>10</v>
      </c>
      <c r="E26" s="50">
        <v>8</v>
      </c>
      <c r="F26" s="50">
        <v>23</v>
      </c>
      <c r="G26" s="50">
        <v>0</v>
      </c>
      <c r="H26" s="50">
        <v>0</v>
      </c>
      <c r="I26" s="50">
        <v>8</v>
      </c>
      <c r="J26" s="50">
        <v>1</v>
      </c>
      <c r="K26" s="50">
        <v>2</v>
      </c>
      <c r="L26" s="50">
        <v>2</v>
      </c>
      <c r="M26" s="50">
        <v>219</v>
      </c>
      <c r="N26" s="50">
        <v>0</v>
      </c>
      <c r="O26" s="15">
        <f t="shared" si="0"/>
        <v>111</v>
      </c>
      <c r="P26" s="15">
        <f t="shared" si="1"/>
        <v>330</v>
      </c>
      <c r="R26" s="28" t="s">
        <v>86</v>
      </c>
      <c r="S26" s="16">
        <f t="shared" ref="S26:AF26" si="18">SUM(S13:S18)</f>
        <v>1171</v>
      </c>
      <c r="T26" s="16">
        <f t="shared" si="18"/>
        <v>140</v>
      </c>
      <c r="U26" s="16">
        <f t="shared" si="18"/>
        <v>158</v>
      </c>
      <c r="V26" s="16">
        <f t="shared" si="18"/>
        <v>494</v>
      </c>
      <c r="W26" s="16">
        <f t="shared" si="18"/>
        <v>4</v>
      </c>
      <c r="X26" s="16">
        <f t="shared" si="18"/>
        <v>4</v>
      </c>
      <c r="Y26" s="16">
        <f t="shared" si="18"/>
        <v>196</v>
      </c>
      <c r="Z26" s="16">
        <f t="shared" si="18"/>
        <v>36</v>
      </c>
      <c r="AA26" s="16">
        <f t="shared" si="18"/>
        <v>13</v>
      </c>
      <c r="AB26" s="16">
        <f t="shared" si="18"/>
        <v>29</v>
      </c>
      <c r="AC26" s="16">
        <f t="shared" si="18"/>
        <v>5047</v>
      </c>
      <c r="AD26" s="16">
        <f t="shared" si="18"/>
        <v>0</v>
      </c>
      <c r="AE26" s="32">
        <f t="shared" si="18"/>
        <v>2245</v>
      </c>
      <c r="AF26" s="32">
        <f t="shared" si="18"/>
        <v>7292</v>
      </c>
    </row>
    <row r="27" spans="2:32" ht="23.1" customHeight="1" x14ac:dyDescent="0.25">
      <c r="B27" s="23" t="s">
        <v>54</v>
      </c>
      <c r="C27" s="50">
        <v>83</v>
      </c>
      <c r="D27" s="50">
        <v>5</v>
      </c>
      <c r="E27" s="50">
        <v>3</v>
      </c>
      <c r="F27" s="50">
        <v>25</v>
      </c>
      <c r="G27" s="50">
        <v>0</v>
      </c>
      <c r="H27" s="50">
        <v>0</v>
      </c>
      <c r="I27" s="50">
        <v>14</v>
      </c>
      <c r="J27" s="50">
        <v>0</v>
      </c>
      <c r="K27" s="50">
        <v>0</v>
      </c>
      <c r="L27" s="50">
        <v>4</v>
      </c>
      <c r="M27" s="50">
        <v>236</v>
      </c>
      <c r="N27" s="50">
        <v>0</v>
      </c>
      <c r="O27" s="15">
        <f t="shared" si="0"/>
        <v>134</v>
      </c>
      <c r="P27" s="15">
        <f t="shared" si="1"/>
        <v>370</v>
      </c>
      <c r="R27" s="29" t="s">
        <v>87</v>
      </c>
      <c r="S27" s="16">
        <f t="shared" ref="S27:AF27" si="19">SUM(S19:S21)</f>
        <v>583</v>
      </c>
      <c r="T27" s="16">
        <f t="shared" si="19"/>
        <v>74</v>
      </c>
      <c r="U27" s="16">
        <f t="shared" si="19"/>
        <v>71</v>
      </c>
      <c r="V27" s="16">
        <f t="shared" si="19"/>
        <v>276</v>
      </c>
      <c r="W27" s="16">
        <f t="shared" si="19"/>
        <v>10</v>
      </c>
      <c r="X27" s="16">
        <f t="shared" si="19"/>
        <v>1</v>
      </c>
      <c r="Y27" s="16">
        <f t="shared" si="19"/>
        <v>70</v>
      </c>
      <c r="Z27" s="16">
        <f t="shared" si="19"/>
        <v>14</v>
      </c>
      <c r="AA27" s="16">
        <f t="shared" si="19"/>
        <v>2</v>
      </c>
      <c r="AB27" s="16">
        <f t="shared" si="19"/>
        <v>4</v>
      </c>
      <c r="AC27" s="16">
        <f t="shared" si="19"/>
        <v>2387</v>
      </c>
      <c r="AD27" s="16">
        <f t="shared" si="19"/>
        <v>0</v>
      </c>
      <c r="AE27" s="32">
        <f t="shared" si="19"/>
        <v>1105</v>
      </c>
      <c r="AF27" s="32">
        <f t="shared" si="19"/>
        <v>3492</v>
      </c>
    </row>
    <row r="28" spans="2:32" ht="23.1" customHeight="1" x14ac:dyDescent="0.25">
      <c r="B28" s="23" t="s">
        <v>55</v>
      </c>
      <c r="C28" s="50">
        <v>50</v>
      </c>
      <c r="D28" s="50">
        <v>11</v>
      </c>
      <c r="E28" s="50">
        <v>4</v>
      </c>
      <c r="F28" s="50">
        <v>23</v>
      </c>
      <c r="G28" s="50">
        <v>0</v>
      </c>
      <c r="H28" s="50">
        <v>0</v>
      </c>
      <c r="I28" s="50">
        <v>7</v>
      </c>
      <c r="J28" s="50">
        <v>0</v>
      </c>
      <c r="K28" s="50">
        <v>0</v>
      </c>
      <c r="L28" s="50">
        <v>0</v>
      </c>
      <c r="M28" s="50">
        <v>201</v>
      </c>
      <c r="N28" s="50">
        <v>0</v>
      </c>
      <c r="O28" s="15">
        <f t="shared" si="0"/>
        <v>95</v>
      </c>
      <c r="P28" s="15">
        <f t="shared" si="1"/>
        <v>296</v>
      </c>
      <c r="R28" s="5" t="s">
        <v>17</v>
      </c>
      <c r="S28" s="16">
        <f t="shared" ref="S28:AF28" si="20">SUM(S10:S21)</f>
        <v>3228</v>
      </c>
      <c r="T28" s="16">
        <f t="shared" si="20"/>
        <v>386</v>
      </c>
      <c r="U28" s="16">
        <f t="shared" si="20"/>
        <v>365</v>
      </c>
      <c r="V28" s="16">
        <f t="shared" si="20"/>
        <v>1207</v>
      </c>
      <c r="W28" s="16">
        <f t="shared" si="20"/>
        <v>17</v>
      </c>
      <c r="X28" s="16">
        <f t="shared" si="20"/>
        <v>6</v>
      </c>
      <c r="Y28" s="16">
        <f t="shared" si="20"/>
        <v>354</v>
      </c>
      <c r="Z28" s="16">
        <f t="shared" si="20"/>
        <v>54</v>
      </c>
      <c r="AA28" s="16">
        <f t="shared" si="20"/>
        <v>15</v>
      </c>
      <c r="AB28" s="16">
        <f t="shared" si="20"/>
        <v>37</v>
      </c>
      <c r="AC28" s="16">
        <f t="shared" si="20"/>
        <v>10825</v>
      </c>
      <c r="AD28" s="16">
        <f t="shared" si="20"/>
        <v>0</v>
      </c>
      <c r="AE28" s="32">
        <f t="shared" si="20"/>
        <v>5669</v>
      </c>
      <c r="AF28" s="32">
        <f t="shared" si="20"/>
        <v>16494</v>
      </c>
    </row>
    <row r="29" spans="2:32" ht="23.1" customHeight="1" x14ac:dyDescent="0.25">
      <c r="B29" s="23" t="s">
        <v>56</v>
      </c>
      <c r="C29" s="50">
        <v>53</v>
      </c>
      <c r="D29" s="50">
        <v>5</v>
      </c>
      <c r="E29" s="50">
        <v>8</v>
      </c>
      <c r="F29" s="50">
        <v>24</v>
      </c>
      <c r="G29" s="50">
        <v>0</v>
      </c>
      <c r="H29" s="50">
        <v>0</v>
      </c>
      <c r="I29" s="50">
        <v>13</v>
      </c>
      <c r="J29" s="50">
        <v>2</v>
      </c>
      <c r="K29" s="50">
        <v>0</v>
      </c>
      <c r="L29" s="50">
        <v>2</v>
      </c>
      <c r="M29" s="50">
        <v>228</v>
      </c>
      <c r="N29" s="50">
        <v>0</v>
      </c>
      <c r="O29" s="15">
        <f t="shared" si="0"/>
        <v>107</v>
      </c>
      <c r="P29" s="15">
        <f t="shared" si="1"/>
        <v>335</v>
      </c>
      <c r="R29"/>
      <c r="S29" s="20"/>
      <c r="T29" s="19"/>
    </row>
    <row r="30" spans="2:32" ht="23.1" customHeight="1" x14ac:dyDescent="0.25">
      <c r="B30" s="23" t="s">
        <v>57</v>
      </c>
      <c r="C30" s="50">
        <v>50</v>
      </c>
      <c r="D30" s="50">
        <v>8</v>
      </c>
      <c r="E30" s="50">
        <v>2</v>
      </c>
      <c r="F30" s="50">
        <v>22</v>
      </c>
      <c r="G30" s="50">
        <v>1</v>
      </c>
      <c r="H30" s="50">
        <v>0</v>
      </c>
      <c r="I30" s="50">
        <v>15</v>
      </c>
      <c r="J30" s="50">
        <v>0</v>
      </c>
      <c r="K30" s="50">
        <v>0</v>
      </c>
      <c r="L30" s="50">
        <v>3</v>
      </c>
      <c r="M30" s="50">
        <v>239</v>
      </c>
      <c r="N30" s="50">
        <v>0</v>
      </c>
      <c r="O30" s="15">
        <f t="shared" si="0"/>
        <v>101</v>
      </c>
      <c r="P30" s="15">
        <f t="shared" si="1"/>
        <v>340</v>
      </c>
    </row>
    <row r="31" spans="2:32" ht="23.1" customHeight="1" x14ac:dyDescent="0.25">
      <c r="B31" s="24" t="s">
        <v>58</v>
      </c>
      <c r="C31" s="50">
        <v>45</v>
      </c>
      <c r="D31" s="50">
        <v>5</v>
      </c>
      <c r="E31" s="50">
        <v>8</v>
      </c>
      <c r="F31" s="50">
        <v>20</v>
      </c>
      <c r="G31" s="50">
        <v>0</v>
      </c>
      <c r="H31" s="50">
        <v>0</v>
      </c>
      <c r="I31" s="50">
        <v>5</v>
      </c>
      <c r="J31" s="50">
        <v>0</v>
      </c>
      <c r="K31" s="50">
        <v>0</v>
      </c>
      <c r="L31" s="50">
        <v>0</v>
      </c>
      <c r="M31" s="50">
        <v>205</v>
      </c>
      <c r="N31" s="50">
        <v>0</v>
      </c>
      <c r="O31" s="15">
        <f t="shared" si="0"/>
        <v>83</v>
      </c>
      <c r="P31" s="15">
        <f t="shared" si="1"/>
        <v>288</v>
      </c>
    </row>
    <row r="32" spans="2:32" ht="23.1" customHeight="1" x14ac:dyDescent="0.25">
      <c r="B32" s="24" t="s">
        <v>59</v>
      </c>
      <c r="C32" s="50">
        <v>46</v>
      </c>
      <c r="D32" s="50">
        <v>3</v>
      </c>
      <c r="E32" s="50">
        <v>10</v>
      </c>
      <c r="F32" s="50">
        <v>24</v>
      </c>
      <c r="G32" s="50">
        <v>0</v>
      </c>
      <c r="H32" s="50">
        <v>0</v>
      </c>
      <c r="I32" s="50">
        <v>6</v>
      </c>
      <c r="J32" s="50">
        <v>3</v>
      </c>
      <c r="K32" s="50">
        <v>0</v>
      </c>
      <c r="L32" s="50">
        <v>1</v>
      </c>
      <c r="M32" s="50">
        <v>208</v>
      </c>
      <c r="N32" s="50">
        <v>0</v>
      </c>
      <c r="O32" s="15">
        <f t="shared" si="0"/>
        <v>93</v>
      </c>
      <c r="P32" s="15">
        <f t="shared" si="1"/>
        <v>301</v>
      </c>
    </row>
    <row r="33" spans="2:20" ht="23.1" customHeight="1" x14ac:dyDescent="0.25">
      <c r="B33" s="23" t="s">
        <v>60</v>
      </c>
      <c r="C33" s="50">
        <v>39</v>
      </c>
      <c r="D33" s="50">
        <v>3</v>
      </c>
      <c r="E33" s="50">
        <v>7</v>
      </c>
      <c r="F33" s="50">
        <v>12</v>
      </c>
      <c r="G33" s="50">
        <v>0</v>
      </c>
      <c r="H33" s="50">
        <v>0</v>
      </c>
      <c r="I33" s="50">
        <v>9</v>
      </c>
      <c r="J33" s="50">
        <v>0</v>
      </c>
      <c r="K33" s="50">
        <v>0</v>
      </c>
      <c r="L33" s="50">
        <v>1</v>
      </c>
      <c r="M33" s="50">
        <v>221</v>
      </c>
      <c r="N33" s="50">
        <v>0</v>
      </c>
      <c r="O33" s="15">
        <f t="shared" si="0"/>
        <v>71</v>
      </c>
      <c r="P33" s="15">
        <f t="shared" si="1"/>
        <v>292</v>
      </c>
    </row>
    <row r="34" spans="2:20" ht="23.1" customHeight="1" x14ac:dyDescent="0.25">
      <c r="B34" s="24" t="s">
        <v>61</v>
      </c>
      <c r="C34" s="50">
        <v>39</v>
      </c>
      <c r="D34" s="50">
        <v>3</v>
      </c>
      <c r="E34" s="50">
        <v>4</v>
      </c>
      <c r="F34" s="50">
        <v>23</v>
      </c>
      <c r="G34" s="50">
        <v>1</v>
      </c>
      <c r="H34" s="50">
        <v>1</v>
      </c>
      <c r="I34" s="50">
        <v>6</v>
      </c>
      <c r="J34" s="50">
        <v>0</v>
      </c>
      <c r="K34" s="50">
        <v>2</v>
      </c>
      <c r="L34" s="50">
        <v>1</v>
      </c>
      <c r="M34" s="50">
        <v>197</v>
      </c>
      <c r="N34" s="50">
        <v>0</v>
      </c>
      <c r="O34" s="15">
        <f t="shared" si="0"/>
        <v>80</v>
      </c>
      <c r="P34" s="15">
        <f t="shared" si="1"/>
        <v>277</v>
      </c>
    </row>
    <row r="35" spans="2:20" ht="23.1" customHeight="1" x14ac:dyDescent="0.25">
      <c r="B35" s="24" t="s">
        <v>62</v>
      </c>
      <c r="C35" s="50">
        <v>38</v>
      </c>
      <c r="D35" s="50">
        <v>6</v>
      </c>
      <c r="E35" s="50">
        <v>10</v>
      </c>
      <c r="F35" s="50">
        <v>16</v>
      </c>
      <c r="G35" s="50">
        <v>0</v>
      </c>
      <c r="H35" s="50">
        <v>0</v>
      </c>
      <c r="I35" s="50">
        <v>8</v>
      </c>
      <c r="J35" s="50">
        <v>0</v>
      </c>
      <c r="K35" s="50">
        <v>0</v>
      </c>
      <c r="L35" s="50">
        <v>1</v>
      </c>
      <c r="M35" s="50">
        <v>173</v>
      </c>
      <c r="N35" s="50">
        <v>0</v>
      </c>
      <c r="O35" s="15">
        <f t="shared" si="0"/>
        <v>79</v>
      </c>
      <c r="P35" s="15">
        <f t="shared" si="1"/>
        <v>252</v>
      </c>
    </row>
    <row r="36" spans="2:20" ht="23.1" customHeight="1" x14ac:dyDescent="0.25">
      <c r="B36" s="24" t="s">
        <v>63</v>
      </c>
      <c r="C36" s="50">
        <v>43</v>
      </c>
      <c r="D36" s="50">
        <v>4</v>
      </c>
      <c r="E36" s="50">
        <v>5</v>
      </c>
      <c r="F36" s="50">
        <v>20</v>
      </c>
      <c r="G36" s="50">
        <v>1</v>
      </c>
      <c r="H36" s="50">
        <v>0</v>
      </c>
      <c r="I36" s="50">
        <v>8</v>
      </c>
      <c r="J36" s="50">
        <v>2</v>
      </c>
      <c r="K36" s="50">
        <v>1</v>
      </c>
      <c r="L36" s="50">
        <v>1</v>
      </c>
      <c r="M36" s="50">
        <v>183</v>
      </c>
      <c r="N36" s="50">
        <v>0</v>
      </c>
      <c r="O36" s="15">
        <f t="shared" si="0"/>
        <v>85</v>
      </c>
      <c r="P36" s="15">
        <f t="shared" si="1"/>
        <v>268</v>
      </c>
    </row>
    <row r="37" spans="2:20" ht="23.1" customHeight="1" x14ac:dyDescent="0.25">
      <c r="B37" s="23" t="s">
        <v>64</v>
      </c>
      <c r="C37" s="50">
        <v>31</v>
      </c>
      <c r="D37" s="50">
        <v>1</v>
      </c>
      <c r="E37" s="50">
        <v>5</v>
      </c>
      <c r="F37" s="50">
        <v>19</v>
      </c>
      <c r="G37" s="50">
        <v>1</v>
      </c>
      <c r="H37" s="50">
        <v>0</v>
      </c>
      <c r="I37" s="50">
        <v>9</v>
      </c>
      <c r="J37" s="50">
        <v>2</v>
      </c>
      <c r="K37" s="50">
        <v>1</v>
      </c>
      <c r="L37" s="50">
        <v>0</v>
      </c>
      <c r="M37" s="50">
        <v>181</v>
      </c>
      <c r="N37" s="50">
        <v>0</v>
      </c>
      <c r="O37" s="15">
        <f t="shared" si="0"/>
        <v>69</v>
      </c>
      <c r="P37" s="15">
        <f t="shared" si="1"/>
        <v>250</v>
      </c>
    </row>
    <row r="38" spans="2:20" ht="23.1" customHeight="1" x14ac:dyDescent="0.25">
      <c r="B38" s="24" t="s">
        <v>65</v>
      </c>
      <c r="C38" s="50">
        <v>43</v>
      </c>
      <c r="D38" s="50">
        <v>3</v>
      </c>
      <c r="E38" s="50">
        <v>4</v>
      </c>
      <c r="F38" s="50">
        <v>20</v>
      </c>
      <c r="G38" s="50">
        <v>0</v>
      </c>
      <c r="H38" s="50">
        <v>0</v>
      </c>
      <c r="I38" s="50">
        <v>5</v>
      </c>
      <c r="J38" s="50">
        <v>10</v>
      </c>
      <c r="K38" s="50">
        <v>1</v>
      </c>
      <c r="L38" s="50">
        <v>1</v>
      </c>
      <c r="M38" s="50">
        <v>208</v>
      </c>
      <c r="N38" s="50">
        <v>0</v>
      </c>
      <c r="O38" s="15">
        <f t="shared" si="0"/>
        <v>87</v>
      </c>
      <c r="P38" s="15">
        <f t="shared" si="1"/>
        <v>295</v>
      </c>
    </row>
    <row r="39" spans="2:20" ht="23.1" customHeight="1" x14ac:dyDescent="0.25">
      <c r="B39" s="24" t="s">
        <v>66</v>
      </c>
      <c r="C39" s="50">
        <v>42</v>
      </c>
      <c r="D39" s="50">
        <v>4</v>
      </c>
      <c r="E39" s="50">
        <v>10</v>
      </c>
      <c r="F39" s="50">
        <v>14</v>
      </c>
      <c r="G39" s="50">
        <v>0</v>
      </c>
      <c r="H39" s="50">
        <v>0</v>
      </c>
      <c r="I39" s="50">
        <v>10</v>
      </c>
      <c r="J39" s="50">
        <v>1</v>
      </c>
      <c r="K39" s="50">
        <v>0</v>
      </c>
      <c r="L39" s="50">
        <v>0</v>
      </c>
      <c r="M39" s="50">
        <v>191</v>
      </c>
      <c r="N39" s="50">
        <v>0</v>
      </c>
      <c r="O39" s="15">
        <f t="shared" si="0"/>
        <v>81</v>
      </c>
      <c r="P39" s="15">
        <f t="shared" si="1"/>
        <v>272</v>
      </c>
    </row>
    <row r="40" spans="2:20" ht="23.1" customHeight="1" x14ac:dyDescent="0.25">
      <c r="B40" s="24" t="s">
        <v>67</v>
      </c>
      <c r="C40" s="50">
        <v>36</v>
      </c>
      <c r="D40" s="50">
        <v>7</v>
      </c>
      <c r="E40" s="50">
        <v>6</v>
      </c>
      <c r="F40" s="50">
        <v>17</v>
      </c>
      <c r="G40" s="50">
        <v>0</v>
      </c>
      <c r="H40" s="50">
        <v>0</v>
      </c>
      <c r="I40" s="50">
        <v>6</v>
      </c>
      <c r="J40" s="50">
        <v>5</v>
      </c>
      <c r="K40" s="50">
        <v>1</v>
      </c>
      <c r="L40" s="50">
        <v>0</v>
      </c>
      <c r="M40" s="50">
        <v>191</v>
      </c>
      <c r="N40" s="50">
        <v>0</v>
      </c>
      <c r="O40" s="15">
        <f t="shared" si="0"/>
        <v>78</v>
      </c>
      <c r="P40" s="15">
        <f t="shared" si="1"/>
        <v>269</v>
      </c>
    </row>
    <row r="41" spans="2:20" ht="23.1" customHeight="1" x14ac:dyDescent="0.25">
      <c r="B41" s="23" t="s">
        <v>68</v>
      </c>
      <c r="C41" s="50">
        <v>34</v>
      </c>
      <c r="D41" s="50">
        <v>7</v>
      </c>
      <c r="E41" s="50">
        <v>9</v>
      </c>
      <c r="F41" s="50">
        <v>20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204</v>
      </c>
      <c r="N41" s="50">
        <v>0</v>
      </c>
      <c r="O41" s="15">
        <f t="shared" si="0"/>
        <v>71</v>
      </c>
      <c r="P41" s="15">
        <f t="shared" si="1"/>
        <v>275</v>
      </c>
    </row>
    <row r="42" spans="2:20" ht="23.1" customHeight="1" x14ac:dyDescent="0.25">
      <c r="B42" s="24" t="s">
        <v>69</v>
      </c>
      <c r="C42" s="50">
        <v>43</v>
      </c>
      <c r="D42" s="50">
        <v>6</v>
      </c>
      <c r="E42" s="50">
        <v>6</v>
      </c>
      <c r="F42" s="50">
        <v>12</v>
      </c>
      <c r="G42" s="50">
        <v>0</v>
      </c>
      <c r="H42" s="50">
        <v>0</v>
      </c>
      <c r="I42" s="50">
        <v>6</v>
      </c>
      <c r="J42" s="50">
        <v>3</v>
      </c>
      <c r="K42" s="50">
        <v>2</v>
      </c>
      <c r="L42" s="50">
        <v>3</v>
      </c>
      <c r="M42" s="50">
        <v>224</v>
      </c>
      <c r="N42" s="50">
        <v>0</v>
      </c>
      <c r="O42" s="15">
        <f t="shared" si="0"/>
        <v>81</v>
      </c>
      <c r="P42" s="15">
        <f t="shared" si="1"/>
        <v>305</v>
      </c>
    </row>
    <row r="43" spans="2:20" ht="23.1" customHeight="1" x14ac:dyDescent="0.25">
      <c r="B43" s="23" t="s">
        <v>70</v>
      </c>
      <c r="C43" s="50">
        <v>37</v>
      </c>
      <c r="D43" s="50">
        <v>6</v>
      </c>
      <c r="E43" s="50">
        <v>4</v>
      </c>
      <c r="F43" s="50">
        <v>15</v>
      </c>
      <c r="G43" s="50">
        <v>0</v>
      </c>
      <c r="H43" s="50">
        <v>1</v>
      </c>
      <c r="I43" s="50">
        <v>7</v>
      </c>
      <c r="J43" s="50">
        <v>2</v>
      </c>
      <c r="K43" s="50">
        <v>0</v>
      </c>
      <c r="L43" s="50">
        <v>0</v>
      </c>
      <c r="M43" s="50">
        <v>173</v>
      </c>
      <c r="N43" s="50">
        <v>0</v>
      </c>
      <c r="O43" s="15">
        <f t="shared" si="0"/>
        <v>72</v>
      </c>
      <c r="P43" s="15">
        <f t="shared" si="1"/>
        <v>245</v>
      </c>
    </row>
    <row r="44" spans="2:20" ht="23.1" customHeight="1" x14ac:dyDescent="0.25">
      <c r="B44" s="25" t="s">
        <v>71</v>
      </c>
      <c r="C44" s="50">
        <v>41</v>
      </c>
      <c r="D44" s="50">
        <v>6</v>
      </c>
      <c r="E44" s="50">
        <v>4</v>
      </c>
      <c r="F44" s="50">
        <v>15</v>
      </c>
      <c r="G44" s="50">
        <v>0</v>
      </c>
      <c r="H44" s="50">
        <v>1</v>
      </c>
      <c r="I44" s="50">
        <v>7</v>
      </c>
      <c r="J44" s="50">
        <v>2</v>
      </c>
      <c r="K44" s="50">
        <v>0</v>
      </c>
      <c r="L44" s="50">
        <v>0</v>
      </c>
      <c r="M44" s="50">
        <v>163</v>
      </c>
      <c r="N44" s="50">
        <v>0</v>
      </c>
      <c r="O44" s="15">
        <f t="shared" si="0"/>
        <v>76</v>
      </c>
      <c r="P44" s="15">
        <f t="shared" si="1"/>
        <v>239</v>
      </c>
    </row>
    <row r="45" spans="2:20" ht="23.1" customHeight="1" x14ac:dyDescent="0.25">
      <c r="B45" s="23" t="s">
        <v>72</v>
      </c>
      <c r="C45" s="50">
        <v>46</v>
      </c>
      <c r="D45" s="50">
        <v>6</v>
      </c>
      <c r="E45" s="50">
        <v>10</v>
      </c>
      <c r="F45" s="50">
        <v>25</v>
      </c>
      <c r="G45" s="50">
        <v>0</v>
      </c>
      <c r="H45" s="50">
        <v>0</v>
      </c>
      <c r="I45" s="50">
        <v>8</v>
      </c>
      <c r="J45" s="50">
        <v>1</v>
      </c>
      <c r="K45" s="50">
        <v>0</v>
      </c>
      <c r="L45" s="50">
        <v>0</v>
      </c>
      <c r="M45" s="50">
        <v>204</v>
      </c>
      <c r="N45" s="50">
        <v>0</v>
      </c>
      <c r="O45" s="15">
        <f t="shared" si="0"/>
        <v>96</v>
      </c>
      <c r="P45" s="15">
        <f t="shared" si="1"/>
        <v>300</v>
      </c>
    </row>
    <row r="46" spans="2:20" ht="23.1" customHeight="1" x14ac:dyDescent="0.25">
      <c r="B46" s="24" t="s">
        <v>73</v>
      </c>
      <c r="C46" s="50">
        <v>35</v>
      </c>
      <c r="D46" s="50">
        <v>9</v>
      </c>
      <c r="E46" s="50">
        <v>4</v>
      </c>
      <c r="F46" s="50">
        <v>20</v>
      </c>
      <c r="G46" s="50">
        <v>0</v>
      </c>
      <c r="H46" s="50">
        <v>0</v>
      </c>
      <c r="I46" s="50">
        <v>7</v>
      </c>
      <c r="J46" s="50">
        <v>5</v>
      </c>
      <c r="K46" s="50">
        <v>1</v>
      </c>
      <c r="L46" s="50">
        <v>0</v>
      </c>
      <c r="M46" s="50">
        <v>165</v>
      </c>
      <c r="N46" s="50">
        <v>0</v>
      </c>
      <c r="O46" s="15">
        <f t="shared" si="0"/>
        <v>81</v>
      </c>
      <c r="P46" s="15">
        <f t="shared" si="1"/>
        <v>246</v>
      </c>
      <c r="R46" s="8"/>
      <c r="T46"/>
    </row>
    <row r="47" spans="2:20" ht="23.1" customHeight="1" x14ac:dyDescent="0.25">
      <c r="B47" s="24" t="s">
        <v>74</v>
      </c>
      <c r="C47" s="50">
        <v>61</v>
      </c>
      <c r="D47" s="50">
        <v>7</v>
      </c>
      <c r="E47" s="50">
        <v>6</v>
      </c>
      <c r="F47" s="50">
        <v>14</v>
      </c>
      <c r="G47" s="50">
        <v>2</v>
      </c>
      <c r="H47" s="50">
        <v>0</v>
      </c>
      <c r="I47" s="50">
        <v>6</v>
      </c>
      <c r="J47" s="50">
        <v>2</v>
      </c>
      <c r="K47" s="50">
        <v>0</v>
      </c>
      <c r="L47" s="50">
        <v>0</v>
      </c>
      <c r="M47" s="50">
        <v>191</v>
      </c>
      <c r="N47" s="50">
        <v>0</v>
      </c>
      <c r="O47" s="15">
        <f t="shared" si="0"/>
        <v>98</v>
      </c>
      <c r="P47" s="15">
        <f t="shared" si="1"/>
        <v>289</v>
      </c>
      <c r="R47" s="8"/>
      <c r="T47"/>
    </row>
    <row r="48" spans="2:20" ht="23.1" customHeight="1" x14ac:dyDescent="0.25">
      <c r="B48" s="24" t="s">
        <v>75</v>
      </c>
      <c r="C48" s="50">
        <v>47</v>
      </c>
      <c r="D48" s="50">
        <v>8</v>
      </c>
      <c r="E48" s="50">
        <v>8</v>
      </c>
      <c r="F48" s="50">
        <v>19</v>
      </c>
      <c r="G48" s="50">
        <v>0</v>
      </c>
      <c r="H48" s="50">
        <v>0</v>
      </c>
      <c r="I48" s="50">
        <v>12</v>
      </c>
      <c r="J48" s="50">
        <v>0</v>
      </c>
      <c r="K48" s="50">
        <v>0</v>
      </c>
      <c r="L48" s="50">
        <v>0</v>
      </c>
      <c r="M48" s="50">
        <v>211</v>
      </c>
      <c r="N48" s="50">
        <v>0</v>
      </c>
      <c r="O48" s="15">
        <f t="shared" si="0"/>
        <v>94</v>
      </c>
      <c r="P48" s="15">
        <f t="shared" si="1"/>
        <v>305</v>
      </c>
      <c r="R48" s="8"/>
      <c r="T48"/>
    </row>
    <row r="49" spans="2:20" ht="23.1" customHeight="1" x14ac:dyDescent="0.25">
      <c r="B49" s="23" t="s">
        <v>76</v>
      </c>
      <c r="C49" s="50">
        <v>50</v>
      </c>
      <c r="D49" s="50">
        <v>5</v>
      </c>
      <c r="E49" s="50">
        <v>8</v>
      </c>
      <c r="F49" s="50">
        <v>16</v>
      </c>
      <c r="G49" s="50">
        <v>3</v>
      </c>
      <c r="H49" s="50">
        <v>0</v>
      </c>
      <c r="I49" s="50">
        <v>3</v>
      </c>
      <c r="J49" s="50">
        <v>0</v>
      </c>
      <c r="K49" s="50">
        <v>0</v>
      </c>
      <c r="L49" s="50">
        <v>0</v>
      </c>
      <c r="M49" s="50">
        <v>205</v>
      </c>
      <c r="N49" s="50">
        <v>0</v>
      </c>
      <c r="O49" s="15">
        <f t="shared" si="0"/>
        <v>85</v>
      </c>
      <c r="P49" s="15">
        <f t="shared" si="1"/>
        <v>290</v>
      </c>
      <c r="R49" s="8"/>
      <c r="T49"/>
    </row>
    <row r="50" spans="2:20" ht="23.1" customHeight="1" x14ac:dyDescent="0.25">
      <c r="B50" s="24" t="s">
        <v>77</v>
      </c>
      <c r="C50" s="50">
        <v>44</v>
      </c>
      <c r="D50" s="50">
        <v>5</v>
      </c>
      <c r="E50" s="50">
        <v>7</v>
      </c>
      <c r="F50" s="50">
        <v>17</v>
      </c>
      <c r="G50" s="50">
        <v>0</v>
      </c>
      <c r="H50" s="50">
        <v>0</v>
      </c>
      <c r="I50" s="50">
        <v>6</v>
      </c>
      <c r="J50" s="50">
        <v>0</v>
      </c>
      <c r="K50" s="50">
        <v>0</v>
      </c>
      <c r="L50" s="50">
        <v>0</v>
      </c>
      <c r="M50" s="50">
        <v>163</v>
      </c>
      <c r="N50" s="50">
        <v>0</v>
      </c>
      <c r="O50" s="15">
        <f t="shared" si="0"/>
        <v>79</v>
      </c>
      <c r="P50" s="15">
        <f t="shared" si="1"/>
        <v>242</v>
      </c>
      <c r="R50" s="8"/>
      <c r="T50"/>
    </row>
    <row r="51" spans="2:20" ht="23.1" customHeight="1" x14ac:dyDescent="0.25">
      <c r="B51" s="24" t="s">
        <v>78</v>
      </c>
      <c r="C51" s="50">
        <v>46</v>
      </c>
      <c r="D51" s="50">
        <v>7</v>
      </c>
      <c r="E51" s="50">
        <v>5</v>
      </c>
      <c r="F51" s="50">
        <v>16</v>
      </c>
      <c r="G51" s="50">
        <v>0</v>
      </c>
      <c r="H51" s="50">
        <v>0</v>
      </c>
      <c r="I51" s="50">
        <v>6</v>
      </c>
      <c r="J51" s="50">
        <v>1</v>
      </c>
      <c r="K51" s="50">
        <v>0</v>
      </c>
      <c r="L51" s="50">
        <v>2</v>
      </c>
      <c r="M51" s="50">
        <v>186</v>
      </c>
      <c r="N51" s="50">
        <v>0</v>
      </c>
      <c r="O51" s="15">
        <f t="shared" si="0"/>
        <v>83</v>
      </c>
      <c r="P51" s="15">
        <f t="shared" si="1"/>
        <v>269</v>
      </c>
      <c r="R51" s="8"/>
      <c r="T51"/>
    </row>
    <row r="52" spans="2:20" ht="23.1" customHeight="1" x14ac:dyDescent="0.25">
      <c r="B52" s="24" t="s">
        <v>79</v>
      </c>
      <c r="C52" s="50">
        <v>49</v>
      </c>
      <c r="D52" s="50">
        <v>4</v>
      </c>
      <c r="E52" s="50">
        <v>5</v>
      </c>
      <c r="F52" s="50">
        <v>17</v>
      </c>
      <c r="G52" s="50">
        <v>1</v>
      </c>
      <c r="H52" s="50">
        <v>0</v>
      </c>
      <c r="I52" s="50">
        <v>1</v>
      </c>
      <c r="J52" s="50">
        <v>2</v>
      </c>
      <c r="K52" s="50">
        <v>0</v>
      </c>
      <c r="L52" s="50">
        <v>0</v>
      </c>
      <c r="M52" s="50">
        <v>211</v>
      </c>
      <c r="N52" s="50">
        <v>0</v>
      </c>
      <c r="O52" s="15">
        <f t="shared" si="0"/>
        <v>79</v>
      </c>
      <c r="P52" s="15">
        <f t="shared" si="1"/>
        <v>290</v>
      </c>
      <c r="R52" s="8"/>
      <c r="T52"/>
    </row>
    <row r="53" spans="2:20" ht="23.1" customHeight="1" x14ac:dyDescent="0.25">
      <c r="B53" s="23" t="s">
        <v>80</v>
      </c>
      <c r="C53" s="50">
        <v>35</v>
      </c>
      <c r="D53" s="50">
        <v>6</v>
      </c>
      <c r="E53" s="50">
        <v>5</v>
      </c>
      <c r="F53" s="50">
        <v>21</v>
      </c>
      <c r="G53" s="50">
        <v>1</v>
      </c>
      <c r="H53" s="50">
        <v>0</v>
      </c>
      <c r="I53" s="50">
        <v>10</v>
      </c>
      <c r="J53" s="50">
        <v>1</v>
      </c>
      <c r="K53" s="50">
        <v>1</v>
      </c>
      <c r="L53" s="50">
        <v>0</v>
      </c>
      <c r="M53" s="50">
        <v>204</v>
      </c>
      <c r="N53" s="50">
        <v>0</v>
      </c>
      <c r="O53" s="15">
        <f t="shared" si="0"/>
        <v>80</v>
      </c>
      <c r="P53" s="15">
        <f t="shared" si="1"/>
        <v>284</v>
      </c>
      <c r="R53" s="8"/>
      <c r="T53"/>
    </row>
    <row r="54" spans="2:20" ht="23.1" customHeight="1" x14ac:dyDescent="0.25">
      <c r="B54" s="23" t="s">
        <v>81</v>
      </c>
      <c r="C54" s="50">
        <v>47</v>
      </c>
      <c r="D54" s="50">
        <v>8</v>
      </c>
      <c r="E54" s="50">
        <v>2</v>
      </c>
      <c r="F54" s="50">
        <v>24</v>
      </c>
      <c r="G54" s="50">
        <v>0</v>
      </c>
      <c r="H54" s="50">
        <v>0</v>
      </c>
      <c r="I54" s="50">
        <v>4</v>
      </c>
      <c r="J54" s="50">
        <v>0</v>
      </c>
      <c r="K54" s="50">
        <v>0</v>
      </c>
      <c r="L54" s="50">
        <v>1</v>
      </c>
      <c r="M54" s="50">
        <v>203</v>
      </c>
      <c r="N54" s="50">
        <v>0</v>
      </c>
      <c r="O54" s="15">
        <f t="shared" si="0"/>
        <v>86</v>
      </c>
      <c r="P54" s="15">
        <f t="shared" si="1"/>
        <v>289</v>
      </c>
      <c r="R54" s="8"/>
      <c r="T54"/>
    </row>
    <row r="55" spans="2:20" ht="23.1" customHeight="1" x14ac:dyDescent="0.25">
      <c r="B55" s="23" t="s">
        <v>82</v>
      </c>
      <c r="C55" s="50">
        <v>65</v>
      </c>
      <c r="D55" s="50">
        <v>3</v>
      </c>
      <c r="E55" s="50">
        <v>14</v>
      </c>
      <c r="F55" s="50">
        <v>31</v>
      </c>
      <c r="G55" s="50">
        <v>0</v>
      </c>
      <c r="H55" s="50">
        <v>1</v>
      </c>
      <c r="I55" s="50">
        <v>6</v>
      </c>
      <c r="J55" s="50">
        <v>2</v>
      </c>
      <c r="K55" s="50">
        <v>0</v>
      </c>
      <c r="L55" s="50">
        <v>1</v>
      </c>
      <c r="M55" s="50">
        <v>203</v>
      </c>
      <c r="N55" s="50">
        <v>0</v>
      </c>
      <c r="O55" s="15">
        <f t="shared" si="0"/>
        <v>123</v>
      </c>
      <c r="P55" s="15">
        <f t="shared" si="1"/>
        <v>326</v>
      </c>
      <c r="R55" s="8"/>
      <c r="T55"/>
    </row>
    <row r="56" spans="2:20" ht="23.1" customHeight="1" x14ac:dyDescent="0.25">
      <c r="B56" s="23" t="s">
        <v>83</v>
      </c>
      <c r="C56" s="50">
        <v>62</v>
      </c>
      <c r="D56" s="50">
        <v>8</v>
      </c>
      <c r="E56" s="50">
        <v>6</v>
      </c>
      <c r="F56" s="50">
        <v>39</v>
      </c>
      <c r="G56" s="50">
        <v>1</v>
      </c>
      <c r="H56" s="50">
        <v>0</v>
      </c>
      <c r="I56" s="50">
        <v>5</v>
      </c>
      <c r="J56" s="50">
        <v>0</v>
      </c>
      <c r="K56" s="50">
        <v>0</v>
      </c>
      <c r="L56" s="50">
        <v>0</v>
      </c>
      <c r="M56" s="50">
        <v>245</v>
      </c>
      <c r="N56" s="50">
        <v>0</v>
      </c>
      <c r="O56" s="15">
        <f t="shared" si="0"/>
        <v>121</v>
      </c>
      <c r="P56" s="15">
        <f t="shared" si="1"/>
        <v>366</v>
      </c>
      <c r="R56" s="8"/>
      <c r="T56"/>
    </row>
    <row r="57" spans="2:20" ht="23.1" customHeight="1" x14ac:dyDescent="0.25">
      <c r="B57" s="23" t="s">
        <v>84</v>
      </c>
      <c r="C57" s="50">
        <v>42</v>
      </c>
      <c r="D57" s="50">
        <v>4</v>
      </c>
      <c r="E57" s="50">
        <v>1</v>
      </c>
      <c r="F57" s="50">
        <v>42</v>
      </c>
      <c r="G57" s="50">
        <v>2</v>
      </c>
      <c r="H57" s="50">
        <v>0</v>
      </c>
      <c r="I57" s="50">
        <v>4</v>
      </c>
      <c r="J57" s="50">
        <v>1</v>
      </c>
      <c r="K57" s="50">
        <v>0</v>
      </c>
      <c r="L57" s="50">
        <v>0</v>
      </c>
      <c r="M57" s="50">
        <v>200</v>
      </c>
      <c r="N57" s="50">
        <v>0</v>
      </c>
      <c r="O57" s="15">
        <f t="shared" si="0"/>
        <v>96</v>
      </c>
      <c r="P57" s="15">
        <f t="shared" si="1"/>
        <v>296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3228</v>
      </c>
      <c r="D58" s="16">
        <f t="shared" si="21"/>
        <v>386</v>
      </c>
      <c r="E58" s="16">
        <f t="shared" si="21"/>
        <v>365</v>
      </c>
      <c r="F58" s="16">
        <f t="shared" si="21"/>
        <v>1207</v>
      </c>
      <c r="G58" s="16">
        <f t="shared" si="21"/>
        <v>17</v>
      </c>
      <c r="H58" s="16">
        <f t="shared" si="21"/>
        <v>6</v>
      </c>
      <c r="I58" s="16">
        <f t="shared" si="21"/>
        <v>354</v>
      </c>
      <c r="J58" s="16">
        <f t="shared" si="21"/>
        <v>54</v>
      </c>
      <c r="K58" s="16">
        <f t="shared" si="21"/>
        <v>15</v>
      </c>
      <c r="L58" s="16">
        <f t="shared" si="21"/>
        <v>37</v>
      </c>
      <c r="M58" s="16">
        <f t="shared" si="21"/>
        <v>10825</v>
      </c>
      <c r="N58" s="16">
        <f t="shared" si="21"/>
        <v>0</v>
      </c>
      <c r="O58" s="16">
        <f t="shared" si="21"/>
        <v>5669</v>
      </c>
      <c r="P58" s="16">
        <f t="shared" si="21"/>
        <v>16494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0.19570753001091307</v>
      </c>
      <c r="D59" s="43">
        <f t="shared" si="22"/>
        <v>2.3402449375530494E-2</v>
      </c>
      <c r="E59" s="43">
        <f t="shared" si="22"/>
        <v>2.2129259124530131E-2</v>
      </c>
      <c r="F59" s="43">
        <f t="shared" si="22"/>
        <v>7.3178125378925665E-2</v>
      </c>
      <c r="G59" s="43">
        <f t="shared" si="22"/>
        <v>1.0306778222383898E-3</v>
      </c>
      <c r="H59" s="43">
        <f t="shared" si="22"/>
        <v>3.6376864314296108E-4</v>
      </c>
      <c r="I59" s="43">
        <f t="shared" si="22"/>
        <v>2.1462349945434705E-2</v>
      </c>
      <c r="J59" s="43">
        <f t="shared" si="22"/>
        <v>3.2739177882866498E-3</v>
      </c>
      <c r="K59" s="43">
        <f t="shared" si="22"/>
        <v>9.0942160785740264E-4</v>
      </c>
      <c r="L59" s="43">
        <f t="shared" si="22"/>
        <v>2.2432399660482598E-3</v>
      </c>
      <c r="M59" s="43">
        <f t="shared" si="22"/>
        <v>0.65629926033709229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0.56941259481390016</v>
      </c>
      <c r="D60" s="44">
        <f t="shared" ref="D60:N60" si="23">D58/$O$58</f>
        <v>6.8089610160522132E-2</v>
      </c>
      <c r="E60" s="44">
        <f t="shared" si="23"/>
        <v>6.4385253131063677E-2</v>
      </c>
      <c r="F60" s="44">
        <f t="shared" si="23"/>
        <v>0.21291233021696948</v>
      </c>
      <c r="G60" s="44">
        <f t="shared" si="23"/>
        <v>2.9987652143235138E-3</v>
      </c>
      <c r="H60" s="44">
        <f t="shared" si="23"/>
        <v>1.0583877227024166E-3</v>
      </c>
      <c r="I60" s="44">
        <f t="shared" si="23"/>
        <v>6.2444875639442579E-2</v>
      </c>
      <c r="J60" s="44">
        <f t="shared" si="23"/>
        <v>9.5254895043217491E-3</v>
      </c>
      <c r="K60" s="44">
        <f t="shared" si="23"/>
        <v>2.6459693067560418E-3</v>
      </c>
      <c r="L60" s="44">
        <f t="shared" si="23"/>
        <v>6.5267242899982357E-3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52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D1" zoomScale="84" zoomScaleSheetLayoutView="84" workbookViewId="0">
      <selection activeCell="G6" sqref="G6:H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2" t="str">
        <f>'22.07 Kabusu-Kitebi'!C3:G3</f>
        <v>MCC - C1 - STN06-WANKULUKUKU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'23.07 Kitebi-Kabusu'!D5</f>
        <v>23.07.19</v>
      </c>
      <c r="E5" s="3"/>
      <c r="F5" s="41" t="s">
        <v>1</v>
      </c>
      <c r="G5" s="57" t="str">
        <f>'22.07 Kitebi-Kabusu'!G5:H5</f>
        <v>kobil head office</v>
      </c>
      <c r="H5" s="58"/>
      <c r="I5" s="14"/>
      <c r="J5" s="2" t="s">
        <v>5</v>
      </c>
      <c r="K5" s="57" t="s">
        <v>174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176</v>
      </c>
      <c r="E6" s="58"/>
      <c r="F6" s="2" t="s">
        <v>2</v>
      </c>
      <c r="G6" s="57" t="s">
        <v>171</v>
      </c>
      <c r="H6" s="58"/>
      <c r="J6" s="2" t="s">
        <v>21</v>
      </c>
      <c r="K6" s="57" t="s">
        <v>175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36</v>
      </c>
      <c r="D10" s="50">
        <v>4</v>
      </c>
      <c r="E10" s="50">
        <v>6</v>
      </c>
      <c r="F10" s="50">
        <v>25</v>
      </c>
      <c r="G10" s="50">
        <v>0</v>
      </c>
      <c r="H10" s="50">
        <v>0</v>
      </c>
      <c r="I10" s="50">
        <v>3</v>
      </c>
      <c r="J10" s="50">
        <v>0</v>
      </c>
      <c r="K10" s="50">
        <v>0</v>
      </c>
      <c r="L10" s="50">
        <v>0</v>
      </c>
      <c r="M10" s="50">
        <v>95</v>
      </c>
      <c r="N10" s="50">
        <v>0</v>
      </c>
      <c r="O10" s="15">
        <f t="shared" ref="O10:O57" si="0">SUM(C10:L10,N10)</f>
        <v>74</v>
      </c>
      <c r="P10" s="15">
        <f t="shared" ref="P10:P57" si="1">SUM(C10:N10)</f>
        <v>169</v>
      </c>
      <c r="R10" s="1" t="s">
        <v>6</v>
      </c>
      <c r="S10" s="17">
        <f t="shared" ref="S10:AF10" si="2">SUM(C10:C13)</f>
        <v>93</v>
      </c>
      <c r="T10" s="17">
        <f t="shared" si="2"/>
        <v>13</v>
      </c>
      <c r="U10" s="17">
        <f t="shared" si="2"/>
        <v>12</v>
      </c>
      <c r="V10" s="17">
        <f t="shared" si="2"/>
        <v>102</v>
      </c>
      <c r="W10" s="17">
        <f t="shared" si="2"/>
        <v>2</v>
      </c>
      <c r="X10" s="17">
        <f t="shared" si="2"/>
        <v>5</v>
      </c>
      <c r="Y10" s="17">
        <f t="shared" si="2"/>
        <v>11</v>
      </c>
      <c r="Z10" s="17">
        <f t="shared" si="2"/>
        <v>0</v>
      </c>
      <c r="AA10" s="17">
        <f t="shared" si="2"/>
        <v>186</v>
      </c>
      <c r="AB10" s="17">
        <f t="shared" si="2"/>
        <v>4</v>
      </c>
      <c r="AC10" s="17">
        <f t="shared" si="2"/>
        <v>545</v>
      </c>
      <c r="AD10" s="17">
        <f t="shared" si="2"/>
        <v>0</v>
      </c>
      <c r="AE10" s="31">
        <f t="shared" si="2"/>
        <v>428</v>
      </c>
      <c r="AF10" s="31">
        <f t="shared" si="2"/>
        <v>973</v>
      </c>
    </row>
    <row r="11" spans="2:32" s="6" customFormat="1" ht="23.1" customHeight="1" x14ac:dyDescent="0.25">
      <c r="B11" s="23" t="s">
        <v>38</v>
      </c>
      <c r="C11" s="50">
        <v>18</v>
      </c>
      <c r="D11" s="50">
        <v>3</v>
      </c>
      <c r="E11" s="50">
        <v>2</v>
      </c>
      <c r="F11" s="50">
        <v>26</v>
      </c>
      <c r="G11" s="50">
        <v>1</v>
      </c>
      <c r="H11" s="50">
        <v>0</v>
      </c>
      <c r="I11" s="50">
        <v>5</v>
      </c>
      <c r="J11" s="50">
        <v>0</v>
      </c>
      <c r="K11" s="50">
        <v>0</v>
      </c>
      <c r="L11" s="50">
        <v>1</v>
      </c>
      <c r="M11" s="50">
        <v>130</v>
      </c>
      <c r="N11" s="50">
        <v>0</v>
      </c>
      <c r="O11" s="15">
        <f t="shared" si="0"/>
        <v>56</v>
      </c>
      <c r="P11" s="15">
        <f t="shared" si="1"/>
        <v>186</v>
      </c>
      <c r="R11" s="1" t="s">
        <v>7</v>
      </c>
      <c r="S11" s="17">
        <f t="shared" ref="S11:AF11" si="3">SUM(C14:C17)</f>
        <v>91</v>
      </c>
      <c r="T11" s="17">
        <f t="shared" si="3"/>
        <v>12</v>
      </c>
      <c r="U11" s="17">
        <f t="shared" si="3"/>
        <v>12</v>
      </c>
      <c r="V11" s="17">
        <f t="shared" si="3"/>
        <v>104</v>
      </c>
      <c r="W11" s="17">
        <f t="shared" si="3"/>
        <v>1</v>
      </c>
      <c r="X11" s="17">
        <f t="shared" si="3"/>
        <v>2</v>
      </c>
      <c r="Y11" s="17">
        <f t="shared" si="3"/>
        <v>29</v>
      </c>
      <c r="Z11" s="17">
        <f t="shared" si="3"/>
        <v>3</v>
      </c>
      <c r="AA11" s="17">
        <f t="shared" si="3"/>
        <v>6</v>
      </c>
      <c r="AB11" s="17">
        <f t="shared" si="3"/>
        <v>6</v>
      </c>
      <c r="AC11" s="17">
        <f t="shared" si="3"/>
        <v>840</v>
      </c>
      <c r="AD11" s="17">
        <f t="shared" si="3"/>
        <v>0</v>
      </c>
      <c r="AE11" s="31">
        <f t="shared" si="3"/>
        <v>266</v>
      </c>
      <c r="AF11" s="31">
        <f t="shared" si="3"/>
        <v>1106</v>
      </c>
    </row>
    <row r="12" spans="2:32" ht="23.1" customHeight="1" x14ac:dyDescent="0.25">
      <c r="B12" s="23" t="s">
        <v>39</v>
      </c>
      <c r="C12" s="50">
        <v>17</v>
      </c>
      <c r="D12" s="50">
        <v>2</v>
      </c>
      <c r="E12" s="50">
        <v>2</v>
      </c>
      <c r="F12" s="50">
        <v>25</v>
      </c>
      <c r="G12" s="50">
        <v>0</v>
      </c>
      <c r="H12" s="50">
        <v>0</v>
      </c>
      <c r="I12" s="50">
        <v>3</v>
      </c>
      <c r="J12" s="50">
        <v>0</v>
      </c>
      <c r="K12" s="50">
        <v>1</v>
      </c>
      <c r="L12" s="50">
        <v>3</v>
      </c>
      <c r="M12" s="50">
        <v>135</v>
      </c>
      <c r="N12" s="50">
        <v>0</v>
      </c>
      <c r="O12" s="15">
        <f t="shared" si="0"/>
        <v>53</v>
      </c>
      <c r="P12" s="15">
        <f t="shared" si="1"/>
        <v>188</v>
      </c>
      <c r="R12" s="1" t="s">
        <v>8</v>
      </c>
      <c r="S12" s="17">
        <f t="shared" ref="S12:AF12" si="4">SUM(C18:C21)</f>
        <v>85</v>
      </c>
      <c r="T12" s="17">
        <f t="shared" si="4"/>
        <v>8</v>
      </c>
      <c r="U12" s="17">
        <f t="shared" si="4"/>
        <v>20</v>
      </c>
      <c r="V12" s="17">
        <f t="shared" si="4"/>
        <v>88</v>
      </c>
      <c r="W12" s="17">
        <f t="shared" si="4"/>
        <v>3</v>
      </c>
      <c r="X12" s="17">
        <f t="shared" si="4"/>
        <v>0</v>
      </c>
      <c r="Y12" s="17">
        <f t="shared" si="4"/>
        <v>21</v>
      </c>
      <c r="Z12" s="17">
        <f t="shared" si="4"/>
        <v>1</v>
      </c>
      <c r="AA12" s="17">
        <f t="shared" si="4"/>
        <v>0</v>
      </c>
      <c r="AB12" s="17">
        <f t="shared" si="4"/>
        <v>1</v>
      </c>
      <c r="AC12" s="17">
        <f t="shared" si="4"/>
        <v>735</v>
      </c>
      <c r="AD12" s="17">
        <f t="shared" si="4"/>
        <v>0</v>
      </c>
      <c r="AE12" s="31">
        <f t="shared" si="4"/>
        <v>227</v>
      </c>
      <c r="AF12" s="31">
        <f t="shared" si="4"/>
        <v>962</v>
      </c>
    </row>
    <row r="13" spans="2:32" ht="23.1" customHeight="1" x14ac:dyDescent="0.25">
      <c r="B13" s="23" t="s">
        <v>40</v>
      </c>
      <c r="C13" s="50">
        <v>22</v>
      </c>
      <c r="D13" s="50">
        <v>4</v>
      </c>
      <c r="E13" s="50">
        <v>2</v>
      </c>
      <c r="F13" s="50">
        <v>26</v>
      </c>
      <c r="G13" s="50">
        <v>1</v>
      </c>
      <c r="H13" s="50">
        <v>5</v>
      </c>
      <c r="I13" s="50">
        <v>0</v>
      </c>
      <c r="J13" s="50">
        <v>0</v>
      </c>
      <c r="K13" s="50">
        <v>185</v>
      </c>
      <c r="L13" s="50">
        <v>0</v>
      </c>
      <c r="M13" s="50">
        <v>185</v>
      </c>
      <c r="N13" s="50">
        <v>0</v>
      </c>
      <c r="O13" s="15">
        <f t="shared" si="0"/>
        <v>245</v>
      </c>
      <c r="P13" s="15">
        <f t="shared" si="1"/>
        <v>430</v>
      </c>
      <c r="R13" s="1" t="s">
        <v>9</v>
      </c>
      <c r="S13" s="17">
        <f t="shared" ref="S13:AF13" si="5">SUM(C22:C25)</f>
        <v>110</v>
      </c>
      <c r="T13" s="17">
        <f t="shared" si="5"/>
        <v>25</v>
      </c>
      <c r="U13" s="17">
        <f t="shared" si="5"/>
        <v>17</v>
      </c>
      <c r="V13" s="17">
        <f t="shared" si="5"/>
        <v>80</v>
      </c>
      <c r="W13" s="17">
        <f t="shared" si="5"/>
        <v>1</v>
      </c>
      <c r="X13" s="17">
        <f t="shared" si="5"/>
        <v>0</v>
      </c>
      <c r="Y13" s="17">
        <f t="shared" si="5"/>
        <v>24</v>
      </c>
      <c r="Z13" s="17">
        <f t="shared" si="5"/>
        <v>1</v>
      </c>
      <c r="AA13" s="17">
        <f t="shared" si="5"/>
        <v>7</v>
      </c>
      <c r="AB13" s="17">
        <f t="shared" si="5"/>
        <v>5</v>
      </c>
      <c r="AC13" s="17">
        <f t="shared" si="5"/>
        <v>740</v>
      </c>
      <c r="AD13" s="17">
        <f t="shared" si="5"/>
        <v>0</v>
      </c>
      <c r="AE13" s="31">
        <f t="shared" si="5"/>
        <v>270</v>
      </c>
      <c r="AF13" s="31">
        <f t="shared" si="5"/>
        <v>1010</v>
      </c>
    </row>
    <row r="14" spans="2:32" ht="23.1" customHeight="1" x14ac:dyDescent="0.25">
      <c r="B14" s="23" t="s">
        <v>41</v>
      </c>
      <c r="C14" s="50">
        <v>30</v>
      </c>
      <c r="D14" s="50">
        <v>1</v>
      </c>
      <c r="E14" s="50">
        <v>4</v>
      </c>
      <c r="F14" s="50">
        <v>31</v>
      </c>
      <c r="G14" s="50">
        <v>0</v>
      </c>
      <c r="H14" s="50">
        <v>0</v>
      </c>
      <c r="I14" s="50">
        <v>8</v>
      </c>
      <c r="J14" s="50">
        <v>0</v>
      </c>
      <c r="K14" s="50">
        <v>1</v>
      </c>
      <c r="L14" s="50">
        <v>0</v>
      </c>
      <c r="M14" s="50">
        <v>200</v>
      </c>
      <c r="N14" s="50">
        <v>0</v>
      </c>
      <c r="O14" s="15">
        <f t="shared" si="0"/>
        <v>75</v>
      </c>
      <c r="P14" s="15">
        <f t="shared" si="1"/>
        <v>275</v>
      </c>
      <c r="R14" s="1" t="s">
        <v>10</v>
      </c>
      <c r="S14" s="17">
        <f t="shared" ref="S14:AF14" si="6">SUM(C26:C29)</f>
        <v>163</v>
      </c>
      <c r="T14" s="17">
        <f t="shared" si="6"/>
        <v>25</v>
      </c>
      <c r="U14" s="17">
        <f t="shared" si="6"/>
        <v>37</v>
      </c>
      <c r="V14" s="17">
        <f t="shared" si="6"/>
        <v>82</v>
      </c>
      <c r="W14" s="17">
        <f t="shared" si="6"/>
        <v>2</v>
      </c>
      <c r="X14" s="17">
        <f t="shared" si="6"/>
        <v>0</v>
      </c>
      <c r="Y14" s="17">
        <f t="shared" si="6"/>
        <v>28</v>
      </c>
      <c r="Z14" s="17">
        <f t="shared" si="6"/>
        <v>2</v>
      </c>
      <c r="AA14" s="17">
        <f t="shared" si="6"/>
        <v>4</v>
      </c>
      <c r="AB14" s="17">
        <f t="shared" si="6"/>
        <v>3</v>
      </c>
      <c r="AC14" s="17">
        <f t="shared" si="6"/>
        <v>657</v>
      </c>
      <c r="AD14" s="17">
        <f t="shared" si="6"/>
        <v>0</v>
      </c>
      <c r="AE14" s="31">
        <f t="shared" si="6"/>
        <v>346</v>
      </c>
      <c r="AF14" s="31">
        <f t="shared" si="6"/>
        <v>1003</v>
      </c>
    </row>
    <row r="15" spans="2:32" ht="23.1" customHeight="1" x14ac:dyDescent="0.25">
      <c r="B15" s="23" t="s">
        <v>42</v>
      </c>
      <c r="C15" s="50">
        <v>18</v>
      </c>
      <c r="D15" s="50">
        <v>2</v>
      </c>
      <c r="E15" s="50">
        <v>2</v>
      </c>
      <c r="F15" s="50">
        <v>27</v>
      </c>
      <c r="G15" s="50">
        <v>1</v>
      </c>
      <c r="H15" s="50">
        <v>0</v>
      </c>
      <c r="I15" s="50">
        <v>3</v>
      </c>
      <c r="J15" s="50">
        <v>0</v>
      </c>
      <c r="K15" s="50">
        <v>1</v>
      </c>
      <c r="L15" s="50">
        <v>3</v>
      </c>
      <c r="M15" s="50">
        <v>215</v>
      </c>
      <c r="N15" s="50">
        <v>0</v>
      </c>
      <c r="O15" s="15">
        <f t="shared" si="0"/>
        <v>57</v>
      </c>
      <c r="P15" s="15">
        <f t="shared" si="1"/>
        <v>272</v>
      </c>
      <c r="R15" s="1" t="s">
        <v>11</v>
      </c>
      <c r="S15" s="17">
        <f t="shared" ref="S15:AF15" si="7">SUM(C30:C33)</f>
        <v>127</v>
      </c>
      <c r="T15" s="17">
        <f t="shared" si="7"/>
        <v>19</v>
      </c>
      <c r="U15" s="17">
        <f t="shared" si="7"/>
        <v>32</v>
      </c>
      <c r="V15" s="17">
        <f t="shared" si="7"/>
        <v>68</v>
      </c>
      <c r="W15" s="17">
        <f t="shared" si="7"/>
        <v>1</v>
      </c>
      <c r="X15" s="17">
        <f t="shared" si="7"/>
        <v>0</v>
      </c>
      <c r="Y15" s="17">
        <f t="shared" si="7"/>
        <v>27</v>
      </c>
      <c r="Z15" s="17">
        <f t="shared" si="7"/>
        <v>4</v>
      </c>
      <c r="AA15" s="17">
        <f t="shared" si="7"/>
        <v>4</v>
      </c>
      <c r="AB15" s="17">
        <f t="shared" si="7"/>
        <v>5</v>
      </c>
      <c r="AC15" s="17">
        <f t="shared" si="7"/>
        <v>610</v>
      </c>
      <c r="AD15" s="17">
        <f t="shared" si="7"/>
        <v>0</v>
      </c>
      <c r="AE15" s="31">
        <f t="shared" si="7"/>
        <v>287</v>
      </c>
      <c r="AF15" s="31">
        <f t="shared" si="7"/>
        <v>897</v>
      </c>
    </row>
    <row r="16" spans="2:32" ht="23.1" customHeight="1" x14ac:dyDescent="0.25">
      <c r="B16" s="23" t="s">
        <v>43</v>
      </c>
      <c r="C16" s="50">
        <v>19</v>
      </c>
      <c r="D16" s="50">
        <v>6</v>
      </c>
      <c r="E16" s="50">
        <v>4</v>
      </c>
      <c r="F16" s="50">
        <v>21</v>
      </c>
      <c r="G16" s="50">
        <v>0</v>
      </c>
      <c r="H16" s="50">
        <v>1</v>
      </c>
      <c r="I16" s="50">
        <v>12</v>
      </c>
      <c r="J16" s="50">
        <v>1</v>
      </c>
      <c r="K16" s="50">
        <v>3</v>
      </c>
      <c r="L16" s="50">
        <v>0</v>
      </c>
      <c r="M16" s="50">
        <v>250</v>
      </c>
      <c r="N16" s="50">
        <v>0</v>
      </c>
      <c r="O16" s="15">
        <f t="shared" si="0"/>
        <v>67</v>
      </c>
      <c r="P16" s="15">
        <f t="shared" si="1"/>
        <v>317</v>
      </c>
      <c r="R16" s="1" t="s">
        <v>12</v>
      </c>
      <c r="S16" s="17">
        <f t="shared" ref="S16:AF16" si="8">SUM(C34:C37)</f>
        <v>116</v>
      </c>
      <c r="T16" s="17">
        <f t="shared" si="8"/>
        <v>25</v>
      </c>
      <c r="U16" s="17">
        <f t="shared" si="8"/>
        <v>23</v>
      </c>
      <c r="V16" s="17">
        <f t="shared" si="8"/>
        <v>66</v>
      </c>
      <c r="W16" s="17">
        <f t="shared" si="8"/>
        <v>0</v>
      </c>
      <c r="X16" s="17">
        <f t="shared" si="8"/>
        <v>0</v>
      </c>
      <c r="Y16" s="17">
        <f t="shared" si="8"/>
        <v>14</v>
      </c>
      <c r="Z16" s="17">
        <f t="shared" si="8"/>
        <v>0</v>
      </c>
      <c r="AA16" s="17">
        <f t="shared" si="8"/>
        <v>7</v>
      </c>
      <c r="AB16" s="17">
        <f t="shared" si="8"/>
        <v>3</v>
      </c>
      <c r="AC16" s="17">
        <f t="shared" si="8"/>
        <v>666</v>
      </c>
      <c r="AD16" s="17">
        <f t="shared" si="8"/>
        <v>0</v>
      </c>
      <c r="AE16" s="31">
        <f t="shared" si="8"/>
        <v>254</v>
      </c>
      <c r="AF16" s="31">
        <f t="shared" si="8"/>
        <v>920</v>
      </c>
    </row>
    <row r="17" spans="2:32" ht="23.1" customHeight="1" x14ac:dyDescent="0.25">
      <c r="B17" s="23" t="s">
        <v>44</v>
      </c>
      <c r="C17" s="50">
        <v>24</v>
      </c>
      <c r="D17" s="50">
        <v>3</v>
      </c>
      <c r="E17" s="50">
        <v>2</v>
      </c>
      <c r="F17" s="50">
        <v>25</v>
      </c>
      <c r="G17" s="50">
        <v>0</v>
      </c>
      <c r="H17" s="50">
        <v>1</v>
      </c>
      <c r="I17" s="50">
        <v>6</v>
      </c>
      <c r="J17" s="50">
        <v>2</v>
      </c>
      <c r="K17" s="50">
        <v>1</v>
      </c>
      <c r="L17" s="50">
        <v>3</v>
      </c>
      <c r="M17" s="50">
        <v>175</v>
      </c>
      <c r="N17" s="50">
        <v>0</v>
      </c>
      <c r="O17" s="15">
        <f t="shared" si="0"/>
        <v>67</v>
      </c>
      <c r="P17" s="15">
        <f t="shared" si="1"/>
        <v>242</v>
      </c>
      <c r="R17" s="1" t="s">
        <v>13</v>
      </c>
      <c r="S17" s="17">
        <f t="shared" ref="S17:AF17" si="9">SUM(C38:C41)</f>
        <v>122</v>
      </c>
      <c r="T17" s="17">
        <f t="shared" si="9"/>
        <v>15</v>
      </c>
      <c r="U17" s="17">
        <f t="shared" si="9"/>
        <v>26</v>
      </c>
      <c r="V17" s="17">
        <f t="shared" si="9"/>
        <v>61</v>
      </c>
      <c r="W17" s="17">
        <f t="shared" si="9"/>
        <v>1</v>
      </c>
      <c r="X17" s="17">
        <f t="shared" si="9"/>
        <v>8</v>
      </c>
      <c r="Y17" s="17">
        <f t="shared" si="9"/>
        <v>18</v>
      </c>
      <c r="Z17" s="17">
        <f t="shared" si="9"/>
        <v>11</v>
      </c>
      <c r="AA17" s="17">
        <f t="shared" si="9"/>
        <v>4</v>
      </c>
      <c r="AB17" s="17">
        <f t="shared" si="9"/>
        <v>1</v>
      </c>
      <c r="AC17" s="17">
        <f t="shared" si="9"/>
        <v>620</v>
      </c>
      <c r="AD17" s="17">
        <f t="shared" si="9"/>
        <v>0</v>
      </c>
      <c r="AE17" s="31">
        <f t="shared" si="9"/>
        <v>267</v>
      </c>
      <c r="AF17" s="31">
        <f t="shared" si="9"/>
        <v>887</v>
      </c>
    </row>
    <row r="18" spans="2:32" ht="23.1" customHeight="1" x14ac:dyDescent="0.25">
      <c r="B18" s="23" t="s">
        <v>45</v>
      </c>
      <c r="C18" s="50">
        <v>25</v>
      </c>
      <c r="D18" s="50">
        <v>1</v>
      </c>
      <c r="E18" s="50">
        <v>7</v>
      </c>
      <c r="F18" s="50">
        <v>21</v>
      </c>
      <c r="G18" s="50">
        <v>1</v>
      </c>
      <c r="H18" s="50">
        <v>0</v>
      </c>
      <c r="I18" s="50">
        <v>6</v>
      </c>
      <c r="J18" s="50">
        <v>0</v>
      </c>
      <c r="K18" s="50">
        <v>0</v>
      </c>
      <c r="L18" s="50">
        <v>1</v>
      </c>
      <c r="M18" s="50">
        <v>200</v>
      </c>
      <c r="N18" s="50">
        <v>0</v>
      </c>
      <c r="O18" s="15">
        <f t="shared" si="0"/>
        <v>62</v>
      </c>
      <c r="P18" s="15">
        <f t="shared" si="1"/>
        <v>262</v>
      </c>
      <c r="R18" s="1" t="s">
        <v>14</v>
      </c>
      <c r="S18" s="17">
        <f t="shared" ref="S18:AF18" si="10">SUM(C42:C45)</f>
        <v>136</v>
      </c>
      <c r="T18" s="17">
        <f t="shared" si="10"/>
        <v>34</v>
      </c>
      <c r="U18" s="17">
        <f t="shared" si="10"/>
        <v>23</v>
      </c>
      <c r="V18" s="17">
        <f t="shared" si="10"/>
        <v>55</v>
      </c>
      <c r="W18" s="17">
        <f t="shared" si="10"/>
        <v>0</v>
      </c>
      <c r="X18" s="17">
        <f t="shared" si="10"/>
        <v>0</v>
      </c>
      <c r="Y18" s="17">
        <f t="shared" si="10"/>
        <v>24</v>
      </c>
      <c r="Z18" s="17">
        <f t="shared" si="10"/>
        <v>9</v>
      </c>
      <c r="AA18" s="17">
        <f t="shared" si="10"/>
        <v>6</v>
      </c>
      <c r="AB18" s="17">
        <f t="shared" si="10"/>
        <v>3</v>
      </c>
      <c r="AC18" s="17">
        <f t="shared" si="10"/>
        <v>625</v>
      </c>
      <c r="AD18" s="17">
        <f t="shared" si="10"/>
        <v>0</v>
      </c>
      <c r="AE18" s="31">
        <f t="shared" si="10"/>
        <v>290</v>
      </c>
      <c r="AF18" s="31">
        <f t="shared" si="10"/>
        <v>915</v>
      </c>
    </row>
    <row r="19" spans="2:32" ht="23.1" customHeight="1" x14ac:dyDescent="0.25">
      <c r="B19" s="23" t="s">
        <v>46</v>
      </c>
      <c r="C19" s="50">
        <v>25</v>
      </c>
      <c r="D19" s="50">
        <v>2</v>
      </c>
      <c r="E19" s="50">
        <v>5</v>
      </c>
      <c r="F19" s="50">
        <v>21</v>
      </c>
      <c r="G19" s="50">
        <v>0</v>
      </c>
      <c r="H19" s="50">
        <v>0</v>
      </c>
      <c r="I19" s="50">
        <v>7</v>
      </c>
      <c r="J19" s="50">
        <v>0</v>
      </c>
      <c r="K19" s="50">
        <v>0</v>
      </c>
      <c r="L19" s="50">
        <v>0</v>
      </c>
      <c r="M19" s="50">
        <v>195</v>
      </c>
      <c r="N19" s="50">
        <v>0</v>
      </c>
      <c r="O19" s="15">
        <f t="shared" si="0"/>
        <v>60</v>
      </c>
      <c r="P19" s="15">
        <f t="shared" si="1"/>
        <v>255</v>
      </c>
      <c r="R19" s="1" t="s">
        <v>15</v>
      </c>
      <c r="S19" s="17">
        <f t="shared" ref="S19:AF19" si="11">SUM(C46:C49)</f>
        <v>215</v>
      </c>
      <c r="T19" s="17">
        <f t="shared" si="11"/>
        <v>35</v>
      </c>
      <c r="U19" s="17">
        <f t="shared" si="11"/>
        <v>32</v>
      </c>
      <c r="V19" s="17">
        <f t="shared" si="11"/>
        <v>68</v>
      </c>
      <c r="W19" s="17">
        <f t="shared" si="11"/>
        <v>2</v>
      </c>
      <c r="X19" s="17">
        <f t="shared" si="11"/>
        <v>1</v>
      </c>
      <c r="Y19" s="17">
        <f t="shared" si="11"/>
        <v>30</v>
      </c>
      <c r="Z19" s="17">
        <f t="shared" si="11"/>
        <v>5</v>
      </c>
      <c r="AA19" s="17">
        <f t="shared" si="11"/>
        <v>3</v>
      </c>
      <c r="AB19" s="17">
        <f t="shared" si="11"/>
        <v>3</v>
      </c>
      <c r="AC19" s="17">
        <f t="shared" si="11"/>
        <v>630</v>
      </c>
      <c r="AD19" s="17">
        <f t="shared" si="11"/>
        <v>0</v>
      </c>
      <c r="AE19" s="31">
        <f t="shared" si="11"/>
        <v>394</v>
      </c>
      <c r="AF19" s="31">
        <f t="shared" si="11"/>
        <v>1024</v>
      </c>
    </row>
    <row r="20" spans="2:32" ht="23.1" customHeight="1" x14ac:dyDescent="0.25">
      <c r="B20" s="23" t="s">
        <v>47</v>
      </c>
      <c r="C20" s="50">
        <v>20</v>
      </c>
      <c r="D20" s="50">
        <v>3</v>
      </c>
      <c r="E20" s="50">
        <v>4</v>
      </c>
      <c r="F20" s="50">
        <v>20</v>
      </c>
      <c r="G20" s="50">
        <v>0</v>
      </c>
      <c r="H20" s="50">
        <v>0</v>
      </c>
      <c r="I20" s="50">
        <v>3</v>
      </c>
      <c r="J20" s="50">
        <v>0</v>
      </c>
      <c r="K20" s="50">
        <v>0</v>
      </c>
      <c r="L20" s="50">
        <v>0</v>
      </c>
      <c r="M20" s="50">
        <v>175</v>
      </c>
      <c r="N20" s="50">
        <v>0</v>
      </c>
      <c r="O20" s="15">
        <f t="shared" si="0"/>
        <v>50</v>
      </c>
      <c r="P20" s="15">
        <f t="shared" si="1"/>
        <v>225</v>
      </c>
      <c r="R20" s="1" t="s">
        <v>16</v>
      </c>
      <c r="S20" s="17">
        <f t="shared" ref="S20:AF20" si="12">SUM(C50:C53)</f>
        <v>409</v>
      </c>
      <c r="T20" s="17">
        <f t="shared" si="12"/>
        <v>66</v>
      </c>
      <c r="U20" s="17">
        <f t="shared" si="12"/>
        <v>47</v>
      </c>
      <c r="V20" s="17">
        <f t="shared" si="12"/>
        <v>103</v>
      </c>
      <c r="W20" s="17">
        <f t="shared" si="12"/>
        <v>0</v>
      </c>
      <c r="X20" s="17">
        <f t="shared" si="12"/>
        <v>0</v>
      </c>
      <c r="Y20" s="17">
        <f t="shared" si="12"/>
        <v>19</v>
      </c>
      <c r="Z20" s="17">
        <f t="shared" si="12"/>
        <v>1</v>
      </c>
      <c r="AA20" s="17">
        <f t="shared" si="12"/>
        <v>2</v>
      </c>
      <c r="AB20" s="17">
        <f t="shared" si="12"/>
        <v>3</v>
      </c>
      <c r="AC20" s="17">
        <f t="shared" si="12"/>
        <v>841</v>
      </c>
      <c r="AD20" s="17">
        <f t="shared" si="12"/>
        <v>0</v>
      </c>
      <c r="AE20" s="31">
        <f t="shared" si="12"/>
        <v>650</v>
      </c>
      <c r="AF20" s="31">
        <f t="shared" si="12"/>
        <v>1491</v>
      </c>
    </row>
    <row r="21" spans="2:32" ht="23.1" customHeight="1" x14ac:dyDescent="0.25">
      <c r="B21" s="23" t="s">
        <v>48</v>
      </c>
      <c r="C21" s="50">
        <v>15</v>
      </c>
      <c r="D21" s="50">
        <v>2</v>
      </c>
      <c r="E21" s="50">
        <v>4</v>
      </c>
      <c r="F21" s="50">
        <v>26</v>
      </c>
      <c r="G21" s="50">
        <v>2</v>
      </c>
      <c r="H21" s="50">
        <v>0</v>
      </c>
      <c r="I21" s="50">
        <v>5</v>
      </c>
      <c r="J21" s="50">
        <v>1</v>
      </c>
      <c r="K21" s="50">
        <v>0</v>
      </c>
      <c r="L21" s="50">
        <v>0</v>
      </c>
      <c r="M21" s="50">
        <v>165</v>
      </c>
      <c r="N21" s="50">
        <v>0</v>
      </c>
      <c r="O21" s="15">
        <f t="shared" si="0"/>
        <v>55</v>
      </c>
      <c r="P21" s="15">
        <f t="shared" si="1"/>
        <v>220</v>
      </c>
      <c r="R21" s="36" t="s">
        <v>20</v>
      </c>
      <c r="S21" s="34">
        <f t="shared" ref="S21:AF21" si="13">SUM(C54:C57)</f>
        <v>476</v>
      </c>
      <c r="T21" s="17">
        <f t="shared" si="13"/>
        <v>68</v>
      </c>
      <c r="U21" s="17">
        <f t="shared" si="13"/>
        <v>38</v>
      </c>
      <c r="V21" s="17">
        <f t="shared" si="13"/>
        <v>107</v>
      </c>
      <c r="W21" s="17">
        <f t="shared" si="13"/>
        <v>2</v>
      </c>
      <c r="X21" s="17">
        <f t="shared" si="13"/>
        <v>0</v>
      </c>
      <c r="Y21" s="17">
        <f t="shared" si="13"/>
        <v>34</v>
      </c>
      <c r="Z21" s="17">
        <f t="shared" si="13"/>
        <v>2</v>
      </c>
      <c r="AA21" s="17">
        <f t="shared" si="13"/>
        <v>3</v>
      </c>
      <c r="AB21" s="17">
        <f t="shared" si="13"/>
        <v>1</v>
      </c>
      <c r="AC21" s="17">
        <f t="shared" si="13"/>
        <v>838</v>
      </c>
      <c r="AD21" s="17">
        <f t="shared" si="13"/>
        <v>0</v>
      </c>
      <c r="AE21" s="31">
        <f t="shared" si="13"/>
        <v>731</v>
      </c>
      <c r="AF21" s="31">
        <f t="shared" si="13"/>
        <v>1569</v>
      </c>
    </row>
    <row r="22" spans="2:32" ht="23.1" customHeight="1" x14ac:dyDescent="0.25">
      <c r="B22" s="23" t="s">
        <v>49</v>
      </c>
      <c r="C22" s="50">
        <v>21</v>
      </c>
      <c r="D22" s="50">
        <v>3</v>
      </c>
      <c r="E22" s="50">
        <v>4</v>
      </c>
      <c r="F22" s="50">
        <v>18</v>
      </c>
      <c r="G22" s="50">
        <v>1</v>
      </c>
      <c r="H22" s="50">
        <v>0</v>
      </c>
      <c r="I22" s="50">
        <v>3</v>
      </c>
      <c r="J22" s="50">
        <v>0</v>
      </c>
      <c r="K22" s="50">
        <v>0</v>
      </c>
      <c r="L22" s="50">
        <v>1</v>
      </c>
      <c r="M22" s="50">
        <v>195</v>
      </c>
      <c r="N22" s="50">
        <v>0</v>
      </c>
      <c r="O22" s="15">
        <f t="shared" si="0"/>
        <v>51</v>
      </c>
      <c r="P22" s="15">
        <f t="shared" si="1"/>
        <v>246</v>
      </c>
      <c r="R22" s="38" t="s">
        <v>90</v>
      </c>
      <c r="S22" s="39">
        <f>MAX(S10:S12)</f>
        <v>93</v>
      </c>
      <c r="T22" s="39">
        <f t="shared" ref="T22:AF22" si="14">MAX(T10:T12)</f>
        <v>13</v>
      </c>
      <c r="U22" s="39">
        <f t="shared" si="14"/>
        <v>20</v>
      </c>
      <c r="V22" s="39">
        <f t="shared" si="14"/>
        <v>104</v>
      </c>
      <c r="W22" s="39">
        <f t="shared" si="14"/>
        <v>3</v>
      </c>
      <c r="X22" s="39">
        <f t="shared" si="14"/>
        <v>5</v>
      </c>
      <c r="Y22" s="39">
        <f t="shared" si="14"/>
        <v>29</v>
      </c>
      <c r="Z22" s="39">
        <f t="shared" si="14"/>
        <v>3</v>
      </c>
      <c r="AA22" s="39">
        <f t="shared" si="14"/>
        <v>186</v>
      </c>
      <c r="AB22" s="39">
        <f t="shared" si="14"/>
        <v>6</v>
      </c>
      <c r="AC22" s="39">
        <f t="shared" si="14"/>
        <v>840</v>
      </c>
      <c r="AD22" s="39">
        <f t="shared" si="14"/>
        <v>0</v>
      </c>
      <c r="AE22" s="40">
        <f t="shared" si="14"/>
        <v>428</v>
      </c>
      <c r="AF22" s="40">
        <f t="shared" si="14"/>
        <v>1106</v>
      </c>
    </row>
    <row r="23" spans="2:32" ht="23.1" customHeight="1" x14ac:dyDescent="0.25">
      <c r="B23" s="23" t="s">
        <v>50</v>
      </c>
      <c r="C23" s="50">
        <v>25</v>
      </c>
      <c r="D23" s="50">
        <v>10</v>
      </c>
      <c r="E23" s="50">
        <v>6</v>
      </c>
      <c r="F23" s="50">
        <v>25</v>
      </c>
      <c r="G23" s="50">
        <v>0</v>
      </c>
      <c r="H23" s="50">
        <v>0</v>
      </c>
      <c r="I23" s="50">
        <v>12</v>
      </c>
      <c r="J23" s="50">
        <v>1</v>
      </c>
      <c r="K23" s="50">
        <v>3</v>
      </c>
      <c r="L23" s="50">
        <v>2</v>
      </c>
      <c r="M23" s="50">
        <v>195</v>
      </c>
      <c r="N23" s="50">
        <v>0</v>
      </c>
      <c r="O23" s="15">
        <f t="shared" si="0"/>
        <v>84</v>
      </c>
      <c r="P23" s="15">
        <f t="shared" si="1"/>
        <v>279</v>
      </c>
      <c r="R23" s="38" t="s">
        <v>91</v>
      </c>
      <c r="S23" s="39">
        <f>MAX(S13:S18)</f>
        <v>163</v>
      </c>
      <c r="T23" s="39">
        <f t="shared" ref="T23:AF23" si="15">MAX(T13:T18)</f>
        <v>34</v>
      </c>
      <c r="U23" s="39">
        <f t="shared" si="15"/>
        <v>37</v>
      </c>
      <c r="V23" s="39">
        <f t="shared" si="15"/>
        <v>82</v>
      </c>
      <c r="W23" s="39">
        <f t="shared" si="15"/>
        <v>2</v>
      </c>
      <c r="X23" s="39">
        <f t="shared" si="15"/>
        <v>8</v>
      </c>
      <c r="Y23" s="39">
        <f t="shared" si="15"/>
        <v>28</v>
      </c>
      <c r="Z23" s="39">
        <f t="shared" si="15"/>
        <v>11</v>
      </c>
      <c r="AA23" s="39">
        <f t="shared" si="15"/>
        <v>7</v>
      </c>
      <c r="AB23" s="39">
        <f t="shared" si="15"/>
        <v>5</v>
      </c>
      <c r="AC23" s="39">
        <f t="shared" si="15"/>
        <v>740</v>
      </c>
      <c r="AD23" s="39">
        <f t="shared" si="15"/>
        <v>0</v>
      </c>
      <c r="AE23" s="40">
        <f t="shared" si="15"/>
        <v>346</v>
      </c>
      <c r="AF23" s="40">
        <f t="shared" si="15"/>
        <v>1010</v>
      </c>
    </row>
    <row r="24" spans="2:32" ht="23.1" customHeight="1" x14ac:dyDescent="0.25">
      <c r="B24" s="23" t="s">
        <v>51</v>
      </c>
      <c r="C24" s="50">
        <v>35</v>
      </c>
      <c r="D24" s="50">
        <v>4</v>
      </c>
      <c r="E24" s="50">
        <v>4</v>
      </c>
      <c r="F24" s="50">
        <v>16</v>
      </c>
      <c r="G24" s="50">
        <v>0</v>
      </c>
      <c r="H24" s="50">
        <v>0</v>
      </c>
      <c r="I24" s="50">
        <v>5</v>
      </c>
      <c r="J24" s="50">
        <v>0</v>
      </c>
      <c r="K24" s="50">
        <v>4</v>
      </c>
      <c r="L24" s="50">
        <v>2</v>
      </c>
      <c r="M24" s="50">
        <v>180</v>
      </c>
      <c r="N24" s="50">
        <v>0</v>
      </c>
      <c r="O24" s="15">
        <f t="shared" si="0"/>
        <v>70</v>
      </c>
      <c r="P24" s="15">
        <f t="shared" si="1"/>
        <v>250</v>
      </c>
      <c r="R24" s="38" t="s">
        <v>92</v>
      </c>
      <c r="S24" s="39">
        <f>MAX(S19:S21)</f>
        <v>476</v>
      </c>
      <c r="T24" s="39">
        <f t="shared" ref="T24:AF24" si="16">MAX(T19:T21)</f>
        <v>68</v>
      </c>
      <c r="U24" s="39">
        <f t="shared" si="16"/>
        <v>47</v>
      </c>
      <c r="V24" s="39">
        <f t="shared" si="16"/>
        <v>107</v>
      </c>
      <c r="W24" s="39">
        <f t="shared" si="16"/>
        <v>2</v>
      </c>
      <c r="X24" s="39">
        <f t="shared" si="16"/>
        <v>1</v>
      </c>
      <c r="Y24" s="39">
        <f t="shared" si="16"/>
        <v>34</v>
      </c>
      <c r="Z24" s="39">
        <f t="shared" si="16"/>
        <v>5</v>
      </c>
      <c r="AA24" s="39">
        <f t="shared" si="16"/>
        <v>3</v>
      </c>
      <c r="AB24" s="39">
        <f t="shared" si="16"/>
        <v>3</v>
      </c>
      <c r="AC24" s="39">
        <f t="shared" si="16"/>
        <v>841</v>
      </c>
      <c r="AD24" s="39">
        <f t="shared" si="16"/>
        <v>0</v>
      </c>
      <c r="AE24" s="40">
        <f t="shared" si="16"/>
        <v>731</v>
      </c>
      <c r="AF24" s="40">
        <f t="shared" si="16"/>
        <v>1569</v>
      </c>
    </row>
    <row r="25" spans="2:32" ht="23.1" customHeight="1" x14ac:dyDescent="0.25">
      <c r="B25" s="23" t="s">
        <v>52</v>
      </c>
      <c r="C25" s="50">
        <v>29</v>
      </c>
      <c r="D25" s="50">
        <v>8</v>
      </c>
      <c r="E25" s="50">
        <v>3</v>
      </c>
      <c r="F25" s="50">
        <v>21</v>
      </c>
      <c r="G25" s="50">
        <v>0</v>
      </c>
      <c r="H25" s="50">
        <v>0</v>
      </c>
      <c r="I25" s="50">
        <v>4</v>
      </c>
      <c r="J25" s="50">
        <v>0</v>
      </c>
      <c r="K25" s="50">
        <v>0</v>
      </c>
      <c r="L25" s="50">
        <v>0</v>
      </c>
      <c r="M25" s="50">
        <v>170</v>
      </c>
      <c r="N25" s="50">
        <v>0</v>
      </c>
      <c r="O25" s="15">
        <f t="shared" si="0"/>
        <v>65</v>
      </c>
      <c r="P25" s="15">
        <f t="shared" si="1"/>
        <v>235</v>
      </c>
      <c r="R25" s="37" t="s">
        <v>85</v>
      </c>
      <c r="S25" s="35">
        <f t="shared" ref="S25:AF25" si="17">SUM(S10:S12)</f>
        <v>269</v>
      </c>
      <c r="T25" s="16">
        <f t="shared" si="17"/>
        <v>33</v>
      </c>
      <c r="U25" s="16">
        <f t="shared" si="17"/>
        <v>44</v>
      </c>
      <c r="V25" s="16">
        <f t="shared" si="17"/>
        <v>294</v>
      </c>
      <c r="W25" s="16">
        <f t="shared" si="17"/>
        <v>6</v>
      </c>
      <c r="X25" s="16">
        <f t="shared" si="17"/>
        <v>7</v>
      </c>
      <c r="Y25" s="16">
        <f t="shared" si="17"/>
        <v>61</v>
      </c>
      <c r="Z25" s="16">
        <f t="shared" si="17"/>
        <v>4</v>
      </c>
      <c r="AA25" s="16">
        <f t="shared" si="17"/>
        <v>192</v>
      </c>
      <c r="AB25" s="16">
        <f t="shared" si="17"/>
        <v>11</v>
      </c>
      <c r="AC25" s="16">
        <f t="shared" si="17"/>
        <v>2120</v>
      </c>
      <c r="AD25" s="16">
        <f t="shared" si="17"/>
        <v>0</v>
      </c>
      <c r="AE25" s="32">
        <f t="shared" si="17"/>
        <v>921</v>
      </c>
      <c r="AF25" s="32">
        <f t="shared" si="17"/>
        <v>3041</v>
      </c>
    </row>
    <row r="26" spans="2:32" ht="23.1" customHeight="1" x14ac:dyDescent="0.25">
      <c r="B26" s="23" t="s">
        <v>53</v>
      </c>
      <c r="C26" s="50">
        <v>41</v>
      </c>
      <c r="D26" s="50">
        <v>4</v>
      </c>
      <c r="E26" s="50">
        <v>10</v>
      </c>
      <c r="F26" s="50">
        <v>20</v>
      </c>
      <c r="G26" s="50">
        <v>1</v>
      </c>
      <c r="H26" s="50">
        <v>0</v>
      </c>
      <c r="I26" s="50">
        <v>13</v>
      </c>
      <c r="J26" s="50">
        <v>0</v>
      </c>
      <c r="K26" s="50">
        <v>1</v>
      </c>
      <c r="L26" s="50">
        <v>2</v>
      </c>
      <c r="M26" s="50">
        <v>150</v>
      </c>
      <c r="N26" s="50">
        <v>0</v>
      </c>
      <c r="O26" s="15">
        <f t="shared" si="0"/>
        <v>92</v>
      </c>
      <c r="P26" s="15">
        <f t="shared" si="1"/>
        <v>242</v>
      </c>
      <c r="R26" s="28" t="s">
        <v>86</v>
      </c>
      <c r="S26" s="16">
        <f t="shared" ref="S26:AF26" si="18">SUM(S13:S18)</f>
        <v>774</v>
      </c>
      <c r="T26" s="16">
        <f t="shared" si="18"/>
        <v>143</v>
      </c>
      <c r="U26" s="16">
        <f t="shared" si="18"/>
        <v>158</v>
      </c>
      <c r="V26" s="16">
        <f t="shared" si="18"/>
        <v>412</v>
      </c>
      <c r="W26" s="16">
        <f t="shared" si="18"/>
        <v>5</v>
      </c>
      <c r="X26" s="16">
        <f t="shared" si="18"/>
        <v>8</v>
      </c>
      <c r="Y26" s="16">
        <f t="shared" si="18"/>
        <v>135</v>
      </c>
      <c r="Z26" s="16">
        <f t="shared" si="18"/>
        <v>27</v>
      </c>
      <c r="AA26" s="16">
        <f t="shared" si="18"/>
        <v>32</v>
      </c>
      <c r="AB26" s="16">
        <f t="shared" si="18"/>
        <v>20</v>
      </c>
      <c r="AC26" s="16">
        <f t="shared" si="18"/>
        <v>3918</v>
      </c>
      <c r="AD26" s="16">
        <f t="shared" si="18"/>
        <v>0</v>
      </c>
      <c r="AE26" s="32">
        <f t="shared" si="18"/>
        <v>1714</v>
      </c>
      <c r="AF26" s="32">
        <f t="shared" si="18"/>
        <v>5632</v>
      </c>
    </row>
    <row r="27" spans="2:32" ht="23.1" customHeight="1" x14ac:dyDescent="0.25">
      <c r="B27" s="23" t="s">
        <v>54</v>
      </c>
      <c r="C27" s="50">
        <v>40</v>
      </c>
      <c r="D27" s="50">
        <v>6</v>
      </c>
      <c r="E27" s="50">
        <v>8</v>
      </c>
      <c r="F27" s="50">
        <v>18</v>
      </c>
      <c r="G27" s="50">
        <v>0</v>
      </c>
      <c r="H27" s="50">
        <v>0</v>
      </c>
      <c r="I27" s="50">
        <v>10</v>
      </c>
      <c r="J27" s="50">
        <v>1</v>
      </c>
      <c r="K27" s="50">
        <v>2</v>
      </c>
      <c r="L27" s="50">
        <v>0</v>
      </c>
      <c r="M27" s="50">
        <v>170</v>
      </c>
      <c r="N27" s="50">
        <v>0</v>
      </c>
      <c r="O27" s="15">
        <f t="shared" si="0"/>
        <v>85</v>
      </c>
      <c r="P27" s="15">
        <f t="shared" si="1"/>
        <v>255</v>
      </c>
      <c r="R27" s="29" t="s">
        <v>87</v>
      </c>
      <c r="S27" s="16">
        <f t="shared" ref="S27:AF27" si="19">SUM(S19:S21)</f>
        <v>1100</v>
      </c>
      <c r="T27" s="16">
        <f t="shared" si="19"/>
        <v>169</v>
      </c>
      <c r="U27" s="16">
        <f t="shared" si="19"/>
        <v>117</v>
      </c>
      <c r="V27" s="16">
        <f t="shared" si="19"/>
        <v>278</v>
      </c>
      <c r="W27" s="16">
        <f t="shared" si="19"/>
        <v>4</v>
      </c>
      <c r="X27" s="16">
        <f t="shared" si="19"/>
        <v>1</v>
      </c>
      <c r="Y27" s="16">
        <f t="shared" si="19"/>
        <v>83</v>
      </c>
      <c r="Z27" s="16">
        <f t="shared" si="19"/>
        <v>8</v>
      </c>
      <c r="AA27" s="16">
        <f t="shared" si="19"/>
        <v>8</v>
      </c>
      <c r="AB27" s="16">
        <f t="shared" si="19"/>
        <v>7</v>
      </c>
      <c r="AC27" s="16">
        <f t="shared" si="19"/>
        <v>2309</v>
      </c>
      <c r="AD27" s="16">
        <f t="shared" si="19"/>
        <v>0</v>
      </c>
      <c r="AE27" s="32">
        <f t="shared" si="19"/>
        <v>1775</v>
      </c>
      <c r="AF27" s="32">
        <f t="shared" si="19"/>
        <v>4084</v>
      </c>
    </row>
    <row r="28" spans="2:32" ht="23.1" customHeight="1" x14ac:dyDescent="0.25">
      <c r="B28" s="23" t="s">
        <v>55</v>
      </c>
      <c r="C28" s="50">
        <v>51</v>
      </c>
      <c r="D28" s="50">
        <v>10</v>
      </c>
      <c r="E28" s="50">
        <v>13</v>
      </c>
      <c r="F28" s="50">
        <v>24</v>
      </c>
      <c r="G28" s="50">
        <v>1</v>
      </c>
      <c r="H28" s="50">
        <v>0</v>
      </c>
      <c r="I28" s="50">
        <v>4</v>
      </c>
      <c r="J28" s="50">
        <v>1</v>
      </c>
      <c r="K28" s="50">
        <v>1</v>
      </c>
      <c r="L28" s="50">
        <v>0</v>
      </c>
      <c r="M28" s="50">
        <v>177</v>
      </c>
      <c r="N28" s="50">
        <v>0</v>
      </c>
      <c r="O28" s="15">
        <f t="shared" si="0"/>
        <v>105</v>
      </c>
      <c r="P28" s="15">
        <f t="shared" si="1"/>
        <v>282</v>
      </c>
      <c r="R28" s="5" t="s">
        <v>17</v>
      </c>
      <c r="S28" s="16">
        <f t="shared" ref="S28:AF28" si="20">SUM(S10:S21)</f>
        <v>2143</v>
      </c>
      <c r="T28" s="16">
        <f t="shared" si="20"/>
        <v>345</v>
      </c>
      <c r="U28" s="16">
        <f t="shared" si="20"/>
        <v>319</v>
      </c>
      <c r="V28" s="16">
        <f t="shared" si="20"/>
        <v>984</v>
      </c>
      <c r="W28" s="16">
        <f t="shared" si="20"/>
        <v>15</v>
      </c>
      <c r="X28" s="16">
        <f t="shared" si="20"/>
        <v>16</v>
      </c>
      <c r="Y28" s="16">
        <f t="shared" si="20"/>
        <v>279</v>
      </c>
      <c r="Z28" s="16">
        <f t="shared" si="20"/>
        <v>39</v>
      </c>
      <c r="AA28" s="16">
        <f t="shared" si="20"/>
        <v>232</v>
      </c>
      <c r="AB28" s="16">
        <f t="shared" si="20"/>
        <v>38</v>
      </c>
      <c r="AC28" s="16">
        <f t="shared" si="20"/>
        <v>8347</v>
      </c>
      <c r="AD28" s="16">
        <f t="shared" si="20"/>
        <v>0</v>
      </c>
      <c r="AE28" s="32">
        <f t="shared" si="20"/>
        <v>4410</v>
      </c>
      <c r="AF28" s="32">
        <f t="shared" si="20"/>
        <v>12757</v>
      </c>
    </row>
    <row r="29" spans="2:32" ht="23.1" customHeight="1" x14ac:dyDescent="0.25">
      <c r="B29" s="23" t="s">
        <v>56</v>
      </c>
      <c r="C29" s="50">
        <v>31</v>
      </c>
      <c r="D29" s="50">
        <v>5</v>
      </c>
      <c r="E29" s="50">
        <v>6</v>
      </c>
      <c r="F29" s="50">
        <v>20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1</v>
      </c>
      <c r="M29" s="50">
        <v>160</v>
      </c>
      <c r="N29" s="50">
        <v>0</v>
      </c>
      <c r="O29" s="15">
        <f t="shared" si="0"/>
        <v>64</v>
      </c>
      <c r="P29" s="15">
        <f t="shared" si="1"/>
        <v>224</v>
      </c>
      <c r="R29"/>
      <c r="S29" s="20"/>
      <c r="T29" s="19"/>
    </row>
    <row r="30" spans="2:32" ht="23.1" customHeight="1" x14ac:dyDescent="0.25">
      <c r="B30" s="23" t="s">
        <v>57</v>
      </c>
      <c r="C30" s="50">
        <v>25</v>
      </c>
      <c r="D30" s="50">
        <v>7</v>
      </c>
      <c r="E30" s="50">
        <v>9</v>
      </c>
      <c r="F30" s="50">
        <v>17</v>
      </c>
      <c r="G30" s="50">
        <v>0</v>
      </c>
      <c r="H30" s="50">
        <v>0</v>
      </c>
      <c r="I30" s="50">
        <v>7</v>
      </c>
      <c r="J30" s="50">
        <v>1</v>
      </c>
      <c r="K30" s="50">
        <v>0</v>
      </c>
      <c r="L30" s="50">
        <v>1</v>
      </c>
      <c r="M30" s="50">
        <v>160</v>
      </c>
      <c r="N30" s="50">
        <v>0</v>
      </c>
      <c r="O30" s="15">
        <f t="shared" si="0"/>
        <v>67</v>
      </c>
      <c r="P30" s="15">
        <f t="shared" si="1"/>
        <v>227</v>
      </c>
    </row>
    <row r="31" spans="2:32" ht="23.1" customHeight="1" x14ac:dyDescent="0.25">
      <c r="B31" s="24" t="s">
        <v>58</v>
      </c>
      <c r="C31" s="50">
        <v>20</v>
      </c>
      <c r="D31" s="50">
        <v>5</v>
      </c>
      <c r="E31" s="50">
        <v>7</v>
      </c>
      <c r="F31" s="50">
        <v>13</v>
      </c>
      <c r="G31" s="50">
        <v>1</v>
      </c>
      <c r="H31" s="50">
        <v>0</v>
      </c>
      <c r="I31" s="50">
        <v>10</v>
      </c>
      <c r="J31" s="50">
        <v>1</v>
      </c>
      <c r="K31" s="50">
        <v>0</v>
      </c>
      <c r="L31" s="50">
        <v>0</v>
      </c>
      <c r="M31" s="50">
        <v>110</v>
      </c>
      <c r="N31" s="50">
        <v>0</v>
      </c>
      <c r="O31" s="15">
        <f t="shared" si="0"/>
        <v>57</v>
      </c>
      <c r="P31" s="15">
        <f t="shared" si="1"/>
        <v>167</v>
      </c>
    </row>
    <row r="32" spans="2:32" ht="23.1" customHeight="1" x14ac:dyDescent="0.25">
      <c r="B32" s="24" t="s">
        <v>59</v>
      </c>
      <c r="C32" s="50">
        <v>40</v>
      </c>
      <c r="D32" s="50">
        <v>3</v>
      </c>
      <c r="E32" s="50">
        <v>5</v>
      </c>
      <c r="F32" s="50">
        <v>16</v>
      </c>
      <c r="G32" s="50">
        <v>0</v>
      </c>
      <c r="H32" s="50">
        <v>0</v>
      </c>
      <c r="I32" s="50">
        <v>3</v>
      </c>
      <c r="J32" s="50">
        <v>2</v>
      </c>
      <c r="K32" s="50">
        <v>2</v>
      </c>
      <c r="L32" s="50">
        <v>3</v>
      </c>
      <c r="M32" s="50">
        <v>175</v>
      </c>
      <c r="N32" s="50">
        <v>0</v>
      </c>
      <c r="O32" s="15">
        <f t="shared" si="0"/>
        <v>74</v>
      </c>
      <c r="P32" s="15">
        <f t="shared" si="1"/>
        <v>249</v>
      </c>
    </row>
    <row r="33" spans="2:20" ht="23.1" customHeight="1" x14ac:dyDescent="0.25">
      <c r="B33" s="23" t="s">
        <v>60</v>
      </c>
      <c r="C33" s="50">
        <v>42</v>
      </c>
      <c r="D33" s="50">
        <v>4</v>
      </c>
      <c r="E33" s="50">
        <v>11</v>
      </c>
      <c r="F33" s="50">
        <v>22</v>
      </c>
      <c r="G33" s="50">
        <v>0</v>
      </c>
      <c r="H33" s="50">
        <v>0</v>
      </c>
      <c r="I33" s="50">
        <v>7</v>
      </c>
      <c r="J33" s="50">
        <v>0</v>
      </c>
      <c r="K33" s="50">
        <v>2</v>
      </c>
      <c r="L33" s="50">
        <v>1</v>
      </c>
      <c r="M33" s="50">
        <v>165</v>
      </c>
      <c r="N33" s="50">
        <v>0</v>
      </c>
      <c r="O33" s="15">
        <f t="shared" si="0"/>
        <v>89</v>
      </c>
      <c r="P33" s="15">
        <f t="shared" si="1"/>
        <v>254</v>
      </c>
    </row>
    <row r="34" spans="2:20" ht="23.1" customHeight="1" x14ac:dyDescent="0.25">
      <c r="B34" s="24" t="s">
        <v>61</v>
      </c>
      <c r="C34" s="50">
        <v>31</v>
      </c>
      <c r="D34" s="50">
        <v>12</v>
      </c>
      <c r="E34" s="50">
        <v>3</v>
      </c>
      <c r="F34" s="50">
        <v>20</v>
      </c>
      <c r="G34" s="50">
        <v>0</v>
      </c>
      <c r="H34" s="50">
        <v>0</v>
      </c>
      <c r="I34" s="50">
        <v>4</v>
      </c>
      <c r="J34" s="50">
        <v>0</v>
      </c>
      <c r="K34" s="50">
        <v>4</v>
      </c>
      <c r="L34" s="50">
        <v>2</v>
      </c>
      <c r="M34" s="50">
        <v>175</v>
      </c>
      <c r="N34" s="50">
        <v>0</v>
      </c>
      <c r="O34" s="15">
        <f t="shared" si="0"/>
        <v>76</v>
      </c>
      <c r="P34" s="15">
        <f t="shared" si="1"/>
        <v>251</v>
      </c>
    </row>
    <row r="35" spans="2:20" ht="23.1" customHeight="1" x14ac:dyDescent="0.25">
      <c r="B35" s="24" t="s">
        <v>62</v>
      </c>
      <c r="C35" s="50">
        <v>27</v>
      </c>
      <c r="D35" s="50">
        <v>5</v>
      </c>
      <c r="E35" s="50">
        <v>4</v>
      </c>
      <c r="F35" s="50">
        <v>20</v>
      </c>
      <c r="G35" s="50">
        <v>0</v>
      </c>
      <c r="H35" s="50">
        <v>0</v>
      </c>
      <c r="I35" s="50">
        <v>4</v>
      </c>
      <c r="J35" s="50">
        <v>0</v>
      </c>
      <c r="K35" s="50">
        <v>1</v>
      </c>
      <c r="L35" s="50">
        <v>0</v>
      </c>
      <c r="M35" s="50">
        <v>180</v>
      </c>
      <c r="N35" s="50">
        <v>0</v>
      </c>
      <c r="O35" s="15">
        <f t="shared" si="0"/>
        <v>61</v>
      </c>
      <c r="P35" s="15">
        <f t="shared" si="1"/>
        <v>241</v>
      </c>
    </row>
    <row r="36" spans="2:20" ht="23.1" customHeight="1" x14ac:dyDescent="0.25">
      <c r="B36" s="24" t="s">
        <v>63</v>
      </c>
      <c r="C36" s="50">
        <v>25</v>
      </c>
      <c r="D36" s="50">
        <v>3</v>
      </c>
      <c r="E36" s="50">
        <v>7</v>
      </c>
      <c r="F36" s="50">
        <v>15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165</v>
      </c>
      <c r="N36" s="50">
        <v>0</v>
      </c>
      <c r="O36" s="15">
        <f t="shared" si="0"/>
        <v>51</v>
      </c>
      <c r="P36" s="15">
        <f t="shared" si="1"/>
        <v>216</v>
      </c>
    </row>
    <row r="37" spans="2:20" ht="23.1" customHeight="1" x14ac:dyDescent="0.25">
      <c r="B37" s="23" t="s">
        <v>64</v>
      </c>
      <c r="C37" s="50">
        <v>33</v>
      </c>
      <c r="D37" s="50">
        <v>5</v>
      </c>
      <c r="E37" s="50">
        <v>9</v>
      </c>
      <c r="F37" s="50">
        <v>11</v>
      </c>
      <c r="G37" s="50">
        <v>0</v>
      </c>
      <c r="H37" s="50">
        <v>0</v>
      </c>
      <c r="I37" s="50">
        <v>5</v>
      </c>
      <c r="J37" s="50">
        <v>0</v>
      </c>
      <c r="K37" s="50">
        <v>2</v>
      </c>
      <c r="L37" s="50">
        <v>1</v>
      </c>
      <c r="M37" s="50">
        <v>146</v>
      </c>
      <c r="N37" s="50">
        <v>0</v>
      </c>
      <c r="O37" s="15">
        <f t="shared" si="0"/>
        <v>66</v>
      </c>
      <c r="P37" s="15">
        <f t="shared" si="1"/>
        <v>212</v>
      </c>
    </row>
    <row r="38" spans="2:20" ht="23.1" customHeight="1" x14ac:dyDescent="0.25">
      <c r="B38" s="24" t="s">
        <v>65</v>
      </c>
      <c r="C38" s="50">
        <v>44</v>
      </c>
      <c r="D38" s="50">
        <v>2</v>
      </c>
      <c r="E38" s="50">
        <v>8</v>
      </c>
      <c r="F38" s="50">
        <v>13</v>
      </c>
      <c r="G38" s="50">
        <v>0</v>
      </c>
      <c r="H38" s="50">
        <v>8</v>
      </c>
      <c r="I38" s="50">
        <v>0</v>
      </c>
      <c r="J38" s="50">
        <v>0</v>
      </c>
      <c r="K38" s="50">
        <v>0</v>
      </c>
      <c r="L38" s="50">
        <v>0</v>
      </c>
      <c r="M38" s="50">
        <v>145</v>
      </c>
      <c r="N38" s="50">
        <v>0</v>
      </c>
      <c r="O38" s="15">
        <f t="shared" si="0"/>
        <v>75</v>
      </c>
      <c r="P38" s="15">
        <f t="shared" si="1"/>
        <v>220</v>
      </c>
    </row>
    <row r="39" spans="2:20" ht="23.1" customHeight="1" x14ac:dyDescent="0.25">
      <c r="B39" s="24" t="s">
        <v>66</v>
      </c>
      <c r="C39" s="50">
        <v>22</v>
      </c>
      <c r="D39" s="50">
        <v>2</v>
      </c>
      <c r="E39" s="50">
        <v>7</v>
      </c>
      <c r="F39" s="50">
        <v>18</v>
      </c>
      <c r="G39" s="50">
        <v>0</v>
      </c>
      <c r="H39" s="50">
        <v>0</v>
      </c>
      <c r="I39" s="50">
        <v>7</v>
      </c>
      <c r="J39" s="50">
        <v>1</v>
      </c>
      <c r="K39" s="50">
        <v>3</v>
      </c>
      <c r="L39" s="50">
        <v>0</v>
      </c>
      <c r="M39" s="50">
        <v>160</v>
      </c>
      <c r="N39" s="50">
        <v>0</v>
      </c>
      <c r="O39" s="15">
        <f t="shared" si="0"/>
        <v>60</v>
      </c>
      <c r="P39" s="15">
        <f t="shared" si="1"/>
        <v>220</v>
      </c>
    </row>
    <row r="40" spans="2:20" ht="23.1" customHeight="1" x14ac:dyDescent="0.25">
      <c r="B40" s="24" t="s">
        <v>67</v>
      </c>
      <c r="C40" s="50">
        <v>27</v>
      </c>
      <c r="D40" s="50">
        <v>4</v>
      </c>
      <c r="E40" s="50">
        <v>6</v>
      </c>
      <c r="F40" s="50">
        <v>18</v>
      </c>
      <c r="G40" s="50">
        <v>1</v>
      </c>
      <c r="H40" s="50">
        <v>0</v>
      </c>
      <c r="I40" s="50">
        <v>2</v>
      </c>
      <c r="J40" s="50">
        <v>0</v>
      </c>
      <c r="K40" s="50">
        <v>1</v>
      </c>
      <c r="L40" s="50">
        <v>1</v>
      </c>
      <c r="M40" s="50">
        <v>140</v>
      </c>
      <c r="N40" s="50">
        <v>0</v>
      </c>
      <c r="O40" s="15">
        <f t="shared" si="0"/>
        <v>60</v>
      </c>
      <c r="P40" s="15">
        <f t="shared" si="1"/>
        <v>200</v>
      </c>
    </row>
    <row r="41" spans="2:20" ht="23.1" customHeight="1" x14ac:dyDescent="0.25">
      <c r="B41" s="23" t="s">
        <v>68</v>
      </c>
      <c r="C41" s="50">
        <v>29</v>
      </c>
      <c r="D41" s="50">
        <v>7</v>
      </c>
      <c r="E41" s="50">
        <v>5</v>
      </c>
      <c r="F41" s="50">
        <v>12</v>
      </c>
      <c r="G41" s="50">
        <v>0</v>
      </c>
      <c r="H41" s="50">
        <v>0</v>
      </c>
      <c r="I41" s="50">
        <v>9</v>
      </c>
      <c r="J41" s="50">
        <v>10</v>
      </c>
      <c r="K41" s="50">
        <v>0</v>
      </c>
      <c r="L41" s="50">
        <v>0</v>
      </c>
      <c r="M41" s="50">
        <v>175</v>
      </c>
      <c r="N41" s="50">
        <v>0</v>
      </c>
      <c r="O41" s="15">
        <f t="shared" si="0"/>
        <v>72</v>
      </c>
      <c r="P41" s="15">
        <f t="shared" si="1"/>
        <v>247</v>
      </c>
    </row>
    <row r="42" spans="2:20" ht="23.1" customHeight="1" x14ac:dyDescent="0.25">
      <c r="B42" s="24" t="s">
        <v>69</v>
      </c>
      <c r="C42" s="50">
        <v>34</v>
      </c>
      <c r="D42" s="50">
        <v>6</v>
      </c>
      <c r="E42" s="50">
        <v>6</v>
      </c>
      <c r="F42" s="50">
        <v>12</v>
      </c>
      <c r="G42" s="50">
        <v>0</v>
      </c>
      <c r="H42" s="50">
        <v>0</v>
      </c>
      <c r="I42" s="50">
        <v>4</v>
      </c>
      <c r="J42" s="50">
        <v>1</v>
      </c>
      <c r="K42" s="50">
        <v>3</v>
      </c>
      <c r="L42" s="50">
        <v>0</v>
      </c>
      <c r="M42" s="50">
        <v>180</v>
      </c>
      <c r="N42" s="50">
        <v>0</v>
      </c>
      <c r="O42" s="15">
        <f t="shared" si="0"/>
        <v>66</v>
      </c>
      <c r="P42" s="15">
        <f t="shared" si="1"/>
        <v>246</v>
      </c>
    </row>
    <row r="43" spans="2:20" ht="23.1" customHeight="1" x14ac:dyDescent="0.25">
      <c r="B43" s="23" t="s">
        <v>70</v>
      </c>
      <c r="C43" s="50">
        <v>34</v>
      </c>
      <c r="D43" s="50">
        <v>5</v>
      </c>
      <c r="E43" s="50">
        <v>6</v>
      </c>
      <c r="F43" s="50">
        <v>13</v>
      </c>
      <c r="G43" s="50">
        <v>0</v>
      </c>
      <c r="H43" s="50">
        <v>0</v>
      </c>
      <c r="I43" s="50">
        <v>7</v>
      </c>
      <c r="J43" s="50">
        <v>0</v>
      </c>
      <c r="K43" s="50">
        <v>1</v>
      </c>
      <c r="L43" s="50">
        <v>0</v>
      </c>
      <c r="M43" s="50">
        <v>185</v>
      </c>
      <c r="N43" s="50">
        <v>0</v>
      </c>
      <c r="O43" s="15">
        <f t="shared" si="0"/>
        <v>66</v>
      </c>
      <c r="P43" s="15">
        <f t="shared" si="1"/>
        <v>251</v>
      </c>
    </row>
    <row r="44" spans="2:20" ht="23.1" customHeight="1" x14ac:dyDescent="0.25">
      <c r="B44" s="25" t="s">
        <v>71</v>
      </c>
      <c r="C44" s="50">
        <v>33</v>
      </c>
      <c r="D44" s="50">
        <v>11</v>
      </c>
      <c r="E44" s="50">
        <v>9</v>
      </c>
      <c r="F44" s="50">
        <v>17</v>
      </c>
      <c r="G44" s="50">
        <v>0</v>
      </c>
      <c r="H44" s="50">
        <v>0</v>
      </c>
      <c r="I44" s="50">
        <v>4</v>
      </c>
      <c r="J44" s="50">
        <v>3</v>
      </c>
      <c r="K44" s="50">
        <v>2</v>
      </c>
      <c r="L44" s="50">
        <v>2</v>
      </c>
      <c r="M44" s="50">
        <v>155</v>
      </c>
      <c r="N44" s="50">
        <v>0</v>
      </c>
      <c r="O44" s="15">
        <f t="shared" si="0"/>
        <v>81</v>
      </c>
      <c r="P44" s="15">
        <f t="shared" si="1"/>
        <v>236</v>
      </c>
    </row>
    <row r="45" spans="2:20" ht="23.1" customHeight="1" x14ac:dyDescent="0.25">
      <c r="B45" s="23" t="s">
        <v>72</v>
      </c>
      <c r="C45" s="50">
        <v>35</v>
      </c>
      <c r="D45" s="50">
        <v>12</v>
      </c>
      <c r="E45" s="50">
        <v>2</v>
      </c>
      <c r="F45" s="50">
        <v>13</v>
      </c>
      <c r="G45" s="50">
        <v>0</v>
      </c>
      <c r="H45" s="50">
        <v>0</v>
      </c>
      <c r="I45" s="50">
        <v>9</v>
      </c>
      <c r="J45" s="50">
        <v>5</v>
      </c>
      <c r="K45" s="50">
        <v>0</v>
      </c>
      <c r="L45" s="50">
        <v>1</v>
      </c>
      <c r="M45" s="50">
        <v>105</v>
      </c>
      <c r="N45" s="50">
        <v>0</v>
      </c>
      <c r="O45" s="15">
        <f t="shared" si="0"/>
        <v>77</v>
      </c>
      <c r="P45" s="15">
        <f t="shared" si="1"/>
        <v>182</v>
      </c>
    </row>
    <row r="46" spans="2:20" ht="23.1" customHeight="1" x14ac:dyDescent="0.25">
      <c r="B46" s="24" t="s">
        <v>73</v>
      </c>
      <c r="C46" s="50">
        <v>53</v>
      </c>
      <c r="D46" s="50">
        <v>7</v>
      </c>
      <c r="E46" s="50">
        <v>1</v>
      </c>
      <c r="F46" s="50">
        <v>17</v>
      </c>
      <c r="G46" s="50">
        <v>0</v>
      </c>
      <c r="H46" s="50">
        <v>0</v>
      </c>
      <c r="I46" s="50">
        <v>10</v>
      </c>
      <c r="J46" s="50">
        <v>0</v>
      </c>
      <c r="K46" s="50">
        <v>1</v>
      </c>
      <c r="L46" s="50">
        <v>0</v>
      </c>
      <c r="M46" s="50">
        <v>160</v>
      </c>
      <c r="N46" s="50">
        <v>0</v>
      </c>
      <c r="O46" s="15">
        <f t="shared" si="0"/>
        <v>89</v>
      </c>
      <c r="P46" s="15">
        <f t="shared" si="1"/>
        <v>249</v>
      </c>
      <c r="R46" s="8"/>
      <c r="T46"/>
    </row>
    <row r="47" spans="2:20" ht="23.1" customHeight="1" x14ac:dyDescent="0.25">
      <c r="B47" s="24" t="s">
        <v>74</v>
      </c>
      <c r="C47" s="50">
        <v>33</v>
      </c>
      <c r="D47" s="50">
        <v>9</v>
      </c>
      <c r="E47" s="50">
        <v>3</v>
      </c>
      <c r="F47" s="50">
        <v>10</v>
      </c>
      <c r="G47" s="50">
        <v>0</v>
      </c>
      <c r="H47" s="50">
        <v>0</v>
      </c>
      <c r="I47" s="50">
        <v>9</v>
      </c>
      <c r="J47" s="50">
        <v>0</v>
      </c>
      <c r="K47" s="50">
        <v>0</v>
      </c>
      <c r="L47" s="50">
        <v>2</v>
      </c>
      <c r="M47" s="50">
        <v>150</v>
      </c>
      <c r="N47" s="50">
        <v>0</v>
      </c>
      <c r="O47" s="15">
        <f t="shared" si="0"/>
        <v>66</v>
      </c>
      <c r="P47" s="15">
        <f t="shared" si="1"/>
        <v>216</v>
      </c>
      <c r="R47" s="8"/>
      <c r="T47"/>
    </row>
    <row r="48" spans="2:20" ht="23.1" customHeight="1" x14ac:dyDescent="0.25">
      <c r="B48" s="24" t="s">
        <v>75</v>
      </c>
      <c r="C48" s="50">
        <v>68</v>
      </c>
      <c r="D48" s="50">
        <v>9</v>
      </c>
      <c r="E48" s="50">
        <v>19</v>
      </c>
      <c r="F48" s="50">
        <v>20</v>
      </c>
      <c r="G48" s="50">
        <v>1</v>
      </c>
      <c r="H48" s="50">
        <v>1</v>
      </c>
      <c r="I48" s="50">
        <v>4</v>
      </c>
      <c r="J48" s="50">
        <v>0</v>
      </c>
      <c r="K48" s="50">
        <v>1</v>
      </c>
      <c r="L48" s="50">
        <v>0</v>
      </c>
      <c r="M48" s="50">
        <v>175</v>
      </c>
      <c r="N48" s="50">
        <v>0</v>
      </c>
      <c r="O48" s="15">
        <f t="shared" si="0"/>
        <v>123</v>
      </c>
      <c r="P48" s="15">
        <f t="shared" si="1"/>
        <v>298</v>
      </c>
      <c r="R48" s="8"/>
      <c r="T48"/>
    </row>
    <row r="49" spans="2:20" ht="23.1" customHeight="1" x14ac:dyDescent="0.25">
      <c r="B49" s="23" t="s">
        <v>76</v>
      </c>
      <c r="C49" s="50">
        <v>61</v>
      </c>
      <c r="D49" s="50">
        <v>10</v>
      </c>
      <c r="E49" s="50">
        <v>9</v>
      </c>
      <c r="F49" s="50">
        <v>21</v>
      </c>
      <c r="G49" s="50">
        <v>1</v>
      </c>
      <c r="H49" s="50">
        <v>0</v>
      </c>
      <c r="I49" s="50">
        <v>7</v>
      </c>
      <c r="J49" s="50">
        <v>5</v>
      </c>
      <c r="K49" s="50">
        <v>1</v>
      </c>
      <c r="L49" s="50">
        <v>1</v>
      </c>
      <c r="M49" s="50">
        <v>145</v>
      </c>
      <c r="N49" s="50">
        <v>0</v>
      </c>
      <c r="O49" s="15">
        <f t="shared" si="0"/>
        <v>116</v>
      </c>
      <c r="P49" s="15">
        <f t="shared" si="1"/>
        <v>261</v>
      </c>
      <c r="R49" s="8"/>
      <c r="T49"/>
    </row>
    <row r="50" spans="2:20" ht="23.1" customHeight="1" x14ac:dyDescent="0.25">
      <c r="B50" s="24" t="s">
        <v>77</v>
      </c>
      <c r="C50" s="50">
        <v>75</v>
      </c>
      <c r="D50" s="50">
        <v>17</v>
      </c>
      <c r="E50" s="50">
        <v>6</v>
      </c>
      <c r="F50" s="50">
        <v>15</v>
      </c>
      <c r="G50" s="50">
        <v>0</v>
      </c>
      <c r="H50" s="50">
        <v>0</v>
      </c>
      <c r="I50" s="50">
        <v>4</v>
      </c>
      <c r="J50" s="50">
        <v>0</v>
      </c>
      <c r="K50" s="50">
        <v>0</v>
      </c>
      <c r="L50" s="50">
        <v>1</v>
      </c>
      <c r="M50" s="50">
        <v>185</v>
      </c>
      <c r="N50" s="50">
        <v>0</v>
      </c>
      <c r="O50" s="15">
        <f t="shared" si="0"/>
        <v>118</v>
      </c>
      <c r="P50" s="15">
        <f t="shared" si="1"/>
        <v>303</v>
      </c>
      <c r="R50" s="8"/>
      <c r="T50"/>
    </row>
    <row r="51" spans="2:20" ht="23.1" customHeight="1" x14ac:dyDescent="0.25">
      <c r="B51" s="24" t="s">
        <v>78</v>
      </c>
      <c r="C51" s="50">
        <v>92</v>
      </c>
      <c r="D51" s="50">
        <v>13</v>
      </c>
      <c r="E51" s="50">
        <v>9</v>
      </c>
      <c r="F51" s="50">
        <v>26</v>
      </c>
      <c r="G51" s="50">
        <v>0</v>
      </c>
      <c r="H51" s="50">
        <v>0</v>
      </c>
      <c r="I51" s="50">
        <v>5</v>
      </c>
      <c r="J51" s="50">
        <v>0</v>
      </c>
      <c r="K51" s="50">
        <v>1</v>
      </c>
      <c r="L51" s="50">
        <v>0</v>
      </c>
      <c r="M51" s="50">
        <v>220</v>
      </c>
      <c r="N51" s="50">
        <v>0</v>
      </c>
      <c r="O51" s="15">
        <f t="shared" si="0"/>
        <v>146</v>
      </c>
      <c r="P51" s="15">
        <f t="shared" si="1"/>
        <v>366</v>
      </c>
      <c r="R51" s="8"/>
      <c r="T51"/>
    </row>
    <row r="52" spans="2:20" ht="23.1" customHeight="1" x14ac:dyDescent="0.25">
      <c r="B52" s="24" t="s">
        <v>79</v>
      </c>
      <c r="C52" s="50">
        <v>85</v>
      </c>
      <c r="D52" s="50">
        <v>19</v>
      </c>
      <c r="E52" s="50">
        <v>10</v>
      </c>
      <c r="F52" s="50">
        <v>24</v>
      </c>
      <c r="G52" s="50">
        <v>0</v>
      </c>
      <c r="H52" s="50">
        <v>0</v>
      </c>
      <c r="I52" s="50">
        <v>5</v>
      </c>
      <c r="J52" s="50">
        <v>0</v>
      </c>
      <c r="K52" s="50">
        <v>1</v>
      </c>
      <c r="L52" s="50">
        <v>0</v>
      </c>
      <c r="M52" s="50">
        <v>216</v>
      </c>
      <c r="N52" s="50">
        <v>0</v>
      </c>
      <c r="O52" s="15">
        <f t="shared" si="0"/>
        <v>144</v>
      </c>
      <c r="P52" s="15">
        <f t="shared" si="1"/>
        <v>360</v>
      </c>
      <c r="R52" s="8"/>
      <c r="T52"/>
    </row>
    <row r="53" spans="2:20" ht="23.1" customHeight="1" x14ac:dyDescent="0.25">
      <c r="B53" s="23" t="s">
        <v>80</v>
      </c>
      <c r="C53" s="50">
        <v>157</v>
      </c>
      <c r="D53" s="50">
        <v>17</v>
      </c>
      <c r="E53" s="50">
        <v>22</v>
      </c>
      <c r="F53" s="50">
        <v>38</v>
      </c>
      <c r="G53" s="50">
        <v>0</v>
      </c>
      <c r="H53" s="50">
        <v>0</v>
      </c>
      <c r="I53" s="50">
        <v>5</v>
      </c>
      <c r="J53" s="50">
        <v>1</v>
      </c>
      <c r="K53" s="50">
        <v>0</v>
      </c>
      <c r="L53" s="50">
        <v>2</v>
      </c>
      <c r="M53" s="50">
        <v>220</v>
      </c>
      <c r="N53" s="50">
        <v>0</v>
      </c>
      <c r="O53" s="15">
        <f t="shared" si="0"/>
        <v>242</v>
      </c>
      <c r="P53" s="15">
        <f t="shared" si="1"/>
        <v>462</v>
      </c>
      <c r="R53" s="8"/>
      <c r="T53"/>
    </row>
    <row r="54" spans="2:20" ht="23.1" customHeight="1" x14ac:dyDescent="0.25">
      <c r="B54" s="23" t="s">
        <v>81</v>
      </c>
      <c r="C54" s="50">
        <v>150</v>
      </c>
      <c r="D54" s="50">
        <v>21</v>
      </c>
      <c r="E54" s="50">
        <v>11</v>
      </c>
      <c r="F54" s="50">
        <v>25</v>
      </c>
      <c r="G54" s="50">
        <v>1</v>
      </c>
      <c r="H54" s="50">
        <v>0</v>
      </c>
      <c r="I54" s="50">
        <v>7</v>
      </c>
      <c r="J54" s="50">
        <v>0</v>
      </c>
      <c r="K54" s="50">
        <v>1</v>
      </c>
      <c r="L54" s="50">
        <v>0</v>
      </c>
      <c r="M54" s="50">
        <v>215</v>
      </c>
      <c r="N54" s="50">
        <v>0</v>
      </c>
      <c r="O54" s="15">
        <f t="shared" si="0"/>
        <v>216</v>
      </c>
      <c r="P54" s="15">
        <f t="shared" si="1"/>
        <v>431</v>
      </c>
      <c r="R54" s="8"/>
      <c r="T54"/>
    </row>
    <row r="55" spans="2:20" ht="23.1" customHeight="1" x14ac:dyDescent="0.25">
      <c r="B55" s="23" t="s">
        <v>82</v>
      </c>
      <c r="C55" s="50">
        <v>105</v>
      </c>
      <c r="D55" s="50">
        <v>16</v>
      </c>
      <c r="E55" s="50">
        <v>11</v>
      </c>
      <c r="F55" s="50">
        <v>21</v>
      </c>
      <c r="G55" s="50">
        <v>0</v>
      </c>
      <c r="H55" s="50">
        <v>0</v>
      </c>
      <c r="I55" s="50">
        <v>12</v>
      </c>
      <c r="J55" s="50">
        <v>2</v>
      </c>
      <c r="K55" s="50">
        <v>1</v>
      </c>
      <c r="L55" s="50">
        <v>0</v>
      </c>
      <c r="M55" s="50">
        <v>190</v>
      </c>
      <c r="N55" s="50">
        <v>0</v>
      </c>
      <c r="O55" s="15">
        <f t="shared" si="0"/>
        <v>168</v>
      </c>
      <c r="P55" s="15">
        <f t="shared" si="1"/>
        <v>358</v>
      </c>
      <c r="R55" s="8"/>
      <c r="T55"/>
    </row>
    <row r="56" spans="2:20" ht="23.1" customHeight="1" x14ac:dyDescent="0.25">
      <c r="B56" s="23" t="s">
        <v>83</v>
      </c>
      <c r="C56" s="50">
        <v>91</v>
      </c>
      <c r="D56" s="50">
        <v>16</v>
      </c>
      <c r="E56" s="50">
        <v>6</v>
      </c>
      <c r="F56" s="50">
        <v>26</v>
      </c>
      <c r="G56" s="50">
        <v>0</v>
      </c>
      <c r="H56" s="50">
        <v>0</v>
      </c>
      <c r="I56" s="50">
        <v>7</v>
      </c>
      <c r="J56" s="50">
        <v>0</v>
      </c>
      <c r="K56" s="50">
        <v>0</v>
      </c>
      <c r="L56" s="50">
        <v>0</v>
      </c>
      <c r="M56" s="50">
        <v>233</v>
      </c>
      <c r="N56" s="50">
        <v>0</v>
      </c>
      <c r="O56" s="15">
        <f t="shared" si="0"/>
        <v>146</v>
      </c>
      <c r="P56" s="15">
        <f t="shared" si="1"/>
        <v>379</v>
      </c>
      <c r="R56" s="8"/>
      <c r="T56"/>
    </row>
    <row r="57" spans="2:20" ht="23.1" customHeight="1" x14ac:dyDescent="0.25">
      <c r="B57" s="23" t="s">
        <v>84</v>
      </c>
      <c r="C57" s="50">
        <v>130</v>
      </c>
      <c r="D57" s="50">
        <v>15</v>
      </c>
      <c r="E57" s="50">
        <v>10</v>
      </c>
      <c r="F57" s="50">
        <v>35</v>
      </c>
      <c r="G57" s="50">
        <v>1</v>
      </c>
      <c r="H57" s="50">
        <v>0</v>
      </c>
      <c r="I57" s="50">
        <v>8</v>
      </c>
      <c r="J57" s="50">
        <v>0</v>
      </c>
      <c r="K57" s="50">
        <v>1</v>
      </c>
      <c r="L57" s="50">
        <v>1</v>
      </c>
      <c r="M57" s="50">
        <v>200</v>
      </c>
      <c r="N57" s="50">
        <v>0</v>
      </c>
      <c r="O57" s="15">
        <f t="shared" si="0"/>
        <v>201</v>
      </c>
      <c r="P57" s="15">
        <f t="shared" si="1"/>
        <v>401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2143</v>
      </c>
      <c r="D58" s="16">
        <f t="shared" si="21"/>
        <v>345</v>
      </c>
      <c r="E58" s="16">
        <f t="shared" si="21"/>
        <v>319</v>
      </c>
      <c r="F58" s="16">
        <f t="shared" si="21"/>
        <v>984</v>
      </c>
      <c r="G58" s="16">
        <f t="shared" si="21"/>
        <v>15</v>
      </c>
      <c r="H58" s="16">
        <f t="shared" si="21"/>
        <v>16</v>
      </c>
      <c r="I58" s="16">
        <f t="shared" si="21"/>
        <v>279</v>
      </c>
      <c r="J58" s="16">
        <f t="shared" si="21"/>
        <v>39</v>
      </c>
      <c r="K58" s="16">
        <f t="shared" si="21"/>
        <v>232</v>
      </c>
      <c r="L58" s="16">
        <f t="shared" si="21"/>
        <v>38</v>
      </c>
      <c r="M58" s="16">
        <f t="shared" si="21"/>
        <v>8347</v>
      </c>
      <c r="N58" s="16">
        <f t="shared" si="21"/>
        <v>0</v>
      </c>
      <c r="O58" s="16">
        <f t="shared" si="21"/>
        <v>4410</v>
      </c>
      <c r="P58" s="16">
        <f t="shared" si="21"/>
        <v>12757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0.16798620365289646</v>
      </c>
      <c r="D59" s="43">
        <f t="shared" si="22"/>
        <v>2.7043975856392569E-2</v>
      </c>
      <c r="E59" s="43">
        <f t="shared" si="22"/>
        <v>2.5005879125186172E-2</v>
      </c>
      <c r="F59" s="43">
        <f t="shared" si="22"/>
        <v>7.7134122442580541E-2</v>
      </c>
      <c r="G59" s="43">
        <f t="shared" si="22"/>
        <v>1.1758250372344596E-3</v>
      </c>
      <c r="H59" s="43">
        <f t="shared" si="22"/>
        <v>1.2542133730500901E-3</v>
      </c>
      <c r="I59" s="43">
        <f t="shared" si="22"/>
        <v>2.1870345692560945E-2</v>
      </c>
      <c r="J59" s="43">
        <f t="shared" si="22"/>
        <v>3.0571450968095949E-3</v>
      </c>
      <c r="K59" s="43">
        <f t="shared" si="22"/>
        <v>1.8186093909226306E-2</v>
      </c>
      <c r="L59" s="43">
        <f t="shared" si="22"/>
        <v>2.978756760993964E-3</v>
      </c>
      <c r="M59" s="43">
        <f t="shared" si="22"/>
        <v>0.65430743905306887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0.48594104308390024</v>
      </c>
      <c r="D60" s="44">
        <f t="shared" ref="D60:N60" si="23">D58/$O$58</f>
        <v>7.8231292517006806E-2</v>
      </c>
      <c r="E60" s="44">
        <f t="shared" si="23"/>
        <v>7.2335600907029479E-2</v>
      </c>
      <c r="F60" s="44">
        <f t="shared" si="23"/>
        <v>0.22312925170068026</v>
      </c>
      <c r="G60" s="44">
        <f t="shared" si="23"/>
        <v>3.4013605442176869E-3</v>
      </c>
      <c r="H60" s="44">
        <f t="shared" si="23"/>
        <v>3.6281179138321997E-3</v>
      </c>
      <c r="I60" s="44">
        <f t="shared" si="23"/>
        <v>6.3265306122448975E-2</v>
      </c>
      <c r="J60" s="44">
        <f t="shared" si="23"/>
        <v>8.8435374149659872E-3</v>
      </c>
      <c r="K60" s="44">
        <f t="shared" si="23"/>
        <v>5.2607709750566896E-2</v>
      </c>
      <c r="L60" s="44">
        <f t="shared" si="23"/>
        <v>8.6167800453514735E-3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52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D1" zoomScale="84" zoomScaleSheetLayoutView="84" workbookViewId="0">
      <selection activeCell="G6" sqref="G6:H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2" t="str">
        <f>'22.07 Kitebi-Kabusu'!C3:G3</f>
        <v>MCC - C1 - STN06-WANKULUKUKU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164</v>
      </c>
      <c r="E5" s="3"/>
      <c r="F5" s="41" t="s">
        <v>1</v>
      </c>
      <c r="G5" s="57" t="str">
        <f>'22.07 Kitebi-Kabusu'!G5:H5</f>
        <v>kobil head office</v>
      </c>
      <c r="H5" s="58"/>
      <c r="I5" s="14"/>
      <c r="J5" s="2" t="s">
        <v>5</v>
      </c>
      <c r="K5" s="57" t="str">
        <f>'22.07 Kitebi-Kabusu'!K5:L5</f>
        <v>Mawa Haston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tr">
        <f>'22.07 Kitebi-Kabusu'!D6:E6</f>
        <v>Kitebi</v>
      </c>
      <c r="E6" s="58"/>
      <c r="F6" s="2" t="s">
        <v>2</v>
      </c>
      <c r="G6" s="57" t="s">
        <v>176</v>
      </c>
      <c r="H6" s="58"/>
      <c r="J6" s="2" t="s">
        <v>21</v>
      </c>
      <c r="K6" s="57" t="str">
        <f>'22.07 Kitebi-Kabusu'!K6:L6</f>
        <v>Felix Oloya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124</v>
      </c>
      <c r="D10" s="50">
        <v>22</v>
      </c>
      <c r="E10" s="50">
        <v>17</v>
      </c>
      <c r="F10" s="50">
        <v>56</v>
      </c>
      <c r="G10" s="50">
        <v>0</v>
      </c>
      <c r="H10" s="50">
        <v>0</v>
      </c>
      <c r="I10" s="50">
        <v>6</v>
      </c>
      <c r="J10" s="50">
        <v>0</v>
      </c>
      <c r="K10" s="50">
        <v>0</v>
      </c>
      <c r="L10" s="50">
        <v>0</v>
      </c>
      <c r="M10" s="50">
        <v>280</v>
      </c>
      <c r="N10" s="50">
        <v>0</v>
      </c>
      <c r="O10" s="15">
        <f t="shared" ref="O10:O57" si="0">SUM(C10:L10,N10)</f>
        <v>225</v>
      </c>
      <c r="P10" s="15">
        <f t="shared" ref="P10:P57" si="1">SUM(C10:N10)</f>
        <v>505</v>
      </c>
      <c r="R10" s="1" t="s">
        <v>6</v>
      </c>
      <c r="S10" s="17">
        <f t="shared" ref="S10:AF10" si="2">SUM(C10:C13)</f>
        <v>577</v>
      </c>
      <c r="T10" s="17">
        <f t="shared" si="2"/>
        <v>71</v>
      </c>
      <c r="U10" s="17">
        <f t="shared" si="2"/>
        <v>63</v>
      </c>
      <c r="V10" s="17">
        <f t="shared" si="2"/>
        <v>169</v>
      </c>
      <c r="W10" s="17">
        <f t="shared" si="2"/>
        <v>2</v>
      </c>
      <c r="X10" s="17">
        <f t="shared" si="2"/>
        <v>0</v>
      </c>
      <c r="Y10" s="17">
        <f t="shared" si="2"/>
        <v>18</v>
      </c>
      <c r="Z10" s="17">
        <f t="shared" si="2"/>
        <v>1</v>
      </c>
      <c r="AA10" s="17">
        <f t="shared" si="2"/>
        <v>1</v>
      </c>
      <c r="AB10" s="17">
        <f t="shared" si="2"/>
        <v>0</v>
      </c>
      <c r="AC10" s="17">
        <f t="shared" si="2"/>
        <v>1185</v>
      </c>
      <c r="AD10" s="17">
        <f t="shared" si="2"/>
        <v>0</v>
      </c>
      <c r="AE10" s="31">
        <f t="shared" si="2"/>
        <v>902</v>
      </c>
      <c r="AF10" s="31">
        <f t="shared" si="2"/>
        <v>2087</v>
      </c>
    </row>
    <row r="11" spans="2:32" s="6" customFormat="1" ht="23.1" customHeight="1" x14ac:dyDescent="0.25">
      <c r="B11" s="23" t="s">
        <v>38</v>
      </c>
      <c r="C11" s="50">
        <v>161</v>
      </c>
      <c r="D11" s="50">
        <v>10</v>
      </c>
      <c r="E11" s="50">
        <v>14</v>
      </c>
      <c r="F11" s="50">
        <v>45</v>
      </c>
      <c r="G11" s="50">
        <v>0</v>
      </c>
      <c r="H11" s="50">
        <v>0</v>
      </c>
      <c r="I11" s="50">
        <v>5</v>
      </c>
      <c r="J11" s="50">
        <v>0</v>
      </c>
      <c r="K11" s="50">
        <v>0</v>
      </c>
      <c r="L11" s="50">
        <v>0</v>
      </c>
      <c r="M11" s="50">
        <v>300</v>
      </c>
      <c r="N11" s="50">
        <v>0</v>
      </c>
      <c r="O11" s="15">
        <f t="shared" si="0"/>
        <v>235</v>
      </c>
      <c r="P11" s="15">
        <f t="shared" si="1"/>
        <v>535</v>
      </c>
      <c r="R11" s="1" t="s">
        <v>7</v>
      </c>
      <c r="S11" s="17">
        <f t="shared" ref="S11:AF11" si="3">SUM(C14:C17)</f>
        <v>444</v>
      </c>
      <c r="T11" s="17">
        <f t="shared" si="3"/>
        <v>56</v>
      </c>
      <c r="U11" s="17">
        <f t="shared" si="3"/>
        <v>53</v>
      </c>
      <c r="V11" s="17">
        <f t="shared" si="3"/>
        <v>126</v>
      </c>
      <c r="W11" s="17">
        <f t="shared" si="3"/>
        <v>2</v>
      </c>
      <c r="X11" s="17">
        <f t="shared" si="3"/>
        <v>0</v>
      </c>
      <c r="Y11" s="17">
        <f t="shared" si="3"/>
        <v>21</v>
      </c>
      <c r="Z11" s="17">
        <f t="shared" si="3"/>
        <v>1</v>
      </c>
      <c r="AA11" s="17">
        <f t="shared" si="3"/>
        <v>1</v>
      </c>
      <c r="AB11" s="17">
        <f t="shared" si="3"/>
        <v>4</v>
      </c>
      <c r="AC11" s="17">
        <f t="shared" si="3"/>
        <v>1204</v>
      </c>
      <c r="AD11" s="17">
        <f t="shared" si="3"/>
        <v>0</v>
      </c>
      <c r="AE11" s="31">
        <f t="shared" si="3"/>
        <v>708</v>
      </c>
      <c r="AF11" s="31">
        <f t="shared" si="3"/>
        <v>1912</v>
      </c>
    </row>
    <row r="12" spans="2:32" ht="23.1" customHeight="1" x14ac:dyDescent="0.25">
      <c r="B12" s="23" t="s">
        <v>39</v>
      </c>
      <c r="C12" s="50">
        <v>149</v>
      </c>
      <c r="D12" s="50">
        <v>20</v>
      </c>
      <c r="E12" s="50">
        <v>13</v>
      </c>
      <c r="F12" s="50">
        <v>36</v>
      </c>
      <c r="G12" s="50">
        <v>2</v>
      </c>
      <c r="H12" s="50">
        <v>0</v>
      </c>
      <c r="I12" s="50">
        <v>3</v>
      </c>
      <c r="J12" s="50">
        <v>1</v>
      </c>
      <c r="K12" s="50">
        <v>0</v>
      </c>
      <c r="L12" s="50">
        <v>0</v>
      </c>
      <c r="M12" s="50">
        <v>295</v>
      </c>
      <c r="N12" s="50">
        <v>0</v>
      </c>
      <c r="O12" s="15">
        <f t="shared" si="0"/>
        <v>224</v>
      </c>
      <c r="P12" s="15">
        <f t="shared" si="1"/>
        <v>519</v>
      </c>
      <c r="R12" s="1" t="s">
        <v>8</v>
      </c>
      <c r="S12" s="17">
        <f t="shared" ref="S12:AF12" si="4">SUM(C18:C21)</f>
        <v>328</v>
      </c>
      <c r="T12" s="17">
        <f t="shared" si="4"/>
        <v>45</v>
      </c>
      <c r="U12" s="17">
        <f t="shared" si="4"/>
        <v>33</v>
      </c>
      <c r="V12" s="17">
        <f t="shared" si="4"/>
        <v>116</v>
      </c>
      <c r="W12" s="17">
        <f t="shared" si="4"/>
        <v>1</v>
      </c>
      <c r="X12" s="17">
        <f t="shared" si="4"/>
        <v>1</v>
      </c>
      <c r="Y12" s="17">
        <f t="shared" si="4"/>
        <v>39</v>
      </c>
      <c r="Z12" s="17">
        <f t="shared" si="4"/>
        <v>4</v>
      </c>
      <c r="AA12" s="17">
        <f t="shared" si="4"/>
        <v>0</v>
      </c>
      <c r="AB12" s="17">
        <f t="shared" si="4"/>
        <v>0</v>
      </c>
      <c r="AC12" s="17">
        <f t="shared" si="4"/>
        <v>1052</v>
      </c>
      <c r="AD12" s="17">
        <f t="shared" si="4"/>
        <v>0</v>
      </c>
      <c r="AE12" s="31">
        <f t="shared" si="4"/>
        <v>567</v>
      </c>
      <c r="AF12" s="31">
        <f t="shared" si="4"/>
        <v>1619</v>
      </c>
    </row>
    <row r="13" spans="2:32" ht="23.1" customHeight="1" x14ac:dyDescent="0.25">
      <c r="B13" s="23" t="s">
        <v>40</v>
      </c>
      <c r="C13" s="50">
        <v>143</v>
      </c>
      <c r="D13" s="50">
        <v>19</v>
      </c>
      <c r="E13" s="50">
        <v>19</v>
      </c>
      <c r="F13" s="50">
        <v>32</v>
      </c>
      <c r="G13" s="50">
        <v>0</v>
      </c>
      <c r="H13" s="50">
        <v>0</v>
      </c>
      <c r="I13" s="50">
        <v>4</v>
      </c>
      <c r="J13" s="50">
        <v>0</v>
      </c>
      <c r="K13" s="50">
        <v>1</v>
      </c>
      <c r="L13" s="50">
        <v>0</v>
      </c>
      <c r="M13" s="50">
        <v>310</v>
      </c>
      <c r="N13" s="50">
        <v>0</v>
      </c>
      <c r="O13" s="15">
        <f t="shared" si="0"/>
        <v>218</v>
      </c>
      <c r="P13" s="15">
        <f t="shared" si="1"/>
        <v>528</v>
      </c>
      <c r="R13" s="1" t="s">
        <v>9</v>
      </c>
      <c r="S13" s="17">
        <f t="shared" ref="S13:AF13" si="5">SUM(C22:C25)</f>
        <v>257</v>
      </c>
      <c r="T13" s="17">
        <f t="shared" si="5"/>
        <v>51</v>
      </c>
      <c r="U13" s="17">
        <f t="shared" si="5"/>
        <v>30</v>
      </c>
      <c r="V13" s="17">
        <f t="shared" si="5"/>
        <v>96</v>
      </c>
      <c r="W13" s="17">
        <f t="shared" si="5"/>
        <v>1</v>
      </c>
      <c r="X13" s="17">
        <f t="shared" si="5"/>
        <v>2</v>
      </c>
      <c r="Y13" s="17">
        <f t="shared" si="5"/>
        <v>31</v>
      </c>
      <c r="Z13" s="17">
        <f t="shared" si="5"/>
        <v>1</v>
      </c>
      <c r="AA13" s="17">
        <f t="shared" si="5"/>
        <v>4</v>
      </c>
      <c r="AB13" s="17">
        <f t="shared" si="5"/>
        <v>2</v>
      </c>
      <c r="AC13" s="17">
        <f t="shared" si="5"/>
        <v>880</v>
      </c>
      <c r="AD13" s="17">
        <f t="shared" si="5"/>
        <v>0</v>
      </c>
      <c r="AE13" s="31">
        <f t="shared" si="5"/>
        <v>475</v>
      </c>
      <c r="AF13" s="31">
        <f t="shared" si="5"/>
        <v>1355</v>
      </c>
    </row>
    <row r="14" spans="2:32" ht="23.1" customHeight="1" x14ac:dyDescent="0.25">
      <c r="B14" s="23" t="s">
        <v>41</v>
      </c>
      <c r="C14" s="50">
        <v>120</v>
      </c>
      <c r="D14" s="50">
        <v>13</v>
      </c>
      <c r="E14" s="50">
        <v>10</v>
      </c>
      <c r="F14" s="50">
        <v>42</v>
      </c>
      <c r="G14" s="50">
        <v>1</v>
      </c>
      <c r="H14" s="50">
        <v>0</v>
      </c>
      <c r="I14" s="50">
        <v>7</v>
      </c>
      <c r="J14" s="50">
        <v>1</v>
      </c>
      <c r="K14" s="50">
        <v>0</v>
      </c>
      <c r="L14" s="50">
        <v>0</v>
      </c>
      <c r="M14" s="50">
        <v>320</v>
      </c>
      <c r="N14" s="50">
        <v>0</v>
      </c>
      <c r="O14" s="15">
        <f t="shared" si="0"/>
        <v>194</v>
      </c>
      <c r="P14" s="15">
        <f t="shared" si="1"/>
        <v>514</v>
      </c>
      <c r="R14" s="1" t="s">
        <v>10</v>
      </c>
      <c r="S14" s="17">
        <f t="shared" ref="S14:AF14" si="6">SUM(C26:C29)</f>
        <v>186</v>
      </c>
      <c r="T14" s="17">
        <f t="shared" si="6"/>
        <v>36</v>
      </c>
      <c r="U14" s="17">
        <f t="shared" si="6"/>
        <v>38</v>
      </c>
      <c r="V14" s="17">
        <f t="shared" si="6"/>
        <v>84</v>
      </c>
      <c r="W14" s="17">
        <f t="shared" si="6"/>
        <v>0</v>
      </c>
      <c r="X14" s="17">
        <f t="shared" si="6"/>
        <v>0</v>
      </c>
      <c r="Y14" s="17">
        <f t="shared" si="6"/>
        <v>31</v>
      </c>
      <c r="Z14" s="17">
        <f t="shared" si="6"/>
        <v>2</v>
      </c>
      <c r="AA14" s="17">
        <f t="shared" si="6"/>
        <v>5</v>
      </c>
      <c r="AB14" s="17">
        <f t="shared" si="6"/>
        <v>3</v>
      </c>
      <c r="AC14" s="17">
        <f t="shared" si="6"/>
        <v>816</v>
      </c>
      <c r="AD14" s="17">
        <f t="shared" si="6"/>
        <v>0</v>
      </c>
      <c r="AE14" s="31">
        <f t="shared" si="6"/>
        <v>385</v>
      </c>
      <c r="AF14" s="31">
        <f t="shared" si="6"/>
        <v>1201</v>
      </c>
    </row>
    <row r="15" spans="2:32" ht="23.1" customHeight="1" x14ac:dyDescent="0.25">
      <c r="B15" s="23" t="s">
        <v>42</v>
      </c>
      <c r="C15" s="50">
        <v>114</v>
      </c>
      <c r="D15" s="50">
        <v>12</v>
      </c>
      <c r="E15" s="50">
        <v>16</v>
      </c>
      <c r="F15" s="50">
        <v>33</v>
      </c>
      <c r="G15" s="50">
        <v>0</v>
      </c>
      <c r="H15" s="50">
        <v>0</v>
      </c>
      <c r="I15" s="50">
        <v>3</v>
      </c>
      <c r="J15" s="50">
        <v>0</v>
      </c>
      <c r="K15" s="50">
        <v>0</v>
      </c>
      <c r="L15" s="50">
        <v>1</v>
      </c>
      <c r="M15" s="50">
        <v>295</v>
      </c>
      <c r="N15" s="50">
        <v>0</v>
      </c>
      <c r="O15" s="15">
        <f t="shared" si="0"/>
        <v>179</v>
      </c>
      <c r="P15" s="15">
        <f t="shared" si="1"/>
        <v>474</v>
      </c>
      <c r="R15" s="1" t="s">
        <v>11</v>
      </c>
      <c r="S15" s="17">
        <f t="shared" ref="S15:AF15" si="7">SUM(C30:C33)</f>
        <v>180</v>
      </c>
      <c r="T15" s="17">
        <f t="shared" si="7"/>
        <v>19</v>
      </c>
      <c r="U15" s="17">
        <f t="shared" si="7"/>
        <v>26</v>
      </c>
      <c r="V15" s="17">
        <f t="shared" si="7"/>
        <v>72</v>
      </c>
      <c r="W15" s="17">
        <f t="shared" si="7"/>
        <v>1</v>
      </c>
      <c r="X15" s="17">
        <f t="shared" si="7"/>
        <v>1</v>
      </c>
      <c r="Y15" s="17">
        <f t="shared" si="7"/>
        <v>22</v>
      </c>
      <c r="Z15" s="17">
        <f t="shared" si="7"/>
        <v>11</v>
      </c>
      <c r="AA15" s="17">
        <f t="shared" si="7"/>
        <v>2</v>
      </c>
      <c r="AB15" s="17">
        <f t="shared" si="7"/>
        <v>0</v>
      </c>
      <c r="AC15" s="17">
        <f t="shared" si="7"/>
        <v>736</v>
      </c>
      <c r="AD15" s="17">
        <f t="shared" si="7"/>
        <v>0</v>
      </c>
      <c r="AE15" s="31">
        <f t="shared" si="7"/>
        <v>334</v>
      </c>
      <c r="AF15" s="31">
        <f t="shared" si="7"/>
        <v>1070</v>
      </c>
    </row>
    <row r="16" spans="2:32" ht="23.1" customHeight="1" x14ac:dyDescent="0.25">
      <c r="B16" s="23" t="s">
        <v>43</v>
      </c>
      <c r="C16" s="50">
        <v>100</v>
      </c>
      <c r="D16" s="50">
        <v>17</v>
      </c>
      <c r="E16" s="50">
        <v>16</v>
      </c>
      <c r="F16" s="50">
        <v>24</v>
      </c>
      <c r="G16" s="50">
        <v>1</v>
      </c>
      <c r="H16" s="50">
        <v>0</v>
      </c>
      <c r="I16" s="50">
        <v>7</v>
      </c>
      <c r="J16" s="50">
        <v>0</v>
      </c>
      <c r="K16" s="50">
        <v>1</v>
      </c>
      <c r="L16" s="50">
        <v>3</v>
      </c>
      <c r="M16" s="50">
        <v>300</v>
      </c>
      <c r="N16" s="50">
        <v>0</v>
      </c>
      <c r="O16" s="15">
        <f t="shared" si="0"/>
        <v>169</v>
      </c>
      <c r="P16" s="15">
        <f t="shared" si="1"/>
        <v>469</v>
      </c>
      <c r="R16" s="1" t="s">
        <v>12</v>
      </c>
      <c r="S16" s="17">
        <f t="shared" ref="S16:AF16" si="8">SUM(C34:C37)</f>
        <v>149</v>
      </c>
      <c r="T16" s="17">
        <f t="shared" si="8"/>
        <v>27</v>
      </c>
      <c r="U16" s="17">
        <f t="shared" si="8"/>
        <v>28</v>
      </c>
      <c r="V16" s="17">
        <f t="shared" si="8"/>
        <v>71</v>
      </c>
      <c r="W16" s="17">
        <f t="shared" si="8"/>
        <v>0</v>
      </c>
      <c r="X16" s="17">
        <f t="shared" si="8"/>
        <v>3</v>
      </c>
      <c r="Y16" s="17">
        <f t="shared" si="8"/>
        <v>24</v>
      </c>
      <c r="Z16" s="17">
        <f t="shared" si="8"/>
        <v>4</v>
      </c>
      <c r="AA16" s="17">
        <f t="shared" si="8"/>
        <v>2</v>
      </c>
      <c r="AB16" s="17">
        <f t="shared" si="8"/>
        <v>5</v>
      </c>
      <c r="AC16" s="17">
        <f t="shared" si="8"/>
        <v>809</v>
      </c>
      <c r="AD16" s="17">
        <f t="shared" si="8"/>
        <v>0</v>
      </c>
      <c r="AE16" s="31">
        <f t="shared" si="8"/>
        <v>313</v>
      </c>
      <c r="AF16" s="31">
        <f t="shared" si="8"/>
        <v>1122</v>
      </c>
    </row>
    <row r="17" spans="2:32" ht="23.1" customHeight="1" x14ac:dyDescent="0.25">
      <c r="B17" s="23" t="s">
        <v>44</v>
      </c>
      <c r="C17" s="50">
        <v>110</v>
      </c>
      <c r="D17" s="50">
        <v>14</v>
      </c>
      <c r="E17" s="50">
        <v>11</v>
      </c>
      <c r="F17" s="50">
        <v>27</v>
      </c>
      <c r="G17" s="50">
        <v>0</v>
      </c>
      <c r="H17" s="50">
        <v>0</v>
      </c>
      <c r="I17" s="50">
        <v>4</v>
      </c>
      <c r="J17" s="50">
        <v>0</v>
      </c>
      <c r="K17" s="50">
        <v>0</v>
      </c>
      <c r="L17" s="50">
        <v>0</v>
      </c>
      <c r="M17" s="50">
        <v>289</v>
      </c>
      <c r="N17" s="50">
        <v>0</v>
      </c>
      <c r="O17" s="15">
        <f t="shared" si="0"/>
        <v>166</v>
      </c>
      <c r="P17" s="15">
        <f t="shared" si="1"/>
        <v>455</v>
      </c>
      <c r="R17" s="1" t="s">
        <v>13</v>
      </c>
      <c r="S17" s="17">
        <f t="shared" ref="S17:AF17" si="9">SUM(C38:C41)</f>
        <v>163</v>
      </c>
      <c r="T17" s="17">
        <f t="shared" si="9"/>
        <v>27</v>
      </c>
      <c r="U17" s="17">
        <f t="shared" si="9"/>
        <v>27</v>
      </c>
      <c r="V17" s="17">
        <f t="shared" si="9"/>
        <v>69</v>
      </c>
      <c r="W17" s="17">
        <f t="shared" si="9"/>
        <v>4</v>
      </c>
      <c r="X17" s="17">
        <f t="shared" si="9"/>
        <v>0</v>
      </c>
      <c r="Y17" s="17">
        <f t="shared" si="9"/>
        <v>20</v>
      </c>
      <c r="Z17" s="17">
        <f t="shared" si="9"/>
        <v>4</v>
      </c>
      <c r="AA17" s="17">
        <f t="shared" si="9"/>
        <v>0</v>
      </c>
      <c r="AB17" s="17">
        <f t="shared" si="9"/>
        <v>3</v>
      </c>
      <c r="AC17" s="17">
        <f t="shared" si="9"/>
        <v>666</v>
      </c>
      <c r="AD17" s="17">
        <f t="shared" si="9"/>
        <v>0</v>
      </c>
      <c r="AE17" s="31">
        <f t="shared" si="9"/>
        <v>317</v>
      </c>
      <c r="AF17" s="31">
        <f t="shared" si="9"/>
        <v>983</v>
      </c>
    </row>
    <row r="18" spans="2:32" ht="23.1" customHeight="1" x14ac:dyDescent="0.25">
      <c r="B18" s="23" t="s">
        <v>45</v>
      </c>
      <c r="C18" s="50">
        <v>81</v>
      </c>
      <c r="D18" s="50">
        <v>8</v>
      </c>
      <c r="E18" s="50">
        <v>8</v>
      </c>
      <c r="F18" s="50">
        <v>22</v>
      </c>
      <c r="G18" s="50">
        <v>0</v>
      </c>
      <c r="H18" s="50">
        <v>0</v>
      </c>
      <c r="I18" s="50">
        <v>7</v>
      </c>
      <c r="J18" s="50">
        <v>0</v>
      </c>
      <c r="K18" s="50">
        <v>0</v>
      </c>
      <c r="L18" s="50">
        <v>0</v>
      </c>
      <c r="M18" s="50">
        <v>295</v>
      </c>
      <c r="N18" s="50">
        <v>0</v>
      </c>
      <c r="O18" s="15">
        <f t="shared" si="0"/>
        <v>126</v>
      </c>
      <c r="P18" s="15">
        <f t="shared" si="1"/>
        <v>421</v>
      </c>
      <c r="R18" s="1" t="s">
        <v>14</v>
      </c>
      <c r="S18" s="17">
        <f t="shared" ref="S18:AF18" si="10">SUM(C42:C45)</f>
        <v>161</v>
      </c>
      <c r="T18" s="17">
        <f t="shared" si="10"/>
        <v>27</v>
      </c>
      <c r="U18" s="17">
        <f t="shared" si="10"/>
        <v>28</v>
      </c>
      <c r="V18" s="17">
        <f t="shared" si="10"/>
        <v>73</v>
      </c>
      <c r="W18" s="17">
        <f t="shared" si="10"/>
        <v>0</v>
      </c>
      <c r="X18" s="17">
        <f t="shared" si="10"/>
        <v>1</v>
      </c>
      <c r="Y18" s="17">
        <f t="shared" si="10"/>
        <v>27</v>
      </c>
      <c r="Z18" s="17">
        <f t="shared" si="10"/>
        <v>1</v>
      </c>
      <c r="AA18" s="17">
        <f t="shared" si="10"/>
        <v>2</v>
      </c>
      <c r="AB18" s="17">
        <f t="shared" si="10"/>
        <v>3</v>
      </c>
      <c r="AC18" s="17">
        <f t="shared" si="10"/>
        <v>832</v>
      </c>
      <c r="AD18" s="17">
        <f t="shared" si="10"/>
        <v>0</v>
      </c>
      <c r="AE18" s="31">
        <f t="shared" si="10"/>
        <v>323</v>
      </c>
      <c r="AF18" s="31">
        <f t="shared" si="10"/>
        <v>1155</v>
      </c>
    </row>
    <row r="19" spans="2:32" ht="23.1" customHeight="1" x14ac:dyDescent="0.25">
      <c r="B19" s="23" t="s">
        <v>46</v>
      </c>
      <c r="C19" s="50">
        <v>100</v>
      </c>
      <c r="D19" s="50">
        <v>15</v>
      </c>
      <c r="E19" s="50">
        <v>8</v>
      </c>
      <c r="F19" s="50">
        <v>34</v>
      </c>
      <c r="G19" s="50">
        <v>0</v>
      </c>
      <c r="H19" s="50">
        <v>1</v>
      </c>
      <c r="I19" s="50">
        <v>8</v>
      </c>
      <c r="J19" s="50">
        <v>1</v>
      </c>
      <c r="K19" s="50">
        <v>0</v>
      </c>
      <c r="L19" s="50">
        <v>0</v>
      </c>
      <c r="M19" s="50">
        <v>250</v>
      </c>
      <c r="N19" s="50">
        <v>0</v>
      </c>
      <c r="O19" s="15">
        <f t="shared" si="0"/>
        <v>167</v>
      </c>
      <c r="P19" s="15">
        <f t="shared" si="1"/>
        <v>417</v>
      </c>
      <c r="R19" s="1" t="s">
        <v>15</v>
      </c>
      <c r="S19" s="17">
        <f t="shared" ref="S19:AF19" si="11">SUM(C46:C49)</f>
        <v>137</v>
      </c>
      <c r="T19" s="17">
        <f t="shared" si="11"/>
        <v>14</v>
      </c>
      <c r="U19" s="17">
        <f t="shared" si="11"/>
        <v>26</v>
      </c>
      <c r="V19" s="17">
        <f t="shared" si="11"/>
        <v>54</v>
      </c>
      <c r="W19" s="17">
        <f t="shared" si="11"/>
        <v>0</v>
      </c>
      <c r="X19" s="17">
        <f t="shared" si="11"/>
        <v>1</v>
      </c>
      <c r="Y19" s="17">
        <f t="shared" si="11"/>
        <v>20</v>
      </c>
      <c r="Z19" s="17">
        <f t="shared" si="11"/>
        <v>8</v>
      </c>
      <c r="AA19" s="17">
        <f t="shared" si="11"/>
        <v>0</v>
      </c>
      <c r="AB19" s="17">
        <f t="shared" si="11"/>
        <v>0</v>
      </c>
      <c r="AC19" s="17">
        <f t="shared" si="11"/>
        <v>562</v>
      </c>
      <c r="AD19" s="17">
        <f t="shared" si="11"/>
        <v>0</v>
      </c>
      <c r="AE19" s="31">
        <f t="shared" si="11"/>
        <v>260</v>
      </c>
      <c r="AF19" s="31">
        <f t="shared" si="11"/>
        <v>822</v>
      </c>
    </row>
    <row r="20" spans="2:32" ht="23.1" customHeight="1" x14ac:dyDescent="0.25">
      <c r="B20" s="23" t="s">
        <v>47</v>
      </c>
      <c r="C20" s="50">
        <v>85</v>
      </c>
      <c r="D20" s="50">
        <v>9</v>
      </c>
      <c r="E20" s="50">
        <v>10</v>
      </c>
      <c r="F20" s="50">
        <v>32</v>
      </c>
      <c r="G20" s="50">
        <v>1</v>
      </c>
      <c r="H20" s="50">
        <v>0</v>
      </c>
      <c r="I20" s="50">
        <v>14</v>
      </c>
      <c r="J20" s="50">
        <v>3</v>
      </c>
      <c r="K20" s="50">
        <v>0</v>
      </c>
      <c r="L20" s="50">
        <v>0</v>
      </c>
      <c r="M20" s="50">
        <v>260</v>
      </c>
      <c r="N20" s="50">
        <v>0</v>
      </c>
      <c r="O20" s="15">
        <f t="shared" si="0"/>
        <v>154</v>
      </c>
      <c r="P20" s="15">
        <f t="shared" si="1"/>
        <v>414</v>
      </c>
      <c r="R20" s="1" t="s">
        <v>16</v>
      </c>
      <c r="S20" s="17">
        <f t="shared" ref="S20:AF20" si="12">SUM(C50:C53)</f>
        <v>208</v>
      </c>
      <c r="T20" s="17">
        <f t="shared" si="12"/>
        <v>31</v>
      </c>
      <c r="U20" s="17">
        <f t="shared" si="12"/>
        <v>37</v>
      </c>
      <c r="V20" s="17">
        <f t="shared" si="12"/>
        <v>86</v>
      </c>
      <c r="W20" s="17">
        <f t="shared" si="12"/>
        <v>2</v>
      </c>
      <c r="X20" s="17">
        <f t="shared" si="12"/>
        <v>0</v>
      </c>
      <c r="Y20" s="17">
        <f t="shared" si="12"/>
        <v>28</v>
      </c>
      <c r="Z20" s="17">
        <f t="shared" si="12"/>
        <v>5</v>
      </c>
      <c r="AA20" s="17">
        <f t="shared" si="12"/>
        <v>3</v>
      </c>
      <c r="AB20" s="17">
        <f t="shared" si="12"/>
        <v>4</v>
      </c>
      <c r="AC20" s="17">
        <f t="shared" si="12"/>
        <v>783</v>
      </c>
      <c r="AD20" s="17">
        <f t="shared" si="12"/>
        <v>0</v>
      </c>
      <c r="AE20" s="31">
        <f t="shared" si="12"/>
        <v>404</v>
      </c>
      <c r="AF20" s="31">
        <f t="shared" si="12"/>
        <v>1187</v>
      </c>
    </row>
    <row r="21" spans="2:32" ht="23.1" customHeight="1" x14ac:dyDescent="0.25">
      <c r="B21" s="23" t="s">
        <v>48</v>
      </c>
      <c r="C21" s="50">
        <v>62</v>
      </c>
      <c r="D21" s="50">
        <v>13</v>
      </c>
      <c r="E21" s="50">
        <v>7</v>
      </c>
      <c r="F21" s="50">
        <v>28</v>
      </c>
      <c r="G21" s="50">
        <v>0</v>
      </c>
      <c r="H21" s="50">
        <v>0</v>
      </c>
      <c r="I21" s="50">
        <v>10</v>
      </c>
      <c r="J21" s="50">
        <v>0</v>
      </c>
      <c r="K21" s="50">
        <v>0</v>
      </c>
      <c r="L21" s="50">
        <v>0</v>
      </c>
      <c r="M21" s="50">
        <v>247</v>
      </c>
      <c r="N21" s="50">
        <v>0</v>
      </c>
      <c r="O21" s="15">
        <f t="shared" si="0"/>
        <v>120</v>
      </c>
      <c r="P21" s="15">
        <f t="shared" si="1"/>
        <v>367</v>
      </c>
      <c r="R21" s="36" t="s">
        <v>20</v>
      </c>
      <c r="S21" s="34">
        <f t="shared" ref="S21:AF21" si="13">SUM(C54:C57)</f>
        <v>150</v>
      </c>
      <c r="T21" s="17">
        <f t="shared" si="13"/>
        <v>21</v>
      </c>
      <c r="U21" s="17">
        <f t="shared" si="13"/>
        <v>19</v>
      </c>
      <c r="V21" s="17">
        <f t="shared" si="13"/>
        <v>121</v>
      </c>
      <c r="W21" s="17">
        <f t="shared" si="13"/>
        <v>2</v>
      </c>
      <c r="X21" s="17">
        <f t="shared" si="13"/>
        <v>0</v>
      </c>
      <c r="Y21" s="17">
        <f t="shared" si="13"/>
        <v>16</v>
      </c>
      <c r="Z21" s="17">
        <f t="shared" si="13"/>
        <v>12</v>
      </c>
      <c r="AA21" s="17">
        <f t="shared" si="13"/>
        <v>0</v>
      </c>
      <c r="AB21" s="17">
        <f t="shared" si="13"/>
        <v>1</v>
      </c>
      <c r="AC21" s="17">
        <f t="shared" si="13"/>
        <v>846</v>
      </c>
      <c r="AD21" s="17">
        <f t="shared" si="13"/>
        <v>0</v>
      </c>
      <c r="AE21" s="31">
        <f t="shared" si="13"/>
        <v>342</v>
      </c>
      <c r="AF21" s="31">
        <f t="shared" si="13"/>
        <v>1188</v>
      </c>
    </row>
    <row r="22" spans="2:32" ht="23.1" customHeight="1" x14ac:dyDescent="0.25">
      <c r="B22" s="23" t="s">
        <v>49</v>
      </c>
      <c r="C22" s="50">
        <v>69</v>
      </c>
      <c r="D22" s="50">
        <v>12</v>
      </c>
      <c r="E22" s="50">
        <v>11</v>
      </c>
      <c r="F22" s="50">
        <v>28</v>
      </c>
      <c r="G22" s="50">
        <v>0</v>
      </c>
      <c r="H22" s="50">
        <v>0</v>
      </c>
      <c r="I22" s="50">
        <v>11</v>
      </c>
      <c r="J22" s="50">
        <v>0</v>
      </c>
      <c r="K22" s="50">
        <v>2</v>
      </c>
      <c r="L22" s="50">
        <v>0</v>
      </c>
      <c r="M22" s="50">
        <v>241</v>
      </c>
      <c r="N22" s="50">
        <v>0</v>
      </c>
      <c r="O22" s="15">
        <f t="shared" si="0"/>
        <v>133</v>
      </c>
      <c r="P22" s="15">
        <f t="shared" si="1"/>
        <v>374</v>
      </c>
      <c r="R22" s="38" t="s">
        <v>90</v>
      </c>
      <c r="S22" s="39">
        <f>MAX(S10:S12)</f>
        <v>577</v>
      </c>
      <c r="T22" s="39">
        <f t="shared" ref="T22:AF22" si="14">MAX(T10:T12)</f>
        <v>71</v>
      </c>
      <c r="U22" s="39">
        <f t="shared" si="14"/>
        <v>63</v>
      </c>
      <c r="V22" s="39">
        <f t="shared" si="14"/>
        <v>169</v>
      </c>
      <c r="W22" s="39">
        <f t="shared" si="14"/>
        <v>2</v>
      </c>
      <c r="X22" s="39">
        <f t="shared" si="14"/>
        <v>1</v>
      </c>
      <c r="Y22" s="39">
        <f t="shared" si="14"/>
        <v>39</v>
      </c>
      <c r="Z22" s="39">
        <f t="shared" si="14"/>
        <v>4</v>
      </c>
      <c r="AA22" s="39">
        <f t="shared" si="14"/>
        <v>1</v>
      </c>
      <c r="AB22" s="39">
        <f t="shared" si="14"/>
        <v>4</v>
      </c>
      <c r="AC22" s="39">
        <f t="shared" si="14"/>
        <v>1204</v>
      </c>
      <c r="AD22" s="39">
        <f t="shared" si="14"/>
        <v>0</v>
      </c>
      <c r="AE22" s="40">
        <f t="shared" si="14"/>
        <v>902</v>
      </c>
      <c r="AF22" s="40">
        <f t="shared" si="14"/>
        <v>2087</v>
      </c>
    </row>
    <row r="23" spans="2:32" ht="23.1" customHeight="1" x14ac:dyDescent="0.25">
      <c r="B23" s="23" t="s">
        <v>50</v>
      </c>
      <c r="C23" s="50">
        <v>73</v>
      </c>
      <c r="D23" s="50">
        <v>12</v>
      </c>
      <c r="E23" s="50">
        <v>5</v>
      </c>
      <c r="F23" s="50">
        <v>23</v>
      </c>
      <c r="G23" s="50">
        <v>0</v>
      </c>
      <c r="H23" s="50">
        <v>0</v>
      </c>
      <c r="I23" s="50">
        <v>8</v>
      </c>
      <c r="J23" s="50">
        <v>1</v>
      </c>
      <c r="K23" s="50">
        <v>0</v>
      </c>
      <c r="L23" s="50">
        <v>0</v>
      </c>
      <c r="M23" s="50">
        <v>212</v>
      </c>
      <c r="N23" s="50">
        <v>0</v>
      </c>
      <c r="O23" s="15">
        <f t="shared" si="0"/>
        <v>122</v>
      </c>
      <c r="P23" s="15">
        <f t="shared" si="1"/>
        <v>334</v>
      </c>
      <c r="R23" s="38" t="s">
        <v>91</v>
      </c>
      <c r="S23" s="39">
        <f>MAX(S13:S18)</f>
        <v>257</v>
      </c>
      <c r="T23" s="39">
        <f t="shared" ref="T23:AF23" si="15">MAX(T13:T18)</f>
        <v>51</v>
      </c>
      <c r="U23" s="39">
        <f t="shared" si="15"/>
        <v>38</v>
      </c>
      <c r="V23" s="39">
        <f t="shared" si="15"/>
        <v>96</v>
      </c>
      <c r="W23" s="39">
        <f t="shared" si="15"/>
        <v>4</v>
      </c>
      <c r="X23" s="39">
        <f t="shared" si="15"/>
        <v>3</v>
      </c>
      <c r="Y23" s="39">
        <f t="shared" si="15"/>
        <v>31</v>
      </c>
      <c r="Z23" s="39">
        <f t="shared" si="15"/>
        <v>11</v>
      </c>
      <c r="AA23" s="39">
        <f t="shared" si="15"/>
        <v>5</v>
      </c>
      <c r="AB23" s="39">
        <f t="shared" si="15"/>
        <v>5</v>
      </c>
      <c r="AC23" s="39">
        <f t="shared" si="15"/>
        <v>880</v>
      </c>
      <c r="AD23" s="39">
        <f t="shared" si="15"/>
        <v>0</v>
      </c>
      <c r="AE23" s="40">
        <f t="shared" si="15"/>
        <v>475</v>
      </c>
      <c r="AF23" s="40">
        <f t="shared" si="15"/>
        <v>1355</v>
      </c>
    </row>
    <row r="24" spans="2:32" ht="23.1" customHeight="1" x14ac:dyDescent="0.25">
      <c r="B24" s="23" t="s">
        <v>51</v>
      </c>
      <c r="C24" s="50">
        <v>72</v>
      </c>
      <c r="D24" s="50">
        <v>14</v>
      </c>
      <c r="E24" s="50">
        <v>5</v>
      </c>
      <c r="F24" s="50">
        <v>24</v>
      </c>
      <c r="G24" s="50">
        <v>1</v>
      </c>
      <c r="H24" s="50">
        <v>0</v>
      </c>
      <c r="I24" s="50">
        <v>5</v>
      </c>
      <c r="J24" s="50">
        <v>0</v>
      </c>
      <c r="K24" s="50">
        <v>1</v>
      </c>
      <c r="L24" s="50">
        <v>1</v>
      </c>
      <c r="M24" s="50">
        <v>220</v>
      </c>
      <c r="N24" s="50">
        <v>0</v>
      </c>
      <c r="O24" s="15">
        <f t="shared" si="0"/>
        <v>123</v>
      </c>
      <c r="P24" s="15">
        <f t="shared" si="1"/>
        <v>343</v>
      </c>
      <c r="R24" s="38" t="s">
        <v>92</v>
      </c>
      <c r="S24" s="39">
        <f>MAX(S19:S21)</f>
        <v>208</v>
      </c>
      <c r="T24" s="39">
        <f t="shared" ref="T24:AF24" si="16">MAX(T19:T21)</f>
        <v>31</v>
      </c>
      <c r="U24" s="39">
        <f t="shared" si="16"/>
        <v>37</v>
      </c>
      <c r="V24" s="39">
        <f t="shared" si="16"/>
        <v>121</v>
      </c>
      <c r="W24" s="39">
        <f t="shared" si="16"/>
        <v>2</v>
      </c>
      <c r="X24" s="39">
        <f t="shared" si="16"/>
        <v>1</v>
      </c>
      <c r="Y24" s="39">
        <f t="shared" si="16"/>
        <v>28</v>
      </c>
      <c r="Z24" s="39">
        <f t="shared" si="16"/>
        <v>12</v>
      </c>
      <c r="AA24" s="39">
        <f t="shared" si="16"/>
        <v>3</v>
      </c>
      <c r="AB24" s="39">
        <f t="shared" si="16"/>
        <v>4</v>
      </c>
      <c r="AC24" s="39">
        <f t="shared" si="16"/>
        <v>846</v>
      </c>
      <c r="AD24" s="39">
        <f t="shared" si="16"/>
        <v>0</v>
      </c>
      <c r="AE24" s="40">
        <f t="shared" si="16"/>
        <v>404</v>
      </c>
      <c r="AF24" s="40">
        <f t="shared" si="16"/>
        <v>1188</v>
      </c>
    </row>
    <row r="25" spans="2:32" ht="23.1" customHeight="1" x14ac:dyDescent="0.25">
      <c r="B25" s="23" t="s">
        <v>52</v>
      </c>
      <c r="C25" s="50">
        <v>43</v>
      </c>
      <c r="D25" s="50">
        <v>13</v>
      </c>
      <c r="E25" s="50">
        <v>9</v>
      </c>
      <c r="F25" s="50">
        <v>21</v>
      </c>
      <c r="G25" s="50">
        <v>0</v>
      </c>
      <c r="H25" s="50">
        <v>2</v>
      </c>
      <c r="I25" s="50">
        <v>7</v>
      </c>
      <c r="J25" s="50">
        <v>0</v>
      </c>
      <c r="K25" s="50">
        <v>1</v>
      </c>
      <c r="L25" s="50">
        <v>1</v>
      </c>
      <c r="M25" s="50">
        <v>207</v>
      </c>
      <c r="N25" s="50">
        <v>0</v>
      </c>
      <c r="O25" s="15">
        <f t="shared" si="0"/>
        <v>97</v>
      </c>
      <c r="P25" s="15">
        <f t="shared" si="1"/>
        <v>304</v>
      </c>
      <c r="R25" s="37" t="s">
        <v>85</v>
      </c>
      <c r="S25" s="35">
        <f t="shared" ref="S25:AF25" si="17">SUM(S10:S12)</f>
        <v>1349</v>
      </c>
      <c r="T25" s="16">
        <f t="shared" si="17"/>
        <v>172</v>
      </c>
      <c r="U25" s="16">
        <f t="shared" si="17"/>
        <v>149</v>
      </c>
      <c r="V25" s="16">
        <f t="shared" si="17"/>
        <v>411</v>
      </c>
      <c r="W25" s="16">
        <f t="shared" si="17"/>
        <v>5</v>
      </c>
      <c r="X25" s="16">
        <f t="shared" si="17"/>
        <v>1</v>
      </c>
      <c r="Y25" s="16">
        <f t="shared" si="17"/>
        <v>78</v>
      </c>
      <c r="Z25" s="16">
        <f t="shared" si="17"/>
        <v>6</v>
      </c>
      <c r="AA25" s="16">
        <f t="shared" si="17"/>
        <v>2</v>
      </c>
      <c r="AB25" s="16">
        <f t="shared" si="17"/>
        <v>4</v>
      </c>
      <c r="AC25" s="16">
        <f t="shared" si="17"/>
        <v>3441</v>
      </c>
      <c r="AD25" s="16">
        <f t="shared" si="17"/>
        <v>0</v>
      </c>
      <c r="AE25" s="32">
        <f t="shared" si="17"/>
        <v>2177</v>
      </c>
      <c r="AF25" s="32">
        <f t="shared" si="17"/>
        <v>5618</v>
      </c>
    </row>
    <row r="26" spans="2:32" ht="23.1" customHeight="1" x14ac:dyDescent="0.25">
      <c r="B26" s="23" t="s">
        <v>53</v>
      </c>
      <c r="C26" s="50">
        <v>53</v>
      </c>
      <c r="D26" s="50">
        <v>8</v>
      </c>
      <c r="E26" s="50">
        <v>7</v>
      </c>
      <c r="F26" s="50">
        <v>22</v>
      </c>
      <c r="G26" s="50">
        <v>0</v>
      </c>
      <c r="H26" s="50">
        <v>0</v>
      </c>
      <c r="I26" s="50">
        <v>10</v>
      </c>
      <c r="J26" s="50">
        <v>1</v>
      </c>
      <c r="K26" s="50">
        <v>0</v>
      </c>
      <c r="L26" s="50">
        <v>1</v>
      </c>
      <c r="M26" s="50">
        <v>204</v>
      </c>
      <c r="N26" s="50">
        <v>0</v>
      </c>
      <c r="O26" s="15">
        <f t="shared" si="0"/>
        <v>102</v>
      </c>
      <c r="P26" s="15">
        <f t="shared" si="1"/>
        <v>306</v>
      </c>
      <c r="R26" s="28" t="s">
        <v>86</v>
      </c>
      <c r="S26" s="16">
        <f t="shared" ref="S26:AF26" si="18">SUM(S13:S18)</f>
        <v>1096</v>
      </c>
      <c r="T26" s="16">
        <f t="shared" si="18"/>
        <v>187</v>
      </c>
      <c r="U26" s="16">
        <f t="shared" si="18"/>
        <v>177</v>
      </c>
      <c r="V26" s="16">
        <f t="shared" si="18"/>
        <v>465</v>
      </c>
      <c r="W26" s="16">
        <f t="shared" si="18"/>
        <v>6</v>
      </c>
      <c r="X26" s="16">
        <f t="shared" si="18"/>
        <v>7</v>
      </c>
      <c r="Y26" s="16">
        <f t="shared" si="18"/>
        <v>155</v>
      </c>
      <c r="Z26" s="16">
        <f t="shared" si="18"/>
        <v>23</v>
      </c>
      <c r="AA26" s="16">
        <f t="shared" si="18"/>
        <v>15</v>
      </c>
      <c r="AB26" s="16">
        <f t="shared" si="18"/>
        <v>16</v>
      </c>
      <c r="AC26" s="16">
        <f t="shared" si="18"/>
        <v>4739</v>
      </c>
      <c r="AD26" s="16">
        <f t="shared" si="18"/>
        <v>0</v>
      </c>
      <c r="AE26" s="32">
        <f t="shared" si="18"/>
        <v>2147</v>
      </c>
      <c r="AF26" s="32">
        <f t="shared" si="18"/>
        <v>6886</v>
      </c>
    </row>
    <row r="27" spans="2:32" ht="23.1" customHeight="1" x14ac:dyDescent="0.25">
      <c r="B27" s="23" t="s">
        <v>54</v>
      </c>
      <c r="C27" s="50">
        <v>43</v>
      </c>
      <c r="D27" s="50">
        <v>11</v>
      </c>
      <c r="E27" s="50">
        <v>14</v>
      </c>
      <c r="F27" s="50">
        <v>24</v>
      </c>
      <c r="G27" s="50">
        <v>0</v>
      </c>
      <c r="H27" s="50">
        <v>0</v>
      </c>
      <c r="I27" s="50">
        <v>9</v>
      </c>
      <c r="J27" s="50">
        <v>0</v>
      </c>
      <c r="K27" s="50">
        <v>2</v>
      </c>
      <c r="L27" s="50">
        <v>0</v>
      </c>
      <c r="M27" s="50">
        <v>187</v>
      </c>
      <c r="N27" s="50">
        <v>0</v>
      </c>
      <c r="O27" s="15">
        <f t="shared" si="0"/>
        <v>103</v>
      </c>
      <c r="P27" s="15">
        <f t="shared" si="1"/>
        <v>290</v>
      </c>
      <c r="R27" s="29" t="s">
        <v>87</v>
      </c>
      <c r="S27" s="16">
        <f t="shared" ref="S27:AF27" si="19">SUM(S19:S21)</f>
        <v>495</v>
      </c>
      <c r="T27" s="16">
        <f t="shared" si="19"/>
        <v>66</v>
      </c>
      <c r="U27" s="16">
        <f t="shared" si="19"/>
        <v>82</v>
      </c>
      <c r="V27" s="16">
        <f t="shared" si="19"/>
        <v>261</v>
      </c>
      <c r="W27" s="16">
        <f t="shared" si="19"/>
        <v>4</v>
      </c>
      <c r="X27" s="16">
        <f t="shared" si="19"/>
        <v>1</v>
      </c>
      <c r="Y27" s="16">
        <f t="shared" si="19"/>
        <v>64</v>
      </c>
      <c r="Z27" s="16">
        <f t="shared" si="19"/>
        <v>25</v>
      </c>
      <c r="AA27" s="16">
        <f t="shared" si="19"/>
        <v>3</v>
      </c>
      <c r="AB27" s="16">
        <f t="shared" si="19"/>
        <v>5</v>
      </c>
      <c r="AC27" s="16">
        <f t="shared" si="19"/>
        <v>2191</v>
      </c>
      <c r="AD27" s="16">
        <f t="shared" si="19"/>
        <v>0</v>
      </c>
      <c r="AE27" s="32">
        <f t="shared" si="19"/>
        <v>1006</v>
      </c>
      <c r="AF27" s="32">
        <f t="shared" si="19"/>
        <v>3197</v>
      </c>
    </row>
    <row r="28" spans="2:32" ht="23.1" customHeight="1" x14ac:dyDescent="0.25">
      <c r="B28" s="23" t="s">
        <v>55</v>
      </c>
      <c r="C28" s="50">
        <v>54</v>
      </c>
      <c r="D28" s="50">
        <v>7</v>
      </c>
      <c r="E28" s="50">
        <v>9</v>
      </c>
      <c r="F28" s="50">
        <v>17</v>
      </c>
      <c r="G28" s="50">
        <v>0</v>
      </c>
      <c r="H28" s="50">
        <v>0</v>
      </c>
      <c r="I28" s="50">
        <v>4</v>
      </c>
      <c r="J28" s="50">
        <v>0</v>
      </c>
      <c r="K28" s="50">
        <v>0</v>
      </c>
      <c r="L28" s="50">
        <v>0</v>
      </c>
      <c r="M28" s="50">
        <v>210</v>
      </c>
      <c r="N28" s="50">
        <v>0</v>
      </c>
      <c r="O28" s="15">
        <f t="shared" si="0"/>
        <v>91</v>
      </c>
      <c r="P28" s="15">
        <f t="shared" si="1"/>
        <v>301</v>
      </c>
      <c r="R28" s="5" t="s">
        <v>17</v>
      </c>
      <c r="S28" s="16">
        <f t="shared" ref="S28:AF28" si="20">SUM(S10:S21)</f>
        <v>2940</v>
      </c>
      <c r="T28" s="16">
        <f t="shared" si="20"/>
        <v>425</v>
      </c>
      <c r="U28" s="16">
        <f t="shared" si="20"/>
        <v>408</v>
      </c>
      <c r="V28" s="16">
        <f t="shared" si="20"/>
        <v>1137</v>
      </c>
      <c r="W28" s="16">
        <f t="shared" si="20"/>
        <v>15</v>
      </c>
      <c r="X28" s="16">
        <f t="shared" si="20"/>
        <v>9</v>
      </c>
      <c r="Y28" s="16">
        <f t="shared" si="20"/>
        <v>297</v>
      </c>
      <c r="Z28" s="16">
        <f t="shared" si="20"/>
        <v>54</v>
      </c>
      <c r="AA28" s="16">
        <f t="shared" si="20"/>
        <v>20</v>
      </c>
      <c r="AB28" s="16">
        <f t="shared" si="20"/>
        <v>25</v>
      </c>
      <c r="AC28" s="16">
        <f t="shared" si="20"/>
        <v>10371</v>
      </c>
      <c r="AD28" s="16">
        <f t="shared" si="20"/>
        <v>0</v>
      </c>
      <c r="AE28" s="32">
        <f t="shared" si="20"/>
        <v>5330</v>
      </c>
      <c r="AF28" s="32">
        <f t="shared" si="20"/>
        <v>15701</v>
      </c>
    </row>
    <row r="29" spans="2:32" ht="23.1" customHeight="1" x14ac:dyDescent="0.25">
      <c r="B29" s="23" t="s">
        <v>56</v>
      </c>
      <c r="C29" s="50">
        <v>36</v>
      </c>
      <c r="D29" s="50">
        <v>10</v>
      </c>
      <c r="E29" s="50">
        <v>8</v>
      </c>
      <c r="F29" s="50">
        <v>21</v>
      </c>
      <c r="G29" s="50">
        <v>0</v>
      </c>
      <c r="H29" s="50">
        <v>0</v>
      </c>
      <c r="I29" s="50">
        <v>8</v>
      </c>
      <c r="J29" s="50">
        <v>1</v>
      </c>
      <c r="K29" s="50">
        <v>3</v>
      </c>
      <c r="L29" s="50">
        <v>2</v>
      </c>
      <c r="M29" s="50">
        <v>215</v>
      </c>
      <c r="N29" s="50">
        <v>0</v>
      </c>
      <c r="O29" s="15">
        <f t="shared" si="0"/>
        <v>89</v>
      </c>
      <c r="P29" s="15">
        <f t="shared" si="1"/>
        <v>304</v>
      </c>
      <c r="R29"/>
      <c r="S29" s="20"/>
      <c r="T29" s="19"/>
    </row>
    <row r="30" spans="2:32" ht="23.1" customHeight="1" x14ac:dyDescent="0.25">
      <c r="B30" s="23" t="s">
        <v>57</v>
      </c>
      <c r="C30" s="50">
        <v>45</v>
      </c>
      <c r="D30" s="50">
        <v>6</v>
      </c>
      <c r="E30" s="50">
        <v>10</v>
      </c>
      <c r="F30" s="50">
        <v>25</v>
      </c>
      <c r="G30" s="50">
        <v>0</v>
      </c>
      <c r="H30" s="50">
        <v>0</v>
      </c>
      <c r="I30" s="50">
        <v>4</v>
      </c>
      <c r="J30" s="50">
        <v>3</v>
      </c>
      <c r="K30" s="50">
        <v>0</v>
      </c>
      <c r="L30" s="50">
        <v>0</v>
      </c>
      <c r="M30" s="50">
        <v>163</v>
      </c>
      <c r="N30" s="50">
        <v>0</v>
      </c>
      <c r="O30" s="15">
        <f t="shared" si="0"/>
        <v>93</v>
      </c>
      <c r="P30" s="15">
        <f t="shared" si="1"/>
        <v>256</v>
      </c>
    </row>
    <row r="31" spans="2:32" ht="23.1" customHeight="1" x14ac:dyDescent="0.25">
      <c r="B31" s="24" t="s">
        <v>58</v>
      </c>
      <c r="C31" s="50">
        <v>55</v>
      </c>
      <c r="D31" s="50">
        <v>5</v>
      </c>
      <c r="E31" s="50">
        <v>7</v>
      </c>
      <c r="F31" s="50">
        <v>13</v>
      </c>
      <c r="G31" s="50">
        <v>1</v>
      </c>
      <c r="H31" s="50">
        <v>0</v>
      </c>
      <c r="I31" s="50">
        <v>6</v>
      </c>
      <c r="J31" s="50">
        <v>3</v>
      </c>
      <c r="K31" s="50">
        <v>0</v>
      </c>
      <c r="L31" s="50">
        <v>0</v>
      </c>
      <c r="M31" s="50">
        <v>188</v>
      </c>
      <c r="N31" s="50">
        <v>0</v>
      </c>
      <c r="O31" s="15">
        <f t="shared" si="0"/>
        <v>90</v>
      </c>
      <c r="P31" s="15">
        <f t="shared" si="1"/>
        <v>278</v>
      </c>
    </row>
    <row r="32" spans="2:32" ht="23.1" customHeight="1" x14ac:dyDescent="0.25">
      <c r="B32" s="24" t="s">
        <v>59</v>
      </c>
      <c r="C32" s="50">
        <v>45</v>
      </c>
      <c r="D32" s="50">
        <v>3</v>
      </c>
      <c r="E32" s="50">
        <v>6</v>
      </c>
      <c r="F32" s="50">
        <v>17</v>
      </c>
      <c r="G32" s="50">
        <v>0</v>
      </c>
      <c r="H32" s="50">
        <v>1</v>
      </c>
      <c r="I32" s="50">
        <v>7</v>
      </c>
      <c r="J32" s="50">
        <v>5</v>
      </c>
      <c r="K32" s="50">
        <v>1</v>
      </c>
      <c r="L32" s="50">
        <v>0</v>
      </c>
      <c r="M32" s="50">
        <v>193</v>
      </c>
      <c r="N32" s="50">
        <v>0</v>
      </c>
      <c r="O32" s="15">
        <f t="shared" si="0"/>
        <v>85</v>
      </c>
      <c r="P32" s="15">
        <f t="shared" si="1"/>
        <v>278</v>
      </c>
    </row>
    <row r="33" spans="2:20" ht="23.1" customHeight="1" x14ac:dyDescent="0.25">
      <c r="B33" s="23" t="s">
        <v>60</v>
      </c>
      <c r="C33" s="50">
        <v>35</v>
      </c>
      <c r="D33" s="50">
        <v>5</v>
      </c>
      <c r="E33" s="50">
        <v>3</v>
      </c>
      <c r="F33" s="50">
        <v>17</v>
      </c>
      <c r="G33" s="50">
        <v>0</v>
      </c>
      <c r="H33" s="50">
        <v>0</v>
      </c>
      <c r="I33" s="50">
        <v>5</v>
      </c>
      <c r="J33" s="50">
        <v>0</v>
      </c>
      <c r="K33" s="50">
        <v>1</v>
      </c>
      <c r="L33" s="50">
        <v>0</v>
      </c>
      <c r="M33" s="50">
        <v>192</v>
      </c>
      <c r="N33" s="50">
        <v>0</v>
      </c>
      <c r="O33" s="15">
        <f t="shared" si="0"/>
        <v>66</v>
      </c>
      <c r="P33" s="15">
        <f t="shared" si="1"/>
        <v>258</v>
      </c>
    </row>
    <row r="34" spans="2:20" ht="23.1" customHeight="1" x14ac:dyDescent="0.25">
      <c r="B34" s="24" t="s">
        <v>61</v>
      </c>
      <c r="C34" s="50">
        <v>45</v>
      </c>
      <c r="D34" s="50">
        <v>5</v>
      </c>
      <c r="E34" s="50">
        <v>10</v>
      </c>
      <c r="F34" s="50">
        <v>23</v>
      </c>
      <c r="G34" s="50">
        <v>0</v>
      </c>
      <c r="H34" s="50">
        <v>1</v>
      </c>
      <c r="I34" s="50">
        <v>9</v>
      </c>
      <c r="J34" s="50">
        <v>1</v>
      </c>
      <c r="K34" s="50">
        <v>0</v>
      </c>
      <c r="L34" s="50">
        <v>0</v>
      </c>
      <c r="M34" s="50">
        <v>186</v>
      </c>
      <c r="N34" s="50">
        <v>0</v>
      </c>
      <c r="O34" s="15">
        <f t="shared" si="0"/>
        <v>94</v>
      </c>
      <c r="P34" s="15">
        <f t="shared" si="1"/>
        <v>280</v>
      </c>
    </row>
    <row r="35" spans="2:20" ht="23.1" customHeight="1" x14ac:dyDescent="0.25">
      <c r="B35" s="24" t="s">
        <v>62</v>
      </c>
      <c r="C35" s="50">
        <v>30</v>
      </c>
      <c r="D35" s="50">
        <v>8</v>
      </c>
      <c r="E35" s="50">
        <v>5</v>
      </c>
      <c r="F35" s="50">
        <v>15</v>
      </c>
      <c r="G35" s="50">
        <v>0</v>
      </c>
      <c r="H35" s="50">
        <v>0</v>
      </c>
      <c r="I35" s="50">
        <v>6</v>
      </c>
      <c r="J35" s="50">
        <v>1</v>
      </c>
      <c r="K35" s="50">
        <v>0</v>
      </c>
      <c r="L35" s="50">
        <v>1</v>
      </c>
      <c r="M35" s="50">
        <v>220</v>
      </c>
      <c r="N35" s="50">
        <v>0</v>
      </c>
      <c r="O35" s="15">
        <f t="shared" si="0"/>
        <v>66</v>
      </c>
      <c r="P35" s="15">
        <f t="shared" si="1"/>
        <v>286</v>
      </c>
    </row>
    <row r="36" spans="2:20" ht="23.1" customHeight="1" x14ac:dyDescent="0.25">
      <c r="B36" s="24" t="s">
        <v>63</v>
      </c>
      <c r="C36" s="50">
        <v>34</v>
      </c>
      <c r="D36" s="50">
        <v>10</v>
      </c>
      <c r="E36" s="50">
        <v>8</v>
      </c>
      <c r="F36" s="50">
        <v>22</v>
      </c>
      <c r="G36" s="50">
        <v>0</v>
      </c>
      <c r="H36" s="50">
        <v>1</v>
      </c>
      <c r="I36" s="50">
        <v>1</v>
      </c>
      <c r="J36" s="50">
        <v>1</v>
      </c>
      <c r="K36" s="50">
        <v>1</v>
      </c>
      <c r="L36" s="50">
        <v>3</v>
      </c>
      <c r="M36" s="50">
        <v>205</v>
      </c>
      <c r="N36" s="50">
        <v>0</v>
      </c>
      <c r="O36" s="15">
        <f t="shared" si="0"/>
        <v>81</v>
      </c>
      <c r="P36" s="15">
        <f t="shared" si="1"/>
        <v>286</v>
      </c>
    </row>
    <row r="37" spans="2:20" ht="23.1" customHeight="1" x14ac:dyDescent="0.25">
      <c r="B37" s="23" t="s">
        <v>64</v>
      </c>
      <c r="C37" s="50">
        <v>40</v>
      </c>
      <c r="D37" s="50">
        <v>4</v>
      </c>
      <c r="E37" s="50">
        <v>5</v>
      </c>
      <c r="F37" s="50">
        <v>11</v>
      </c>
      <c r="G37" s="50">
        <v>0</v>
      </c>
      <c r="H37" s="50">
        <v>1</v>
      </c>
      <c r="I37" s="50">
        <v>8</v>
      </c>
      <c r="J37" s="50">
        <v>1</v>
      </c>
      <c r="K37" s="50">
        <v>1</v>
      </c>
      <c r="L37" s="50">
        <v>1</v>
      </c>
      <c r="M37" s="50">
        <v>198</v>
      </c>
      <c r="N37" s="50">
        <v>0</v>
      </c>
      <c r="O37" s="15">
        <f t="shared" si="0"/>
        <v>72</v>
      </c>
      <c r="P37" s="15">
        <f t="shared" si="1"/>
        <v>270</v>
      </c>
    </row>
    <row r="38" spans="2:20" ht="23.1" customHeight="1" x14ac:dyDescent="0.25">
      <c r="B38" s="24" t="s">
        <v>65</v>
      </c>
      <c r="C38" s="50">
        <v>44</v>
      </c>
      <c r="D38" s="50">
        <v>7</v>
      </c>
      <c r="E38" s="50">
        <v>5</v>
      </c>
      <c r="F38" s="50">
        <v>18</v>
      </c>
      <c r="G38" s="50">
        <v>2</v>
      </c>
      <c r="H38" s="50">
        <v>0</v>
      </c>
      <c r="I38" s="50">
        <v>5</v>
      </c>
      <c r="J38" s="50">
        <v>1</v>
      </c>
      <c r="K38" s="50">
        <v>0</v>
      </c>
      <c r="L38" s="50">
        <v>1</v>
      </c>
      <c r="M38" s="50">
        <v>165</v>
      </c>
      <c r="N38" s="50">
        <v>0</v>
      </c>
      <c r="O38" s="15">
        <f t="shared" si="0"/>
        <v>83</v>
      </c>
      <c r="P38" s="15">
        <f t="shared" si="1"/>
        <v>248</v>
      </c>
    </row>
    <row r="39" spans="2:20" ht="23.1" customHeight="1" x14ac:dyDescent="0.25">
      <c r="B39" s="24" t="s">
        <v>66</v>
      </c>
      <c r="C39" s="50">
        <v>42</v>
      </c>
      <c r="D39" s="50">
        <v>6</v>
      </c>
      <c r="E39" s="50">
        <v>11</v>
      </c>
      <c r="F39" s="50">
        <v>18</v>
      </c>
      <c r="G39" s="50">
        <v>2</v>
      </c>
      <c r="H39" s="50">
        <v>0</v>
      </c>
      <c r="I39" s="50">
        <v>4</v>
      </c>
      <c r="J39" s="50">
        <v>0</v>
      </c>
      <c r="K39" s="50">
        <v>0</v>
      </c>
      <c r="L39" s="50">
        <v>0</v>
      </c>
      <c r="M39" s="50">
        <v>168</v>
      </c>
      <c r="N39" s="50">
        <v>0</v>
      </c>
      <c r="O39" s="15">
        <f t="shared" si="0"/>
        <v>83</v>
      </c>
      <c r="P39" s="15">
        <f t="shared" si="1"/>
        <v>251</v>
      </c>
    </row>
    <row r="40" spans="2:20" ht="23.1" customHeight="1" x14ac:dyDescent="0.25">
      <c r="B40" s="24" t="s">
        <v>67</v>
      </c>
      <c r="C40" s="50">
        <v>41</v>
      </c>
      <c r="D40" s="50">
        <v>11</v>
      </c>
      <c r="E40" s="50">
        <v>7</v>
      </c>
      <c r="F40" s="50">
        <v>15</v>
      </c>
      <c r="G40" s="50">
        <v>0</v>
      </c>
      <c r="H40" s="50">
        <v>0</v>
      </c>
      <c r="I40" s="50">
        <v>4</v>
      </c>
      <c r="J40" s="50">
        <v>2</v>
      </c>
      <c r="K40" s="50">
        <v>0</v>
      </c>
      <c r="L40" s="50">
        <v>2</v>
      </c>
      <c r="M40" s="50">
        <v>168</v>
      </c>
      <c r="N40" s="50">
        <v>0</v>
      </c>
      <c r="O40" s="15">
        <f t="shared" si="0"/>
        <v>82</v>
      </c>
      <c r="P40" s="15">
        <f t="shared" si="1"/>
        <v>250</v>
      </c>
    </row>
    <row r="41" spans="2:20" ht="23.1" customHeight="1" x14ac:dyDescent="0.25">
      <c r="B41" s="23" t="s">
        <v>68</v>
      </c>
      <c r="C41" s="50">
        <v>36</v>
      </c>
      <c r="D41" s="50">
        <v>3</v>
      </c>
      <c r="E41" s="50">
        <v>4</v>
      </c>
      <c r="F41" s="50">
        <v>18</v>
      </c>
      <c r="G41" s="50">
        <v>0</v>
      </c>
      <c r="H41" s="50">
        <v>0</v>
      </c>
      <c r="I41" s="50">
        <v>7</v>
      </c>
      <c r="J41" s="50">
        <v>1</v>
      </c>
      <c r="K41" s="50">
        <v>0</v>
      </c>
      <c r="L41" s="50">
        <v>0</v>
      </c>
      <c r="M41" s="50">
        <v>165</v>
      </c>
      <c r="N41" s="50">
        <v>0</v>
      </c>
      <c r="O41" s="15">
        <f t="shared" si="0"/>
        <v>69</v>
      </c>
      <c r="P41" s="15">
        <f t="shared" si="1"/>
        <v>234</v>
      </c>
    </row>
    <row r="42" spans="2:20" ht="23.1" customHeight="1" x14ac:dyDescent="0.25">
      <c r="B42" s="24" t="s">
        <v>69</v>
      </c>
      <c r="C42" s="50">
        <v>39</v>
      </c>
      <c r="D42" s="50">
        <v>5</v>
      </c>
      <c r="E42" s="50">
        <v>9</v>
      </c>
      <c r="F42" s="50">
        <v>22</v>
      </c>
      <c r="G42" s="50">
        <v>0</v>
      </c>
      <c r="H42" s="50">
        <v>0</v>
      </c>
      <c r="I42" s="50">
        <v>6</v>
      </c>
      <c r="J42" s="50">
        <v>0</v>
      </c>
      <c r="K42" s="50">
        <v>1</v>
      </c>
      <c r="L42" s="50">
        <v>3</v>
      </c>
      <c r="M42" s="50">
        <v>205</v>
      </c>
      <c r="N42" s="50">
        <v>0</v>
      </c>
      <c r="O42" s="15">
        <f t="shared" si="0"/>
        <v>85</v>
      </c>
      <c r="P42" s="15">
        <f t="shared" si="1"/>
        <v>290</v>
      </c>
    </row>
    <row r="43" spans="2:20" ht="23.1" customHeight="1" x14ac:dyDescent="0.25">
      <c r="B43" s="23" t="s">
        <v>70</v>
      </c>
      <c r="C43" s="50">
        <v>45</v>
      </c>
      <c r="D43" s="50">
        <v>6</v>
      </c>
      <c r="E43" s="50">
        <v>6</v>
      </c>
      <c r="F43" s="50">
        <v>17</v>
      </c>
      <c r="G43" s="50">
        <v>0</v>
      </c>
      <c r="H43" s="50">
        <v>0</v>
      </c>
      <c r="I43" s="50">
        <v>6</v>
      </c>
      <c r="J43" s="50">
        <v>0</v>
      </c>
      <c r="K43" s="50">
        <v>1</v>
      </c>
      <c r="L43" s="50">
        <v>0</v>
      </c>
      <c r="M43" s="50">
        <v>227</v>
      </c>
      <c r="N43" s="50">
        <v>0</v>
      </c>
      <c r="O43" s="15">
        <f t="shared" si="0"/>
        <v>81</v>
      </c>
      <c r="P43" s="15">
        <f t="shared" si="1"/>
        <v>308</v>
      </c>
    </row>
    <row r="44" spans="2:20" ht="23.1" customHeight="1" x14ac:dyDescent="0.25">
      <c r="B44" s="25" t="s">
        <v>71</v>
      </c>
      <c r="C44" s="50">
        <v>36</v>
      </c>
      <c r="D44" s="50">
        <v>8</v>
      </c>
      <c r="E44" s="50">
        <v>8</v>
      </c>
      <c r="F44" s="50">
        <v>19</v>
      </c>
      <c r="G44" s="50">
        <v>0</v>
      </c>
      <c r="H44" s="50">
        <v>0</v>
      </c>
      <c r="I44" s="50">
        <v>11</v>
      </c>
      <c r="J44" s="50">
        <v>1</v>
      </c>
      <c r="K44" s="50">
        <v>0</v>
      </c>
      <c r="L44" s="50">
        <v>0</v>
      </c>
      <c r="M44" s="50">
        <v>210</v>
      </c>
      <c r="N44" s="50">
        <v>0</v>
      </c>
      <c r="O44" s="15">
        <f t="shared" si="0"/>
        <v>83</v>
      </c>
      <c r="P44" s="15">
        <f t="shared" si="1"/>
        <v>293</v>
      </c>
    </row>
    <row r="45" spans="2:20" ht="23.1" customHeight="1" x14ac:dyDescent="0.25">
      <c r="B45" s="23" t="s">
        <v>72</v>
      </c>
      <c r="C45" s="50">
        <v>41</v>
      </c>
      <c r="D45" s="50">
        <v>8</v>
      </c>
      <c r="E45" s="50">
        <v>5</v>
      </c>
      <c r="F45" s="50">
        <v>15</v>
      </c>
      <c r="G45" s="50">
        <v>0</v>
      </c>
      <c r="H45" s="50">
        <v>1</v>
      </c>
      <c r="I45" s="50">
        <v>4</v>
      </c>
      <c r="J45" s="50">
        <v>0</v>
      </c>
      <c r="K45" s="50">
        <v>0</v>
      </c>
      <c r="L45" s="50">
        <v>0</v>
      </c>
      <c r="M45" s="50">
        <v>190</v>
      </c>
      <c r="N45" s="50">
        <v>0</v>
      </c>
      <c r="O45" s="15">
        <f t="shared" si="0"/>
        <v>74</v>
      </c>
      <c r="P45" s="15">
        <f t="shared" si="1"/>
        <v>264</v>
      </c>
    </row>
    <row r="46" spans="2:20" ht="23.1" customHeight="1" x14ac:dyDescent="0.25">
      <c r="B46" s="24" t="s">
        <v>73</v>
      </c>
      <c r="C46" s="50">
        <v>59</v>
      </c>
      <c r="D46" s="50">
        <v>6</v>
      </c>
      <c r="E46" s="50">
        <v>7</v>
      </c>
      <c r="F46" s="50">
        <v>19</v>
      </c>
      <c r="G46" s="50">
        <v>0</v>
      </c>
      <c r="H46" s="50">
        <v>0</v>
      </c>
      <c r="I46" s="50">
        <v>5</v>
      </c>
      <c r="J46" s="50">
        <v>3</v>
      </c>
      <c r="K46" s="50">
        <v>0</v>
      </c>
      <c r="L46" s="50">
        <v>0</v>
      </c>
      <c r="M46" s="50">
        <v>180</v>
      </c>
      <c r="N46" s="50">
        <v>0</v>
      </c>
      <c r="O46" s="15">
        <f t="shared" si="0"/>
        <v>99</v>
      </c>
      <c r="P46" s="15">
        <f t="shared" si="1"/>
        <v>279</v>
      </c>
      <c r="R46" s="8"/>
      <c r="T46"/>
    </row>
    <row r="47" spans="2:20" ht="23.1" customHeight="1" x14ac:dyDescent="0.25">
      <c r="B47" s="24" t="s">
        <v>74</v>
      </c>
      <c r="C47" s="50">
        <v>9</v>
      </c>
      <c r="D47" s="50">
        <v>4</v>
      </c>
      <c r="E47" s="50">
        <v>10</v>
      </c>
      <c r="F47" s="50">
        <v>11</v>
      </c>
      <c r="G47" s="50">
        <v>0</v>
      </c>
      <c r="H47" s="50">
        <v>1</v>
      </c>
      <c r="I47" s="50">
        <v>4</v>
      </c>
      <c r="J47" s="50">
        <v>2</v>
      </c>
      <c r="K47" s="50">
        <v>0</v>
      </c>
      <c r="L47" s="50">
        <v>0</v>
      </c>
      <c r="M47" s="50">
        <v>106</v>
      </c>
      <c r="N47" s="50">
        <v>0</v>
      </c>
      <c r="O47" s="15">
        <f t="shared" si="0"/>
        <v>41</v>
      </c>
      <c r="P47" s="15">
        <f t="shared" si="1"/>
        <v>147</v>
      </c>
      <c r="R47" s="8"/>
      <c r="T47"/>
    </row>
    <row r="48" spans="2:20" ht="23.1" customHeight="1" x14ac:dyDescent="0.25">
      <c r="B48" s="24" t="s">
        <v>75</v>
      </c>
      <c r="C48" s="50">
        <v>34</v>
      </c>
      <c r="D48" s="50">
        <v>1</v>
      </c>
      <c r="E48" s="50">
        <v>6</v>
      </c>
      <c r="F48" s="50">
        <v>10</v>
      </c>
      <c r="G48" s="50">
        <v>0</v>
      </c>
      <c r="H48" s="50">
        <v>0</v>
      </c>
      <c r="I48" s="50">
        <v>6</v>
      </c>
      <c r="J48" s="50">
        <v>3</v>
      </c>
      <c r="K48" s="50">
        <v>0</v>
      </c>
      <c r="L48" s="50">
        <v>0</v>
      </c>
      <c r="M48" s="50">
        <v>126</v>
      </c>
      <c r="N48" s="50">
        <v>0</v>
      </c>
      <c r="O48" s="15">
        <f t="shared" si="0"/>
        <v>60</v>
      </c>
      <c r="P48" s="15">
        <f t="shared" si="1"/>
        <v>186</v>
      </c>
      <c r="R48" s="8"/>
      <c r="T48"/>
    </row>
    <row r="49" spans="2:20" ht="23.1" customHeight="1" x14ac:dyDescent="0.25">
      <c r="B49" s="23" t="s">
        <v>76</v>
      </c>
      <c r="C49" s="50">
        <v>35</v>
      </c>
      <c r="D49" s="50">
        <v>3</v>
      </c>
      <c r="E49" s="50">
        <v>3</v>
      </c>
      <c r="F49" s="50">
        <v>14</v>
      </c>
      <c r="G49" s="50">
        <v>0</v>
      </c>
      <c r="H49" s="50">
        <v>0</v>
      </c>
      <c r="I49" s="50">
        <v>5</v>
      </c>
      <c r="J49" s="50">
        <v>0</v>
      </c>
      <c r="K49" s="50">
        <v>0</v>
      </c>
      <c r="L49" s="50">
        <v>0</v>
      </c>
      <c r="M49" s="50">
        <v>150</v>
      </c>
      <c r="N49" s="50">
        <v>0</v>
      </c>
      <c r="O49" s="15">
        <f t="shared" si="0"/>
        <v>60</v>
      </c>
      <c r="P49" s="15">
        <f t="shared" si="1"/>
        <v>210</v>
      </c>
      <c r="R49" s="8"/>
      <c r="T49"/>
    </row>
    <row r="50" spans="2:20" ht="23.1" customHeight="1" x14ac:dyDescent="0.25">
      <c r="B50" s="24" t="s">
        <v>77</v>
      </c>
      <c r="C50" s="50">
        <v>53</v>
      </c>
      <c r="D50" s="50">
        <v>5</v>
      </c>
      <c r="E50" s="50">
        <v>12</v>
      </c>
      <c r="F50" s="50">
        <v>12</v>
      </c>
      <c r="G50" s="50">
        <v>0</v>
      </c>
      <c r="H50" s="50">
        <v>0</v>
      </c>
      <c r="I50" s="50">
        <v>7</v>
      </c>
      <c r="J50" s="50">
        <v>3</v>
      </c>
      <c r="K50" s="50">
        <v>1</v>
      </c>
      <c r="L50" s="50">
        <v>1</v>
      </c>
      <c r="M50" s="50">
        <v>210</v>
      </c>
      <c r="N50" s="50">
        <v>0</v>
      </c>
      <c r="O50" s="15">
        <f t="shared" si="0"/>
        <v>94</v>
      </c>
      <c r="P50" s="15">
        <f t="shared" si="1"/>
        <v>304</v>
      </c>
      <c r="R50" s="8"/>
      <c r="T50"/>
    </row>
    <row r="51" spans="2:20" ht="23.1" customHeight="1" x14ac:dyDescent="0.25">
      <c r="B51" s="24" t="s">
        <v>78</v>
      </c>
      <c r="C51" s="50">
        <v>49</v>
      </c>
      <c r="D51" s="50">
        <v>6</v>
      </c>
      <c r="E51" s="50">
        <v>8</v>
      </c>
      <c r="F51" s="50">
        <v>20</v>
      </c>
      <c r="G51" s="50">
        <v>0</v>
      </c>
      <c r="H51" s="50">
        <v>0</v>
      </c>
      <c r="I51" s="50">
        <v>10</v>
      </c>
      <c r="J51" s="50">
        <v>1</v>
      </c>
      <c r="K51" s="50">
        <v>2</v>
      </c>
      <c r="L51" s="50">
        <v>0</v>
      </c>
      <c r="M51" s="50">
        <v>200</v>
      </c>
      <c r="N51" s="50">
        <v>0</v>
      </c>
      <c r="O51" s="15">
        <f t="shared" si="0"/>
        <v>96</v>
      </c>
      <c r="P51" s="15">
        <f t="shared" si="1"/>
        <v>296</v>
      </c>
      <c r="R51" s="8"/>
      <c r="T51"/>
    </row>
    <row r="52" spans="2:20" ht="23.1" customHeight="1" x14ac:dyDescent="0.25">
      <c r="B52" s="24" t="s">
        <v>79</v>
      </c>
      <c r="C52" s="50">
        <v>46</v>
      </c>
      <c r="D52" s="50">
        <v>11</v>
      </c>
      <c r="E52" s="50">
        <v>11</v>
      </c>
      <c r="F52" s="50">
        <v>29</v>
      </c>
      <c r="G52" s="50">
        <v>1</v>
      </c>
      <c r="H52" s="50">
        <v>0</v>
      </c>
      <c r="I52" s="50">
        <v>5</v>
      </c>
      <c r="J52" s="50">
        <v>1</v>
      </c>
      <c r="K52" s="50">
        <v>0</v>
      </c>
      <c r="L52" s="50">
        <v>3</v>
      </c>
      <c r="M52" s="50">
        <v>190</v>
      </c>
      <c r="N52" s="50">
        <v>0</v>
      </c>
      <c r="O52" s="15">
        <f t="shared" si="0"/>
        <v>107</v>
      </c>
      <c r="P52" s="15">
        <f t="shared" si="1"/>
        <v>297</v>
      </c>
      <c r="R52" s="8"/>
      <c r="T52"/>
    </row>
    <row r="53" spans="2:20" ht="23.1" customHeight="1" x14ac:dyDescent="0.25">
      <c r="B53" s="23" t="s">
        <v>80</v>
      </c>
      <c r="C53" s="50">
        <v>60</v>
      </c>
      <c r="D53" s="50">
        <v>9</v>
      </c>
      <c r="E53" s="50">
        <v>6</v>
      </c>
      <c r="F53" s="50">
        <v>25</v>
      </c>
      <c r="G53" s="50">
        <v>1</v>
      </c>
      <c r="H53" s="50">
        <v>0</v>
      </c>
      <c r="I53" s="50">
        <v>6</v>
      </c>
      <c r="J53" s="50">
        <v>0</v>
      </c>
      <c r="K53" s="50">
        <v>0</v>
      </c>
      <c r="L53" s="50">
        <v>0</v>
      </c>
      <c r="M53" s="50">
        <v>183</v>
      </c>
      <c r="N53" s="50">
        <v>0</v>
      </c>
      <c r="O53" s="15">
        <f t="shared" si="0"/>
        <v>107</v>
      </c>
      <c r="P53" s="15">
        <f t="shared" si="1"/>
        <v>290</v>
      </c>
      <c r="R53" s="8"/>
      <c r="T53"/>
    </row>
    <row r="54" spans="2:20" ht="23.1" customHeight="1" x14ac:dyDescent="0.25">
      <c r="B54" s="23" t="s">
        <v>81</v>
      </c>
      <c r="C54" s="50">
        <v>40</v>
      </c>
      <c r="D54" s="50">
        <v>8</v>
      </c>
      <c r="E54" s="50">
        <v>9</v>
      </c>
      <c r="F54" s="50">
        <v>32</v>
      </c>
      <c r="G54" s="50">
        <v>1</v>
      </c>
      <c r="H54" s="50">
        <v>0</v>
      </c>
      <c r="I54" s="50">
        <v>3</v>
      </c>
      <c r="J54" s="50">
        <v>1</v>
      </c>
      <c r="K54" s="50">
        <v>0</v>
      </c>
      <c r="L54" s="50">
        <v>1</v>
      </c>
      <c r="M54" s="50">
        <v>221</v>
      </c>
      <c r="N54" s="50">
        <v>0</v>
      </c>
      <c r="O54" s="15">
        <f t="shared" si="0"/>
        <v>95</v>
      </c>
      <c r="P54" s="15">
        <f t="shared" si="1"/>
        <v>316</v>
      </c>
      <c r="R54" s="8"/>
      <c r="T54"/>
    </row>
    <row r="55" spans="2:20" ht="23.1" customHeight="1" x14ac:dyDescent="0.25">
      <c r="B55" s="23" t="s">
        <v>82</v>
      </c>
      <c r="C55" s="50">
        <v>39</v>
      </c>
      <c r="D55" s="50">
        <v>4</v>
      </c>
      <c r="E55" s="50">
        <v>3</v>
      </c>
      <c r="F55" s="50">
        <v>31</v>
      </c>
      <c r="G55" s="50">
        <v>0</v>
      </c>
      <c r="H55" s="50">
        <v>0</v>
      </c>
      <c r="I55" s="50">
        <v>5</v>
      </c>
      <c r="J55" s="50">
        <v>11</v>
      </c>
      <c r="K55" s="50">
        <v>0</v>
      </c>
      <c r="L55" s="50">
        <v>0</v>
      </c>
      <c r="M55" s="50">
        <v>210</v>
      </c>
      <c r="N55" s="50">
        <v>0</v>
      </c>
      <c r="O55" s="15">
        <f t="shared" si="0"/>
        <v>93</v>
      </c>
      <c r="P55" s="15">
        <f t="shared" si="1"/>
        <v>303</v>
      </c>
      <c r="R55" s="8"/>
      <c r="T55"/>
    </row>
    <row r="56" spans="2:20" ht="23.1" customHeight="1" x14ac:dyDescent="0.25">
      <c r="B56" s="23" t="s">
        <v>83</v>
      </c>
      <c r="C56" s="50">
        <v>36</v>
      </c>
      <c r="D56" s="50">
        <v>5</v>
      </c>
      <c r="E56" s="50">
        <v>4</v>
      </c>
      <c r="F56" s="50">
        <v>28</v>
      </c>
      <c r="G56" s="50">
        <v>0</v>
      </c>
      <c r="H56" s="50">
        <v>0</v>
      </c>
      <c r="I56" s="50">
        <v>3</v>
      </c>
      <c r="J56" s="50">
        <v>0</v>
      </c>
      <c r="K56" s="50">
        <v>0</v>
      </c>
      <c r="L56" s="50">
        <v>0</v>
      </c>
      <c r="M56" s="50">
        <v>210</v>
      </c>
      <c r="N56" s="50">
        <v>0</v>
      </c>
      <c r="O56" s="15">
        <f t="shared" si="0"/>
        <v>76</v>
      </c>
      <c r="P56" s="15">
        <f t="shared" si="1"/>
        <v>286</v>
      </c>
      <c r="R56" s="8"/>
      <c r="T56"/>
    </row>
    <row r="57" spans="2:20" ht="23.1" customHeight="1" x14ac:dyDescent="0.25">
      <c r="B57" s="23" t="s">
        <v>84</v>
      </c>
      <c r="C57" s="50">
        <v>35</v>
      </c>
      <c r="D57" s="50">
        <v>4</v>
      </c>
      <c r="E57" s="50">
        <v>3</v>
      </c>
      <c r="F57" s="50">
        <v>30</v>
      </c>
      <c r="G57" s="50">
        <v>1</v>
      </c>
      <c r="H57" s="50">
        <v>0</v>
      </c>
      <c r="I57" s="50">
        <v>5</v>
      </c>
      <c r="J57" s="50">
        <v>0</v>
      </c>
      <c r="K57" s="50">
        <v>0</v>
      </c>
      <c r="L57" s="50">
        <v>0</v>
      </c>
      <c r="M57" s="50">
        <v>205</v>
      </c>
      <c r="N57" s="50">
        <v>0</v>
      </c>
      <c r="O57" s="15">
        <f t="shared" si="0"/>
        <v>78</v>
      </c>
      <c r="P57" s="15">
        <f t="shared" si="1"/>
        <v>283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2940</v>
      </c>
      <c r="D58" s="16">
        <f t="shared" si="21"/>
        <v>425</v>
      </c>
      <c r="E58" s="16">
        <f t="shared" si="21"/>
        <v>408</v>
      </c>
      <c r="F58" s="16">
        <f t="shared" si="21"/>
        <v>1137</v>
      </c>
      <c r="G58" s="16">
        <f t="shared" si="21"/>
        <v>15</v>
      </c>
      <c r="H58" s="16">
        <f t="shared" si="21"/>
        <v>9</v>
      </c>
      <c r="I58" s="16">
        <f t="shared" si="21"/>
        <v>297</v>
      </c>
      <c r="J58" s="16">
        <f t="shared" si="21"/>
        <v>54</v>
      </c>
      <c r="K58" s="16">
        <f t="shared" si="21"/>
        <v>20</v>
      </c>
      <c r="L58" s="16">
        <f t="shared" si="21"/>
        <v>25</v>
      </c>
      <c r="M58" s="16">
        <f t="shared" si="21"/>
        <v>10371</v>
      </c>
      <c r="N58" s="16">
        <f t="shared" si="21"/>
        <v>0</v>
      </c>
      <c r="O58" s="16">
        <f t="shared" si="21"/>
        <v>5330</v>
      </c>
      <c r="P58" s="16">
        <f t="shared" si="21"/>
        <v>15701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0.18724921979491752</v>
      </c>
      <c r="D59" s="43">
        <f t="shared" si="22"/>
        <v>2.7068339596204062E-2</v>
      </c>
      <c r="E59" s="43">
        <f t="shared" si="22"/>
        <v>2.5985606012355902E-2</v>
      </c>
      <c r="F59" s="43">
        <f t="shared" si="22"/>
        <v>7.2415769696197688E-2</v>
      </c>
      <c r="G59" s="43">
        <f t="shared" si="22"/>
        <v>9.5535316221896692E-4</v>
      </c>
      <c r="H59" s="43">
        <f t="shared" si="22"/>
        <v>5.7321189733138022E-4</v>
      </c>
      <c r="I59" s="43">
        <f t="shared" si="22"/>
        <v>1.8915992611935547E-2</v>
      </c>
      <c r="J59" s="43">
        <f t="shared" si="22"/>
        <v>3.4392713839882811E-3</v>
      </c>
      <c r="K59" s="43">
        <f t="shared" si="22"/>
        <v>1.2738042162919558E-3</v>
      </c>
      <c r="L59" s="43">
        <f t="shared" si="22"/>
        <v>1.5922552703649449E-3</v>
      </c>
      <c r="M59" s="43">
        <f t="shared" si="22"/>
        <v>0.66053117635819369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0.55159474671669795</v>
      </c>
      <c r="D60" s="44">
        <f t="shared" ref="D60:N60" si="23">D58/$O$58</f>
        <v>7.9737335834896811E-2</v>
      </c>
      <c r="E60" s="44">
        <f t="shared" si="23"/>
        <v>7.6547842401500935E-2</v>
      </c>
      <c r="F60" s="44">
        <f t="shared" si="23"/>
        <v>0.21332082551594747</v>
      </c>
      <c r="G60" s="44">
        <f t="shared" si="23"/>
        <v>2.8142589118198874E-3</v>
      </c>
      <c r="H60" s="44">
        <f t="shared" si="23"/>
        <v>1.6885553470919325E-3</v>
      </c>
      <c r="I60" s="44">
        <f t="shared" si="23"/>
        <v>5.5722326454033771E-2</v>
      </c>
      <c r="J60" s="44">
        <f t="shared" si="23"/>
        <v>1.0131332082551596E-2</v>
      </c>
      <c r="K60" s="44">
        <f t="shared" si="23"/>
        <v>3.7523452157598499E-3</v>
      </c>
      <c r="L60" s="44">
        <f t="shared" si="23"/>
        <v>4.6904315196998128E-3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52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D1" zoomScale="84" zoomScaleSheetLayoutView="84" workbookViewId="0">
      <selection activeCell="G6" sqref="G6:H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2" t="str">
        <f>'22.07 Kabusu-Kitebi'!C3:G3</f>
        <v>MCC - C1 - STN06-WANKULUKUKU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'24.07 Kitebi-Kabusu'!D5</f>
        <v>24.07.19</v>
      </c>
      <c r="E5" s="3"/>
      <c r="F5" s="41" t="s">
        <v>1</v>
      </c>
      <c r="G5" s="57" t="str">
        <f>'22.07 Kitebi-Kabusu'!G5:H5</f>
        <v>kobil head office</v>
      </c>
      <c r="H5" s="58"/>
      <c r="I5" s="14"/>
      <c r="J5" s="2" t="s">
        <v>5</v>
      </c>
      <c r="K5" s="57" t="s">
        <v>174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176</v>
      </c>
      <c r="E6" s="58"/>
      <c r="F6" s="2" t="s">
        <v>2</v>
      </c>
      <c r="G6" s="57" t="s">
        <v>171</v>
      </c>
      <c r="H6" s="58"/>
      <c r="J6" s="2" t="s">
        <v>21</v>
      </c>
      <c r="K6" s="57" t="str">
        <f>'22.07 Kitebi-Kabusu'!K6:L6</f>
        <v>Felix Oloya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23</v>
      </c>
      <c r="D10" s="50">
        <v>5</v>
      </c>
      <c r="E10" s="50">
        <v>6</v>
      </c>
      <c r="F10" s="50">
        <v>31</v>
      </c>
      <c r="G10" s="50">
        <v>0</v>
      </c>
      <c r="H10" s="50">
        <v>1</v>
      </c>
      <c r="I10" s="50">
        <v>3</v>
      </c>
      <c r="J10" s="50">
        <v>0</v>
      </c>
      <c r="K10" s="50">
        <v>1</v>
      </c>
      <c r="L10" s="50">
        <v>0</v>
      </c>
      <c r="M10" s="50">
        <v>103</v>
      </c>
      <c r="N10" s="50">
        <v>0</v>
      </c>
      <c r="O10" s="15">
        <f t="shared" ref="O10:O57" si="0">SUM(C10:L10,N10)</f>
        <v>70</v>
      </c>
      <c r="P10" s="15">
        <f t="shared" ref="P10:P57" si="1">SUM(C10:N10)</f>
        <v>173</v>
      </c>
      <c r="R10" s="1" t="s">
        <v>6</v>
      </c>
      <c r="S10" s="17">
        <f t="shared" ref="S10:AF10" si="2">SUM(C10:C13)</f>
        <v>102</v>
      </c>
      <c r="T10" s="17">
        <f t="shared" si="2"/>
        <v>15</v>
      </c>
      <c r="U10" s="17">
        <f t="shared" si="2"/>
        <v>15</v>
      </c>
      <c r="V10" s="17">
        <f t="shared" si="2"/>
        <v>109</v>
      </c>
      <c r="W10" s="17">
        <f t="shared" si="2"/>
        <v>0</v>
      </c>
      <c r="X10" s="17">
        <f t="shared" si="2"/>
        <v>1</v>
      </c>
      <c r="Y10" s="17">
        <f t="shared" si="2"/>
        <v>10</v>
      </c>
      <c r="Z10" s="17">
        <f t="shared" si="2"/>
        <v>0</v>
      </c>
      <c r="AA10" s="17">
        <f t="shared" si="2"/>
        <v>3</v>
      </c>
      <c r="AB10" s="17">
        <f t="shared" si="2"/>
        <v>5</v>
      </c>
      <c r="AC10" s="17">
        <f t="shared" si="2"/>
        <v>403</v>
      </c>
      <c r="AD10" s="17">
        <f t="shared" si="2"/>
        <v>0</v>
      </c>
      <c r="AE10" s="31">
        <f t="shared" si="2"/>
        <v>260</v>
      </c>
      <c r="AF10" s="31">
        <f t="shared" si="2"/>
        <v>663</v>
      </c>
    </row>
    <row r="11" spans="2:32" s="6" customFormat="1" ht="23.1" customHeight="1" x14ac:dyDescent="0.25">
      <c r="B11" s="23" t="s">
        <v>38</v>
      </c>
      <c r="C11" s="50">
        <v>26</v>
      </c>
      <c r="D11" s="50">
        <v>5</v>
      </c>
      <c r="E11" s="50">
        <v>4</v>
      </c>
      <c r="F11" s="50">
        <v>25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1</v>
      </c>
      <c r="M11" s="50">
        <v>90</v>
      </c>
      <c r="N11" s="50">
        <v>0</v>
      </c>
      <c r="O11" s="15">
        <f t="shared" si="0"/>
        <v>61</v>
      </c>
      <c r="P11" s="15">
        <f t="shared" si="1"/>
        <v>151</v>
      </c>
      <c r="R11" s="1" t="s">
        <v>7</v>
      </c>
      <c r="S11" s="17">
        <f t="shared" ref="S11:AF11" si="3">SUM(C14:C17)</f>
        <v>70</v>
      </c>
      <c r="T11" s="17">
        <f t="shared" si="3"/>
        <v>16</v>
      </c>
      <c r="U11" s="17">
        <f t="shared" si="3"/>
        <v>13</v>
      </c>
      <c r="V11" s="17">
        <f t="shared" si="3"/>
        <v>75</v>
      </c>
      <c r="W11" s="17">
        <f t="shared" si="3"/>
        <v>3</v>
      </c>
      <c r="X11" s="17">
        <f t="shared" si="3"/>
        <v>1</v>
      </c>
      <c r="Y11" s="17">
        <f t="shared" si="3"/>
        <v>17</v>
      </c>
      <c r="Z11" s="17">
        <f t="shared" si="3"/>
        <v>2</v>
      </c>
      <c r="AA11" s="17">
        <f t="shared" si="3"/>
        <v>11</v>
      </c>
      <c r="AB11" s="17">
        <f t="shared" si="3"/>
        <v>4</v>
      </c>
      <c r="AC11" s="17">
        <f t="shared" si="3"/>
        <v>520</v>
      </c>
      <c r="AD11" s="17">
        <f t="shared" si="3"/>
        <v>0</v>
      </c>
      <c r="AE11" s="31">
        <f t="shared" si="3"/>
        <v>212</v>
      </c>
      <c r="AF11" s="31">
        <f t="shared" si="3"/>
        <v>732</v>
      </c>
    </row>
    <row r="12" spans="2:32" ht="23.1" customHeight="1" x14ac:dyDescent="0.25">
      <c r="B12" s="23" t="s">
        <v>39</v>
      </c>
      <c r="C12" s="50">
        <v>15</v>
      </c>
      <c r="D12" s="50">
        <v>3</v>
      </c>
      <c r="E12" s="50">
        <v>5</v>
      </c>
      <c r="F12" s="50">
        <v>20</v>
      </c>
      <c r="G12" s="50">
        <v>0</v>
      </c>
      <c r="H12" s="50">
        <v>0</v>
      </c>
      <c r="I12" s="50">
        <v>2</v>
      </c>
      <c r="J12" s="50">
        <v>0</v>
      </c>
      <c r="K12" s="50">
        <v>2</v>
      </c>
      <c r="L12" s="50">
        <v>3</v>
      </c>
      <c r="M12" s="50">
        <v>100</v>
      </c>
      <c r="N12" s="50">
        <v>0</v>
      </c>
      <c r="O12" s="15">
        <f t="shared" si="0"/>
        <v>50</v>
      </c>
      <c r="P12" s="15">
        <f t="shared" si="1"/>
        <v>150</v>
      </c>
      <c r="R12" s="1" t="s">
        <v>8</v>
      </c>
      <c r="S12" s="17">
        <f t="shared" ref="S12:AF12" si="4">SUM(C18:C21)</f>
        <v>71</v>
      </c>
      <c r="T12" s="17">
        <f t="shared" si="4"/>
        <v>7</v>
      </c>
      <c r="U12" s="17">
        <f t="shared" si="4"/>
        <v>30</v>
      </c>
      <c r="V12" s="17">
        <f t="shared" si="4"/>
        <v>91</v>
      </c>
      <c r="W12" s="17">
        <f t="shared" si="4"/>
        <v>2</v>
      </c>
      <c r="X12" s="17">
        <f t="shared" si="4"/>
        <v>0</v>
      </c>
      <c r="Y12" s="17">
        <f t="shared" si="4"/>
        <v>9</v>
      </c>
      <c r="Z12" s="17">
        <f t="shared" si="4"/>
        <v>3</v>
      </c>
      <c r="AA12" s="17">
        <f t="shared" si="4"/>
        <v>8</v>
      </c>
      <c r="AB12" s="17">
        <f t="shared" si="4"/>
        <v>1</v>
      </c>
      <c r="AC12" s="17">
        <f t="shared" si="4"/>
        <v>525</v>
      </c>
      <c r="AD12" s="17">
        <f t="shared" si="4"/>
        <v>0</v>
      </c>
      <c r="AE12" s="31">
        <f t="shared" si="4"/>
        <v>222</v>
      </c>
      <c r="AF12" s="31">
        <f t="shared" si="4"/>
        <v>747</v>
      </c>
    </row>
    <row r="13" spans="2:32" ht="23.1" customHeight="1" x14ac:dyDescent="0.25">
      <c r="B13" s="23" t="s">
        <v>40</v>
      </c>
      <c r="C13" s="50">
        <v>38</v>
      </c>
      <c r="D13" s="50">
        <v>2</v>
      </c>
      <c r="E13" s="50">
        <v>0</v>
      </c>
      <c r="F13" s="50">
        <v>33</v>
      </c>
      <c r="G13" s="50">
        <v>0</v>
      </c>
      <c r="H13" s="50">
        <v>0</v>
      </c>
      <c r="I13" s="50">
        <v>5</v>
      </c>
      <c r="J13" s="50">
        <v>0</v>
      </c>
      <c r="K13" s="50">
        <v>0</v>
      </c>
      <c r="L13" s="50">
        <v>1</v>
      </c>
      <c r="M13" s="50">
        <v>110</v>
      </c>
      <c r="N13" s="50">
        <v>0</v>
      </c>
      <c r="O13" s="15">
        <f t="shared" si="0"/>
        <v>79</v>
      </c>
      <c r="P13" s="15">
        <f t="shared" si="1"/>
        <v>189</v>
      </c>
      <c r="R13" s="1" t="s">
        <v>9</v>
      </c>
      <c r="S13" s="17">
        <f t="shared" ref="S13:AF13" si="5">SUM(C22:C25)</f>
        <v>100</v>
      </c>
      <c r="T13" s="17">
        <f t="shared" si="5"/>
        <v>15</v>
      </c>
      <c r="U13" s="17">
        <f t="shared" si="5"/>
        <v>20</v>
      </c>
      <c r="V13" s="17">
        <f t="shared" si="5"/>
        <v>71</v>
      </c>
      <c r="W13" s="17">
        <f t="shared" si="5"/>
        <v>2</v>
      </c>
      <c r="X13" s="17">
        <f t="shared" si="5"/>
        <v>0</v>
      </c>
      <c r="Y13" s="17">
        <f t="shared" si="5"/>
        <v>26</v>
      </c>
      <c r="Z13" s="17">
        <f t="shared" si="5"/>
        <v>2</v>
      </c>
      <c r="AA13" s="17">
        <f t="shared" si="5"/>
        <v>7</v>
      </c>
      <c r="AB13" s="17">
        <f t="shared" si="5"/>
        <v>5</v>
      </c>
      <c r="AC13" s="17">
        <f t="shared" si="5"/>
        <v>665</v>
      </c>
      <c r="AD13" s="17">
        <f t="shared" si="5"/>
        <v>0</v>
      </c>
      <c r="AE13" s="31">
        <f t="shared" si="5"/>
        <v>248</v>
      </c>
      <c r="AF13" s="31">
        <f t="shared" si="5"/>
        <v>913</v>
      </c>
    </row>
    <row r="14" spans="2:32" ht="23.1" customHeight="1" x14ac:dyDescent="0.25">
      <c r="B14" s="23" t="s">
        <v>41</v>
      </c>
      <c r="C14" s="50">
        <v>17</v>
      </c>
      <c r="D14" s="50">
        <v>5</v>
      </c>
      <c r="E14" s="50">
        <v>3</v>
      </c>
      <c r="F14" s="50">
        <v>15</v>
      </c>
      <c r="G14" s="50">
        <v>2</v>
      </c>
      <c r="H14" s="50">
        <v>1</v>
      </c>
      <c r="I14" s="50">
        <v>3</v>
      </c>
      <c r="J14" s="50">
        <v>0</v>
      </c>
      <c r="K14" s="50">
        <v>3</v>
      </c>
      <c r="L14" s="50">
        <v>1</v>
      </c>
      <c r="M14" s="50">
        <v>120</v>
      </c>
      <c r="N14" s="50">
        <v>0</v>
      </c>
      <c r="O14" s="15">
        <f t="shared" si="0"/>
        <v>50</v>
      </c>
      <c r="P14" s="15">
        <f t="shared" si="1"/>
        <v>170</v>
      </c>
      <c r="R14" s="1" t="s">
        <v>10</v>
      </c>
      <c r="S14" s="17">
        <f t="shared" ref="S14:AF14" si="6">SUM(C26:C29)</f>
        <v>125</v>
      </c>
      <c r="T14" s="17">
        <f t="shared" si="6"/>
        <v>15</v>
      </c>
      <c r="U14" s="17">
        <f t="shared" si="6"/>
        <v>38</v>
      </c>
      <c r="V14" s="17">
        <f t="shared" si="6"/>
        <v>86</v>
      </c>
      <c r="W14" s="17">
        <f t="shared" si="6"/>
        <v>3</v>
      </c>
      <c r="X14" s="17">
        <f t="shared" si="6"/>
        <v>0</v>
      </c>
      <c r="Y14" s="17">
        <f t="shared" si="6"/>
        <v>27</v>
      </c>
      <c r="Z14" s="17">
        <f t="shared" si="6"/>
        <v>0</v>
      </c>
      <c r="AA14" s="17">
        <f t="shared" si="6"/>
        <v>9</v>
      </c>
      <c r="AB14" s="17">
        <f t="shared" si="6"/>
        <v>3</v>
      </c>
      <c r="AC14" s="17">
        <f t="shared" si="6"/>
        <v>700</v>
      </c>
      <c r="AD14" s="17">
        <f t="shared" si="6"/>
        <v>0</v>
      </c>
      <c r="AE14" s="31">
        <f t="shared" si="6"/>
        <v>306</v>
      </c>
      <c r="AF14" s="31">
        <f t="shared" si="6"/>
        <v>1006</v>
      </c>
    </row>
    <row r="15" spans="2:32" ht="23.1" customHeight="1" x14ac:dyDescent="0.25">
      <c r="B15" s="23" t="s">
        <v>42</v>
      </c>
      <c r="C15" s="50">
        <v>14</v>
      </c>
      <c r="D15" s="50">
        <v>4</v>
      </c>
      <c r="E15" s="50">
        <v>3</v>
      </c>
      <c r="F15" s="50">
        <v>16</v>
      </c>
      <c r="G15" s="50">
        <v>1</v>
      </c>
      <c r="H15" s="50">
        <v>0</v>
      </c>
      <c r="I15" s="50">
        <v>4</v>
      </c>
      <c r="J15" s="50">
        <v>0</v>
      </c>
      <c r="K15" s="50">
        <v>1</v>
      </c>
      <c r="L15" s="50">
        <v>1</v>
      </c>
      <c r="M15" s="50">
        <v>130</v>
      </c>
      <c r="N15" s="50">
        <v>0</v>
      </c>
      <c r="O15" s="15">
        <f t="shared" si="0"/>
        <v>44</v>
      </c>
      <c r="P15" s="15">
        <f t="shared" si="1"/>
        <v>174</v>
      </c>
      <c r="R15" s="1" t="s">
        <v>11</v>
      </c>
      <c r="S15" s="17">
        <f t="shared" ref="S15:AF15" si="7">SUM(C30:C33)</f>
        <v>134</v>
      </c>
      <c r="T15" s="17">
        <f t="shared" si="7"/>
        <v>25</v>
      </c>
      <c r="U15" s="17">
        <f t="shared" si="7"/>
        <v>27</v>
      </c>
      <c r="V15" s="17">
        <f t="shared" si="7"/>
        <v>70</v>
      </c>
      <c r="W15" s="17">
        <f t="shared" si="7"/>
        <v>0</v>
      </c>
      <c r="X15" s="17">
        <f t="shared" si="7"/>
        <v>1</v>
      </c>
      <c r="Y15" s="17">
        <f t="shared" si="7"/>
        <v>37</v>
      </c>
      <c r="Z15" s="17">
        <f t="shared" si="7"/>
        <v>0</v>
      </c>
      <c r="AA15" s="17">
        <f t="shared" si="7"/>
        <v>3</v>
      </c>
      <c r="AB15" s="17">
        <f t="shared" si="7"/>
        <v>0</v>
      </c>
      <c r="AC15" s="17">
        <f t="shared" si="7"/>
        <v>541</v>
      </c>
      <c r="AD15" s="17">
        <f t="shared" si="7"/>
        <v>0</v>
      </c>
      <c r="AE15" s="31">
        <f t="shared" si="7"/>
        <v>297</v>
      </c>
      <c r="AF15" s="31">
        <f t="shared" si="7"/>
        <v>838</v>
      </c>
    </row>
    <row r="16" spans="2:32" ht="23.1" customHeight="1" x14ac:dyDescent="0.25">
      <c r="B16" s="23" t="s">
        <v>43</v>
      </c>
      <c r="C16" s="50">
        <v>25</v>
      </c>
      <c r="D16" s="50">
        <v>3</v>
      </c>
      <c r="E16" s="50">
        <v>5</v>
      </c>
      <c r="F16" s="50">
        <v>21</v>
      </c>
      <c r="G16" s="50">
        <v>0</v>
      </c>
      <c r="H16" s="50">
        <v>0</v>
      </c>
      <c r="I16" s="50">
        <v>5</v>
      </c>
      <c r="J16" s="50">
        <v>2</v>
      </c>
      <c r="K16" s="50">
        <v>2</v>
      </c>
      <c r="L16" s="50">
        <v>1</v>
      </c>
      <c r="M16" s="50">
        <v>140</v>
      </c>
      <c r="N16" s="50">
        <v>0</v>
      </c>
      <c r="O16" s="15">
        <f t="shared" si="0"/>
        <v>64</v>
      </c>
      <c r="P16" s="15">
        <f t="shared" si="1"/>
        <v>204</v>
      </c>
      <c r="R16" s="1" t="s">
        <v>12</v>
      </c>
      <c r="S16" s="17">
        <f t="shared" ref="S16:AF16" si="8">SUM(C34:C37)</f>
        <v>138</v>
      </c>
      <c r="T16" s="17">
        <f t="shared" si="8"/>
        <v>19</v>
      </c>
      <c r="U16" s="17">
        <f t="shared" si="8"/>
        <v>24</v>
      </c>
      <c r="V16" s="17">
        <f t="shared" si="8"/>
        <v>68</v>
      </c>
      <c r="W16" s="17">
        <f t="shared" si="8"/>
        <v>2</v>
      </c>
      <c r="X16" s="17">
        <f t="shared" si="8"/>
        <v>1</v>
      </c>
      <c r="Y16" s="17">
        <f t="shared" si="8"/>
        <v>25</v>
      </c>
      <c r="Z16" s="17">
        <f t="shared" si="8"/>
        <v>1</v>
      </c>
      <c r="AA16" s="17">
        <f t="shared" si="8"/>
        <v>5</v>
      </c>
      <c r="AB16" s="17">
        <f t="shared" si="8"/>
        <v>4</v>
      </c>
      <c r="AC16" s="17">
        <f t="shared" si="8"/>
        <v>540</v>
      </c>
      <c r="AD16" s="17">
        <f t="shared" si="8"/>
        <v>0</v>
      </c>
      <c r="AE16" s="31">
        <f t="shared" si="8"/>
        <v>287</v>
      </c>
      <c r="AF16" s="31">
        <f t="shared" si="8"/>
        <v>827</v>
      </c>
    </row>
    <row r="17" spans="2:32" ht="23.1" customHeight="1" x14ac:dyDescent="0.25">
      <c r="B17" s="23" t="s">
        <v>44</v>
      </c>
      <c r="C17" s="50">
        <v>14</v>
      </c>
      <c r="D17" s="50">
        <v>4</v>
      </c>
      <c r="E17" s="50">
        <v>2</v>
      </c>
      <c r="F17" s="50">
        <v>23</v>
      </c>
      <c r="G17" s="50">
        <v>0</v>
      </c>
      <c r="H17" s="50">
        <v>0</v>
      </c>
      <c r="I17" s="50">
        <v>5</v>
      </c>
      <c r="J17" s="50">
        <v>0</v>
      </c>
      <c r="K17" s="50">
        <v>5</v>
      </c>
      <c r="L17" s="50">
        <v>1</v>
      </c>
      <c r="M17" s="50">
        <v>130</v>
      </c>
      <c r="N17" s="50">
        <v>0</v>
      </c>
      <c r="O17" s="15">
        <f t="shared" si="0"/>
        <v>54</v>
      </c>
      <c r="P17" s="15">
        <f t="shared" si="1"/>
        <v>184</v>
      </c>
      <c r="R17" s="1" t="s">
        <v>13</v>
      </c>
      <c r="S17" s="17">
        <f t="shared" ref="S17:AF17" si="9">SUM(C38:C41)</f>
        <v>171</v>
      </c>
      <c r="T17" s="17">
        <f t="shared" si="9"/>
        <v>24</v>
      </c>
      <c r="U17" s="17">
        <f t="shared" si="9"/>
        <v>25</v>
      </c>
      <c r="V17" s="17">
        <f t="shared" si="9"/>
        <v>51</v>
      </c>
      <c r="W17" s="17">
        <f t="shared" si="9"/>
        <v>0</v>
      </c>
      <c r="X17" s="17">
        <f t="shared" si="9"/>
        <v>1</v>
      </c>
      <c r="Y17" s="17">
        <f t="shared" si="9"/>
        <v>22</v>
      </c>
      <c r="Z17" s="17">
        <f t="shared" si="9"/>
        <v>3</v>
      </c>
      <c r="AA17" s="17">
        <f t="shared" si="9"/>
        <v>7</v>
      </c>
      <c r="AB17" s="17">
        <f t="shared" si="9"/>
        <v>8</v>
      </c>
      <c r="AC17" s="17">
        <f t="shared" si="9"/>
        <v>665</v>
      </c>
      <c r="AD17" s="17">
        <f t="shared" si="9"/>
        <v>0</v>
      </c>
      <c r="AE17" s="31">
        <f t="shared" si="9"/>
        <v>312</v>
      </c>
      <c r="AF17" s="31">
        <f t="shared" si="9"/>
        <v>977</v>
      </c>
    </row>
    <row r="18" spans="2:32" ht="23.1" customHeight="1" x14ac:dyDescent="0.25">
      <c r="B18" s="23" t="s">
        <v>45</v>
      </c>
      <c r="C18" s="50">
        <v>17</v>
      </c>
      <c r="D18" s="50">
        <v>1</v>
      </c>
      <c r="E18" s="50">
        <v>7</v>
      </c>
      <c r="F18" s="50">
        <v>15</v>
      </c>
      <c r="G18" s="50">
        <v>1</v>
      </c>
      <c r="H18" s="50">
        <v>0</v>
      </c>
      <c r="I18" s="50">
        <v>2</v>
      </c>
      <c r="J18" s="50">
        <v>0</v>
      </c>
      <c r="K18" s="50">
        <v>2</v>
      </c>
      <c r="L18" s="50">
        <v>0</v>
      </c>
      <c r="M18" s="50">
        <v>105</v>
      </c>
      <c r="N18" s="50">
        <v>0</v>
      </c>
      <c r="O18" s="15">
        <f t="shared" si="0"/>
        <v>45</v>
      </c>
      <c r="P18" s="15">
        <f t="shared" si="1"/>
        <v>150</v>
      </c>
      <c r="R18" s="1" t="s">
        <v>14</v>
      </c>
      <c r="S18" s="17">
        <f t="shared" ref="S18:AF18" si="10">SUM(C42:C45)</f>
        <v>140</v>
      </c>
      <c r="T18" s="17">
        <f t="shared" si="10"/>
        <v>22</v>
      </c>
      <c r="U18" s="17">
        <f t="shared" si="10"/>
        <v>36</v>
      </c>
      <c r="V18" s="17">
        <f t="shared" si="10"/>
        <v>55</v>
      </c>
      <c r="W18" s="17">
        <f t="shared" si="10"/>
        <v>0</v>
      </c>
      <c r="X18" s="17">
        <f t="shared" si="10"/>
        <v>2</v>
      </c>
      <c r="Y18" s="17">
        <f t="shared" si="10"/>
        <v>22</v>
      </c>
      <c r="Z18" s="17">
        <f t="shared" si="10"/>
        <v>3</v>
      </c>
      <c r="AA18" s="17">
        <f t="shared" si="10"/>
        <v>4</v>
      </c>
      <c r="AB18" s="17">
        <f t="shared" si="10"/>
        <v>3</v>
      </c>
      <c r="AC18" s="17">
        <f t="shared" si="10"/>
        <v>720</v>
      </c>
      <c r="AD18" s="17">
        <f t="shared" si="10"/>
        <v>0</v>
      </c>
      <c r="AE18" s="31">
        <f t="shared" si="10"/>
        <v>287</v>
      </c>
      <c r="AF18" s="31">
        <f t="shared" si="10"/>
        <v>1007</v>
      </c>
    </row>
    <row r="19" spans="2:32" ht="23.1" customHeight="1" x14ac:dyDescent="0.25">
      <c r="B19" s="23" t="s">
        <v>46</v>
      </c>
      <c r="C19" s="50">
        <v>19</v>
      </c>
      <c r="D19" s="50">
        <v>2</v>
      </c>
      <c r="E19" s="50">
        <v>8</v>
      </c>
      <c r="F19" s="50">
        <v>26</v>
      </c>
      <c r="G19" s="50">
        <v>0</v>
      </c>
      <c r="H19" s="50">
        <v>0</v>
      </c>
      <c r="I19" s="50">
        <v>0</v>
      </c>
      <c r="J19" s="50">
        <v>0</v>
      </c>
      <c r="K19" s="50">
        <v>2</v>
      </c>
      <c r="L19" s="50">
        <v>0</v>
      </c>
      <c r="M19" s="50">
        <v>135</v>
      </c>
      <c r="N19" s="50">
        <v>0</v>
      </c>
      <c r="O19" s="15">
        <f t="shared" si="0"/>
        <v>57</v>
      </c>
      <c r="P19" s="15">
        <f t="shared" si="1"/>
        <v>192</v>
      </c>
      <c r="R19" s="1" t="s">
        <v>15</v>
      </c>
      <c r="S19" s="17">
        <f t="shared" ref="S19:AF19" si="11">SUM(C46:C49)</f>
        <v>145</v>
      </c>
      <c r="T19" s="17">
        <f t="shared" si="11"/>
        <v>21</v>
      </c>
      <c r="U19" s="17">
        <f t="shared" si="11"/>
        <v>31</v>
      </c>
      <c r="V19" s="17">
        <f t="shared" si="11"/>
        <v>104</v>
      </c>
      <c r="W19" s="17">
        <f t="shared" si="11"/>
        <v>1</v>
      </c>
      <c r="X19" s="17">
        <f t="shared" si="11"/>
        <v>0</v>
      </c>
      <c r="Y19" s="17">
        <f t="shared" si="11"/>
        <v>16</v>
      </c>
      <c r="Z19" s="17">
        <f t="shared" si="11"/>
        <v>1</v>
      </c>
      <c r="AA19" s="17">
        <f t="shared" si="11"/>
        <v>5</v>
      </c>
      <c r="AB19" s="17">
        <f t="shared" si="11"/>
        <v>11</v>
      </c>
      <c r="AC19" s="17">
        <f t="shared" si="11"/>
        <v>695</v>
      </c>
      <c r="AD19" s="17">
        <f t="shared" si="11"/>
        <v>0</v>
      </c>
      <c r="AE19" s="31">
        <f t="shared" si="11"/>
        <v>335</v>
      </c>
      <c r="AF19" s="31">
        <f t="shared" si="11"/>
        <v>1030</v>
      </c>
    </row>
    <row r="20" spans="2:32" ht="23.1" customHeight="1" x14ac:dyDescent="0.25">
      <c r="B20" s="23" t="s">
        <v>47</v>
      </c>
      <c r="C20" s="50">
        <v>15</v>
      </c>
      <c r="D20" s="50">
        <v>2</v>
      </c>
      <c r="E20" s="50">
        <v>10</v>
      </c>
      <c r="F20" s="50">
        <v>24</v>
      </c>
      <c r="G20" s="50">
        <v>0</v>
      </c>
      <c r="H20" s="50">
        <v>0</v>
      </c>
      <c r="I20" s="50">
        <v>3</v>
      </c>
      <c r="J20" s="50">
        <v>3</v>
      </c>
      <c r="K20" s="50">
        <v>1</v>
      </c>
      <c r="L20" s="50">
        <v>1</v>
      </c>
      <c r="M20" s="50">
        <v>120</v>
      </c>
      <c r="N20" s="50">
        <v>0</v>
      </c>
      <c r="O20" s="15">
        <f t="shared" si="0"/>
        <v>59</v>
      </c>
      <c r="P20" s="15">
        <f t="shared" si="1"/>
        <v>179</v>
      </c>
      <c r="R20" s="1" t="s">
        <v>16</v>
      </c>
      <c r="S20" s="17">
        <f t="shared" ref="S20:AF20" si="12">SUM(C50:C53)</f>
        <v>240</v>
      </c>
      <c r="T20" s="17">
        <f t="shared" si="12"/>
        <v>32</v>
      </c>
      <c r="U20" s="17">
        <f t="shared" si="12"/>
        <v>69</v>
      </c>
      <c r="V20" s="17">
        <f t="shared" si="12"/>
        <v>93</v>
      </c>
      <c r="W20" s="17">
        <f t="shared" si="12"/>
        <v>3</v>
      </c>
      <c r="X20" s="17">
        <f t="shared" si="12"/>
        <v>0</v>
      </c>
      <c r="Y20" s="17">
        <f t="shared" si="12"/>
        <v>30</v>
      </c>
      <c r="Z20" s="17">
        <f t="shared" si="12"/>
        <v>4</v>
      </c>
      <c r="AA20" s="17">
        <f t="shared" si="12"/>
        <v>9</v>
      </c>
      <c r="AB20" s="17">
        <f t="shared" si="12"/>
        <v>11</v>
      </c>
      <c r="AC20" s="17">
        <f t="shared" si="12"/>
        <v>815</v>
      </c>
      <c r="AD20" s="17">
        <f t="shared" si="12"/>
        <v>0</v>
      </c>
      <c r="AE20" s="31">
        <f t="shared" si="12"/>
        <v>491</v>
      </c>
      <c r="AF20" s="31">
        <f t="shared" si="12"/>
        <v>1306</v>
      </c>
    </row>
    <row r="21" spans="2:32" ht="23.1" customHeight="1" x14ac:dyDescent="0.25">
      <c r="B21" s="23" t="s">
        <v>48</v>
      </c>
      <c r="C21" s="50">
        <v>20</v>
      </c>
      <c r="D21" s="50">
        <v>2</v>
      </c>
      <c r="E21" s="50">
        <v>5</v>
      </c>
      <c r="F21" s="50">
        <v>26</v>
      </c>
      <c r="G21" s="50">
        <v>1</v>
      </c>
      <c r="H21" s="50">
        <v>0</v>
      </c>
      <c r="I21" s="50">
        <v>4</v>
      </c>
      <c r="J21" s="50">
        <v>0</v>
      </c>
      <c r="K21" s="50">
        <v>3</v>
      </c>
      <c r="L21" s="50">
        <v>0</v>
      </c>
      <c r="M21" s="50">
        <v>165</v>
      </c>
      <c r="N21" s="50">
        <v>0</v>
      </c>
      <c r="O21" s="15">
        <f t="shared" si="0"/>
        <v>61</v>
      </c>
      <c r="P21" s="15">
        <f t="shared" si="1"/>
        <v>226</v>
      </c>
      <c r="R21" s="36" t="s">
        <v>20</v>
      </c>
      <c r="S21" s="34">
        <f t="shared" ref="S21:AF21" si="13">SUM(C54:C57)</f>
        <v>484</v>
      </c>
      <c r="T21" s="17">
        <f t="shared" si="13"/>
        <v>47</v>
      </c>
      <c r="U21" s="17">
        <f t="shared" si="13"/>
        <v>59</v>
      </c>
      <c r="V21" s="17">
        <f t="shared" si="13"/>
        <v>135</v>
      </c>
      <c r="W21" s="17">
        <f t="shared" si="13"/>
        <v>3</v>
      </c>
      <c r="X21" s="17">
        <f t="shared" si="13"/>
        <v>0</v>
      </c>
      <c r="Y21" s="17">
        <f t="shared" si="13"/>
        <v>46</v>
      </c>
      <c r="Z21" s="17">
        <f t="shared" si="13"/>
        <v>9</v>
      </c>
      <c r="AA21" s="17">
        <f t="shared" si="13"/>
        <v>7</v>
      </c>
      <c r="AB21" s="17">
        <f t="shared" si="13"/>
        <v>7</v>
      </c>
      <c r="AC21" s="17">
        <f t="shared" si="13"/>
        <v>867</v>
      </c>
      <c r="AD21" s="17">
        <f t="shared" si="13"/>
        <v>0</v>
      </c>
      <c r="AE21" s="31">
        <f t="shared" si="13"/>
        <v>797</v>
      </c>
      <c r="AF21" s="31">
        <f t="shared" si="13"/>
        <v>1664</v>
      </c>
    </row>
    <row r="22" spans="2:32" ht="23.1" customHeight="1" x14ac:dyDescent="0.25">
      <c r="B22" s="23" t="s">
        <v>49</v>
      </c>
      <c r="C22" s="50">
        <v>17</v>
      </c>
      <c r="D22" s="50">
        <v>5</v>
      </c>
      <c r="E22" s="50">
        <v>6</v>
      </c>
      <c r="F22" s="50">
        <v>15</v>
      </c>
      <c r="G22" s="50">
        <v>2</v>
      </c>
      <c r="H22" s="50">
        <v>0</v>
      </c>
      <c r="I22" s="50">
        <v>10</v>
      </c>
      <c r="J22" s="50">
        <v>0</v>
      </c>
      <c r="K22" s="50">
        <v>2</v>
      </c>
      <c r="L22" s="50">
        <v>0</v>
      </c>
      <c r="M22" s="50">
        <v>155</v>
      </c>
      <c r="N22" s="50">
        <v>0</v>
      </c>
      <c r="O22" s="15">
        <f t="shared" si="0"/>
        <v>57</v>
      </c>
      <c r="P22" s="15">
        <f t="shared" si="1"/>
        <v>212</v>
      </c>
      <c r="R22" s="38" t="s">
        <v>90</v>
      </c>
      <c r="S22" s="39">
        <f>MAX(S10:S12)</f>
        <v>102</v>
      </c>
      <c r="T22" s="39">
        <f t="shared" ref="T22:AF22" si="14">MAX(T10:T12)</f>
        <v>16</v>
      </c>
      <c r="U22" s="39">
        <f t="shared" si="14"/>
        <v>30</v>
      </c>
      <c r="V22" s="39">
        <f t="shared" si="14"/>
        <v>109</v>
      </c>
      <c r="W22" s="39">
        <f t="shared" si="14"/>
        <v>3</v>
      </c>
      <c r="X22" s="39">
        <f t="shared" si="14"/>
        <v>1</v>
      </c>
      <c r="Y22" s="39">
        <f t="shared" si="14"/>
        <v>17</v>
      </c>
      <c r="Z22" s="39">
        <f t="shared" si="14"/>
        <v>3</v>
      </c>
      <c r="AA22" s="39">
        <f t="shared" si="14"/>
        <v>11</v>
      </c>
      <c r="AB22" s="39">
        <f t="shared" si="14"/>
        <v>5</v>
      </c>
      <c r="AC22" s="39">
        <f t="shared" si="14"/>
        <v>525</v>
      </c>
      <c r="AD22" s="39">
        <f t="shared" si="14"/>
        <v>0</v>
      </c>
      <c r="AE22" s="40">
        <f t="shared" si="14"/>
        <v>260</v>
      </c>
      <c r="AF22" s="40">
        <f t="shared" si="14"/>
        <v>747</v>
      </c>
    </row>
    <row r="23" spans="2:32" ht="23.1" customHeight="1" x14ac:dyDescent="0.25">
      <c r="B23" s="23" t="s">
        <v>50</v>
      </c>
      <c r="C23" s="50">
        <v>28</v>
      </c>
      <c r="D23" s="50">
        <v>1</v>
      </c>
      <c r="E23" s="50">
        <v>7</v>
      </c>
      <c r="F23" s="50">
        <v>17</v>
      </c>
      <c r="G23" s="50">
        <v>0</v>
      </c>
      <c r="H23" s="50">
        <v>0</v>
      </c>
      <c r="I23" s="50">
        <v>4</v>
      </c>
      <c r="J23" s="50">
        <v>1</v>
      </c>
      <c r="K23" s="50">
        <v>1</v>
      </c>
      <c r="L23" s="50">
        <v>3</v>
      </c>
      <c r="M23" s="50">
        <v>170</v>
      </c>
      <c r="N23" s="50">
        <v>0</v>
      </c>
      <c r="O23" s="15">
        <f t="shared" si="0"/>
        <v>62</v>
      </c>
      <c r="P23" s="15">
        <f t="shared" si="1"/>
        <v>232</v>
      </c>
      <c r="R23" s="38" t="s">
        <v>91</v>
      </c>
      <c r="S23" s="39">
        <f>MAX(S13:S18)</f>
        <v>171</v>
      </c>
      <c r="T23" s="39">
        <f t="shared" ref="T23:AF23" si="15">MAX(T13:T18)</f>
        <v>25</v>
      </c>
      <c r="U23" s="39">
        <f t="shared" si="15"/>
        <v>38</v>
      </c>
      <c r="V23" s="39">
        <f t="shared" si="15"/>
        <v>86</v>
      </c>
      <c r="W23" s="39">
        <f t="shared" si="15"/>
        <v>3</v>
      </c>
      <c r="X23" s="39">
        <f t="shared" si="15"/>
        <v>2</v>
      </c>
      <c r="Y23" s="39">
        <f t="shared" si="15"/>
        <v>37</v>
      </c>
      <c r="Z23" s="39">
        <f t="shared" si="15"/>
        <v>3</v>
      </c>
      <c r="AA23" s="39">
        <f t="shared" si="15"/>
        <v>9</v>
      </c>
      <c r="AB23" s="39">
        <f t="shared" si="15"/>
        <v>8</v>
      </c>
      <c r="AC23" s="39">
        <f t="shared" si="15"/>
        <v>720</v>
      </c>
      <c r="AD23" s="39">
        <f t="shared" si="15"/>
        <v>0</v>
      </c>
      <c r="AE23" s="40">
        <f t="shared" si="15"/>
        <v>312</v>
      </c>
      <c r="AF23" s="40">
        <f t="shared" si="15"/>
        <v>1007</v>
      </c>
    </row>
    <row r="24" spans="2:32" ht="23.1" customHeight="1" x14ac:dyDescent="0.25">
      <c r="B24" s="23" t="s">
        <v>51</v>
      </c>
      <c r="C24" s="50">
        <v>20</v>
      </c>
      <c r="D24" s="50">
        <v>5</v>
      </c>
      <c r="E24" s="50">
        <v>5</v>
      </c>
      <c r="F24" s="50">
        <v>19</v>
      </c>
      <c r="G24" s="50">
        <v>0</v>
      </c>
      <c r="H24" s="50">
        <v>0</v>
      </c>
      <c r="I24" s="50">
        <v>9</v>
      </c>
      <c r="J24" s="50">
        <v>0</v>
      </c>
      <c r="K24" s="50">
        <v>1</v>
      </c>
      <c r="L24" s="50">
        <v>2</v>
      </c>
      <c r="M24" s="50">
        <v>140</v>
      </c>
      <c r="N24" s="50">
        <v>0</v>
      </c>
      <c r="O24" s="15">
        <f t="shared" si="0"/>
        <v>61</v>
      </c>
      <c r="P24" s="15">
        <f t="shared" si="1"/>
        <v>201</v>
      </c>
      <c r="R24" s="38" t="s">
        <v>92</v>
      </c>
      <c r="S24" s="39">
        <f>MAX(S19:S21)</f>
        <v>484</v>
      </c>
      <c r="T24" s="39">
        <f t="shared" ref="T24:AF24" si="16">MAX(T19:T21)</f>
        <v>47</v>
      </c>
      <c r="U24" s="39">
        <f t="shared" si="16"/>
        <v>69</v>
      </c>
      <c r="V24" s="39">
        <f t="shared" si="16"/>
        <v>135</v>
      </c>
      <c r="W24" s="39">
        <f t="shared" si="16"/>
        <v>3</v>
      </c>
      <c r="X24" s="39">
        <f t="shared" si="16"/>
        <v>0</v>
      </c>
      <c r="Y24" s="39">
        <f t="shared" si="16"/>
        <v>46</v>
      </c>
      <c r="Z24" s="39">
        <f t="shared" si="16"/>
        <v>9</v>
      </c>
      <c r="AA24" s="39">
        <f t="shared" si="16"/>
        <v>9</v>
      </c>
      <c r="AB24" s="39">
        <f t="shared" si="16"/>
        <v>11</v>
      </c>
      <c r="AC24" s="39">
        <f t="shared" si="16"/>
        <v>867</v>
      </c>
      <c r="AD24" s="39">
        <f t="shared" si="16"/>
        <v>0</v>
      </c>
      <c r="AE24" s="40">
        <f t="shared" si="16"/>
        <v>797</v>
      </c>
      <c r="AF24" s="40">
        <f t="shared" si="16"/>
        <v>1664</v>
      </c>
    </row>
    <row r="25" spans="2:32" ht="23.1" customHeight="1" x14ac:dyDescent="0.25">
      <c r="B25" s="23" t="s">
        <v>52</v>
      </c>
      <c r="C25" s="50">
        <v>35</v>
      </c>
      <c r="D25" s="50">
        <v>4</v>
      </c>
      <c r="E25" s="50">
        <v>2</v>
      </c>
      <c r="F25" s="50">
        <v>20</v>
      </c>
      <c r="G25" s="50">
        <v>0</v>
      </c>
      <c r="H25" s="50">
        <v>0</v>
      </c>
      <c r="I25" s="50">
        <v>3</v>
      </c>
      <c r="J25" s="50">
        <v>1</v>
      </c>
      <c r="K25" s="50">
        <v>3</v>
      </c>
      <c r="L25" s="50">
        <v>0</v>
      </c>
      <c r="M25" s="50">
        <v>200</v>
      </c>
      <c r="N25" s="50">
        <v>0</v>
      </c>
      <c r="O25" s="15">
        <f t="shared" si="0"/>
        <v>68</v>
      </c>
      <c r="P25" s="15">
        <f t="shared" si="1"/>
        <v>268</v>
      </c>
      <c r="R25" s="37" t="s">
        <v>85</v>
      </c>
      <c r="S25" s="35">
        <f t="shared" ref="S25:AF25" si="17">SUM(S10:S12)</f>
        <v>243</v>
      </c>
      <c r="T25" s="16">
        <f t="shared" si="17"/>
        <v>38</v>
      </c>
      <c r="U25" s="16">
        <f t="shared" si="17"/>
        <v>58</v>
      </c>
      <c r="V25" s="16">
        <f t="shared" si="17"/>
        <v>275</v>
      </c>
      <c r="W25" s="16">
        <f t="shared" si="17"/>
        <v>5</v>
      </c>
      <c r="X25" s="16">
        <f t="shared" si="17"/>
        <v>2</v>
      </c>
      <c r="Y25" s="16">
        <f t="shared" si="17"/>
        <v>36</v>
      </c>
      <c r="Z25" s="16">
        <f t="shared" si="17"/>
        <v>5</v>
      </c>
      <c r="AA25" s="16">
        <f t="shared" si="17"/>
        <v>22</v>
      </c>
      <c r="AB25" s="16">
        <f t="shared" si="17"/>
        <v>10</v>
      </c>
      <c r="AC25" s="16">
        <f t="shared" si="17"/>
        <v>1448</v>
      </c>
      <c r="AD25" s="16">
        <f t="shared" si="17"/>
        <v>0</v>
      </c>
      <c r="AE25" s="32">
        <f t="shared" si="17"/>
        <v>694</v>
      </c>
      <c r="AF25" s="32">
        <f t="shared" si="17"/>
        <v>2142</v>
      </c>
    </row>
    <row r="26" spans="2:32" ht="23.1" customHeight="1" x14ac:dyDescent="0.25">
      <c r="B26" s="23" t="s">
        <v>53</v>
      </c>
      <c r="C26" s="50">
        <v>33</v>
      </c>
      <c r="D26" s="50">
        <v>6</v>
      </c>
      <c r="E26" s="50">
        <v>5</v>
      </c>
      <c r="F26" s="50">
        <v>17</v>
      </c>
      <c r="G26" s="50">
        <v>1</v>
      </c>
      <c r="H26" s="50">
        <v>0</v>
      </c>
      <c r="I26" s="50">
        <v>5</v>
      </c>
      <c r="J26" s="50">
        <v>0</v>
      </c>
      <c r="K26" s="50">
        <v>2</v>
      </c>
      <c r="L26" s="50">
        <v>1</v>
      </c>
      <c r="M26" s="50">
        <v>190</v>
      </c>
      <c r="N26" s="50">
        <v>0</v>
      </c>
      <c r="O26" s="15">
        <f t="shared" si="0"/>
        <v>70</v>
      </c>
      <c r="P26" s="15">
        <f t="shared" si="1"/>
        <v>260</v>
      </c>
      <c r="R26" s="28" t="s">
        <v>86</v>
      </c>
      <c r="S26" s="16">
        <f t="shared" ref="S26:AF26" si="18">SUM(S13:S18)</f>
        <v>808</v>
      </c>
      <c r="T26" s="16">
        <f t="shared" si="18"/>
        <v>120</v>
      </c>
      <c r="U26" s="16">
        <f t="shared" si="18"/>
        <v>170</v>
      </c>
      <c r="V26" s="16">
        <f t="shared" si="18"/>
        <v>401</v>
      </c>
      <c r="W26" s="16">
        <f t="shared" si="18"/>
        <v>7</v>
      </c>
      <c r="X26" s="16">
        <f t="shared" si="18"/>
        <v>5</v>
      </c>
      <c r="Y26" s="16">
        <f t="shared" si="18"/>
        <v>159</v>
      </c>
      <c r="Z26" s="16">
        <f t="shared" si="18"/>
        <v>9</v>
      </c>
      <c r="AA26" s="16">
        <f t="shared" si="18"/>
        <v>35</v>
      </c>
      <c r="AB26" s="16">
        <f t="shared" si="18"/>
        <v>23</v>
      </c>
      <c r="AC26" s="16">
        <f t="shared" si="18"/>
        <v>3831</v>
      </c>
      <c r="AD26" s="16">
        <f t="shared" si="18"/>
        <v>0</v>
      </c>
      <c r="AE26" s="32">
        <f t="shared" si="18"/>
        <v>1737</v>
      </c>
      <c r="AF26" s="32">
        <f t="shared" si="18"/>
        <v>5568</v>
      </c>
    </row>
    <row r="27" spans="2:32" ht="23.1" customHeight="1" x14ac:dyDescent="0.25">
      <c r="B27" s="23" t="s">
        <v>54</v>
      </c>
      <c r="C27" s="50">
        <v>38</v>
      </c>
      <c r="D27" s="50">
        <v>3</v>
      </c>
      <c r="E27" s="50">
        <v>5</v>
      </c>
      <c r="F27" s="50">
        <v>28</v>
      </c>
      <c r="G27" s="50">
        <v>1</v>
      </c>
      <c r="H27" s="50">
        <v>0</v>
      </c>
      <c r="I27" s="50">
        <v>8</v>
      </c>
      <c r="J27" s="50">
        <v>0</v>
      </c>
      <c r="K27" s="50">
        <v>4</v>
      </c>
      <c r="L27" s="50">
        <v>0</v>
      </c>
      <c r="M27" s="50">
        <v>180</v>
      </c>
      <c r="N27" s="50">
        <v>0</v>
      </c>
      <c r="O27" s="15">
        <f t="shared" si="0"/>
        <v>87</v>
      </c>
      <c r="P27" s="15">
        <f t="shared" si="1"/>
        <v>267</v>
      </c>
      <c r="R27" s="29" t="s">
        <v>87</v>
      </c>
      <c r="S27" s="16">
        <f t="shared" ref="S27:AF27" si="19">SUM(S19:S21)</f>
        <v>869</v>
      </c>
      <c r="T27" s="16">
        <f t="shared" si="19"/>
        <v>100</v>
      </c>
      <c r="U27" s="16">
        <f t="shared" si="19"/>
        <v>159</v>
      </c>
      <c r="V27" s="16">
        <f t="shared" si="19"/>
        <v>332</v>
      </c>
      <c r="W27" s="16">
        <f t="shared" si="19"/>
        <v>7</v>
      </c>
      <c r="X27" s="16">
        <f t="shared" si="19"/>
        <v>0</v>
      </c>
      <c r="Y27" s="16">
        <f t="shared" si="19"/>
        <v>92</v>
      </c>
      <c r="Z27" s="16">
        <f t="shared" si="19"/>
        <v>14</v>
      </c>
      <c r="AA27" s="16">
        <f t="shared" si="19"/>
        <v>21</v>
      </c>
      <c r="AB27" s="16">
        <f t="shared" si="19"/>
        <v>29</v>
      </c>
      <c r="AC27" s="16">
        <f t="shared" si="19"/>
        <v>2377</v>
      </c>
      <c r="AD27" s="16">
        <f t="shared" si="19"/>
        <v>0</v>
      </c>
      <c r="AE27" s="32">
        <f t="shared" si="19"/>
        <v>1623</v>
      </c>
      <c r="AF27" s="32">
        <f t="shared" si="19"/>
        <v>4000</v>
      </c>
    </row>
    <row r="28" spans="2:32" ht="23.1" customHeight="1" x14ac:dyDescent="0.25">
      <c r="B28" s="23" t="s">
        <v>55</v>
      </c>
      <c r="C28" s="50">
        <v>22</v>
      </c>
      <c r="D28" s="50">
        <v>4</v>
      </c>
      <c r="E28" s="50">
        <v>9</v>
      </c>
      <c r="F28" s="50">
        <v>21</v>
      </c>
      <c r="G28" s="50">
        <v>0</v>
      </c>
      <c r="H28" s="50">
        <v>0</v>
      </c>
      <c r="I28" s="50">
        <v>7</v>
      </c>
      <c r="J28" s="50">
        <v>0</v>
      </c>
      <c r="K28" s="50">
        <v>2</v>
      </c>
      <c r="L28" s="50">
        <v>1</v>
      </c>
      <c r="M28" s="50">
        <v>160</v>
      </c>
      <c r="N28" s="50">
        <v>0</v>
      </c>
      <c r="O28" s="15">
        <f t="shared" si="0"/>
        <v>66</v>
      </c>
      <c r="P28" s="15">
        <f t="shared" si="1"/>
        <v>226</v>
      </c>
      <c r="R28" s="5" t="s">
        <v>17</v>
      </c>
      <c r="S28" s="16">
        <f t="shared" ref="S28:AF28" si="20">SUM(S10:S21)</f>
        <v>1920</v>
      </c>
      <c r="T28" s="16">
        <f t="shared" si="20"/>
        <v>258</v>
      </c>
      <c r="U28" s="16">
        <f t="shared" si="20"/>
        <v>387</v>
      </c>
      <c r="V28" s="16">
        <f t="shared" si="20"/>
        <v>1008</v>
      </c>
      <c r="W28" s="16">
        <f t="shared" si="20"/>
        <v>19</v>
      </c>
      <c r="X28" s="16">
        <f t="shared" si="20"/>
        <v>7</v>
      </c>
      <c r="Y28" s="16">
        <f t="shared" si="20"/>
        <v>287</v>
      </c>
      <c r="Z28" s="16">
        <f t="shared" si="20"/>
        <v>28</v>
      </c>
      <c r="AA28" s="16">
        <f t="shared" si="20"/>
        <v>78</v>
      </c>
      <c r="AB28" s="16">
        <f t="shared" si="20"/>
        <v>62</v>
      </c>
      <c r="AC28" s="16">
        <f t="shared" si="20"/>
        <v>7656</v>
      </c>
      <c r="AD28" s="16">
        <f t="shared" si="20"/>
        <v>0</v>
      </c>
      <c r="AE28" s="32">
        <f t="shared" si="20"/>
        <v>4054</v>
      </c>
      <c r="AF28" s="32">
        <f t="shared" si="20"/>
        <v>11710</v>
      </c>
    </row>
    <row r="29" spans="2:32" ht="23.1" customHeight="1" x14ac:dyDescent="0.25">
      <c r="B29" s="23" t="s">
        <v>56</v>
      </c>
      <c r="C29" s="50">
        <v>32</v>
      </c>
      <c r="D29" s="50">
        <v>2</v>
      </c>
      <c r="E29" s="50">
        <v>19</v>
      </c>
      <c r="F29" s="50">
        <v>20</v>
      </c>
      <c r="G29" s="50">
        <v>1</v>
      </c>
      <c r="H29" s="50">
        <v>0</v>
      </c>
      <c r="I29" s="50">
        <v>7</v>
      </c>
      <c r="J29" s="50">
        <v>0</v>
      </c>
      <c r="K29" s="50">
        <v>1</v>
      </c>
      <c r="L29" s="50">
        <v>1</v>
      </c>
      <c r="M29" s="50">
        <v>170</v>
      </c>
      <c r="N29" s="50">
        <v>0</v>
      </c>
      <c r="O29" s="15">
        <f t="shared" si="0"/>
        <v>83</v>
      </c>
      <c r="P29" s="15">
        <f t="shared" si="1"/>
        <v>253</v>
      </c>
      <c r="R29"/>
      <c r="S29" s="20"/>
      <c r="T29" s="19"/>
    </row>
    <row r="30" spans="2:32" ht="23.1" customHeight="1" x14ac:dyDescent="0.25">
      <c r="B30" s="23" t="s">
        <v>57</v>
      </c>
      <c r="C30" s="50">
        <v>37</v>
      </c>
      <c r="D30" s="50">
        <v>7</v>
      </c>
      <c r="E30" s="50">
        <v>7</v>
      </c>
      <c r="F30" s="50">
        <v>21</v>
      </c>
      <c r="G30" s="50">
        <v>0</v>
      </c>
      <c r="H30" s="50">
        <v>0</v>
      </c>
      <c r="I30" s="50">
        <v>13</v>
      </c>
      <c r="J30" s="50">
        <v>0</v>
      </c>
      <c r="K30" s="50">
        <v>1</v>
      </c>
      <c r="L30" s="50">
        <v>0</v>
      </c>
      <c r="M30" s="50">
        <v>145</v>
      </c>
      <c r="N30" s="50">
        <v>0</v>
      </c>
      <c r="O30" s="15">
        <f t="shared" si="0"/>
        <v>86</v>
      </c>
      <c r="P30" s="15">
        <f t="shared" si="1"/>
        <v>231</v>
      </c>
    </row>
    <row r="31" spans="2:32" ht="23.1" customHeight="1" x14ac:dyDescent="0.25">
      <c r="B31" s="24" t="s">
        <v>58</v>
      </c>
      <c r="C31" s="50">
        <v>23</v>
      </c>
      <c r="D31" s="50">
        <v>4</v>
      </c>
      <c r="E31" s="50">
        <v>9</v>
      </c>
      <c r="F31" s="50">
        <v>19</v>
      </c>
      <c r="G31" s="50">
        <v>0</v>
      </c>
      <c r="H31" s="50">
        <v>0</v>
      </c>
      <c r="I31" s="50">
        <v>8</v>
      </c>
      <c r="J31" s="50">
        <v>0</v>
      </c>
      <c r="K31" s="50">
        <v>0</v>
      </c>
      <c r="L31" s="50">
        <v>0</v>
      </c>
      <c r="M31" s="50">
        <v>121</v>
      </c>
      <c r="N31" s="50">
        <v>0</v>
      </c>
      <c r="O31" s="15">
        <f t="shared" si="0"/>
        <v>63</v>
      </c>
      <c r="P31" s="15">
        <f t="shared" si="1"/>
        <v>184</v>
      </c>
    </row>
    <row r="32" spans="2:32" ht="23.1" customHeight="1" x14ac:dyDescent="0.25">
      <c r="B32" s="24" t="s">
        <v>59</v>
      </c>
      <c r="C32" s="50">
        <v>33</v>
      </c>
      <c r="D32" s="50">
        <v>7</v>
      </c>
      <c r="E32" s="50">
        <v>5</v>
      </c>
      <c r="F32" s="50">
        <v>17</v>
      </c>
      <c r="G32" s="50">
        <v>0</v>
      </c>
      <c r="H32" s="50">
        <v>1</v>
      </c>
      <c r="I32" s="50">
        <v>6</v>
      </c>
      <c r="J32" s="50">
        <v>0</v>
      </c>
      <c r="K32" s="50">
        <v>2</v>
      </c>
      <c r="L32" s="50">
        <v>0</v>
      </c>
      <c r="M32" s="50">
        <v>140</v>
      </c>
      <c r="N32" s="50">
        <v>0</v>
      </c>
      <c r="O32" s="15">
        <f t="shared" si="0"/>
        <v>71</v>
      </c>
      <c r="P32" s="15">
        <f t="shared" si="1"/>
        <v>211</v>
      </c>
    </row>
    <row r="33" spans="2:20" ht="23.1" customHeight="1" x14ac:dyDescent="0.25">
      <c r="B33" s="23" t="s">
        <v>60</v>
      </c>
      <c r="C33" s="50">
        <v>41</v>
      </c>
      <c r="D33" s="50">
        <v>7</v>
      </c>
      <c r="E33" s="50">
        <v>6</v>
      </c>
      <c r="F33" s="50">
        <v>13</v>
      </c>
      <c r="G33" s="50">
        <v>0</v>
      </c>
      <c r="H33" s="50">
        <v>0</v>
      </c>
      <c r="I33" s="50">
        <v>10</v>
      </c>
      <c r="J33" s="50">
        <v>0</v>
      </c>
      <c r="K33" s="50">
        <v>0</v>
      </c>
      <c r="L33" s="50">
        <v>0</v>
      </c>
      <c r="M33" s="50">
        <v>135</v>
      </c>
      <c r="N33" s="50">
        <v>0</v>
      </c>
      <c r="O33" s="15">
        <f t="shared" si="0"/>
        <v>77</v>
      </c>
      <c r="P33" s="15">
        <f t="shared" si="1"/>
        <v>212</v>
      </c>
    </row>
    <row r="34" spans="2:20" ht="23.1" customHeight="1" x14ac:dyDescent="0.25">
      <c r="B34" s="24" t="s">
        <v>61</v>
      </c>
      <c r="C34" s="50">
        <v>32</v>
      </c>
      <c r="D34" s="50">
        <v>6</v>
      </c>
      <c r="E34" s="50">
        <v>7</v>
      </c>
      <c r="F34" s="50">
        <v>18</v>
      </c>
      <c r="G34" s="50">
        <v>0</v>
      </c>
      <c r="H34" s="50">
        <v>0</v>
      </c>
      <c r="I34" s="50">
        <v>11</v>
      </c>
      <c r="J34" s="50">
        <v>0</v>
      </c>
      <c r="K34" s="50">
        <v>2</v>
      </c>
      <c r="L34" s="50">
        <v>1</v>
      </c>
      <c r="M34" s="50">
        <v>150</v>
      </c>
      <c r="N34" s="50">
        <v>0</v>
      </c>
      <c r="O34" s="15">
        <f t="shared" si="0"/>
        <v>77</v>
      </c>
      <c r="P34" s="15">
        <f t="shared" si="1"/>
        <v>227</v>
      </c>
    </row>
    <row r="35" spans="2:20" ht="23.1" customHeight="1" x14ac:dyDescent="0.25">
      <c r="B35" s="24" t="s">
        <v>62</v>
      </c>
      <c r="C35" s="50">
        <v>33</v>
      </c>
      <c r="D35" s="50">
        <v>4</v>
      </c>
      <c r="E35" s="50">
        <v>8</v>
      </c>
      <c r="F35" s="50">
        <v>18</v>
      </c>
      <c r="G35" s="50">
        <v>0</v>
      </c>
      <c r="H35" s="50">
        <v>1</v>
      </c>
      <c r="I35" s="50">
        <v>3</v>
      </c>
      <c r="J35" s="50">
        <v>1</v>
      </c>
      <c r="K35" s="50">
        <v>0</v>
      </c>
      <c r="L35" s="50">
        <v>0</v>
      </c>
      <c r="M35" s="50">
        <v>130</v>
      </c>
      <c r="N35" s="50">
        <v>0</v>
      </c>
      <c r="O35" s="15">
        <f t="shared" si="0"/>
        <v>68</v>
      </c>
      <c r="P35" s="15">
        <f t="shared" si="1"/>
        <v>198</v>
      </c>
    </row>
    <row r="36" spans="2:20" ht="23.1" customHeight="1" x14ac:dyDescent="0.25">
      <c r="B36" s="24" t="s">
        <v>63</v>
      </c>
      <c r="C36" s="50">
        <v>30</v>
      </c>
      <c r="D36" s="50">
        <v>5</v>
      </c>
      <c r="E36" s="50">
        <v>4</v>
      </c>
      <c r="F36" s="50">
        <v>17</v>
      </c>
      <c r="G36" s="50">
        <v>1</v>
      </c>
      <c r="H36" s="50">
        <v>0</v>
      </c>
      <c r="I36" s="50">
        <v>5</v>
      </c>
      <c r="J36" s="50">
        <v>0</v>
      </c>
      <c r="K36" s="50">
        <v>1</v>
      </c>
      <c r="L36" s="50">
        <v>0</v>
      </c>
      <c r="M36" s="50">
        <v>110</v>
      </c>
      <c r="N36" s="50">
        <v>0</v>
      </c>
      <c r="O36" s="15">
        <f t="shared" si="0"/>
        <v>63</v>
      </c>
      <c r="P36" s="15">
        <f t="shared" si="1"/>
        <v>173</v>
      </c>
    </row>
    <row r="37" spans="2:20" ht="23.1" customHeight="1" x14ac:dyDescent="0.25">
      <c r="B37" s="23" t="s">
        <v>64</v>
      </c>
      <c r="C37" s="50">
        <v>43</v>
      </c>
      <c r="D37" s="50">
        <v>4</v>
      </c>
      <c r="E37" s="50">
        <v>5</v>
      </c>
      <c r="F37" s="50">
        <v>15</v>
      </c>
      <c r="G37" s="50">
        <v>1</v>
      </c>
      <c r="H37" s="50">
        <v>0</v>
      </c>
      <c r="I37" s="50">
        <v>6</v>
      </c>
      <c r="J37" s="50">
        <v>0</v>
      </c>
      <c r="K37" s="50">
        <v>2</v>
      </c>
      <c r="L37" s="50">
        <v>3</v>
      </c>
      <c r="M37" s="50">
        <v>150</v>
      </c>
      <c r="N37" s="50">
        <v>0</v>
      </c>
      <c r="O37" s="15">
        <f t="shared" si="0"/>
        <v>79</v>
      </c>
      <c r="P37" s="15">
        <f t="shared" si="1"/>
        <v>229</v>
      </c>
    </row>
    <row r="38" spans="2:20" ht="23.1" customHeight="1" x14ac:dyDescent="0.25">
      <c r="B38" s="24" t="s">
        <v>65</v>
      </c>
      <c r="C38" s="50">
        <v>42</v>
      </c>
      <c r="D38" s="50">
        <v>7</v>
      </c>
      <c r="E38" s="50">
        <v>3</v>
      </c>
      <c r="F38" s="50">
        <v>13</v>
      </c>
      <c r="G38" s="50">
        <v>0</v>
      </c>
      <c r="H38" s="50">
        <v>1</v>
      </c>
      <c r="I38" s="50">
        <v>4</v>
      </c>
      <c r="J38" s="50">
        <v>1</v>
      </c>
      <c r="K38" s="50">
        <v>1</v>
      </c>
      <c r="L38" s="50">
        <v>0</v>
      </c>
      <c r="M38" s="50">
        <v>210</v>
      </c>
      <c r="N38" s="50">
        <v>0</v>
      </c>
      <c r="O38" s="15">
        <f t="shared" si="0"/>
        <v>72</v>
      </c>
      <c r="P38" s="15">
        <f t="shared" si="1"/>
        <v>282</v>
      </c>
    </row>
    <row r="39" spans="2:20" ht="23.1" customHeight="1" x14ac:dyDescent="0.25">
      <c r="B39" s="24" t="s">
        <v>66</v>
      </c>
      <c r="C39" s="50">
        <v>45</v>
      </c>
      <c r="D39" s="50">
        <v>9</v>
      </c>
      <c r="E39" s="50">
        <v>7</v>
      </c>
      <c r="F39" s="50">
        <v>10</v>
      </c>
      <c r="G39" s="50">
        <v>0</v>
      </c>
      <c r="H39" s="50">
        <v>0</v>
      </c>
      <c r="I39" s="50">
        <v>4</v>
      </c>
      <c r="J39" s="50">
        <v>0</v>
      </c>
      <c r="K39" s="50">
        <v>2</v>
      </c>
      <c r="L39" s="50">
        <v>3</v>
      </c>
      <c r="M39" s="50">
        <v>140</v>
      </c>
      <c r="N39" s="50">
        <v>0</v>
      </c>
      <c r="O39" s="15">
        <f t="shared" si="0"/>
        <v>80</v>
      </c>
      <c r="P39" s="15">
        <f t="shared" si="1"/>
        <v>220</v>
      </c>
    </row>
    <row r="40" spans="2:20" ht="23.1" customHeight="1" x14ac:dyDescent="0.25">
      <c r="B40" s="24" t="s">
        <v>67</v>
      </c>
      <c r="C40" s="50">
        <v>44</v>
      </c>
      <c r="D40" s="50">
        <v>5</v>
      </c>
      <c r="E40" s="50">
        <v>10</v>
      </c>
      <c r="F40" s="50">
        <v>16</v>
      </c>
      <c r="G40" s="50">
        <v>0</v>
      </c>
      <c r="H40" s="50">
        <v>0</v>
      </c>
      <c r="I40" s="50">
        <v>8</v>
      </c>
      <c r="J40" s="50">
        <v>2</v>
      </c>
      <c r="K40" s="50">
        <v>3</v>
      </c>
      <c r="L40" s="50">
        <v>2</v>
      </c>
      <c r="M40" s="50">
        <v>150</v>
      </c>
      <c r="N40" s="50">
        <v>0</v>
      </c>
      <c r="O40" s="15">
        <f t="shared" si="0"/>
        <v>90</v>
      </c>
      <c r="P40" s="15">
        <f t="shared" si="1"/>
        <v>240</v>
      </c>
    </row>
    <row r="41" spans="2:20" ht="23.1" customHeight="1" x14ac:dyDescent="0.25">
      <c r="B41" s="23" t="s">
        <v>68</v>
      </c>
      <c r="C41" s="50">
        <v>40</v>
      </c>
      <c r="D41" s="50">
        <v>3</v>
      </c>
      <c r="E41" s="50">
        <v>5</v>
      </c>
      <c r="F41" s="50">
        <v>12</v>
      </c>
      <c r="G41" s="50">
        <v>0</v>
      </c>
      <c r="H41" s="50">
        <v>0</v>
      </c>
      <c r="I41" s="50">
        <v>6</v>
      </c>
      <c r="J41" s="50">
        <v>0</v>
      </c>
      <c r="K41" s="50">
        <v>1</v>
      </c>
      <c r="L41" s="50">
        <v>3</v>
      </c>
      <c r="M41" s="50">
        <v>165</v>
      </c>
      <c r="N41" s="50">
        <v>0</v>
      </c>
      <c r="O41" s="15">
        <f t="shared" si="0"/>
        <v>70</v>
      </c>
      <c r="P41" s="15">
        <f t="shared" si="1"/>
        <v>235</v>
      </c>
    </row>
    <row r="42" spans="2:20" ht="23.1" customHeight="1" x14ac:dyDescent="0.25">
      <c r="B42" s="24" t="s">
        <v>69</v>
      </c>
      <c r="C42" s="50">
        <v>38</v>
      </c>
      <c r="D42" s="50">
        <v>2</v>
      </c>
      <c r="E42" s="50">
        <v>8</v>
      </c>
      <c r="F42" s="50">
        <v>16</v>
      </c>
      <c r="G42" s="50">
        <v>0</v>
      </c>
      <c r="H42" s="50">
        <v>1</v>
      </c>
      <c r="I42" s="50">
        <v>7</v>
      </c>
      <c r="J42" s="50">
        <v>0</v>
      </c>
      <c r="K42" s="50">
        <v>2</v>
      </c>
      <c r="L42" s="50">
        <v>1</v>
      </c>
      <c r="M42" s="50">
        <v>185</v>
      </c>
      <c r="N42" s="50">
        <v>0</v>
      </c>
      <c r="O42" s="15">
        <f t="shared" si="0"/>
        <v>75</v>
      </c>
      <c r="P42" s="15">
        <f t="shared" si="1"/>
        <v>260</v>
      </c>
    </row>
    <row r="43" spans="2:20" ht="23.1" customHeight="1" x14ac:dyDescent="0.25">
      <c r="B43" s="23" t="s">
        <v>70</v>
      </c>
      <c r="C43" s="50">
        <v>30</v>
      </c>
      <c r="D43" s="50">
        <v>6</v>
      </c>
      <c r="E43" s="50">
        <v>4</v>
      </c>
      <c r="F43" s="50">
        <v>7</v>
      </c>
      <c r="G43" s="50">
        <v>0</v>
      </c>
      <c r="H43" s="50">
        <v>0</v>
      </c>
      <c r="I43" s="50">
        <v>5</v>
      </c>
      <c r="J43" s="50">
        <v>2</v>
      </c>
      <c r="K43" s="50">
        <v>1</v>
      </c>
      <c r="L43" s="50">
        <v>0</v>
      </c>
      <c r="M43" s="50">
        <v>210</v>
      </c>
      <c r="N43" s="50">
        <v>0</v>
      </c>
      <c r="O43" s="15">
        <f t="shared" si="0"/>
        <v>55</v>
      </c>
      <c r="P43" s="15">
        <f t="shared" si="1"/>
        <v>265</v>
      </c>
    </row>
    <row r="44" spans="2:20" ht="23.1" customHeight="1" x14ac:dyDescent="0.25">
      <c r="B44" s="25" t="s">
        <v>71</v>
      </c>
      <c r="C44" s="50">
        <v>37</v>
      </c>
      <c r="D44" s="50">
        <v>6</v>
      </c>
      <c r="E44" s="50">
        <v>10</v>
      </c>
      <c r="F44" s="50">
        <v>13</v>
      </c>
      <c r="G44" s="50">
        <v>0</v>
      </c>
      <c r="H44" s="50">
        <v>1</v>
      </c>
      <c r="I44" s="50">
        <v>4</v>
      </c>
      <c r="J44" s="50">
        <v>1</v>
      </c>
      <c r="K44" s="50">
        <v>0</v>
      </c>
      <c r="L44" s="50">
        <v>0</v>
      </c>
      <c r="M44" s="50">
        <v>170</v>
      </c>
      <c r="N44" s="50">
        <v>0</v>
      </c>
      <c r="O44" s="15">
        <f t="shared" si="0"/>
        <v>72</v>
      </c>
      <c r="P44" s="15">
        <f t="shared" si="1"/>
        <v>242</v>
      </c>
    </row>
    <row r="45" spans="2:20" ht="23.1" customHeight="1" x14ac:dyDescent="0.25">
      <c r="B45" s="23" t="s">
        <v>72</v>
      </c>
      <c r="C45" s="50">
        <v>35</v>
      </c>
      <c r="D45" s="50">
        <v>8</v>
      </c>
      <c r="E45" s="50">
        <v>14</v>
      </c>
      <c r="F45" s="50">
        <v>19</v>
      </c>
      <c r="G45" s="50">
        <v>0</v>
      </c>
      <c r="H45" s="50">
        <v>0</v>
      </c>
      <c r="I45" s="50">
        <v>6</v>
      </c>
      <c r="J45" s="50">
        <v>0</v>
      </c>
      <c r="K45" s="50">
        <v>1</v>
      </c>
      <c r="L45" s="50">
        <v>2</v>
      </c>
      <c r="M45" s="50">
        <v>155</v>
      </c>
      <c r="N45" s="50">
        <v>0</v>
      </c>
      <c r="O45" s="15">
        <f t="shared" si="0"/>
        <v>85</v>
      </c>
      <c r="P45" s="15">
        <f t="shared" si="1"/>
        <v>240</v>
      </c>
    </row>
    <row r="46" spans="2:20" ht="23.1" customHeight="1" x14ac:dyDescent="0.25">
      <c r="B46" s="24" t="s">
        <v>73</v>
      </c>
      <c r="C46" s="50">
        <v>40</v>
      </c>
      <c r="D46" s="50">
        <v>3</v>
      </c>
      <c r="E46" s="50">
        <v>8</v>
      </c>
      <c r="F46" s="50">
        <v>20</v>
      </c>
      <c r="G46" s="50">
        <v>0</v>
      </c>
      <c r="H46" s="50">
        <v>0</v>
      </c>
      <c r="I46" s="50">
        <v>6</v>
      </c>
      <c r="J46" s="50">
        <v>0</v>
      </c>
      <c r="K46" s="50">
        <v>2</v>
      </c>
      <c r="L46" s="50">
        <v>2</v>
      </c>
      <c r="M46" s="50">
        <v>115</v>
      </c>
      <c r="N46" s="50">
        <v>0</v>
      </c>
      <c r="O46" s="15">
        <f t="shared" si="0"/>
        <v>81</v>
      </c>
      <c r="P46" s="15">
        <f t="shared" si="1"/>
        <v>196</v>
      </c>
      <c r="R46" s="8"/>
      <c r="T46"/>
    </row>
    <row r="47" spans="2:20" ht="23.1" customHeight="1" x14ac:dyDescent="0.25">
      <c r="B47" s="24" t="s">
        <v>74</v>
      </c>
      <c r="C47" s="50">
        <v>30</v>
      </c>
      <c r="D47" s="50">
        <v>5</v>
      </c>
      <c r="E47" s="50">
        <v>9</v>
      </c>
      <c r="F47" s="50">
        <v>25</v>
      </c>
      <c r="G47" s="50">
        <v>1</v>
      </c>
      <c r="H47" s="50">
        <v>0</v>
      </c>
      <c r="I47" s="50">
        <v>3</v>
      </c>
      <c r="J47" s="50">
        <v>0</v>
      </c>
      <c r="K47" s="50">
        <v>2</v>
      </c>
      <c r="L47" s="50">
        <v>2</v>
      </c>
      <c r="M47" s="50">
        <v>180</v>
      </c>
      <c r="N47" s="50">
        <v>0</v>
      </c>
      <c r="O47" s="15">
        <f t="shared" si="0"/>
        <v>77</v>
      </c>
      <c r="P47" s="15">
        <f t="shared" si="1"/>
        <v>257</v>
      </c>
      <c r="R47" s="8"/>
      <c r="T47"/>
    </row>
    <row r="48" spans="2:20" ht="23.1" customHeight="1" x14ac:dyDescent="0.25">
      <c r="B48" s="24" t="s">
        <v>75</v>
      </c>
      <c r="C48" s="50">
        <v>35</v>
      </c>
      <c r="D48" s="50">
        <v>6</v>
      </c>
      <c r="E48" s="50">
        <v>8</v>
      </c>
      <c r="F48" s="50">
        <v>30</v>
      </c>
      <c r="G48" s="50">
        <v>0</v>
      </c>
      <c r="H48" s="50">
        <v>0</v>
      </c>
      <c r="I48" s="50">
        <v>6</v>
      </c>
      <c r="J48" s="50">
        <v>1</v>
      </c>
      <c r="K48" s="50">
        <v>0</v>
      </c>
      <c r="L48" s="50">
        <v>3</v>
      </c>
      <c r="M48" s="50">
        <v>190</v>
      </c>
      <c r="N48" s="50">
        <v>0</v>
      </c>
      <c r="O48" s="15">
        <f t="shared" si="0"/>
        <v>89</v>
      </c>
      <c r="P48" s="15">
        <f t="shared" si="1"/>
        <v>279</v>
      </c>
      <c r="R48" s="8"/>
      <c r="T48"/>
    </row>
    <row r="49" spans="2:20" ht="23.1" customHeight="1" x14ac:dyDescent="0.25">
      <c r="B49" s="23" t="s">
        <v>76</v>
      </c>
      <c r="C49" s="50">
        <v>40</v>
      </c>
      <c r="D49" s="50">
        <v>7</v>
      </c>
      <c r="E49" s="50">
        <v>6</v>
      </c>
      <c r="F49" s="50">
        <v>29</v>
      </c>
      <c r="G49" s="50">
        <v>0</v>
      </c>
      <c r="H49" s="50">
        <v>0</v>
      </c>
      <c r="I49" s="50">
        <v>1</v>
      </c>
      <c r="J49" s="50">
        <v>0</v>
      </c>
      <c r="K49" s="50">
        <v>1</v>
      </c>
      <c r="L49" s="50">
        <v>4</v>
      </c>
      <c r="M49" s="50">
        <v>210</v>
      </c>
      <c r="N49" s="50">
        <v>0</v>
      </c>
      <c r="O49" s="15">
        <f t="shared" si="0"/>
        <v>88</v>
      </c>
      <c r="P49" s="15">
        <f t="shared" si="1"/>
        <v>298</v>
      </c>
      <c r="R49" s="8"/>
      <c r="T49"/>
    </row>
    <row r="50" spans="2:20" ht="23.1" customHeight="1" x14ac:dyDescent="0.25">
      <c r="B50" s="24" t="s">
        <v>77</v>
      </c>
      <c r="C50" s="50">
        <v>40</v>
      </c>
      <c r="D50" s="50">
        <v>7</v>
      </c>
      <c r="E50" s="50">
        <v>15</v>
      </c>
      <c r="F50" s="50">
        <v>20</v>
      </c>
      <c r="G50" s="50">
        <v>0</v>
      </c>
      <c r="H50" s="50">
        <v>0</v>
      </c>
      <c r="I50" s="50">
        <v>8</v>
      </c>
      <c r="J50" s="50">
        <v>0</v>
      </c>
      <c r="K50" s="50">
        <v>4</v>
      </c>
      <c r="L50" s="50">
        <v>2</v>
      </c>
      <c r="M50" s="50">
        <v>195</v>
      </c>
      <c r="N50" s="50">
        <v>0</v>
      </c>
      <c r="O50" s="15">
        <f t="shared" si="0"/>
        <v>96</v>
      </c>
      <c r="P50" s="15">
        <f t="shared" si="1"/>
        <v>291</v>
      </c>
      <c r="R50" s="8"/>
      <c r="T50"/>
    </row>
    <row r="51" spans="2:20" ht="23.1" customHeight="1" x14ac:dyDescent="0.25">
      <c r="B51" s="24" t="s">
        <v>78</v>
      </c>
      <c r="C51" s="50">
        <v>45</v>
      </c>
      <c r="D51" s="50">
        <v>10</v>
      </c>
      <c r="E51" s="50">
        <v>18</v>
      </c>
      <c r="F51" s="50">
        <v>25</v>
      </c>
      <c r="G51" s="50">
        <v>2</v>
      </c>
      <c r="H51" s="50">
        <v>0</v>
      </c>
      <c r="I51" s="50">
        <v>7</v>
      </c>
      <c r="J51" s="50">
        <v>0</v>
      </c>
      <c r="K51" s="50">
        <v>2</v>
      </c>
      <c r="L51" s="50">
        <v>3</v>
      </c>
      <c r="M51" s="50">
        <v>180</v>
      </c>
      <c r="N51" s="50">
        <v>0</v>
      </c>
      <c r="O51" s="15">
        <f t="shared" si="0"/>
        <v>112</v>
      </c>
      <c r="P51" s="15">
        <f t="shared" si="1"/>
        <v>292</v>
      </c>
      <c r="R51" s="8"/>
      <c r="T51"/>
    </row>
    <row r="52" spans="2:20" ht="23.1" customHeight="1" x14ac:dyDescent="0.25">
      <c r="B52" s="24" t="s">
        <v>79</v>
      </c>
      <c r="C52" s="50">
        <v>50</v>
      </c>
      <c r="D52" s="50">
        <v>7</v>
      </c>
      <c r="E52" s="50">
        <v>20</v>
      </c>
      <c r="F52" s="50">
        <v>30</v>
      </c>
      <c r="G52" s="50">
        <v>0</v>
      </c>
      <c r="H52" s="50">
        <v>0</v>
      </c>
      <c r="I52" s="50">
        <v>10</v>
      </c>
      <c r="J52" s="50">
        <v>3</v>
      </c>
      <c r="K52" s="50">
        <v>2</v>
      </c>
      <c r="L52" s="50">
        <v>4</v>
      </c>
      <c r="M52" s="50">
        <v>230</v>
      </c>
      <c r="N52" s="50">
        <v>0</v>
      </c>
      <c r="O52" s="15">
        <f t="shared" si="0"/>
        <v>126</v>
      </c>
      <c r="P52" s="15">
        <f t="shared" si="1"/>
        <v>356</v>
      </c>
      <c r="R52" s="8"/>
      <c r="T52"/>
    </row>
    <row r="53" spans="2:20" ht="23.1" customHeight="1" x14ac:dyDescent="0.25">
      <c r="B53" s="23" t="s">
        <v>80</v>
      </c>
      <c r="C53" s="50">
        <v>105</v>
      </c>
      <c r="D53" s="50">
        <v>8</v>
      </c>
      <c r="E53" s="50">
        <v>16</v>
      </c>
      <c r="F53" s="50">
        <v>18</v>
      </c>
      <c r="G53" s="50">
        <v>1</v>
      </c>
      <c r="H53" s="50">
        <v>0</v>
      </c>
      <c r="I53" s="50">
        <v>5</v>
      </c>
      <c r="J53" s="50">
        <v>1</v>
      </c>
      <c r="K53" s="50">
        <v>1</v>
      </c>
      <c r="L53" s="50">
        <v>2</v>
      </c>
      <c r="M53" s="50">
        <v>210</v>
      </c>
      <c r="N53" s="50">
        <v>0</v>
      </c>
      <c r="O53" s="15">
        <f t="shared" si="0"/>
        <v>157</v>
      </c>
      <c r="P53" s="15">
        <f t="shared" si="1"/>
        <v>367</v>
      </c>
      <c r="R53" s="8"/>
      <c r="T53"/>
    </row>
    <row r="54" spans="2:20" ht="23.1" customHeight="1" x14ac:dyDescent="0.25">
      <c r="B54" s="23" t="s">
        <v>81</v>
      </c>
      <c r="C54" s="50">
        <v>110</v>
      </c>
      <c r="D54" s="50">
        <v>16</v>
      </c>
      <c r="E54" s="50">
        <v>11</v>
      </c>
      <c r="F54" s="50">
        <v>32</v>
      </c>
      <c r="G54" s="50">
        <v>1</v>
      </c>
      <c r="H54" s="50">
        <v>0</v>
      </c>
      <c r="I54" s="50">
        <v>8</v>
      </c>
      <c r="J54" s="50">
        <v>1</v>
      </c>
      <c r="K54" s="50">
        <v>2</v>
      </c>
      <c r="L54" s="50">
        <v>1</v>
      </c>
      <c r="M54" s="50">
        <v>215</v>
      </c>
      <c r="N54" s="50">
        <v>0</v>
      </c>
      <c r="O54" s="15">
        <f t="shared" si="0"/>
        <v>182</v>
      </c>
      <c r="P54" s="15">
        <f t="shared" si="1"/>
        <v>397</v>
      </c>
      <c r="R54" s="8"/>
      <c r="T54"/>
    </row>
    <row r="55" spans="2:20" ht="23.1" customHeight="1" x14ac:dyDescent="0.25">
      <c r="B55" s="23" t="s">
        <v>82</v>
      </c>
      <c r="C55" s="50">
        <v>120</v>
      </c>
      <c r="D55" s="50">
        <v>8</v>
      </c>
      <c r="E55" s="50">
        <v>13</v>
      </c>
      <c r="F55" s="50">
        <v>33</v>
      </c>
      <c r="G55" s="50">
        <v>0</v>
      </c>
      <c r="H55" s="50">
        <v>0</v>
      </c>
      <c r="I55" s="50">
        <v>10</v>
      </c>
      <c r="J55" s="50">
        <v>1</v>
      </c>
      <c r="K55" s="50">
        <v>0</v>
      </c>
      <c r="L55" s="50">
        <v>1</v>
      </c>
      <c r="M55" s="50">
        <v>197</v>
      </c>
      <c r="N55" s="50">
        <v>0</v>
      </c>
      <c r="O55" s="15">
        <f t="shared" si="0"/>
        <v>186</v>
      </c>
      <c r="P55" s="15">
        <f t="shared" si="1"/>
        <v>383</v>
      </c>
      <c r="R55" s="8"/>
      <c r="T55"/>
    </row>
    <row r="56" spans="2:20" ht="23.1" customHeight="1" x14ac:dyDescent="0.25">
      <c r="B56" s="23" t="s">
        <v>83</v>
      </c>
      <c r="C56" s="50">
        <v>124</v>
      </c>
      <c r="D56" s="50">
        <v>10</v>
      </c>
      <c r="E56" s="50">
        <v>15</v>
      </c>
      <c r="F56" s="50">
        <v>40</v>
      </c>
      <c r="G56" s="50">
        <v>2</v>
      </c>
      <c r="H56" s="50">
        <v>0</v>
      </c>
      <c r="I56" s="50">
        <v>8</v>
      </c>
      <c r="J56" s="50">
        <v>3</v>
      </c>
      <c r="K56" s="50">
        <v>3</v>
      </c>
      <c r="L56" s="50">
        <v>4</v>
      </c>
      <c r="M56" s="50">
        <v>215</v>
      </c>
      <c r="N56" s="50">
        <v>0</v>
      </c>
      <c r="O56" s="15">
        <f t="shared" si="0"/>
        <v>209</v>
      </c>
      <c r="P56" s="15">
        <f t="shared" si="1"/>
        <v>424</v>
      </c>
      <c r="R56" s="8"/>
      <c r="T56"/>
    </row>
    <row r="57" spans="2:20" ht="23.1" customHeight="1" x14ac:dyDescent="0.25">
      <c r="B57" s="23" t="s">
        <v>84</v>
      </c>
      <c r="C57" s="50">
        <v>130</v>
      </c>
      <c r="D57" s="50">
        <v>13</v>
      </c>
      <c r="E57" s="50">
        <v>20</v>
      </c>
      <c r="F57" s="50">
        <v>30</v>
      </c>
      <c r="G57" s="50">
        <v>0</v>
      </c>
      <c r="H57" s="50">
        <v>0</v>
      </c>
      <c r="I57" s="50">
        <v>20</v>
      </c>
      <c r="J57" s="50">
        <v>4</v>
      </c>
      <c r="K57" s="50">
        <v>2</v>
      </c>
      <c r="L57" s="50">
        <v>1</v>
      </c>
      <c r="M57" s="50">
        <v>240</v>
      </c>
      <c r="N57" s="50">
        <v>0</v>
      </c>
      <c r="O57" s="15">
        <f t="shared" si="0"/>
        <v>220</v>
      </c>
      <c r="P57" s="15">
        <f t="shared" si="1"/>
        <v>460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1920</v>
      </c>
      <c r="D58" s="16">
        <f t="shared" si="21"/>
        <v>258</v>
      </c>
      <c r="E58" s="16">
        <f t="shared" si="21"/>
        <v>387</v>
      </c>
      <c r="F58" s="16">
        <f t="shared" si="21"/>
        <v>1008</v>
      </c>
      <c r="G58" s="16">
        <f t="shared" si="21"/>
        <v>19</v>
      </c>
      <c r="H58" s="16">
        <f t="shared" si="21"/>
        <v>7</v>
      </c>
      <c r="I58" s="16">
        <f t="shared" si="21"/>
        <v>287</v>
      </c>
      <c r="J58" s="16">
        <f t="shared" si="21"/>
        <v>28</v>
      </c>
      <c r="K58" s="16">
        <f t="shared" si="21"/>
        <v>78</v>
      </c>
      <c r="L58" s="16">
        <f t="shared" si="21"/>
        <v>62</v>
      </c>
      <c r="M58" s="16">
        <f t="shared" si="21"/>
        <v>7656</v>
      </c>
      <c r="N58" s="16">
        <f t="shared" si="21"/>
        <v>0</v>
      </c>
      <c r="O58" s="16">
        <f t="shared" si="21"/>
        <v>4054</v>
      </c>
      <c r="P58" s="16">
        <f t="shared" si="21"/>
        <v>11710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0.16396242527754057</v>
      </c>
      <c r="D59" s="43">
        <f t="shared" si="22"/>
        <v>2.2032450896669512E-2</v>
      </c>
      <c r="E59" s="43">
        <f t="shared" si="22"/>
        <v>3.3048676345004267E-2</v>
      </c>
      <c r="F59" s="43">
        <f t="shared" si="22"/>
        <v>8.6080273270708801E-2</v>
      </c>
      <c r="G59" s="43">
        <f t="shared" si="22"/>
        <v>1.6225448334756618E-3</v>
      </c>
      <c r="H59" s="43">
        <f t="shared" si="22"/>
        <v>5.9777967549103333E-4</v>
      </c>
      <c r="I59" s="43">
        <f t="shared" si="22"/>
        <v>2.4508966695132365E-2</v>
      </c>
      <c r="J59" s="43">
        <f t="shared" si="22"/>
        <v>2.3911187019641333E-3</v>
      </c>
      <c r="K59" s="43">
        <f t="shared" si="22"/>
        <v>6.6609735269000858E-3</v>
      </c>
      <c r="L59" s="43">
        <f t="shared" si="22"/>
        <v>5.2946199829205804E-3</v>
      </c>
      <c r="M59" s="43">
        <f t="shared" si="22"/>
        <v>0.65380017079419295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0.47360631475086334</v>
      </c>
      <c r="D60" s="44">
        <f t="shared" ref="D60:N60" si="23">D58/$O$58</f>
        <v>6.3640848544647258E-2</v>
      </c>
      <c r="E60" s="44">
        <f t="shared" si="23"/>
        <v>9.5461272816970894E-2</v>
      </c>
      <c r="F60" s="44">
        <f t="shared" si="23"/>
        <v>0.24864331524420324</v>
      </c>
      <c r="G60" s="44">
        <f t="shared" si="23"/>
        <v>4.6867291563887515E-3</v>
      </c>
      <c r="H60" s="44">
        <f t="shared" si="23"/>
        <v>1.726689689195856E-3</v>
      </c>
      <c r="I60" s="44">
        <f t="shared" si="23"/>
        <v>7.0794277257030094E-2</v>
      </c>
      <c r="J60" s="44">
        <f t="shared" si="23"/>
        <v>6.9067587567834239E-3</v>
      </c>
      <c r="K60" s="44">
        <f t="shared" si="23"/>
        <v>1.9240256536753823E-2</v>
      </c>
      <c r="L60" s="44">
        <f t="shared" si="23"/>
        <v>1.5293537247163296E-2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52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D1" zoomScale="84" zoomScaleSheetLayoutView="84" workbookViewId="0">
      <selection activeCell="G6" sqref="G6:H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2" t="str">
        <f>'22.07 Kitebi-Kabusu'!C3:G3</f>
        <v>MCC - C1 - STN06-WANKULUKUKU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165</v>
      </c>
      <c r="E5" s="3"/>
      <c r="F5" s="41" t="s">
        <v>1</v>
      </c>
      <c r="G5" s="57" t="str">
        <f>'24.07 Kabusu-Kitebi'!G5:H5</f>
        <v>kobil head office</v>
      </c>
      <c r="H5" s="58"/>
      <c r="I5" s="14"/>
      <c r="J5" s="2" t="s">
        <v>5</v>
      </c>
      <c r="K5" s="57" t="s">
        <v>174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176</v>
      </c>
      <c r="E6" s="58"/>
      <c r="F6" s="2" t="s">
        <v>2</v>
      </c>
      <c r="G6" s="57" t="s">
        <v>171</v>
      </c>
      <c r="H6" s="58"/>
      <c r="J6" s="2" t="s">
        <v>21</v>
      </c>
      <c r="K6" s="57" t="str">
        <f>'24.07 Kabusu-Kitebi'!K6:L6</f>
        <v>Felix Oloya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38</v>
      </c>
      <c r="D10" s="50">
        <v>8</v>
      </c>
      <c r="E10" s="50">
        <v>3</v>
      </c>
      <c r="F10" s="50">
        <v>24</v>
      </c>
      <c r="G10" s="50">
        <v>0</v>
      </c>
      <c r="H10" s="50">
        <v>1</v>
      </c>
      <c r="I10" s="50">
        <v>5</v>
      </c>
      <c r="J10" s="50">
        <v>0</v>
      </c>
      <c r="K10" s="50">
        <v>0</v>
      </c>
      <c r="L10" s="50">
        <v>1</v>
      </c>
      <c r="M10" s="50">
        <v>77</v>
      </c>
      <c r="N10" s="50">
        <v>0</v>
      </c>
      <c r="O10" s="15">
        <f t="shared" ref="O10:O57" si="0">SUM(C10:L10,N10)</f>
        <v>80</v>
      </c>
      <c r="P10" s="15">
        <f t="shared" ref="P10:P57" si="1">SUM(C10:N10)</f>
        <v>157</v>
      </c>
      <c r="R10" s="1" t="s">
        <v>6</v>
      </c>
      <c r="S10" s="17">
        <f t="shared" ref="S10:AF10" si="2">SUM(C10:C13)</f>
        <v>133</v>
      </c>
      <c r="T10" s="17">
        <f t="shared" si="2"/>
        <v>15</v>
      </c>
      <c r="U10" s="17">
        <f t="shared" si="2"/>
        <v>8</v>
      </c>
      <c r="V10" s="17">
        <f t="shared" si="2"/>
        <v>101</v>
      </c>
      <c r="W10" s="17">
        <f t="shared" si="2"/>
        <v>2</v>
      </c>
      <c r="X10" s="17">
        <f t="shared" si="2"/>
        <v>2</v>
      </c>
      <c r="Y10" s="17">
        <f t="shared" si="2"/>
        <v>13</v>
      </c>
      <c r="Z10" s="17">
        <f t="shared" si="2"/>
        <v>0</v>
      </c>
      <c r="AA10" s="17">
        <f t="shared" si="2"/>
        <v>2</v>
      </c>
      <c r="AB10" s="17">
        <f t="shared" si="2"/>
        <v>5</v>
      </c>
      <c r="AC10" s="17">
        <f t="shared" si="2"/>
        <v>587</v>
      </c>
      <c r="AD10" s="17">
        <f t="shared" si="2"/>
        <v>0</v>
      </c>
      <c r="AE10" s="31">
        <f t="shared" si="2"/>
        <v>281</v>
      </c>
      <c r="AF10" s="31">
        <f t="shared" si="2"/>
        <v>868</v>
      </c>
    </row>
    <row r="11" spans="2:32" s="6" customFormat="1" ht="23.1" customHeight="1" x14ac:dyDescent="0.25">
      <c r="B11" s="23" t="s">
        <v>38</v>
      </c>
      <c r="C11" s="50">
        <v>33</v>
      </c>
      <c r="D11" s="50">
        <v>1</v>
      </c>
      <c r="E11" s="50">
        <v>0</v>
      </c>
      <c r="F11" s="50">
        <v>25</v>
      </c>
      <c r="G11" s="50">
        <v>1</v>
      </c>
      <c r="H11" s="50">
        <v>0</v>
      </c>
      <c r="I11" s="50">
        <v>2</v>
      </c>
      <c r="J11" s="50">
        <v>0</v>
      </c>
      <c r="K11" s="50">
        <v>1</v>
      </c>
      <c r="L11" s="50">
        <v>0</v>
      </c>
      <c r="M11" s="50">
        <v>155</v>
      </c>
      <c r="N11" s="50">
        <v>0</v>
      </c>
      <c r="O11" s="15">
        <f t="shared" si="0"/>
        <v>63</v>
      </c>
      <c r="P11" s="15">
        <f t="shared" si="1"/>
        <v>218</v>
      </c>
      <c r="R11" s="1" t="s">
        <v>7</v>
      </c>
      <c r="S11" s="17">
        <f t="shared" ref="S11:AF11" si="3">SUM(C14:C17)</f>
        <v>64</v>
      </c>
      <c r="T11" s="17">
        <f t="shared" si="3"/>
        <v>9</v>
      </c>
      <c r="U11" s="17">
        <f t="shared" si="3"/>
        <v>7</v>
      </c>
      <c r="V11" s="17">
        <f t="shared" si="3"/>
        <v>106</v>
      </c>
      <c r="W11" s="17">
        <f t="shared" si="3"/>
        <v>5</v>
      </c>
      <c r="X11" s="17">
        <f t="shared" si="3"/>
        <v>1</v>
      </c>
      <c r="Y11" s="17">
        <f t="shared" si="3"/>
        <v>32</v>
      </c>
      <c r="Z11" s="17">
        <f t="shared" si="3"/>
        <v>2</v>
      </c>
      <c r="AA11" s="17">
        <f t="shared" si="3"/>
        <v>2</v>
      </c>
      <c r="AB11" s="17">
        <f t="shared" si="3"/>
        <v>3</v>
      </c>
      <c r="AC11" s="17">
        <f t="shared" si="3"/>
        <v>920</v>
      </c>
      <c r="AD11" s="17">
        <f t="shared" si="3"/>
        <v>0</v>
      </c>
      <c r="AE11" s="31">
        <f t="shared" si="3"/>
        <v>231</v>
      </c>
      <c r="AF11" s="31">
        <f t="shared" si="3"/>
        <v>1151</v>
      </c>
    </row>
    <row r="12" spans="2:32" ht="23.1" customHeight="1" x14ac:dyDescent="0.25">
      <c r="B12" s="23" t="s">
        <v>39</v>
      </c>
      <c r="C12" s="50">
        <v>25</v>
      </c>
      <c r="D12" s="50">
        <v>2</v>
      </c>
      <c r="E12" s="50">
        <v>4</v>
      </c>
      <c r="F12" s="50">
        <v>29</v>
      </c>
      <c r="G12" s="50">
        <v>1</v>
      </c>
      <c r="H12" s="50">
        <v>1</v>
      </c>
      <c r="I12" s="50">
        <v>2</v>
      </c>
      <c r="J12" s="50">
        <v>0</v>
      </c>
      <c r="K12" s="50">
        <v>0</v>
      </c>
      <c r="L12" s="50">
        <v>2</v>
      </c>
      <c r="M12" s="50">
        <v>165</v>
      </c>
      <c r="N12" s="50">
        <v>0</v>
      </c>
      <c r="O12" s="15">
        <f t="shared" si="0"/>
        <v>66</v>
      </c>
      <c r="P12" s="15">
        <f t="shared" si="1"/>
        <v>231</v>
      </c>
      <c r="R12" s="1" t="s">
        <v>8</v>
      </c>
      <c r="S12" s="17">
        <f t="shared" ref="S12:AF12" si="4">SUM(C18:C21)</f>
        <v>97</v>
      </c>
      <c r="T12" s="17">
        <f t="shared" si="4"/>
        <v>13</v>
      </c>
      <c r="U12" s="17">
        <f t="shared" si="4"/>
        <v>28</v>
      </c>
      <c r="V12" s="17">
        <f t="shared" si="4"/>
        <v>95</v>
      </c>
      <c r="W12" s="17">
        <f t="shared" si="4"/>
        <v>3</v>
      </c>
      <c r="X12" s="17">
        <f t="shared" si="4"/>
        <v>0</v>
      </c>
      <c r="Y12" s="17">
        <f t="shared" si="4"/>
        <v>17</v>
      </c>
      <c r="Z12" s="17">
        <f t="shared" si="4"/>
        <v>1</v>
      </c>
      <c r="AA12" s="17">
        <f t="shared" si="4"/>
        <v>7</v>
      </c>
      <c r="AB12" s="17">
        <f t="shared" si="4"/>
        <v>1</v>
      </c>
      <c r="AC12" s="17">
        <f t="shared" si="4"/>
        <v>835</v>
      </c>
      <c r="AD12" s="17">
        <f t="shared" si="4"/>
        <v>0</v>
      </c>
      <c r="AE12" s="31">
        <f t="shared" si="4"/>
        <v>262</v>
      </c>
      <c r="AF12" s="31">
        <f t="shared" si="4"/>
        <v>1097</v>
      </c>
    </row>
    <row r="13" spans="2:32" ht="23.1" customHeight="1" x14ac:dyDescent="0.25">
      <c r="B13" s="23" t="s">
        <v>40</v>
      </c>
      <c r="C13" s="50">
        <v>37</v>
      </c>
      <c r="D13" s="50">
        <v>4</v>
      </c>
      <c r="E13" s="50">
        <v>1</v>
      </c>
      <c r="F13" s="50">
        <v>23</v>
      </c>
      <c r="G13" s="50">
        <v>0</v>
      </c>
      <c r="H13" s="50">
        <v>0</v>
      </c>
      <c r="I13" s="50">
        <v>4</v>
      </c>
      <c r="J13" s="50">
        <v>0</v>
      </c>
      <c r="K13" s="50">
        <v>1</v>
      </c>
      <c r="L13" s="50">
        <v>2</v>
      </c>
      <c r="M13" s="50">
        <v>190</v>
      </c>
      <c r="N13" s="50">
        <v>0</v>
      </c>
      <c r="O13" s="15">
        <f t="shared" si="0"/>
        <v>72</v>
      </c>
      <c r="P13" s="15">
        <f t="shared" si="1"/>
        <v>262</v>
      </c>
      <c r="R13" s="1" t="s">
        <v>9</v>
      </c>
      <c r="S13" s="17">
        <f t="shared" ref="S13:AF13" si="5">SUM(C22:C25)</f>
        <v>132</v>
      </c>
      <c r="T13" s="17">
        <f t="shared" si="5"/>
        <v>19</v>
      </c>
      <c r="U13" s="17">
        <f t="shared" si="5"/>
        <v>20</v>
      </c>
      <c r="V13" s="17">
        <f t="shared" si="5"/>
        <v>82</v>
      </c>
      <c r="W13" s="17">
        <f t="shared" si="5"/>
        <v>3</v>
      </c>
      <c r="X13" s="17">
        <f t="shared" si="5"/>
        <v>0</v>
      </c>
      <c r="Y13" s="17">
        <f t="shared" si="5"/>
        <v>15</v>
      </c>
      <c r="Z13" s="17">
        <f t="shared" si="5"/>
        <v>0</v>
      </c>
      <c r="AA13" s="17">
        <f t="shared" si="5"/>
        <v>6</v>
      </c>
      <c r="AB13" s="17">
        <f t="shared" si="5"/>
        <v>3</v>
      </c>
      <c r="AC13" s="17">
        <f t="shared" si="5"/>
        <v>790</v>
      </c>
      <c r="AD13" s="17">
        <f t="shared" si="5"/>
        <v>0</v>
      </c>
      <c r="AE13" s="31">
        <f t="shared" si="5"/>
        <v>280</v>
      </c>
      <c r="AF13" s="31">
        <f t="shared" si="5"/>
        <v>1070</v>
      </c>
    </row>
    <row r="14" spans="2:32" ht="23.1" customHeight="1" x14ac:dyDescent="0.25">
      <c r="B14" s="23" t="s">
        <v>41</v>
      </c>
      <c r="C14" s="50">
        <v>25</v>
      </c>
      <c r="D14" s="50">
        <v>1</v>
      </c>
      <c r="E14" s="50">
        <v>4</v>
      </c>
      <c r="F14" s="50">
        <v>33</v>
      </c>
      <c r="G14" s="50">
        <v>1</v>
      </c>
      <c r="H14" s="50">
        <v>0</v>
      </c>
      <c r="I14" s="50">
        <v>5</v>
      </c>
      <c r="J14" s="50">
        <v>0</v>
      </c>
      <c r="K14" s="50">
        <v>2</v>
      </c>
      <c r="L14" s="50">
        <v>0</v>
      </c>
      <c r="M14" s="50">
        <v>250</v>
      </c>
      <c r="N14" s="50">
        <v>0</v>
      </c>
      <c r="O14" s="15">
        <f t="shared" si="0"/>
        <v>71</v>
      </c>
      <c r="P14" s="15">
        <f t="shared" si="1"/>
        <v>321</v>
      </c>
      <c r="R14" s="1" t="s">
        <v>10</v>
      </c>
      <c r="S14" s="17">
        <f t="shared" ref="S14:AF14" si="6">SUM(C26:C29)</f>
        <v>109</v>
      </c>
      <c r="T14" s="17">
        <f t="shared" si="6"/>
        <v>13</v>
      </c>
      <c r="U14" s="17">
        <f t="shared" si="6"/>
        <v>34</v>
      </c>
      <c r="V14" s="17">
        <f t="shared" si="6"/>
        <v>64</v>
      </c>
      <c r="W14" s="17">
        <f t="shared" si="6"/>
        <v>1</v>
      </c>
      <c r="X14" s="17">
        <f t="shared" si="6"/>
        <v>0</v>
      </c>
      <c r="Y14" s="17">
        <f t="shared" si="6"/>
        <v>23</v>
      </c>
      <c r="Z14" s="17">
        <f t="shared" si="6"/>
        <v>2</v>
      </c>
      <c r="AA14" s="17">
        <f t="shared" si="6"/>
        <v>11</v>
      </c>
      <c r="AB14" s="17">
        <f t="shared" si="6"/>
        <v>2</v>
      </c>
      <c r="AC14" s="17">
        <f t="shared" si="6"/>
        <v>583</v>
      </c>
      <c r="AD14" s="17">
        <f t="shared" si="6"/>
        <v>0</v>
      </c>
      <c r="AE14" s="31">
        <f t="shared" si="6"/>
        <v>259</v>
      </c>
      <c r="AF14" s="31">
        <f t="shared" si="6"/>
        <v>842</v>
      </c>
    </row>
    <row r="15" spans="2:32" ht="23.1" customHeight="1" x14ac:dyDescent="0.25">
      <c r="B15" s="23" t="s">
        <v>42</v>
      </c>
      <c r="C15" s="50">
        <v>8</v>
      </c>
      <c r="D15" s="50">
        <v>3</v>
      </c>
      <c r="E15" s="50">
        <v>1</v>
      </c>
      <c r="F15" s="50">
        <v>16</v>
      </c>
      <c r="G15" s="50">
        <v>2</v>
      </c>
      <c r="H15" s="50">
        <v>1</v>
      </c>
      <c r="I15" s="50">
        <v>4</v>
      </c>
      <c r="J15" s="50">
        <v>0</v>
      </c>
      <c r="K15" s="50">
        <v>0</v>
      </c>
      <c r="L15" s="50">
        <v>1</v>
      </c>
      <c r="M15" s="50">
        <v>240</v>
      </c>
      <c r="N15" s="50">
        <v>0</v>
      </c>
      <c r="O15" s="15">
        <f t="shared" si="0"/>
        <v>36</v>
      </c>
      <c r="P15" s="15">
        <f t="shared" si="1"/>
        <v>276</v>
      </c>
      <c r="R15" s="1" t="s">
        <v>11</v>
      </c>
      <c r="S15" s="17">
        <f t="shared" ref="S15:AF15" si="7">SUM(C30:C33)</f>
        <v>120</v>
      </c>
      <c r="T15" s="17">
        <f t="shared" si="7"/>
        <v>32</v>
      </c>
      <c r="U15" s="17">
        <f t="shared" si="7"/>
        <v>32</v>
      </c>
      <c r="V15" s="17">
        <f t="shared" si="7"/>
        <v>74</v>
      </c>
      <c r="W15" s="17">
        <f t="shared" si="7"/>
        <v>4</v>
      </c>
      <c r="X15" s="17">
        <f t="shared" si="7"/>
        <v>0</v>
      </c>
      <c r="Y15" s="17">
        <f t="shared" si="7"/>
        <v>21</v>
      </c>
      <c r="Z15" s="17">
        <f t="shared" si="7"/>
        <v>1</v>
      </c>
      <c r="AA15" s="17">
        <f t="shared" si="7"/>
        <v>5</v>
      </c>
      <c r="AB15" s="17">
        <f t="shared" si="7"/>
        <v>0</v>
      </c>
      <c r="AC15" s="17">
        <f t="shared" si="7"/>
        <v>495</v>
      </c>
      <c r="AD15" s="17">
        <f t="shared" si="7"/>
        <v>0</v>
      </c>
      <c r="AE15" s="31">
        <f t="shared" si="7"/>
        <v>289</v>
      </c>
      <c r="AF15" s="31">
        <f t="shared" si="7"/>
        <v>784</v>
      </c>
    </row>
    <row r="16" spans="2:32" ht="23.1" customHeight="1" x14ac:dyDescent="0.25">
      <c r="B16" s="23" t="s">
        <v>43</v>
      </c>
      <c r="C16" s="50">
        <v>16</v>
      </c>
      <c r="D16" s="50">
        <v>3</v>
      </c>
      <c r="E16" s="50">
        <v>1</v>
      </c>
      <c r="F16" s="50">
        <v>24</v>
      </c>
      <c r="G16" s="50">
        <v>2</v>
      </c>
      <c r="H16" s="50">
        <v>0</v>
      </c>
      <c r="I16" s="50">
        <v>4</v>
      </c>
      <c r="J16" s="50">
        <v>0</v>
      </c>
      <c r="K16" s="50">
        <v>0</v>
      </c>
      <c r="L16" s="50">
        <v>2</v>
      </c>
      <c r="M16" s="50">
        <v>200</v>
      </c>
      <c r="N16" s="50">
        <v>0</v>
      </c>
      <c r="O16" s="15">
        <f t="shared" si="0"/>
        <v>52</v>
      </c>
      <c r="P16" s="15">
        <f t="shared" si="1"/>
        <v>252</v>
      </c>
      <c r="R16" s="1" t="s">
        <v>12</v>
      </c>
      <c r="S16" s="17">
        <f t="shared" ref="S16:AF16" si="8">SUM(C34:C37)</f>
        <v>101</v>
      </c>
      <c r="T16" s="17">
        <f t="shared" si="8"/>
        <v>13</v>
      </c>
      <c r="U16" s="17">
        <f t="shared" si="8"/>
        <v>44</v>
      </c>
      <c r="V16" s="17">
        <f t="shared" si="8"/>
        <v>114</v>
      </c>
      <c r="W16" s="17">
        <f t="shared" si="8"/>
        <v>1</v>
      </c>
      <c r="X16" s="17">
        <f t="shared" si="8"/>
        <v>1</v>
      </c>
      <c r="Y16" s="17">
        <f t="shared" si="8"/>
        <v>26</v>
      </c>
      <c r="Z16" s="17">
        <f t="shared" si="8"/>
        <v>5</v>
      </c>
      <c r="AA16" s="17">
        <f t="shared" si="8"/>
        <v>10</v>
      </c>
      <c r="AB16" s="17">
        <f t="shared" si="8"/>
        <v>6</v>
      </c>
      <c r="AC16" s="17">
        <f t="shared" si="8"/>
        <v>335</v>
      </c>
      <c r="AD16" s="17">
        <f t="shared" si="8"/>
        <v>0</v>
      </c>
      <c r="AE16" s="31">
        <f t="shared" si="8"/>
        <v>321</v>
      </c>
      <c r="AF16" s="31">
        <f t="shared" si="8"/>
        <v>656</v>
      </c>
    </row>
    <row r="17" spans="2:32" ht="23.1" customHeight="1" x14ac:dyDescent="0.25">
      <c r="B17" s="23" t="s">
        <v>44</v>
      </c>
      <c r="C17" s="50">
        <v>15</v>
      </c>
      <c r="D17" s="50">
        <v>2</v>
      </c>
      <c r="E17" s="50">
        <v>1</v>
      </c>
      <c r="F17" s="50">
        <v>33</v>
      </c>
      <c r="G17" s="50">
        <v>0</v>
      </c>
      <c r="H17" s="50">
        <v>0</v>
      </c>
      <c r="I17" s="50">
        <v>19</v>
      </c>
      <c r="J17" s="50">
        <v>2</v>
      </c>
      <c r="K17" s="50">
        <v>0</v>
      </c>
      <c r="L17" s="50">
        <v>0</v>
      </c>
      <c r="M17" s="50">
        <v>230</v>
      </c>
      <c r="N17" s="50">
        <v>0</v>
      </c>
      <c r="O17" s="15">
        <f t="shared" si="0"/>
        <v>72</v>
      </c>
      <c r="P17" s="15">
        <f t="shared" si="1"/>
        <v>302</v>
      </c>
      <c r="R17" s="1" t="s">
        <v>13</v>
      </c>
      <c r="S17" s="17">
        <f t="shared" ref="S17:AF17" si="9">SUM(C38:C41)</f>
        <v>177</v>
      </c>
      <c r="T17" s="17">
        <f t="shared" si="9"/>
        <v>32</v>
      </c>
      <c r="U17" s="17">
        <f t="shared" si="9"/>
        <v>28</v>
      </c>
      <c r="V17" s="17">
        <f t="shared" si="9"/>
        <v>71</v>
      </c>
      <c r="W17" s="17">
        <f t="shared" si="9"/>
        <v>0</v>
      </c>
      <c r="X17" s="17">
        <f t="shared" si="9"/>
        <v>1</v>
      </c>
      <c r="Y17" s="17">
        <f t="shared" si="9"/>
        <v>25</v>
      </c>
      <c r="Z17" s="17">
        <f t="shared" si="9"/>
        <v>4</v>
      </c>
      <c r="AA17" s="17">
        <f t="shared" si="9"/>
        <v>6</v>
      </c>
      <c r="AB17" s="17">
        <f t="shared" si="9"/>
        <v>4</v>
      </c>
      <c r="AC17" s="17">
        <f t="shared" si="9"/>
        <v>495</v>
      </c>
      <c r="AD17" s="17">
        <f t="shared" si="9"/>
        <v>0</v>
      </c>
      <c r="AE17" s="31">
        <f t="shared" si="9"/>
        <v>348</v>
      </c>
      <c r="AF17" s="31">
        <f t="shared" si="9"/>
        <v>843</v>
      </c>
    </row>
    <row r="18" spans="2:32" ht="23.1" customHeight="1" x14ac:dyDescent="0.25">
      <c r="B18" s="23" t="s">
        <v>45</v>
      </c>
      <c r="C18" s="50">
        <v>13</v>
      </c>
      <c r="D18" s="50">
        <v>2</v>
      </c>
      <c r="E18" s="50">
        <v>7</v>
      </c>
      <c r="F18" s="50">
        <v>27</v>
      </c>
      <c r="G18" s="50">
        <v>1</v>
      </c>
      <c r="H18" s="50">
        <v>0</v>
      </c>
      <c r="I18" s="50">
        <v>3</v>
      </c>
      <c r="J18" s="50">
        <v>0</v>
      </c>
      <c r="K18" s="50">
        <v>0</v>
      </c>
      <c r="L18" s="50">
        <v>0</v>
      </c>
      <c r="M18" s="50">
        <v>225</v>
      </c>
      <c r="N18" s="50">
        <v>0</v>
      </c>
      <c r="O18" s="15">
        <f t="shared" si="0"/>
        <v>53</v>
      </c>
      <c r="P18" s="15">
        <f t="shared" si="1"/>
        <v>278</v>
      </c>
      <c r="R18" s="1" t="s">
        <v>14</v>
      </c>
      <c r="S18" s="17">
        <f t="shared" ref="S18:AF18" si="10">SUM(C42:C45)</f>
        <v>176</v>
      </c>
      <c r="T18" s="17">
        <f t="shared" si="10"/>
        <v>40</v>
      </c>
      <c r="U18" s="17">
        <f t="shared" si="10"/>
        <v>29</v>
      </c>
      <c r="V18" s="17">
        <f t="shared" si="10"/>
        <v>53</v>
      </c>
      <c r="W18" s="17">
        <f t="shared" si="10"/>
        <v>0</v>
      </c>
      <c r="X18" s="17">
        <f t="shared" si="10"/>
        <v>0</v>
      </c>
      <c r="Y18" s="17">
        <f t="shared" si="10"/>
        <v>24</v>
      </c>
      <c r="Z18" s="17">
        <f t="shared" si="10"/>
        <v>1</v>
      </c>
      <c r="AA18" s="17">
        <f t="shared" si="10"/>
        <v>8</v>
      </c>
      <c r="AB18" s="17">
        <f t="shared" si="10"/>
        <v>6</v>
      </c>
      <c r="AC18" s="17">
        <f t="shared" si="10"/>
        <v>586</v>
      </c>
      <c r="AD18" s="17">
        <f t="shared" si="10"/>
        <v>0</v>
      </c>
      <c r="AE18" s="31">
        <f t="shared" si="10"/>
        <v>337</v>
      </c>
      <c r="AF18" s="31">
        <f t="shared" si="10"/>
        <v>923</v>
      </c>
    </row>
    <row r="19" spans="2:32" ht="23.1" customHeight="1" x14ac:dyDescent="0.25">
      <c r="B19" s="23" t="s">
        <v>46</v>
      </c>
      <c r="C19" s="50">
        <v>24</v>
      </c>
      <c r="D19" s="50">
        <v>4</v>
      </c>
      <c r="E19" s="50">
        <v>8</v>
      </c>
      <c r="F19" s="50">
        <v>22</v>
      </c>
      <c r="G19" s="50">
        <v>1</v>
      </c>
      <c r="H19" s="50">
        <v>0</v>
      </c>
      <c r="I19" s="50">
        <v>8</v>
      </c>
      <c r="J19" s="50">
        <v>1</v>
      </c>
      <c r="K19" s="50">
        <v>3</v>
      </c>
      <c r="L19" s="50">
        <v>1</v>
      </c>
      <c r="M19" s="50">
        <v>235</v>
      </c>
      <c r="N19" s="50">
        <v>0</v>
      </c>
      <c r="O19" s="15">
        <f t="shared" si="0"/>
        <v>72</v>
      </c>
      <c r="P19" s="15">
        <f t="shared" si="1"/>
        <v>307</v>
      </c>
      <c r="R19" s="1" t="s">
        <v>15</v>
      </c>
      <c r="S19" s="17">
        <f t="shared" ref="S19:AF19" si="11">SUM(C46:C49)</f>
        <v>253</v>
      </c>
      <c r="T19" s="17">
        <f t="shared" si="11"/>
        <v>48</v>
      </c>
      <c r="U19" s="17">
        <f t="shared" si="11"/>
        <v>41</v>
      </c>
      <c r="V19" s="17">
        <f t="shared" si="11"/>
        <v>68</v>
      </c>
      <c r="W19" s="17">
        <f t="shared" si="11"/>
        <v>3</v>
      </c>
      <c r="X19" s="17">
        <f t="shared" si="11"/>
        <v>0</v>
      </c>
      <c r="Y19" s="17">
        <f t="shared" si="11"/>
        <v>34</v>
      </c>
      <c r="Z19" s="17">
        <f t="shared" si="11"/>
        <v>0</v>
      </c>
      <c r="AA19" s="17">
        <f t="shared" si="11"/>
        <v>3</v>
      </c>
      <c r="AB19" s="17">
        <f t="shared" si="11"/>
        <v>1</v>
      </c>
      <c r="AC19" s="17">
        <f t="shared" si="11"/>
        <v>510</v>
      </c>
      <c r="AD19" s="17">
        <f t="shared" si="11"/>
        <v>0</v>
      </c>
      <c r="AE19" s="31">
        <f t="shared" si="11"/>
        <v>451</v>
      </c>
      <c r="AF19" s="31">
        <f t="shared" si="11"/>
        <v>961</v>
      </c>
    </row>
    <row r="20" spans="2:32" ht="23.1" customHeight="1" x14ac:dyDescent="0.25">
      <c r="B20" s="23" t="s">
        <v>47</v>
      </c>
      <c r="C20" s="50">
        <v>35</v>
      </c>
      <c r="D20" s="50">
        <v>2</v>
      </c>
      <c r="E20" s="50">
        <v>7</v>
      </c>
      <c r="F20" s="50">
        <v>21</v>
      </c>
      <c r="G20" s="50">
        <v>1</v>
      </c>
      <c r="H20" s="50"/>
      <c r="I20" s="50">
        <v>2</v>
      </c>
      <c r="J20" s="50">
        <v>0</v>
      </c>
      <c r="K20" s="50">
        <v>3</v>
      </c>
      <c r="L20" s="50">
        <v>0</v>
      </c>
      <c r="M20" s="50">
        <v>200</v>
      </c>
      <c r="N20" s="50">
        <v>0</v>
      </c>
      <c r="O20" s="15">
        <f t="shared" si="0"/>
        <v>71</v>
      </c>
      <c r="P20" s="15">
        <f t="shared" si="1"/>
        <v>271</v>
      </c>
      <c r="R20" s="1" t="s">
        <v>16</v>
      </c>
      <c r="S20" s="17">
        <f t="shared" ref="S20:AF20" si="12">SUM(C50:C53)</f>
        <v>338</v>
      </c>
      <c r="T20" s="17">
        <f t="shared" si="12"/>
        <v>36</v>
      </c>
      <c r="U20" s="17">
        <f t="shared" si="12"/>
        <v>126</v>
      </c>
      <c r="V20" s="17">
        <f t="shared" si="12"/>
        <v>82</v>
      </c>
      <c r="W20" s="17">
        <f t="shared" si="12"/>
        <v>6</v>
      </c>
      <c r="X20" s="17">
        <f t="shared" si="12"/>
        <v>1</v>
      </c>
      <c r="Y20" s="17">
        <f t="shared" si="12"/>
        <v>28</v>
      </c>
      <c r="Z20" s="17">
        <f t="shared" si="12"/>
        <v>0</v>
      </c>
      <c r="AA20" s="17">
        <f t="shared" si="12"/>
        <v>4</v>
      </c>
      <c r="AB20" s="17">
        <f t="shared" si="12"/>
        <v>4</v>
      </c>
      <c r="AC20" s="17">
        <f t="shared" si="12"/>
        <v>480</v>
      </c>
      <c r="AD20" s="17">
        <f t="shared" si="12"/>
        <v>0</v>
      </c>
      <c r="AE20" s="31">
        <f t="shared" si="12"/>
        <v>625</v>
      </c>
      <c r="AF20" s="31">
        <f t="shared" si="12"/>
        <v>1105</v>
      </c>
    </row>
    <row r="21" spans="2:32" ht="23.1" customHeight="1" x14ac:dyDescent="0.25">
      <c r="B21" s="23" t="s">
        <v>48</v>
      </c>
      <c r="C21" s="50">
        <v>25</v>
      </c>
      <c r="D21" s="50">
        <v>5</v>
      </c>
      <c r="E21" s="50">
        <v>6</v>
      </c>
      <c r="F21" s="50">
        <v>25</v>
      </c>
      <c r="G21" s="50">
        <v>0</v>
      </c>
      <c r="H21" s="50">
        <v>0</v>
      </c>
      <c r="I21" s="50">
        <v>4</v>
      </c>
      <c r="J21" s="50">
        <v>0</v>
      </c>
      <c r="K21" s="50">
        <v>1</v>
      </c>
      <c r="L21" s="50">
        <v>0</v>
      </c>
      <c r="M21" s="50">
        <v>175</v>
      </c>
      <c r="N21" s="50">
        <v>0</v>
      </c>
      <c r="O21" s="15">
        <f t="shared" si="0"/>
        <v>66</v>
      </c>
      <c r="P21" s="15">
        <f t="shared" si="1"/>
        <v>241</v>
      </c>
      <c r="R21" s="36" t="s">
        <v>20</v>
      </c>
      <c r="S21" s="34">
        <f t="shared" ref="S21:AF21" si="13">SUM(C54:C57)</f>
        <v>385</v>
      </c>
      <c r="T21" s="17">
        <f t="shared" si="13"/>
        <v>47</v>
      </c>
      <c r="U21" s="17">
        <f t="shared" si="13"/>
        <v>47</v>
      </c>
      <c r="V21" s="17">
        <f t="shared" si="13"/>
        <v>93</v>
      </c>
      <c r="W21" s="17">
        <f t="shared" si="13"/>
        <v>3</v>
      </c>
      <c r="X21" s="17">
        <f t="shared" si="13"/>
        <v>0</v>
      </c>
      <c r="Y21" s="17">
        <f t="shared" si="13"/>
        <v>55</v>
      </c>
      <c r="Z21" s="17">
        <f t="shared" si="13"/>
        <v>5</v>
      </c>
      <c r="AA21" s="17">
        <f t="shared" si="13"/>
        <v>7</v>
      </c>
      <c r="AB21" s="17">
        <f t="shared" si="13"/>
        <v>9</v>
      </c>
      <c r="AC21" s="17">
        <f t="shared" si="13"/>
        <v>404</v>
      </c>
      <c r="AD21" s="17">
        <f t="shared" si="13"/>
        <v>0</v>
      </c>
      <c r="AE21" s="31">
        <f t="shared" si="13"/>
        <v>651</v>
      </c>
      <c r="AF21" s="31">
        <f t="shared" si="13"/>
        <v>1055</v>
      </c>
    </row>
    <row r="22" spans="2:32" ht="23.1" customHeight="1" x14ac:dyDescent="0.25">
      <c r="B22" s="23" t="s">
        <v>49</v>
      </c>
      <c r="C22" s="50">
        <v>36</v>
      </c>
      <c r="D22" s="50">
        <v>5</v>
      </c>
      <c r="E22" s="50">
        <v>7</v>
      </c>
      <c r="F22" s="50">
        <v>17</v>
      </c>
      <c r="G22" s="50">
        <v>3</v>
      </c>
      <c r="H22" s="50">
        <v>0</v>
      </c>
      <c r="I22" s="50">
        <v>3</v>
      </c>
      <c r="J22" s="50">
        <v>0</v>
      </c>
      <c r="K22" s="50">
        <v>3</v>
      </c>
      <c r="L22" s="50">
        <v>0</v>
      </c>
      <c r="M22" s="50">
        <v>215</v>
      </c>
      <c r="N22" s="50">
        <v>0</v>
      </c>
      <c r="O22" s="15">
        <f t="shared" si="0"/>
        <v>74</v>
      </c>
      <c r="P22" s="15">
        <f t="shared" si="1"/>
        <v>289</v>
      </c>
      <c r="R22" s="38" t="s">
        <v>90</v>
      </c>
      <c r="S22" s="39">
        <f>MAX(S10:S12)</f>
        <v>133</v>
      </c>
      <c r="T22" s="39">
        <f t="shared" ref="T22:AF22" si="14">MAX(T10:T12)</f>
        <v>15</v>
      </c>
      <c r="U22" s="39">
        <f t="shared" si="14"/>
        <v>28</v>
      </c>
      <c r="V22" s="39">
        <f t="shared" si="14"/>
        <v>106</v>
      </c>
      <c r="W22" s="39">
        <f t="shared" si="14"/>
        <v>5</v>
      </c>
      <c r="X22" s="39">
        <f t="shared" si="14"/>
        <v>2</v>
      </c>
      <c r="Y22" s="39">
        <f t="shared" si="14"/>
        <v>32</v>
      </c>
      <c r="Z22" s="39">
        <f t="shared" si="14"/>
        <v>2</v>
      </c>
      <c r="AA22" s="39">
        <f t="shared" si="14"/>
        <v>7</v>
      </c>
      <c r="AB22" s="39">
        <f t="shared" si="14"/>
        <v>5</v>
      </c>
      <c r="AC22" s="39">
        <f t="shared" si="14"/>
        <v>920</v>
      </c>
      <c r="AD22" s="39">
        <f t="shared" si="14"/>
        <v>0</v>
      </c>
      <c r="AE22" s="40">
        <f t="shared" si="14"/>
        <v>281</v>
      </c>
      <c r="AF22" s="40">
        <f t="shared" si="14"/>
        <v>1151</v>
      </c>
    </row>
    <row r="23" spans="2:32" ht="23.1" customHeight="1" x14ac:dyDescent="0.25">
      <c r="B23" s="23" t="s">
        <v>50</v>
      </c>
      <c r="C23" s="50">
        <v>37</v>
      </c>
      <c r="D23" s="50">
        <v>7</v>
      </c>
      <c r="E23" s="50">
        <v>2</v>
      </c>
      <c r="F23" s="50">
        <v>22</v>
      </c>
      <c r="G23" s="50">
        <v>0</v>
      </c>
      <c r="H23" s="50">
        <v>0</v>
      </c>
      <c r="I23" s="50">
        <v>4</v>
      </c>
      <c r="J23" s="50">
        <v>0</v>
      </c>
      <c r="K23" s="50">
        <v>2</v>
      </c>
      <c r="L23" s="50">
        <v>2</v>
      </c>
      <c r="M23" s="50">
        <v>210</v>
      </c>
      <c r="N23" s="50">
        <v>0</v>
      </c>
      <c r="O23" s="15">
        <f t="shared" si="0"/>
        <v>76</v>
      </c>
      <c r="P23" s="15">
        <f t="shared" si="1"/>
        <v>286</v>
      </c>
      <c r="R23" s="38" t="s">
        <v>91</v>
      </c>
      <c r="S23" s="39">
        <f>MAX(S13:S18)</f>
        <v>177</v>
      </c>
      <c r="T23" s="39">
        <f t="shared" ref="T23:AF23" si="15">MAX(T13:T18)</f>
        <v>40</v>
      </c>
      <c r="U23" s="39">
        <f t="shared" si="15"/>
        <v>44</v>
      </c>
      <c r="V23" s="39">
        <f t="shared" si="15"/>
        <v>114</v>
      </c>
      <c r="W23" s="39">
        <f t="shared" si="15"/>
        <v>4</v>
      </c>
      <c r="X23" s="39">
        <f t="shared" si="15"/>
        <v>1</v>
      </c>
      <c r="Y23" s="39">
        <f t="shared" si="15"/>
        <v>26</v>
      </c>
      <c r="Z23" s="39">
        <f t="shared" si="15"/>
        <v>5</v>
      </c>
      <c r="AA23" s="39">
        <f t="shared" si="15"/>
        <v>11</v>
      </c>
      <c r="AB23" s="39">
        <f t="shared" si="15"/>
        <v>6</v>
      </c>
      <c r="AC23" s="39">
        <f t="shared" si="15"/>
        <v>790</v>
      </c>
      <c r="AD23" s="39">
        <f t="shared" si="15"/>
        <v>0</v>
      </c>
      <c r="AE23" s="40">
        <f t="shared" si="15"/>
        <v>348</v>
      </c>
      <c r="AF23" s="40">
        <f t="shared" si="15"/>
        <v>1070</v>
      </c>
    </row>
    <row r="24" spans="2:32" ht="23.1" customHeight="1" x14ac:dyDescent="0.25">
      <c r="B24" s="23" t="s">
        <v>51</v>
      </c>
      <c r="C24" s="50">
        <v>27</v>
      </c>
      <c r="D24" s="50">
        <v>5</v>
      </c>
      <c r="E24" s="50">
        <v>4</v>
      </c>
      <c r="F24" s="50">
        <v>16</v>
      </c>
      <c r="G24" s="50">
        <v>0</v>
      </c>
      <c r="H24" s="50">
        <v>0</v>
      </c>
      <c r="I24" s="50">
        <v>3</v>
      </c>
      <c r="J24" s="50">
        <v>0</v>
      </c>
      <c r="K24" s="50">
        <v>0</v>
      </c>
      <c r="L24" s="50">
        <v>0</v>
      </c>
      <c r="M24" s="50">
        <v>180</v>
      </c>
      <c r="N24" s="50">
        <v>0</v>
      </c>
      <c r="O24" s="15">
        <f t="shared" si="0"/>
        <v>55</v>
      </c>
      <c r="P24" s="15">
        <f t="shared" si="1"/>
        <v>235</v>
      </c>
      <c r="R24" s="38" t="s">
        <v>92</v>
      </c>
      <c r="S24" s="39">
        <f>MAX(S19:S21)</f>
        <v>385</v>
      </c>
      <c r="T24" s="39">
        <f t="shared" ref="T24:AF24" si="16">MAX(T19:T21)</f>
        <v>48</v>
      </c>
      <c r="U24" s="39">
        <f t="shared" si="16"/>
        <v>126</v>
      </c>
      <c r="V24" s="39">
        <f t="shared" si="16"/>
        <v>93</v>
      </c>
      <c r="W24" s="39">
        <f t="shared" si="16"/>
        <v>6</v>
      </c>
      <c r="X24" s="39">
        <f t="shared" si="16"/>
        <v>1</v>
      </c>
      <c r="Y24" s="39">
        <f t="shared" si="16"/>
        <v>55</v>
      </c>
      <c r="Z24" s="39">
        <f t="shared" si="16"/>
        <v>5</v>
      </c>
      <c r="AA24" s="39">
        <f t="shared" si="16"/>
        <v>7</v>
      </c>
      <c r="AB24" s="39">
        <f t="shared" si="16"/>
        <v>9</v>
      </c>
      <c r="AC24" s="39">
        <f t="shared" si="16"/>
        <v>510</v>
      </c>
      <c r="AD24" s="39">
        <f t="shared" si="16"/>
        <v>0</v>
      </c>
      <c r="AE24" s="40">
        <f t="shared" si="16"/>
        <v>651</v>
      </c>
      <c r="AF24" s="40">
        <f t="shared" si="16"/>
        <v>1105</v>
      </c>
    </row>
    <row r="25" spans="2:32" ht="23.1" customHeight="1" x14ac:dyDescent="0.25">
      <c r="B25" s="23" t="s">
        <v>52</v>
      </c>
      <c r="C25" s="50">
        <v>32</v>
      </c>
      <c r="D25" s="50">
        <v>2</v>
      </c>
      <c r="E25" s="50">
        <v>7</v>
      </c>
      <c r="F25" s="50">
        <v>27</v>
      </c>
      <c r="G25" s="50">
        <v>0</v>
      </c>
      <c r="H25" s="50">
        <v>0</v>
      </c>
      <c r="I25" s="50">
        <v>5</v>
      </c>
      <c r="J25" s="50">
        <v>0</v>
      </c>
      <c r="K25" s="50">
        <v>1</v>
      </c>
      <c r="L25" s="50">
        <v>1</v>
      </c>
      <c r="M25" s="50">
        <v>185</v>
      </c>
      <c r="N25" s="50">
        <v>0</v>
      </c>
      <c r="O25" s="15">
        <f t="shared" si="0"/>
        <v>75</v>
      </c>
      <c r="P25" s="15">
        <f t="shared" si="1"/>
        <v>260</v>
      </c>
      <c r="R25" s="37" t="s">
        <v>85</v>
      </c>
      <c r="S25" s="35">
        <f t="shared" ref="S25:AF25" si="17">SUM(S10:S12)</f>
        <v>294</v>
      </c>
      <c r="T25" s="16">
        <f t="shared" si="17"/>
        <v>37</v>
      </c>
      <c r="U25" s="16">
        <f t="shared" si="17"/>
        <v>43</v>
      </c>
      <c r="V25" s="16">
        <f t="shared" si="17"/>
        <v>302</v>
      </c>
      <c r="W25" s="16">
        <f t="shared" si="17"/>
        <v>10</v>
      </c>
      <c r="X25" s="16">
        <f t="shared" si="17"/>
        <v>3</v>
      </c>
      <c r="Y25" s="16">
        <f t="shared" si="17"/>
        <v>62</v>
      </c>
      <c r="Z25" s="16">
        <f t="shared" si="17"/>
        <v>3</v>
      </c>
      <c r="AA25" s="16">
        <f t="shared" si="17"/>
        <v>11</v>
      </c>
      <c r="AB25" s="16">
        <f t="shared" si="17"/>
        <v>9</v>
      </c>
      <c r="AC25" s="16">
        <f t="shared" si="17"/>
        <v>2342</v>
      </c>
      <c r="AD25" s="16">
        <f t="shared" si="17"/>
        <v>0</v>
      </c>
      <c r="AE25" s="32">
        <f t="shared" si="17"/>
        <v>774</v>
      </c>
      <c r="AF25" s="32">
        <f t="shared" si="17"/>
        <v>3116</v>
      </c>
    </row>
    <row r="26" spans="2:32" ht="23.1" customHeight="1" x14ac:dyDescent="0.25">
      <c r="B26" s="23" t="s">
        <v>53</v>
      </c>
      <c r="C26" s="50">
        <v>24</v>
      </c>
      <c r="D26" s="50">
        <v>3</v>
      </c>
      <c r="E26" s="50">
        <v>1</v>
      </c>
      <c r="F26" s="50">
        <v>15</v>
      </c>
      <c r="G26" s="50">
        <v>0</v>
      </c>
      <c r="H26" s="50">
        <v>0</v>
      </c>
      <c r="I26" s="50">
        <v>3</v>
      </c>
      <c r="J26" s="50">
        <v>0</v>
      </c>
      <c r="K26" s="50">
        <v>2</v>
      </c>
      <c r="L26" s="50">
        <v>0</v>
      </c>
      <c r="M26" s="50">
        <v>175</v>
      </c>
      <c r="N26" s="50">
        <v>0</v>
      </c>
      <c r="O26" s="15">
        <f t="shared" si="0"/>
        <v>48</v>
      </c>
      <c r="P26" s="15">
        <f t="shared" si="1"/>
        <v>223</v>
      </c>
      <c r="R26" s="28" t="s">
        <v>86</v>
      </c>
      <c r="S26" s="16">
        <f t="shared" ref="S26:AF26" si="18">SUM(S13:S18)</f>
        <v>815</v>
      </c>
      <c r="T26" s="16">
        <f t="shared" si="18"/>
        <v>149</v>
      </c>
      <c r="U26" s="16">
        <f t="shared" si="18"/>
        <v>187</v>
      </c>
      <c r="V26" s="16">
        <f t="shared" si="18"/>
        <v>458</v>
      </c>
      <c r="W26" s="16">
        <f t="shared" si="18"/>
        <v>9</v>
      </c>
      <c r="X26" s="16">
        <f t="shared" si="18"/>
        <v>2</v>
      </c>
      <c r="Y26" s="16">
        <f t="shared" si="18"/>
        <v>134</v>
      </c>
      <c r="Z26" s="16">
        <f t="shared" si="18"/>
        <v>13</v>
      </c>
      <c r="AA26" s="16">
        <f t="shared" si="18"/>
        <v>46</v>
      </c>
      <c r="AB26" s="16">
        <f t="shared" si="18"/>
        <v>21</v>
      </c>
      <c r="AC26" s="16">
        <f t="shared" si="18"/>
        <v>3284</v>
      </c>
      <c r="AD26" s="16">
        <f t="shared" si="18"/>
        <v>0</v>
      </c>
      <c r="AE26" s="32">
        <f t="shared" si="18"/>
        <v>1834</v>
      </c>
      <c r="AF26" s="32">
        <f t="shared" si="18"/>
        <v>5118</v>
      </c>
    </row>
    <row r="27" spans="2:32" ht="23.1" customHeight="1" x14ac:dyDescent="0.25">
      <c r="B27" s="23" t="s">
        <v>54</v>
      </c>
      <c r="C27" s="50">
        <v>30</v>
      </c>
      <c r="D27" s="50">
        <v>2</v>
      </c>
      <c r="E27" s="50">
        <v>6</v>
      </c>
      <c r="F27" s="50">
        <v>20</v>
      </c>
      <c r="G27" s="50">
        <v>1</v>
      </c>
      <c r="H27" s="50">
        <v>0</v>
      </c>
      <c r="I27" s="50">
        <v>10</v>
      </c>
      <c r="J27" s="50">
        <v>1</v>
      </c>
      <c r="K27" s="50">
        <v>1</v>
      </c>
      <c r="L27" s="50">
        <v>0</v>
      </c>
      <c r="M27" s="50">
        <v>130</v>
      </c>
      <c r="N27" s="50">
        <v>0</v>
      </c>
      <c r="O27" s="15">
        <f t="shared" si="0"/>
        <v>71</v>
      </c>
      <c r="P27" s="15">
        <f t="shared" si="1"/>
        <v>201</v>
      </c>
      <c r="R27" s="29" t="s">
        <v>87</v>
      </c>
      <c r="S27" s="16">
        <f t="shared" ref="S27:AF27" si="19">SUM(S19:S21)</f>
        <v>976</v>
      </c>
      <c r="T27" s="16">
        <f t="shared" si="19"/>
        <v>131</v>
      </c>
      <c r="U27" s="16">
        <f t="shared" si="19"/>
        <v>214</v>
      </c>
      <c r="V27" s="16">
        <f t="shared" si="19"/>
        <v>243</v>
      </c>
      <c r="W27" s="16">
        <f t="shared" si="19"/>
        <v>12</v>
      </c>
      <c r="X27" s="16">
        <f t="shared" si="19"/>
        <v>1</v>
      </c>
      <c r="Y27" s="16">
        <f t="shared" si="19"/>
        <v>117</v>
      </c>
      <c r="Z27" s="16">
        <f t="shared" si="19"/>
        <v>5</v>
      </c>
      <c r="AA27" s="16">
        <f t="shared" si="19"/>
        <v>14</v>
      </c>
      <c r="AB27" s="16">
        <f t="shared" si="19"/>
        <v>14</v>
      </c>
      <c r="AC27" s="16">
        <f t="shared" si="19"/>
        <v>1394</v>
      </c>
      <c r="AD27" s="16">
        <f t="shared" si="19"/>
        <v>0</v>
      </c>
      <c r="AE27" s="32">
        <f t="shared" si="19"/>
        <v>1727</v>
      </c>
      <c r="AF27" s="32">
        <f t="shared" si="19"/>
        <v>3121</v>
      </c>
    </row>
    <row r="28" spans="2:32" ht="23.1" customHeight="1" x14ac:dyDescent="0.25">
      <c r="B28" s="23" t="s">
        <v>55</v>
      </c>
      <c r="C28" s="50">
        <v>32</v>
      </c>
      <c r="D28" s="50">
        <v>3</v>
      </c>
      <c r="E28" s="50">
        <v>12</v>
      </c>
      <c r="F28" s="50">
        <v>13</v>
      </c>
      <c r="G28" s="50">
        <v>0</v>
      </c>
      <c r="H28" s="50">
        <v>0</v>
      </c>
      <c r="I28" s="50">
        <v>7</v>
      </c>
      <c r="J28" s="50">
        <v>0</v>
      </c>
      <c r="K28" s="50">
        <v>5</v>
      </c>
      <c r="L28" s="50">
        <v>1</v>
      </c>
      <c r="M28" s="50">
        <v>158</v>
      </c>
      <c r="N28" s="50">
        <v>0</v>
      </c>
      <c r="O28" s="15">
        <f t="shared" si="0"/>
        <v>73</v>
      </c>
      <c r="P28" s="15">
        <f t="shared" si="1"/>
        <v>231</v>
      </c>
      <c r="R28" s="5" t="s">
        <v>17</v>
      </c>
      <c r="S28" s="16">
        <f t="shared" ref="S28:AF28" si="20">SUM(S10:S21)</f>
        <v>2085</v>
      </c>
      <c r="T28" s="16">
        <f t="shared" si="20"/>
        <v>317</v>
      </c>
      <c r="U28" s="16">
        <f t="shared" si="20"/>
        <v>444</v>
      </c>
      <c r="V28" s="16">
        <f t="shared" si="20"/>
        <v>1003</v>
      </c>
      <c r="W28" s="16">
        <f t="shared" si="20"/>
        <v>31</v>
      </c>
      <c r="X28" s="16">
        <f t="shared" si="20"/>
        <v>6</v>
      </c>
      <c r="Y28" s="16">
        <f t="shared" si="20"/>
        <v>313</v>
      </c>
      <c r="Z28" s="16">
        <f t="shared" si="20"/>
        <v>21</v>
      </c>
      <c r="AA28" s="16">
        <f t="shared" si="20"/>
        <v>71</v>
      </c>
      <c r="AB28" s="16">
        <f t="shared" si="20"/>
        <v>44</v>
      </c>
      <c r="AC28" s="16">
        <f t="shared" si="20"/>
        <v>7020</v>
      </c>
      <c r="AD28" s="16">
        <f t="shared" si="20"/>
        <v>0</v>
      </c>
      <c r="AE28" s="32">
        <f t="shared" si="20"/>
        <v>4335</v>
      </c>
      <c r="AF28" s="32">
        <f t="shared" si="20"/>
        <v>11355</v>
      </c>
    </row>
    <row r="29" spans="2:32" ht="23.1" customHeight="1" x14ac:dyDescent="0.25">
      <c r="B29" s="23" t="s">
        <v>56</v>
      </c>
      <c r="C29" s="50">
        <v>23</v>
      </c>
      <c r="D29" s="50">
        <v>5</v>
      </c>
      <c r="E29" s="50">
        <v>15</v>
      </c>
      <c r="F29" s="50">
        <v>16</v>
      </c>
      <c r="G29" s="50">
        <v>0</v>
      </c>
      <c r="H29" s="50">
        <v>0</v>
      </c>
      <c r="I29" s="50">
        <v>3</v>
      </c>
      <c r="J29" s="50">
        <v>1</v>
      </c>
      <c r="K29" s="50">
        <v>3</v>
      </c>
      <c r="L29" s="50">
        <v>1</v>
      </c>
      <c r="M29" s="50">
        <v>120</v>
      </c>
      <c r="N29" s="50">
        <v>0</v>
      </c>
      <c r="O29" s="15">
        <f t="shared" si="0"/>
        <v>67</v>
      </c>
      <c r="P29" s="15">
        <f t="shared" si="1"/>
        <v>187</v>
      </c>
      <c r="R29"/>
      <c r="S29" s="20"/>
      <c r="T29" s="19"/>
    </row>
    <row r="30" spans="2:32" ht="23.1" customHeight="1" x14ac:dyDescent="0.25">
      <c r="B30" s="23" t="s">
        <v>57</v>
      </c>
      <c r="C30" s="50">
        <v>24</v>
      </c>
      <c r="D30" s="50">
        <v>7</v>
      </c>
      <c r="E30" s="50">
        <v>6</v>
      </c>
      <c r="F30" s="50">
        <v>20</v>
      </c>
      <c r="G30" s="50">
        <v>1</v>
      </c>
      <c r="H30" s="50">
        <v>0</v>
      </c>
      <c r="I30" s="50">
        <v>7</v>
      </c>
      <c r="J30" s="50">
        <v>1</v>
      </c>
      <c r="K30" s="50">
        <v>2</v>
      </c>
      <c r="L30" s="50">
        <v>0</v>
      </c>
      <c r="M30" s="50">
        <v>145</v>
      </c>
      <c r="N30" s="50">
        <v>0</v>
      </c>
      <c r="O30" s="15">
        <f t="shared" si="0"/>
        <v>68</v>
      </c>
      <c r="P30" s="15">
        <f t="shared" si="1"/>
        <v>213</v>
      </c>
    </row>
    <row r="31" spans="2:32" ht="23.1" customHeight="1" x14ac:dyDescent="0.25">
      <c r="B31" s="24" t="s">
        <v>58</v>
      </c>
      <c r="C31" s="50">
        <v>23</v>
      </c>
      <c r="D31" s="50">
        <v>12</v>
      </c>
      <c r="E31" s="50">
        <v>11</v>
      </c>
      <c r="F31" s="50">
        <v>18</v>
      </c>
      <c r="G31" s="50">
        <v>2</v>
      </c>
      <c r="H31" s="50">
        <v>0</v>
      </c>
      <c r="I31" s="50">
        <v>4</v>
      </c>
      <c r="J31" s="50">
        <v>0</v>
      </c>
      <c r="K31" s="50">
        <v>2</v>
      </c>
      <c r="L31" s="50">
        <v>0</v>
      </c>
      <c r="M31" s="50">
        <v>105</v>
      </c>
      <c r="N31" s="50">
        <v>0</v>
      </c>
      <c r="O31" s="15">
        <f t="shared" si="0"/>
        <v>72</v>
      </c>
      <c r="P31" s="15">
        <f t="shared" si="1"/>
        <v>177</v>
      </c>
    </row>
    <row r="32" spans="2:32" ht="23.1" customHeight="1" x14ac:dyDescent="0.25">
      <c r="B32" s="24" t="s">
        <v>59</v>
      </c>
      <c r="C32" s="50">
        <v>33</v>
      </c>
      <c r="D32" s="50">
        <v>8</v>
      </c>
      <c r="E32" s="50">
        <v>7</v>
      </c>
      <c r="F32" s="50">
        <v>18</v>
      </c>
      <c r="G32" s="50">
        <v>1</v>
      </c>
      <c r="H32" s="50">
        <v>0</v>
      </c>
      <c r="I32" s="50">
        <v>3</v>
      </c>
      <c r="J32" s="50">
        <v>0</v>
      </c>
      <c r="K32" s="50">
        <v>1</v>
      </c>
      <c r="L32" s="50">
        <v>0</v>
      </c>
      <c r="M32" s="50">
        <v>115</v>
      </c>
      <c r="N32" s="50">
        <v>0</v>
      </c>
      <c r="O32" s="15">
        <f t="shared" si="0"/>
        <v>71</v>
      </c>
      <c r="P32" s="15">
        <f t="shared" si="1"/>
        <v>186</v>
      </c>
    </row>
    <row r="33" spans="2:20" ht="23.1" customHeight="1" x14ac:dyDescent="0.25">
      <c r="B33" s="23" t="s">
        <v>60</v>
      </c>
      <c r="C33" s="50">
        <v>40</v>
      </c>
      <c r="D33" s="50">
        <v>5</v>
      </c>
      <c r="E33" s="50">
        <v>8</v>
      </c>
      <c r="F33" s="50">
        <v>18</v>
      </c>
      <c r="G33" s="50">
        <v>0</v>
      </c>
      <c r="H33" s="50">
        <v>0</v>
      </c>
      <c r="I33" s="50">
        <v>7</v>
      </c>
      <c r="J33" s="50">
        <v>0</v>
      </c>
      <c r="K33" s="50">
        <v>0</v>
      </c>
      <c r="L33" s="50">
        <v>0</v>
      </c>
      <c r="M33" s="50">
        <v>130</v>
      </c>
      <c r="N33" s="50">
        <v>0</v>
      </c>
      <c r="O33" s="15">
        <f t="shared" si="0"/>
        <v>78</v>
      </c>
      <c r="P33" s="15">
        <f t="shared" si="1"/>
        <v>208</v>
      </c>
    </row>
    <row r="34" spans="2:20" ht="23.1" customHeight="1" x14ac:dyDescent="0.25">
      <c r="B34" s="24" t="s">
        <v>61</v>
      </c>
      <c r="C34" s="50">
        <v>22</v>
      </c>
      <c r="D34" s="50">
        <v>2</v>
      </c>
      <c r="E34" s="50">
        <v>7</v>
      </c>
      <c r="F34" s="50">
        <v>31</v>
      </c>
      <c r="G34" s="50">
        <v>1</v>
      </c>
      <c r="H34" s="50">
        <v>0</v>
      </c>
      <c r="I34" s="50">
        <v>4</v>
      </c>
      <c r="J34" s="50">
        <v>2</v>
      </c>
      <c r="K34" s="50">
        <v>3</v>
      </c>
      <c r="L34" s="50">
        <v>3</v>
      </c>
      <c r="M34" s="50">
        <v>85</v>
      </c>
      <c r="N34" s="50">
        <v>0</v>
      </c>
      <c r="O34" s="15">
        <f t="shared" si="0"/>
        <v>75</v>
      </c>
      <c r="P34" s="15">
        <f t="shared" si="1"/>
        <v>160</v>
      </c>
    </row>
    <row r="35" spans="2:20" ht="23.1" customHeight="1" x14ac:dyDescent="0.25">
      <c r="B35" s="24" t="s">
        <v>62</v>
      </c>
      <c r="C35" s="50">
        <v>25</v>
      </c>
      <c r="D35" s="50">
        <v>6</v>
      </c>
      <c r="E35" s="50">
        <v>7</v>
      </c>
      <c r="F35" s="50">
        <v>28</v>
      </c>
      <c r="G35" s="50">
        <v>0</v>
      </c>
      <c r="H35" s="50">
        <v>0</v>
      </c>
      <c r="I35" s="50">
        <v>5</v>
      </c>
      <c r="J35" s="50">
        <v>0</v>
      </c>
      <c r="K35" s="50">
        <v>2</v>
      </c>
      <c r="L35" s="50">
        <v>2</v>
      </c>
      <c r="M35" s="50">
        <v>80</v>
      </c>
      <c r="N35" s="50">
        <v>0</v>
      </c>
      <c r="O35" s="15">
        <f t="shared" si="0"/>
        <v>75</v>
      </c>
      <c r="P35" s="15">
        <f t="shared" si="1"/>
        <v>155</v>
      </c>
    </row>
    <row r="36" spans="2:20" ht="23.1" customHeight="1" x14ac:dyDescent="0.25">
      <c r="B36" s="24" t="s">
        <v>63</v>
      </c>
      <c r="C36" s="50">
        <v>30</v>
      </c>
      <c r="D36" s="50">
        <v>5</v>
      </c>
      <c r="E36" s="50">
        <v>10</v>
      </c>
      <c r="F36" s="50">
        <v>25</v>
      </c>
      <c r="G36" s="50">
        <v>0</v>
      </c>
      <c r="H36" s="50">
        <v>0</v>
      </c>
      <c r="I36" s="50">
        <v>7</v>
      </c>
      <c r="J36" s="50">
        <v>2</v>
      </c>
      <c r="K36" s="50">
        <v>2</v>
      </c>
      <c r="L36" s="50">
        <v>0</v>
      </c>
      <c r="M36" s="50">
        <v>90</v>
      </c>
      <c r="N36" s="50">
        <v>0</v>
      </c>
      <c r="O36" s="15">
        <f t="shared" si="0"/>
        <v>81</v>
      </c>
      <c r="P36" s="15">
        <f t="shared" si="1"/>
        <v>171</v>
      </c>
    </row>
    <row r="37" spans="2:20" ht="23.1" customHeight="1" x14ac:dyDescent="0.25">
      <c r="B37" s="23" t="s">
        <v>64</v>
      </c>
      <c r="C37" s="50">
        <v>24</v>
      </c>
      <c r="D37" s="50">
        <v>0</v>
      </c>
      <c r="E37" s="50">
        <v>20</v>
      </c>
      <c r="F37" s="50">
        <v>30</v>
      </c>
      <c r="G37" s="50">
        <v>0</v>
      </c>
      <c r="H37" s="50">
        <v>1</v>
      </c>
      <c r="I37" s="50">
        <v>10</v>
      </c>
      <c r="J37" s="50">
        <v>1</v>
      </c>
      <c r="K37" s="50">
        <v>3</v>
      </c>
      <c r="L37" s="50">
        <v>1</v>
      </c>
      <c r="M37" s="50">
        <v>80</v>
      </c>
      <c r="N37" s="50">
        <v>0</v>
      </c>
      <c r="O37" s="15">
        <f t="shared" si="0"/>
        <v>90</v>
      </c>
      <c r="P37" s="15">
        <f t="shared" si="1"/>
        <v>170</v>
      </c>
    </row>
    <row r="38" spans="2:20" ht="23.1" customHeight="1" x14ac:dyDescent="0.25">
      <c r="B38" s="24" t="s">
        <v>65</v>
      </c>
      <c r="C38" s="50">
        <v>50</v>
      </c>
      <c r="D38" s="50">
        <v>4</v>
      </c>
      <c r="E38" s="50">
        <v>10</v>
      </c>
      <c r="F38" s="50">
        <v>20</v>
      </c>
      <c r="G38" s="50">
        <v>0</v>
      </c>
      <c r="H38" s="50">
        <v>0</v>
      </c>
      <c r="I38" s="50">
        <v>3</v>
      </c>
      <c r="J38" s="50">
        <v>0</v>
      </c>
      <c r="K38" s="50">
        <v>1</v>
      </c>
      <c r="L38" s="50">
        <v>1</v>
      </c>
      <c r="M38" s="50">
        <v>120</v>
      </c>
      <c r="N38" s="50">
        <v>0</v>
      </c>
      <c r="O38" s="15">
        <f t="shared" si="0"/>
        <v>89</v>
      </c>
      <c r="P38" s="15">
        <f t="shared" si="1"/>
        <v>209</v>
      </c>
    </row>
    <row r="39" spans="2:20" ht="23.1" customHeight="1" x14ac:dyDescent="0.25">
      <c r="B39" s="24" t="s">
        <v>66</v>
      </c>
      <c r="C39" s="50">
        <v>55</v>
      </c>
      <c r="D39" s="50">
        <v>8</v>
      </c>
      <c r="E39" s="50">
        <v>7</v>
      </c>
      <c r="F39" s="50">
        <v>26</v>
      </c>
      <c r="G39" s="50">
        <v>0</v>
      </c>
      <c r="H39" s="50">
        <v>0</v>
      </c>
      <c r="I39" s="50">
        <v>8</v>
      </c>
      <c r="J39" s="50">
        <v>2</v>
      </c>
      <c r="K39" s="50">
        <v>1</v>
      </c>
      <c r="L39" s="50">
        <v>0</v>
      </c>
      <c r="M39" s="50">
        <v>125</v>
      </c>
      <c r="N39" s="50">
        <v>0</v>
      </c>
      <c r="O39" s="15">
        <f t="shared" si="0"/>
        <v>107</v>
      </c>
      <c r="P39" s="15">
        <f t="shared" si="1"/>
        <v>232</v>
      </c>
    </row>
    <row r="40" spans="2:20" ht="23.1" customHeight="1" x14ac:dyDescent="0.25">
      <c r="B40" s="24" t="s">
        <v>67</v>
      </c>
      <c r="C40" s="50">
        <v>35</v>
      </c>
      <c r="D40" s="50">
        <v>10</v>
      </c>
      <c r="E40" s="50">
        <v>4</v>
      </c>
      <c r="F40" s="50">
        <v>15</v>
      </c>
      <c r="G40" s="50">
        <v>0</v>
      </c>
      <c r="H40" s="50">
        <v>0</v>
      </c>
      <c r="I40" s="50">
        <v>7</v>
      </c>
      <c r="J40" s="50">
        <v>0</v>
      </c>
      <c r="K40" s="50">
        <v>3</v>
      </c>
      <c r="L40" s="50">
        <v>1</v>
      </c>
      <c r="M40" s="50">
        <v>115</v>
      </c>
      <c r="N40" s="50">
        <v>0</v>
      </c>
      <c r="O40" s="15">
        <f t="shared" si="0"/>
        <v>75</v>
      </c>
      <c r="P40" s="15">
        <f t="shared" si="1"/>
        <v>190</v>
      </c>
    </row>
    <row r="41" spans="2:20" ht="23.1" customHeight="1" x14ac:dyDescent="0.25">
      <c r="B41" s="23" t="s">
        <v>68</v>
      </c>
      <c r="C41" s="50">
        <v>37</v>
      </c>
      <c r="D41" s="50">
        <v>10</v>
      </c>
      <c r="E41" s="50">
        <v>7</v>
      </c>
      <c r="F41" s="50">
        <v>10</v>
      </c>
      <c r="G41" s="50">
        <v>0</v>
      </c>
      <c r="H41" s="50">
        <v>1</v>
      </c>
      <c r="I41" s="50">
        <v>7</v>
      </c>
      <c r="J41" s="50">
        <v>2</v>
      </c>
      <c r="K41" s="50">
        <v>1</v>
      </c>
      <c r="L41" s="50">
        <v>2</v>
      </c>
      <c r="M41" s="50">
        <v>135</v>
      </c>
      <c r="N41" s="50">
        <v>0</v>
      </c>
      <c r="O41" s="15">
        <f t="shared" si="0"/>
        <v>77</v>
      </c>
      <c r="P41" s="15">
        <f t="shared" si="1"/>
        <v>212</v>
      </c>
    </row>
    <row r="42" spans="2:20" ht="23.1" customHeight="1" x14ac:dyDescent="0.25">
      <c r="B42" s="24" t="s">
        <v>69</v>
      </c>
      <c r="C42" s="50">
        <v>45</v>
      </c>
      <c r="D42" s="50">
        <v>8</v>
      </c>
      <c r="E42" s="50">
        <v>15</v>
      </c>
      <c r="F42" s="50">
        <v>8</v>
      </c>
      <c r="G42" s="50">
        <v>0</v>
      </c>
      <c r="H42" s="50">
        <v>0</v>
      </c>
      <c r="I42" s="50">
        <v>4</v>
      </c>
      <c r="J42" s="50">
        <v>0</v>
      </c>
      <c r="K42" s="50">
        <v>2</v>
      </c>
      <c r="L42" s="50">
        <v>1</v>
      </c>
      <c r="M42" s="50">
        <v>153</v>
      </c>
      <c r="N42" s="50">
        <v>0</v>
      </c>
      <c r="O42" s="15">
        <f t="shared" si="0"/>
        <v>83</v>
      </c>
      <c r="P42" s="15">
        <f t="shared" si="1"/>
        <v>236</v>
      </c>
    </row>
    <row r="43" spans="2:20" ht="23.1" customHeight="1" x14ac:dyDescent="0.25">
      <c r="B43" s="23" t="s">
        <v>70</v>
      </c>
      <c r="C43" s="50">
        <v>43</v>
      </c>
      <c r="D43" s="50">
        <v>5</v>
      </c>
      <c r="E43" s="50">
        <v>6</v>
      </c>
      <c r="F43" s="50">
        <v>10</v>
      </c>
      <c r="G43" s="50">
        <v>0</v>
      </c>
      <c r="H43" s="50">
        <v>0</v>
      </c>
      <c r="I43" s="50">
        <v>7</v>
      </c>
      <c r="J43" s="50">
        <v>1</v>
      </c>
      <c r="K43" s="50">
        <v>2</v>
      </c>
      <c r="L43" s="50">
        <v>1</v>
      </c>
      <c r="M43" s="50">
        <v>149</v>
      </c>
      <c r="N43" s="50">
        <v>0</v>
      </c>
      <c r="O43" s="15">
        <f t="shared" si="0"/>
        <v>75</v>
      </c>
      <c r="P43" s="15">
        <f t="shared" si="1"/>
        <v>224</v>
      </c>
    </row>
    <row r="44" spans="2:20" ht="23.1" customHeight="1" x14ac:dyDescent="0.25">
      <c r="B44" s="25" t="s">
        <v>71</v>
      </c>
      <c r="C44" s="50">
        <v>46</v>
      </c>
      <c r="D44" s="50">
        <v>7</v>
      </c>
      <c r="E44" s="50">
        <v>4</v>
      </c>
      <c r="F44" s="50">
        <v>16</v>
      </c>
      <c r="G44" s="50">
        <v>0</v>
      </c>
      <c r="H44" s="50">
        <v>0</v>
      </c>
      <c r="I44" s="50">
        <v>7</v>
      </c>
      <c r="J44" s="50">
        <v>0</v>
      </c>
      <c r="K44" s="50">
        <v>2</v>
      </c>
      <c r="L44" s="50">
        <v>2</v>
      </c>
      <c r="M44" s="50">
        <v>165</v>
      </c>
      <c r="N44" s="50">
        <v>0</v>
      </c>
      <c r="O44" s="15">
        <f t="shared" si="0"/>
        <v>84</v>
      </c>
      <c r="P44" s="15">
        <f t="shared" si="1"/>
        <v>249</v>
      </c>
    </row>
    <row r="45" spans="2:20" ht="23.1" customHeight="1" x14ac:dyDescent="0.25">
      <c r="B45" s="23" t="s">
        <v>72</v>
      </c>
      <c r="C45" s="50">
        <v>42</v>
      </c>
      <c r="D45" s="50">
        <v>20</v>
      </c>
      <c r="E45" s="50">
        <v>4</v>
      </c>
      <c r="F45" s="50">
        <v>19</v>
      </c>
      <c r="G45" s="50">
        <v>0</v>
      </c>
      <c r="H45" s="50">
        <v>0</v>
      </c>
      <c r="I45" s="50">
        <v>6</v>
      </c>
      <c r="J45" s="50">
        <v>0</v>
      </c>
      <c r="K45" s="50">
        <v>2</v>
      </c>
      <c r="L45" s="50">
        <v>2</v>
      </c>
      <c r="M45" s="50">
        <v>119</v>
      </c>
      <c r="N45" s="50">
        <v>0</v>
      </c>
      <c r="O45" s="15">
        <f t="shared" si="0"/>
        <v>95</v>
      </c>
      <c r="P45" s="15">
        <f t="shared" si="1"/>
        <v>214</v>
      </c>
    </row>
    <row r="46" spans="2:20" ht="23.1" customHeight="1" x14ac:dyDescent="0.25">
      <c r="B46" s="24" t="s">
        <v>73</v>
      </c>
      <c r="C46" s="50">
        <v>55</v>
      </c>
      <c r="D46" s="50">
        <v>15</v>
      </c>
      <c r="E46" s="50">
        <v>8</v>
      </c>
      <c r="F46" s="50">
        <v>13</v>
      </c>
      <c r="G46" s="50">
        <v>1</v>
      </c>
      <c r="H46" s="50">
        <v>0</v>
      </c>
      <c r="I46" s="50">
        <v>8</v>
      </c>
      <c r="J46" s="50">
        <v>0</v>
      </c>
      <c r="K46" s="50">
        <v>0</v>
      </c>
      <c r="L46" s="50">
        <v>0</v>
      </c>
      <c r="M46" s="50">
        <v>145</v>
      </c>
      <c r="N46" s="50">
        <v>0</v>
      </c>
      <c r="O46" s="15">
        <f t="shared" si="0"/>
        <v>100</v>
      </c>
      <c r="P46" s="15">
        <f t="shared" si="1"/>
        <v>245</v>
      </c>
      <c r="R46" s="8"/>
      <c r="T46"/>
    </row>
    <row r="47" spans="2:20" ht="23.1" customHeight="1" x14ac:dyDescent="0.25">
      <c r="B47" s="24" t="s">
        <v>74</v>
      </c>
      <c r="C47" s="50">
        <v>65</v>
      </c>
      <c r="D47" s="50">
        <v>11</v>
      </c>
      <c r="E47" s="50">
        <v>7</v>
      </c>
      <c r="F47" s="50">
        <v>17</v>
      </c>
      <c r="G47" s="50">
        <v>1</v>
      </c>
      <c r="H47" s="50">
        <v>0</v>
      </c>
      <c r="I47" s="50">
        <v>11</v>
      </c>
      <c r="J47" s="50">
        <v>0</v>
      </c>
      <c r="K47" s="50">
        <v>0</v>
      </c>
      <c r="L47" s="50">
        <v>0</v>
      </c>
      <c r="M47" s="50">
        <v>95</v>
      </c>
      <c r="N47" s="50">
        <v>0</v>
      </c>
      <c r="O47" s="15">
        <f t="shared" si="0"/>
        <v>112</v>
      </c>
      <c r="P47" s="15">
        <f t="shared" si="1"/>
        <v>207</v>
      </c>
      <c r="R47" s="8"/>
      <c r="T47"/>
    </row>
    <row r="48" spans="2:20" ht="23.1" customHeight="1" x14ac:dyDescent="0.25">
      <c r="B48" s="24" t="s">
        <v>75</v>
      </c>
      <c r="C48" s="50">
        <v>73</v>
      </c>
      <c r="D48" s="50">
        <v>14</v>
      </c>
      <c r="E48" s="50">
        <v>19</v>
      </c>
      <c r="F48" s="50">
        <v>20</v>
      </c>
      <c r="G48" s="50">
        <v>1</v>
      </c>
      <c r="H48" s="50">
        <v>0</v>
      </c>
      <c r="I48" s="50">
        <v>7</v>
      </c>
      <c r="J48" s="50">
        <v>0</v>
      </c>
      <c r="K48" s="50">
        <v>1</v>
      </c>
      <c r="L48" s="50">
        <v>1</v>
      </c>
      <c r="M48" s="50">
        <v>145</v>
      </c>
      <c r="N48" s="50">
        <v>0</v>
      </c>
      <c r="O48" s="15">
        <f t="shared" si="0"/>
        <v>136</v>
      </c>
      <c r="P48" s="15">
        <f t="shared" si="1"/>
        <v>281</v>
      </c>
      <c r="R48" s="8"/>
      <c r="T48"/>
    </row>
    <row r="49" spans="2:20" ht="23.1" customHeight="1" x14ac:dyDescent="0.25">
      <c r="B49" s="23" t="s">
        <v>76</v>
      </c>
      <c r="C49" s="50">
        <v>60</v>
      </c>
      <c r="D49" s="50">
        <v>8</v>
      </c>
      <c r="E49" s="50">
        <v>7</v>
      </c>
      <c r="F49" s="50">
        <v>18</v>
      </c>
      <c r="G49" s="50">
        <v>0</v>
      </c>
      <c r="H49" s="50">
        <v>0</v>
      </c>
      <c r="I49" s="50">
        <v>8</v>
      </c>
      <c r="J49" s="50">
        <v>0</v>
      </c>
      <c r="K49" s="50">
        <v>2</v>
      </c>
      <c r="L49" s="50">
        <v>0</v>
      </c>
      <c r="M49" s="50">
        <v>125</v>
      </c>
      <c r="N49" s="50">
        <v>0</v>
      </c>
      <c r="O49" s="15">
        <f t="shared" si="0"/>
        <v>103</v>
      </c>
      <c r="P49" s="15">
        <f t="shared" si="1"/>
        <v>228</v>
      </c>
      <c r="R49" s="8"/>
      <c r="T49"/>
    </row>
    <row r="50" spans="2:20" ht="23.1" customHeight="1" x14ac:dyDescent="0.25">
      <c r="B50" s="24" t="s">
        <v>77</v>
      </c>
      <c r="C50" s="50">
        <v>75</v>
      </c>
      <c r="D50" s="50">
        <v>10</v>
      </c>
      <c r="E50" s="50">
        <v>90</v>
      </c>
      <c r="F50" s="50">
        <v>20</v>
      </c>
      <c r="G50" s="50">
        <v>1</v>
      </c>
      <c r="H50" s="50">
        <v>0</v>
      </c>
      <c r="I50" s="50">
        <v>9</v>
      </c>
      <c r="J50" s="50">
        <v>0</v>
      </c>
      <c r="K50" s="50">
        <v>1</v>
      </c>
      <c r="L50" s="50">
        <v>2</v>
      </c>
      <c r="M50" s="50">
        <v>110</v>
      </c>
      <c r="N50" s="50">
        <v>0</v>
      </c>
      <c r="O50" s="15">
        <f t="shared" si="0"/>
        <v>208</v>
      </c>
      <c r="P50" s="15">
        <f t="shared" si="1"/>
        <v>318</v>
      </c>
      <c r="R50" s="8"/>
      <c r="T50"/>
    </row>
    <row r="51" spans="2:20" ht="23.1" customHeight="1" x14ac:dyDescent="0.25">
      <c r="B51" s="24" t="s">
        <v>78</v>
      </c>
      <c r="C51" s="50">
        <v>65</v>
      </c>
      <c r="D51" s="50">
        <v>9</v>
      </c>
      <c r="E51" s="50">
        <v>15</v>
      </c>
      <c r="F51" s="50">
        <v>25</v>
      </c>
      <c r="G51" s="50">
        <v>2</v>
      </c>
      <c r="H51" s="50">
        <v>0</v>
      </c>
      <c r="I51" s="50">
        <v>5</v>
      </c>
      <c r="J51" s="50">
        <v>0</v>
      </c>
      <c r="K51" s="50">
        <v>1</v>
      </c>
      <c r="L51" s="50">
        <v>0</v>
      </c>
      <c r="M51" s="50">
        <v>95</v>
      </c>
      <c r="N51" s="50">
        <v>0</v>
      </c>
      <c r="O51" s="15">
        <f t="shared" si="0"/>
        <v>122</v>
      </c>
      <c r="P51" s="15">
        <f t="shared" si="1"/>
        <v>217</v>
      </c>
      <c r="R51" s="8"/>
      <c r="T51"/>
    </row>
    <row r="52" spans="2:20" ht="23.1" customHeight="1" x14ac:dyDescent="0.25">
      <c r="B52" s="24" t="s">
        <v>79</v>
      </c>
      <c r="C52" s="50">
        <v>105</v>
      </c>
      <c r="D52" s="50">
        <v>10</v>
      </c>
      <c r="E52" s="50">
        <v>12</v>
      </c>
      <c r="F52" s="50">
        <v>17</v>
      </c>
      <c r="G52" s="50">
        <v>0</v>
      </c>
      <c r="H52" s="50">
        <v>1</v>
      </c>
      <c r="I52" s="50">
        <v>4</v>
      </c>
      <c r="J52" s="50">
        <v>0</v>
      </c>
      <c r="K52" s="50">
        <v>1</v>
      </c>
      <c r="L52" s="50">
        <v>1</v>
      </c>
      <c r="M52" s="50">
        <v>145</v>
      </c>
      <c r="N52" s="50">
        <v>0</v>
      </c>
      <c r="O52" s="15">
        <f t="shared" si="0"/>
        <v>151</v>
      </c>
      <c r="P52" s="15">
        <f t="shared" si="1"/>
        <v>296</v>
      </c>
      <c r="R52" s="8"/>
      <c r="T52"/>
    </row>
    <row r="53" spans="2:20" ht="23.1" customHeight="1" x14ac:dyDescent="0.25">
      <c r="B53" s="23" t="s">
        <v>80</v>
      </c>
      <c r="C53" s="50">
        <v>93</v>
      </c>
      <c r="D53" s="50">
        <v>7</v>
      </c>
      <c r="E53" s="50">
        <v>9</v>
      </c>
      <c r="F53" s="50">
        <v>20</v>
      </c>
      <c r="G53" s="50">
        <v>3</v>
      </c>
      <c r="H53" s="50">
        <v>0</v>
      </c>
      <c r="I53" s="50">
        <v>10</v>
      </c>
      <c r="J53" s="50">
        <v>0</v>
      </c>
      <c r="K53" s="50">
        <v>1</v>
      </c>
      <c r="L53" s="50">
        <v>1</v>
      </c>
      <c r="M53" s="50">
        <v>130</v>
      </c>
      <c r="N53" s="50">
        <v>0</v>
      </c>
      <c r="O53" s="15">
        <f t="shared" si="0"/>
        <v>144</v>
      </c>
      <c r="P53" s="15">
        <f t="shared" si="1"/>
        <v>274</v>
      </c>
      <c r="R53" s="8"/>
      <c r="T53"/>
    </row>
    <row r="54" spans="2:20" ht="23.1" customHeight="1" x14ac:dyDescent="0.25">
      <c r="B54" s="23" t="s">
        <v>81</v>
      </c>
      <c r="C54" s="50">
        <v>118</v>
      </c>
      <c r="D54" s="50">
        <v>17</v>
      </c>
      <c r="E54" s="50">
        <v>11</v>
      </c>
      <c r="F54" s="50">
        <v>26</v>
      </c>
      <c r="G54" s="50">
        <v>0</v>
      </c>
      <c r="H54" s="50">
        <v>0</v>
      </c>
      <c r="I54" s="50">
        <v>12</v>
      </c>
      <c r="J54" s="50">
        <v>0</v>
      </c>
      <c r="K54" s="50">
        <v>2</v>
      </c>
      <c r="L54" s="50">
        <v>3</v>
      </c>
      <c r="M54" s="50">
        <v>150</v>
      </c>
      <c r="N54" s="50">
        <v>0</v>
      </c>
      <c r="O54" s="15">
        <f t="shared" si="0"/>
        <v>189</v>
      </c>
      <c r="P54" s="15">
        <f t="shared" si="1"/>
        <v>339</v>
      </c>
      <c r="R54" s="8"/>
      <c r="T54"/>
    </row>
    <row r="55" spans="2:20" ht="23.1" customHeight="1" x14ac:dyDescent="0.25">
      <c r="B55" s="23" t="s">
        <v>82</v>
      </c>
      <c r="C55" s="50">
        <v>100</v>
      </c>
      <c r="D55" s="50">
        <v>10</v>
      </c>
      <c r="E55" s="50">
        <v>14</v>
      </c>
      <c r="F55" s="50">
        <v>22</v>
      </c>
      <c r="G55" s="50">
        <v>0</v>
      </c>
      <c r="H55" s="50">
        <v>0</v>
      </c>
      <c r="I55" s="50">
        <v>15</v>
      </c>
      <c r="J55" s="50">
        <v>0</v>
      </c>
      <c r="K55" s="50">
        <v>3</v>
      </c>
      <c r="L55" s="50">
        <v>1</v>
      </c>
      <c r="M55" s="50">
        <v>83</v>
      </c>
      <c r="N55" s="50">
        <v>0</v>
      </c>
      <c r="O55" s="15">
        <f t="shared" si="0"/>
        <v>165</v>
      </c>
      <c r="P55" s="15">
        <f t="shared" si="1"/>
        <v>248</v>
      </c>
      <c r="R55" s="8"/>
      <c r="T55"/>
    </row>
    <row r="56" spans="2:20" ht="23.1" customHeight="1" x14ac:dyDescent="0.25">
      <c r="B56" s="23" t="s">
        <v>83</v>
      </c>
      <c r="C56" s="50">
        <v>90</v>
      </c>
      <c r="D56" s="50">
        <v>12</v>
      </c>
      <c r="E56" s="50">
        <v>12</v>
      </c>
      <c r="F56" s="50">
        <v>20</v>
      </c>
      <c r="G56" s="50">
        <v>1</v>
      </c>
      <c r="H56" s="50">
        <v>0</v>
      </c>
      <c r="I56" s="50">
        <v>13</v>
      </c>
      <c r="J56" s="50">
        <v>3</v>
      </c>
      <c r="K56" s="50">
        <v>1</v>
      </c>
      <c r="L56" s="50">
        <v>2</v>
      </c>
      <c r="M56" s="50">
        <v>97</v>
      </c>
      <c r="N56" s="50">
        <v>0</v>
      </c>
      <c r="O56" s="15">
        <f t="shared" si="0"/>
        <v>154</v>
      </c>
      <c r="P56" s="15">
        <f t="shared" si="1"/>
        <v>251</v>
      </c>
      <c r="R56" s="8"/>
      <c r="T56"/>
    </row>
    <row r="57" spans="2:20" ht="23.1" customHeight="1" x14ac:dyDescent="0.25">
      <c r="B57" s="23" t="s">
        <v>84</v>
      </c>
      <c r="C57" s="50">
        <v>77</v>
      </c>
      <c r="D57" s="50">
        <v>8</v>
      </c>
      <c r="E57" s="50">
        <v>10</v>
      </c>
      <c r="F57" s="50">
        <v>25</v>
      </c>
      <c r="G57" s="50">
        <v>2</v>
      </c>
      <c r="H57" s="50">
        <v>0</v>
      </c>
      <c r="I57" s="50">
        <v>15</v>
      </c>
      <c r="J57" s="50">
        <v>2</v>
      </c>
      <c r="K57" s="50">
        <v>1</v>
      </c>
      <c r="L57" s="50">
        <v>3</v>
      </c>
      <c r="M57" s="50">
        <v>74</v>
      </c>
      <c r="N57" s="50">
        <v>0</v>
      </c>
      <c r="O57" s="15">
        <f t="shared" si="0"/>
        <v>143</v>
      </c>
      <c r="P57" s="15">
        <f t="shared" si="1"/>
        <v>217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2085</v>
      </c>
      <c r="D58" s="16">
        <f t="shared" si="21"/>
        <v>317</v>
      </c>
      <c r="E58" s="16">
        <f t="shared" si="21"/>
        <v>444</v>
      </c>
      <c r="F58" s="16">
        <f t="shared" si="21"/>
        <v>1003</v>
      </c>
      <c r="G58" s="16">
        <f t="shared" si="21"/>
        <v>31</v>
      </c>
      <c r="H58" s="16">
        <f t="shared" si="21"/>
        <v>6</v>
      </c>
      <c r="I58" s="16">
        <f t="shared" si="21"/>
        <v>313</v>
      </c>
      <c r="J58" s="16">
        <f t="shared" si="21"/>
        <v>21</v>
      </c>
      <c r="K58" s="16">
        <f t="shared" si="21"/>
        <v>71</v>
      </c>
      <c r="L58" s="16">
        <f t="shared" si="21"/>
        <v>44</v>
      </c>
      <c r="M58" s="16">
        <f t="shared" si="21"/>
        <v>7020</v>
      </c>
      <c r="N58" s="16">
        <f t="shared" si="21"/>
        <v>0</v>
      </c>
      <c r="O58" s="16">
        <f t="shared" si="21"/>
        <v>4335</v>
      </c>
      <c r="P58" s="16">
        <f t="shared" si="21"/>
        <v>11355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0.18361955085865259</v>
      </c>
      <c r="D59" s="43">
        <f t="shared" si="22"/>
        <v>2.791721708498459E-2</v>
      </c>
      <c r="E59" s="43">
        <f t="shared" si="22"/>
        <v>3.9101717305151919E-2</v>
      </c>
      <c r="F59" s="43">
        <f t="shared" si="22"/>
        <v>8.8331131660061651E-2</v>
      </c>
      <c r="G59" s="43">
        <f t="shared" si="22"/>
        <v>2.7300748568912375E-3</v>
      </c>
      <c r="H59" s="43">
        <f t="shared" si="22"/>
        <v>5.284015852047556E-4</v>
      </c>
      <c r="I59" s="43">
        <f t="shared" si="22"/>
        <v>2.756494936151475E-2</v>
      </c>
      <c r="J59" s="43">
        <f t="shared" si="22"/>
        <v>1.8494055482166448E-3</v>
      </c>
      <c r="K59" s="43">
        <f t="shared" si="22"/>
        <v>6.2527520915896077E-3</v>
      </c>
      <c r="L59" s="43">
        <f t="shared" si="22"/>
        <v>3.8749449581682079E-3</v>
      </c>
      <c r="M59" s="43">
        <f t="shared" si="22"/>
        <v>0.61822985468956404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0.48096885813148788</v>
      </c>
      <c r="D60" s="44">
        <f t="shared" ref="D60:N60" si="23">D58/$O$58</f>
        <v>7.3125720876585934E-2</v>
      </c>
      <c r="E60" s="44">
        <f t="shared" si="23"/>
        <v>0.10242214532871972</v>
      </c>
      <c r="F60" s="44">
        <f t="shared" si="23"/>
        <v>0.23137254901960785</v>
      </c>
      <c r="G60" s="44">
        <f t="shared" si="23"/>
        <v>7.151095732410611E-3</v>
      </c>
      <c r="H60" s="44">
        <f t="shared" si="23"/>
        <v>1.3840830449826989E-3</v>
      </c>
      <c r="I60" s="44">
        <f t="shared" si="23"/>
        <v>7.2202998846597463E-2</v>
      </c>
      <c r="J60" s="44">
        <f t="shared" si="23"/>
        <v>4.844290657439446E-3</v>
      </c>
      <c r="K60" s="44">
        <f t="shared" si="23"/>
        <v>1.6378316032295271E-2</v>
      </c>
      <c r="L60" s="44">
        <f t="shared" si="23"/>
        <v>1.0149942329873126E-2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52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D1" zoomScale="84" zoomScaleSheetLayoutView="84" workbookViewId="0">
      <selection activeCell="G6" sqref="G6:H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2" t="str">
        <f>'22.07 Kabusu-Kitebi'!C3:G3</f>
        <v>MCC - C1 - STN06-WANKULUKUKU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'25.07 Kabusu-Kitebi'!D5</f>
        <v>25.07.19</v>
      </c>
      <c r="E5" s="3"/>
      <c r="F5" s="41" t="s">
        <v>1</v>
      </c>
      <c r="G5" s="57" t="str">
        <f>'25.07 Kabusu-Kitebi'!G5:H5</f>
        <v>kobil head office</v>
      </c>
      <c r="H5" s="58"/>
      <c r="I5" s="14"/>
      <c r="J5" s="2" t="s">
        <v>5</v>
      </c>
      <c r="K5" s="57" t="s">
        <v>172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171</v>
      </c>
      <c r="E6" s="58"/>
      <c r="F6" s="2" t="s">
        <v>2</v>
      </c>
      <c r="G6" s="57" t="s">
        <v>176</v>
      </c>
      <c r="H6" s="58"/>
      <c r="J6" s="2" t="s">
        <v>21</v>
      </c>
      <c r="K6" s="57" t="str">
        <f>'25.07 Kabusu-Kitebi'!K6:L6</f>
        <v>Felix Oloya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212</v>
      </c>
      <c r="D10" s="50">
        <v>21</v>
      </c>
      <c r="E10" s="50">
        <v>16</v>
      </c>
      <c r="F10" s="50">
        <v>47</v>
      </c>
      <c r="G10" s="50">
        <v>1</v>
      </c>
      <c r="H10" s="50">
        <v>0</v>
      </c>
      <c r="I10" s="50">
        <v>4</v>
      </c>
      <c r="J10" s="50">
        <v>0</v>
      </c>
      <c r="K10" s="50">
        <v>0</v>
      </c>
      <c r="L10" s="50">
        <v>0</v>
      </c>
      <c r="M10" s="50">
        <v>230</v>
      </c>
      <c r="N10" s="50">
        <v>0</v>
      </c>
      <c r="O10" s="15">
        <f t="shared" ref="O10:O57" si="0">SUM(C10:L10,N10)</f>
        <v>301</v>
      </c>
      <c r="P10" s="15">
        <f t="shared" ref="P10:P57" si="1">SUM(C10:N10)</f>
        <v>531</v>
      </c>
      <c r="R10" s="1" t="s">
        <v>6</v>
      </c>
      <c r="S10" s="17">
        <f t="shared" ref="S10:AF10" si="2">SUM(C10:C13)</f>
        <v>700</v>
      </c>
      <c r="T10" s="17">
        <f t="shared" si="2"/>
        <v>81</v>
      </c>
      <c r="U10" s="17">
        <f t="shared" si="2"/>
        <v>53</v>
      </c>
      <c r="V10" s="17">
        <f t="shared" si="2"/>
        <v>190</v>
      </c>
      <c r="W10" s="17">
        <f t="shared" si="2"/>
        <v>2</v>
      </c>
      <c r="X10" s="17">
        <f t="shared" si="2"/>
        <v>1</v>
      </c>
      <c r="Y10" s="17">
        <f t="shared" si="2"/>
        <v>33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1177</v>
      </c>
      <c r="AD10" s="17">
        <f t="shared" si="2"/>
        <v>0</v>
      </c>
      <c r="AE10" s="31">
        <f t="shared" si="2"/>
        <v>1060</v>
      </c>
      <c r="AF10" s="31">
        <f t="shared" si="2"/>
        <v>2237</v>
      </c>
    </row>
    <row r="11" spans="2:32" s="6" customFormat="1" ht="23.1" customHeight="1" x14ac:dyDescent="0.25">
      <c r="B11" s="23" t="s">
        <v>38</v>
      </c>
      <c r="C11" s="50">
        <v>171</v>
      </c>
      <c r="D11" s="50">
        <v>19</v>
      </c>
      <c r="E11" s="50">
        <v>11</v>
      </c>
      <c r="F11" s="50">
        <v>50</v>
      </c>
      <c r="G11" s="50">
        <v>0</v>
      </c>
      <c r="H11" s="50">
        <v>1</v>
      </c>
      <c r="I11" s="50">
        <v>9</v>
      </c>
      <c r="J11" s="50">
        <v>0</v>
      </c>
      <c r="K11" s="50">
        <v>0</v>
      </c>
      <c r="L11" s="50">
        <v>0</v>
      </c>
      <c r="M11" s="50">
        <v>305</v>
      </c>
      <c r="N11" s="50">
        <v>0</v>
      </c>
      <c r="O11" s="15">
        <f t="shared" si="0"/>
        <v>261</v>
      </c>
      <c r="P11" s="15">
        <f t="shared" si="1"/>
        <v>566</v>
      </c>
      <c r="R11" s="1" t="s">
        <v>7</v>
      </c>
      <c r="S11" s="17">
        <f t="shared" ref="S11:AF11" si="3">SUM(C14:C17)</f>
        <v>426</v>
      </c>
      <c r="T11" s="17">
        <f t="shared" si="3"/>
        <v>53</v>
      </c>
      <c r="U11" s="17">
        <f t="shared" si="3"/>
        <v>53</v>
      </c>
      <c r="V11" s="17">
        <f t="shared" si="3"/>
        <v>124</v>
      </c>
      <c r="W11" s="17">
        <f t="shared" si="3"/>
        <v>4</v>
      </c>
      <c r="X11" s="17">
        <f t="shared" si="3"/>
        <v>0</v>
      </c>
      <c r="Y11" s="17">
        <f t="shared" si="3"/>
        <v>25</v>
      </c>
      <c r="Z11" s="17">
        <f t="shared" si="3"/>
        <v>5</v>
      </c>
      <c r="AA11" s="17">
        <f t="shared" si="3"/>
        <v>1</v>
      </c>
      <c r="AB11" s="17">
        <f t="shared" si="3"/>
        <v>2</v>
      </c>
      <c r="AC11" s="17">
        <f t="shared" si="3"/>
        <v>1178</v>
      </c>
      <c r="AD11" s="17">
        <f t="shared" si="3"/>
        <v>0</v>
      </c>
      <c r="AE11" s="31">
        <f t="shared" si="3"/>
        <v>693</v>
      </c>
      <c r="AF11" s="31">
        <f t="shared" si="3"/>
        <v>1871</v>
      </c>
    </row>
    <row r="12" spans="2:32" ht="23.1" customHeight="1" x14ac:dyDescent="0.25">
      <c r="B12" s="23" t="s">
        <v>39</v>
      </c>
      <c r="C12" s="50">
        <v>164</v>
      </c>
      <c r="D12" s="50">
        <v>21</v>
      </c>
      <c r="E12" s="50">
        <v>15</v>
      </c>
      <c r="F12" s="50">
        <v>46</v>
      </c>
      <c r="G12" s="50">
        <v>1</v>
      </c>
      <c r="H12" s="50">
        <v>0</v>
      </c>
      <c r="I12" s="50">
        <v>9</v>
      </c>
      <c r="J12" s="50">
        <v>0</v>
      </c>
      <c r="K12" s="50">
        <v>0</v>
      </c>
      <c r="L12" s="50">
        <v>0</v>
      </c>
      <c r="M12" s="50">
        <v>315</v>
      </c>
      <c r="N12" s="50">
        <v>0</v>
      </c>
      <c r="O12" s="15">
        <f t="shared" si="0"/>
        <v>256</v>
      </c>
      <c r="P12" s="15">
        <f t="shared" si="1"/>
        <v>571</v>
      </c>
      <c r="R12" s="1" t="s">
        <v>8</v>
      </c>
      <c r="S12" s="17">
        <f t="shared" ref="S12:AF12" si="4">SUM(C18:C21)</f>
        <v>333</v>
      </c>
      <c r="T12" s="17">
        <f t="shared" si="4"/>
        <v>36</v>
      </c>
      <c r="U12" s="17">
        <f t="shared" si="4"/>
        <v>37</v>
      </c>
      <c r="V12" s="17">
        <f t="shared" si="4"/>
        <v>105</v>
      </c>
      <c r="W12" s="17">
        <f t="shared" si="4"/>
        <v>3</v>
      </c>
      <c r="X12" s="17">
        <f t="shared" si="4"/>
        <v>0</v>
      </c>
      <c r="Y12" s="17">
        <f t="shared" si="4"/>
        <v>23</v>
      </c>
      <c r="Z12" s="17">
        <f t="shared" si="4"/>
        <v>4</v>
      </c>
      <c r="AA12" s="17">
        <f t="shared" si="4"/>
        <v>1</v>
      </c>
      <c r="AB12" s="17">
        <f t="shared" si="4"/>
        <v>3</v>
      </c>
      <c r="AC12" s="17">
        <f t="shared" si="4"/>
        <v>1117</v>
      </c>
      <c r="AD12" s="17">
        <f t="shared" si="4"/>
        <v>0</v>
      </c>
      <c r="AE12" s="31">
        <f t="shared" si="4"/>
        <v>545</v>
      </c>
      <c r="AF12" s="31">
        <f t="shared" si="4"/>
        <v>1662</v>
      </c>
    </row>
    <row r="13" spans="2:32" ht="23.1" customHeight="1" x14ac:dyDescent="0.25">
      <c r="B13" s="23" t="s">
        <v>40</v>
      </c>
      <c r="C13" s="50">
        <v>153</v>
      </c>
      <c r="D13" s="50">
        <v>20</v>
      </c>
      <c r="E13" s="50">
        <v>11</v>
      </c>
      <c r="F13" s="50">
        <v>47</v>
      </c>
      <c r="G13" s="50">
        <v>0</v>
      </c>
      <c r="H13" s="50">
        <v>0</v>
      </c>
      <c r="I13" s="50">
        <v>11</v>
      </c>
      <c r="J13" s="50">
        <v>0</v>
      </c>
      <c r="K13" s="50">
        <v>0</v>
      </c>
      <c r="L13" s="50">
        <v>0</v>
      </c>
      <c r="M13" s="50">
        <v>327</v>
      </c>
      <c r="N13" s="50">
        <v>0</v>
      </c>
      <c r="O13" s="15">
        <f t="shared" si="0"/>
        <v>242</v>
      </c>
      <c r="P13" s="15">
        <f t="shared" si="1"/>
        <v>569</v>
      </c>
      <c r="R13" s="1" t="s">
        <v>9</v>
      </c>
      <c r="S13" s="17">
        <f t="shared" ref="S13:AF13" si="5">SUM(C22:C25)</f>
        <v>250</v>
      </c>
      <c r="T13" s="17">
        <f t="shared" si="5"/>
        <v>42</v>
      </c>
      <c r="U13" s="17">
        <f t="shared" si="5"/>
        <v>32</v>
      </c>
      <c r="V13" s="17">
        <f t="shared" si="5"/>
        <v>94</v>
      </c>
      <c r="W13" s="17">
        <f t="shared" si="5"/>
        <v>2</v>
      </c>
      <c r="X13" s="17">
        <f t="shared" si="5"/>
        <v>0</v>
      </c>
      <c r="Y13" s="17">
        <f t="shared" si="5"/>
        <v>26</v>
      </c>
      <c r="Z13" s="17">
        <f t="shared" si="5"/>
        <v>5</v>
      </c>
      <c r="AA13" s="17">
        <f t="shared" si="5"/>
        <v>1</v>
      </c>
      <c r="AB13" s="17">
        <f t="shared" si="5"/>
        <v>1</v>
      </c>
      <c r="AC13" s="17">
        <f t="shared" si="5"/>
        <v>990</v>
      </c>
      <c r="AD13" s="17">
        <f t="shared" si="5"/>
        <v>0</v>
      </c>
      <c r="AE13" s="31">
        <f t="shared" si="5"/>
        <v>453</v>
      </c>
      <c r="AF13" s="31">
        <f t="shared" si="5"/>
        <v>1443</v>
      </c>
    </row>
    <row r="14" spans="2:32" ht="23.1" customHeight="1" x14ac:dyDescent="0.25">
      <c r="B14" s="23" t="s">
        <v>41</v>
      </c>
      <c r="C14" s="50">
        <v>111</v>
      </c>
      <c r="D14" s="50">
        <v>16</v>
      </c>
      <c r="E14" s="50">
        <v>18</v>
      </c>
      <c r="F14" s="50">
        <v>35</v>
      </c>
      <c r="G14" s="50">
        <v>2</v>
      </c>
      <c r="H14" s="50">
        <v>0</v>
      </c>
      <c r="I14" s="50">
        <v>5</v>
      </c>
      <c r="J14" s="50">
        <v>2</v>
      </c>
      <c r="K14" s="50">
        <v>0</v>
      </c>
      <c r="L14" s="50">
        <v>0</v>
      </c>
      <c r="M14" s="50">
        <v>305</v>
      </c>
      <c r="N14" s="50">
        <v>0</v>
      </c>
      <c r="O14" s="15">
        <f t="shared" si="0"/>
        <v>189</v>
      </c>
      <c r="P14" s="15">
        <f t="shared" si="1"/>
        <v>494</v>
      </c>
      <c r="R14" s="1" t="s">
        <v>10</v>
      </c>
      <c r="S14" s="17">
        <f t="shared" ref="S14:AF14" si="6">SUM(C26:C29)</f>
        <v>196</v>
      </c>
      <c r="T14" s="17">
        <f t="shared" si="6"/>
        <v>31</v>
      </c>
      <c r="U14" s="17">
        <f t="shared" si="6"/>
        <v>31</v>
      </c>
      <c r="V14" s="17">
        <f t="shared" si="6"/>
        <v>81</v>
      </c>
      <c r="W14" s="17">
        <f t="shared" si="6"/>
        <v>1</v>
      </c>
      <c r="X14" s="17">
        <f t="shared" si="6"/>
        <v>0</v>
      </c>
      <c r="Y14" s="17">
        <f t="shared" si="6"/>
        <v>22</v>
      </c>
      <c r="Z14" s="17">
        <f t="shared" si="6"/>
        <v>2</v>
      </c>
      <c r="AA14" s="17">
        <f t="shared" si="6"/>
        <v>1</v>
      </c>
      <c r="AB14" s="17">
        <f t="shared" si="6"/>
        <v>1</v>
      </c>
      <c r="AC14" s="17">
        <f t="shared" si="6"/>
        <v>851</v>
      </c>
      <c r="AD14" s="17">
        <f t="shared" si="6"/>
        <v>0</v>
      </c>
      <c r="AE14" s="31">
        <f t="shared" si="6"/>
        <v>366</v>
      </c>
      <c r="AF14" s="31">
        <f t="shared" si="6"/>
        <v>1217</v>
      </c>
    </row>
    <row r="15" spans="2:32" ht="23.1" customHeight="1" x14ac:dyDescent="0.25">
      <c r="B15" s="23" t="s">
        <v>42</v>
      </c>
      <c r="C15" s="50">
        <v>106</v>
      </c>
      <c r="D15" s="50">
        <v>12</v>
      </c>
      <c r="E15" s="50">
        <v>14</v>
      </c>
      <c r="F15" s="50">
        <v>31</v>
      </c>
      <c r="G15" s="50">
        <v>0</v>
      </c>
      <c r="H15" s="50">
        <v>0</v>
      </c>
      <c r="I15" s="50">
        <v>9</v>
      </c>
      <c r="J15" s="50">
        <v>1</v>
      </c>
      <c r="K15" s="50">
        <v>0</v>
      </c>
      <c r="L15" s="50">
        <v>0</v>
      </c>
      <c r="M15" s="50">
        <v>265</v>
      </c>
      <c r="N15" s="50">
        <v>0</v>
      </c>
      <c r="O15" s="15">
        <f t="shared" si="0"/>
        <v>173</v>
      </c>
      <c r="P15" s="15">
        <f t="shared" si="1"/>
        <v>438</v>
      </c>
      <c r="R15" s="1" t="s">
        <v>11</v>
      </c>
      <c r="S15" s="17">
        <f t="shared" ref="S15:AF15" si="7">SUM(C30:C33)</f>
        <v>175</v>
      </c>
      <c r="T15" s="17">
        <f t="shared" si="7"/>
        <v>35</v>
      </c>
      <c r="U15" s="17">
        <f t="shared" si="7"/>
        <v>29</v>
      </c>
      <c r="V15" s="17">
        <f t="shared" si="7"/>
        <v>79</v>
      </c>
      <c r="W15" s="17">
        <f t="shared" si="7"/>
        <v>1</v>
      </c>
      <c r="X15" s="17">
        <f t="shared" si="7"/>
        <v>0</v>
      </c>
      <c r="Y15" s="17">
        <f t="shared" si="7"/>
        <v>30</v>
      </c>
      <c r="Z15" s="17">
        <f t="shared" si="7"/>
        <v>5</v>
      </c>
      <c r="AA15" s="17">
        <f t="shared" si="7"/>
        <v>1</v>
      </c>
      <c r="AB15" s="17">
        <f t="shared" si="7"/>
        <v>3</v>
      </c>
      <c r="AC15" s="17">
        <f t="shared" si="7"/>
        <v>712</v>
      </c>
      <c r="AD15" s="17">
        <f t="shared" si="7"/>
        <v>0</v>
      </c>
      <c r="AE15" s="31">
        <f t="shared" si="7"/>
        <v>358</v>
      </c>
      <c r="AF15" s="31">
        <f t="shared" si="7"/>
        <v>1070</v>
      </c>
    </row>
    <row r="16" spans="2:32" ht="23.1" customHeight="1" x14ac:dyDescent="0.25">
      <c r="B16" s="23" t="s">
        <v>43</v>
      </c>
      <c r="C16" s="50">
        <v>104</v>
      </c>
      <c r="D16" s="50">
        <v>14</v>
      </c>
      <c r="E16" s="50">
        <v>7</v>
      </c>
      <c r="F16" s="50">
        <v>34</v>
      </c>
      <c r="G16" s="50">
        <v>2</v>
      </c>
      <c r="H16" s="50">
        <v>0</v>
      </c>
      <c r="I16" s="50">
        <v>4</v>
      </c>
      <c r="J16" s="50">
        <v>1</v>
      </c>
      <c r="K16" s="50">
        <v>0</v>
      </c>
      <c r="L16" s="50">
        <v>2</v>
      </c>
      <c r="M16" s="50">
        <v>307</v>
      </c>
      <c r="N16" s="50">
        <v>0</v>
      </c>
      <c r="O16" s="15">
        <f t="shared" si="0"/>
        <v>168</v>
      </c>
      <c r="P16" s="15">
        <f t="shared" si="1"/>
        <v>475</v>
      </c>
      <c r="R16" s="1" t="s">
        <v>12</v>
      </c>
      <c r="S16" s="17">
        <f t="shared" ref="S16:AF16" si="8">SUM(C34:C37)</f>
        <v>220</v>
      </c>
      <c r="T16" s="17">
        <f t="shared" si="8"/>
        <v>26</v>
      </c>
      <c r="U16" s="17">
        <f t="shared" si="8"/>
        <v>27</v>
      </c>
      <c r="V16" s="17">
        <f t="shared" si="8"/>
        <v>76</v>
      </c>
      <c r="W16" s="17">
        <f t="shared" si="8"/>
        <v>0</v>
      </c>
      <c r="X16" s="17">
        <f t="shared" si="8"/>
        <v>2</v>
      </c>
      <c r="Y16" s="17">
        <f t="shared" si="8"/>
        <v>25</v>
      </c>
      <c r="Z16" s="17">
        <f t="shared" si="8"/>
        <v>7</v>
      </c>
      <c r="AA16" s="17">
        <f t="shared" si="8"/>
        <v>1</v>
      </c>
      <c r="AB16" s="17">
        <f t="shared" si="8"/>
        <v>1</v>
      </c>
      <c r="AC16" s="17">
        <f t="shared" si="8"/>
        <v>620</v>
      </c>
      <c r="AD16" s="17">
        <f t="shared" si="8"/>
        <v>0</v>
      </c>
      <c r="AE16" s="31">
        <f t="shared" si="8"/>
        <v>385</v>
      </c>
      <c r="AF16" s="31">
        <f t="shared" si="8"/>
        <v>1005</v>
      </c>
    </row>
    <row r="17" spans="2:32" ht="23.1" customHeight="1" x14ac:dyDescent="0.25">
      <c r="B17" s="23" t="s">
        <v>44</v>
      </c>
      <c r="C17" s="50">
        <v>105</v>
      </c>
      <c r="D17" s="50">
        <v>11</v>
      </c>
      <c r="E17" s="50">
        <v>14</v>
      </c>
      <c r="F17" s="50">
        <v>24</v>
      </c>
      <c r="G17" s="50">
        <v>0</v>
      </c>
      <c r="H17" s="50">
        <v>0</v>
      </c>
      <c r="I17" s="50">
        <v>7</v>
      </c>
      <c r="J17" s="50">
        <v>1</v>
      </c>
      <c r="K17" s="50">
        <v>1</v>
      </c>
      <c r="L17" s="50">
        <v>0</v>
      </c>
      <c r="M17" s="50">
        <v>301</v>
      </c>
      <c r="N17" s="50">
        <v>0</v>
      </c>
      <c r="O17" s="15">
        <f t="shared" si="0"/>
        <v>163</v>
      </c>
      <c r="P17" s="15">
        <f t="shared" si="1"/>
        <v>464</v>
      </c>
      <c r="R17" s="1" t="s">
        <v>13</v>
      </c>
      <c r="S17" s="17">
        <f t="shared" ref="S17:AF17" si="9">SUM(C38:C41)</f>
        <v>151</v>
      </c>
      <c r="T17" s="17">
        <f t="shared" si="9"/>
        <v>41</v>
      </c>
      <c r="U17" s="17">
        <f t="shared" si="9"/>
        <v>21</v>
      </c>
      <c r="V17" s="17">
        <f t="shared" si="9"/>
        <v>85</v>
      </c>
      <c r="W17" s="17">
        <f t="shared" si="9"/>
        <v>0</v>
      </c>
      <c r="X17" s="17">
        <f t="shared" si="9"/>
        <v>2</v>
      </c>
      <c r="Y17" s="17">
        <f t="shared" si="9"/>
        <v>22</v>
      </c>
      <c r="Z17" s="17">
        <f t="shared" si="9"/>
        <v>3</v>
      </c>
      <c r="AA17" s="17">
        <f t="shared" si="9"/>
        <v>4</v>
      </c>
      <c r="AB17" s="17">
        <f t="shared" si="9"/>
        <v>5</v>
      </c>
      <c r="AC17" s="17">
        <f t="shared" si="9"/>
        <v>586</v>
      </c>
      <c r="AD17" s="17">
        <f t="shared" si="9"/>
        <v>0</v>
      </c>
      <c r="AE17" s="31">
        <f t="shared" si="9"/>
        <v>334</v>
      </c>
      <c r="AF17" s="31">
        <f t="shared" si="9"/>
        <v>920</v>
      </c>
    </row>
    <row r="18" spans="2:32" ht="23.1" customHeight="1" x14ac:dyDescent="0.25">
      <c r="B18" s="23" t="s">
        <v>45</v>
      </c>
      <c r="C18" s="50">
        <v>98</v>
      </c>
      <c r="D18" s="50">
        <v>13</v>
      </c>
      <c r="E18" s="50">
        <v>8</v>
      </c>
      <c r="F18" s="50">
        <v>28</v>
      </c>
      <c r="G18" s="50">
        <v>0</v>
      </c>
      <c r="H18" s="50">
        <v>0</v>
      </c>
      <c r="I18" s="50">
        <v>6</v>
      </c>
      <c r="J18" s="50">
        <v>1</v>
      </c>
      <c r="K18" s="50">
        <v>0</v>
      </c>
      <c r="L18" s="50">
        <v>2</v>
      </c>
      <c r="M18" s="50">
        <v>330</v>
      </c>
      <c r="N18" s="50">
        <v>0</v>
      </c>
      <c r="O18" s="15">
        <f t="shared" si="0"/>
        <v>156</v>
      </c>
      <c r="P18" s="15">
        <f t="shared" si="1"/>
        <v>486</v>
      </c>
      <c r="R18" s="1" t="s">
        <v>14</v>
      </c>
      <c r="S18" s="17">
        <f t="shared" ref="S18:AF18" si="10">SUM(C42:C45)</f>
        <v>166</v>
      </c>
      <c r="T18" s="17">
        <f t="shared" si="10"/>
        <v>22</v>
      </c>
      <c r="U18" s="17">
        <f t="shared" si="10"/>
        <v>26</v>
      </c>
      <c r="V18" s="17">
        <f t="shared" si="10"/>
        <v>71</v>
      </c>
      <c r="W18" s="17">
        <f t="shared" si="10"/>
        <v>0</v>
      </c>
      <c r="X18" s="17">
        <f t="shared" si="10"/>
        <v>0</v>
      </c>
      <c r="Y18" s="17">
        <f t="shared" si="10"/>
        <v>27</v>
      </c>
      <c r="Z18" s="17">
        <f t="shared" si="10"/>
        <v>4</v>
      </c>
      <c r="AA18" s="17">
        <f t="shared" si="10"/>
        <v>2</v>
      </c>
      <c r="AB18" s="17">
        <f t="shared" si="10"/>
        <v>0</v>
      </c>
      <c r="AC18" s="17">
        <f t="shared" si="10"/>
        <v>697</v>
      </c>
      <c r="AD18" s="17">
        <f t="shared" si="10"/>
        <v>0</v>
      </c>
      <c r="AE18" s="31">
        <f t="shared" si="10"/>
        <v>318</v>
      </c>
      <c r="AF18" s="31">
        <f t="shared" si="10"/>
        <v>1015</v>
      </c>
    </row>
    <row r="19" spans="2:32" ht="23.1" customHeight="1" x14ac:dyDescent="0.25">
      <c r="B19" s="23" t="s">
        <v>46</v>
      </c>
      <c r="C19" s="50">
        <v>67</v>
      </c>
      <c r="D19" s="50">
        <v>7</v>
      </c>
      <c r="E19" s="50">
        <v>8</v>
      </c>
      <c r="F19" s="50">
        <v>34</v>
      </c>
      <c r="G19" s="50">
        <v>0</v>
      </c>
      <c r="H19" s="50">
        <v>0</v>
      </c>
      <c r="I19" s="50">
        <v>3</v>
      </c>
      <c r="J19" s="50">
        <v>1</v>
      </c>
      <c r="K19" s="50">
        <v>0</v>
      </c>
      <c r="L19" s="50">
        <v>1</v>
      </c>
      <c r="M19" s="50">
        <v>292</v>
      </c>
      <c r="N19" s="50">
        <v>0</v>
      </c>
      <c r="O19" s="15">
        <f t="shared" si="0"/>
        <v>121</v>
      </c>
      <c r="P19" s="15">
        <f t="shared" si="1"/>
        <v>413</v>
      </c>
      <c r="R19" s="1" t="s">
        <v>15</v>
      </c>
      <c r="S19" s="17">
        <f t="shared" ref="S19:AF19" si="11">SUM(C46:C49)</f>
        <v>174</v>
      </c>
      <c r="T19" s="17">
        <f t="shared" si="11"/>
        <v>22</v>
      </c>
      <c r="U19" s="17">
        <f t="shared" si="11"/>
        <v>25</v>
      </c>
      <c r="V19" s="17">
        <f t="shared" si="11"/>
        <v>72</v>
      </c>
      <c r="W19" s="17">
        <f t="shared" si="11"/>
        <v>2</v>
      </c>
      <c r="X19" s="17">
        <f t="shared" si="11"/>
        <v>1</v>
      </c>
      <c r="Y19" s="17">
        <f t="shared" si="11"/>
        <v>23</v>
      </c>
      <c r="Z19" s="17">
        <f t="shared" si="11"/>
        <v>5</v>
      </c>
      <c r="AA19" s="17">
        <f t="shared" si="11"/>
        <v>3</v>
      </c>
      <c r="AB19" s="17">
        <f t="shared" si="11"/>
        <v>2</v>
      </c>
      <c r="AC19" s="17">
        <f t="shared" si="11"/>
        <v>716</v>
      </c>
      <c r="AD19" s="17">
        <f t="shared" si="11"/>
        <v>0</v>
      </c>
      <c r="AE19" s="31">
        <f t="shared" si="11"/>
        <v>329</v>
      </c>
      <c r="AF19" s="31">
        <f t="shared" si="11"/>
        <v>1045</v>
      </c>
    </row>
    <row r="20" spans="2:32" ht="23.1" customHeight="1" x14ac:dyDescent="0.25">
      <c r="B20" s="23" t="s">
        <v>47</v>
      </c>
      <c r="C20" s="50">
        <v>95</v>
      </c>
      <c r="D20" s="50">
        <v>7</v>
      </c>
      <c r="E20" s="50">
        <v>9</v>
      </c>
      <c r="F20" s="50">
        <v>28</v>
      </c>
      <c r="G20" s="50">
        <v>0</v>
      </c>
      <c r="H20" s="50">
        <v>0</v>
      </c>
      <c r="I20" s="50">
        <v>8</v>
      </c>
      <c r="J20" s="50">
        <v>0</v>
      </c>
      <c r="K20" s="50">
        <v>0</v>
      </c>
      <c r="L20" s="50">
        <v>0</v>
      </c>
      <c r="M20" s="50">
        <v>241</v>
      </c>
      <c r="N20" s="50">
        <v>0</v>
      </c>
      <c r="O20" s="15">
        <f t="shared" si="0"/>
        <v>147</v>
      </c>
      <c r="P20" s="15">
        <f t="shared" si="1"/>
        <v>388</v>
      </c>
      <c r="R20" s="1" t="s">
        <v>16</v>
      </c>
      <c r="S20" s="17">
        <f t="shared" ref="S20:AF20" si="12">SUM(C50:C53)</f>
        <v>200</v>
      </c>
      <c r="T20" s="17">
        <f t="shared" si="12"/>
        <v>27</v>
      </c>
      <c r="U20" s="17">
        <f t="shared" si="12"/>
        <v>27</v>
      </c>
      <c r="V20" s="17">
        <f t="shared" si="12"/>
        <v>75</v>
      </c>
      <c r="W20" s="17">
        <f t="shared" si="12"/>
        <v>2</v>
      </c>
      <c r="X20" s="17">
        <f t="shared" si="12"/>
        <v>2</v>
      </c>
      <c r="Y20" s="17">
        <f t="shared" si="12"/>
        <v>16</v>
      </c>
      <c r="Z20" s="17">
        <f t="shared" si="12"/>
        <v>6</v>
      </c>
      <c r="AA20" s="17">
        <f t="shared" si="12"/>
        <v>4</v>
      </c>
      <c r="AB20" s="17">
        <f t="shared" si="12"/>
        <v>2</v>
      </c>
      <c r="AC20" s="17">
        <f t="shared" si="12"/>
        <v>960</v>
      </c>
      <c r="AD20" s="17">
        <f t="shared" si="12"/>
        <v>0</v>
      </c>
      <c r="AE20" s="31">
        <f t="shared" si="12"/>
        <v>361</v>
      </c>
      <c r="AF20" s="31">
        <f t="shared" si="12"/>
        <v>1321</v>
      </c>
    </row>
    <row r="21" spans="2:32" ht="23.1" customHeight="1" x14ac:dyDescent="0.25">
      <c r="B21" s="23" t="s">
        <v>48</v>
      </c>
      <c r="C21" s="50">
        <v>73</v>
      </c>
      <c r="D21" s="50">
        <v>9</v>
      </c>
      <c r="E21" s="50">
        <v>12</v>
      </c>
      <c r="F21" s="50">
        <v>15</v>
      </c>
      <c r="G21" s="50">
        <v>3</v>
      </c>
      <c r="H21" s="50">
        <v>0</v>
      </c>
      <c r="I21" s="50">
        <v>6</v>
      </c>
      <c r="J21" s="50">
        <v>2</v>
      </c>
      <c r="K21" s="50">
        <v>1</v>
      </c>
      <c r="L21" s="50">
        <v>0</v>
      </c>
      <c r="M21" s="50">
        <v>254</v>
      </c>
      <c r="N21" s="50">
        <v>0</v>
      </c>
      <c r="O21" s="15">
        <f t="shared" si="0"/>
        <v>121</v>
      </c>
      <c r="P21" s="15">
        <f t="shared" si="1"/>
        <v>375</v>
      </c>
      <c r="R21" s="36" t="s">
        <v>20</v>
      </c>
      <c r="S21" s="34">
        <f t="shared" ref="S21:AF21" si="13">SUM(C54:C57)</f>
        <v>197</v>
      </c>
      <c r="T21" s="17">
        <f t="shared" si="13"/>
        <v>18</v>
      </c>
      <c r="U21" s="17">
        <f t="shared" si="13"/>
        <v>17</v>
      </c>
      <c r="V21" s="17">
        <f t="shared" si="13"/>
        <v>129</v>
      </c>
      <c r="W21" s="17">
        <f t="shared" si="13"/>
        <v>1</v>
      </c>
      <c r="X21" s="17">
        <f t="shared" si="13"/>
        <v>0</v>
      </c>
      <c r="Y21" s="17">
        <f t="shared" si="13"/>
        <v>26</v>
      </c>
      <c r="Z21" s="17">
        <f t="shared" si="13"/>
        <v>1</v>
      </c>
      <c r="AA21" s="17">
        <f t="shared" si="13"/>
        <v>3</v>
      </c>
      <c r="AB21" s="17">
        <f t="shared" si="13"/>
        <v>0</v>
      </c>
      <c r="AC21" s="17">
        <f t="shared" si="13"/>
        <v>918</v>
      </c>
      <c r="AD21" s="17">
        <f t="shared" si="13"/>
        <v>0</v>
      </c>
      <c r="AE21" s="31">
        <f t="shared" si="13"/>
        <v>392</v>
      </c>
      <c r="AF21" s="31">
        <f t="shared" si="13"/>
        <v>1310</v>
      </c>
    </row>
    <row r="22" spans="2:32" ht="23.1" customHeight="1" x14ac:dyDescent="0.25">
      <c r="B22" s="23" t="s">
        <v>49</v>
      </c>
      <c r="C22" s="50">
        <v>69</v>
      </c>
      <c r="D22" s="50">
        <v>11</v>
      </c>
      <c r="E22" s="50">
        <v>4</v>
      </c>
      <c r="F22" s="50">
        <v>30</v>
      </c>
      <c r="G22" s="50">
        <v>1</v>
      </c>
      <c r="H22" s="50">
        <v>0</v>
      </c>
      <c r="I22" s="50">
        <v>10</v>
      </c>
      <c r="J22" s="50">
        <v>0</v>
      </c>
      <c r="K22" s="50">
        <v>0</v>
      </c>
      <c r="L22" s="50">
        <v>1</v>
      </c>
      <c r="M22" s="50">
        <v>275</v>
      </c>
      <c r="N22" s="50">
        <v>0</v>
      </c>
      <c r="O22" s="15">
        <f t="shared" si="0"/>
        <v>126</v>
      </c>
      <c r="P22" s="15">
        <f t="shared" si="1"/>
        <v>401</v>
      </c>
      <c r="R22" s="38" t="s">
        <v>90</v>
      </c>
      <c r="S22" s="39">
        <f>MAX(S10:S12)</f>
        <v>700</v>
      </c>
      <c r="T22" s="39">
        <f t="shared" ref="T22:AF22" si="14">MAX(T10:T12)</f>
        <v>81</v>
      </c>
      <c r="U22" s="39">
        <f t="shared" si="14"/>
        <v>53</v>
      </c>
      <c r="V22" s="39">
        <f t="shared" si="14"/>
        <v>190</v>
      </c>
      <c r="W22" s="39">
        <f t="shared" si="14"/>
        <v>4</v>
      </c>
      <c r="X22" s="39">
        <f t="shared" si="14"/>
        <v>1</v>
      </c>
      <c r="Y22" s="39">
        <f t="shared" si="14"/>
        <v>33</v>
      </c>
      <c r="Z22" s="39">
        <f t="shared" si="14"/>
        <v>5</v>
      </c>
      <c r="AA22" s="39">
        <f t="shared" si="14"/>
        <v>1</v>
      </c>
      <c r="AB22" s="39">
        <f t="shared" si="14"/>
        <v>3</v>
      </c>
      <c r="AC22" s="39">
        <f t="shared" si="14"/>
        <v>1178</v>
      </c>
      <c r="AD22" s="39">
        <f t="shared" si="14"/>
        <v>0</v>
      </c>
      <c r="AE22" s="40">
        <f t="shared" si="14"/>
        <v>1060</v>
      </c>
      <c r="AF22" s="40">
        <f t="shared" si="14"/>
        <v>2237</v>
      </c>
    </row>
    <row r="23" spans="2:32" ht="23.1" customHeight="1" x14ac:dyDescent="0.25">
      <c r="B23" s="23" t="s">
        <v>50</v>
      </c>
      <c r="C23" s="50">
        <v>70</v>
      </c>
      <c r="D23" s="50">
        <v>7</v>
      </c>
      <c r="E23" s="50">
        <v>8</v>
      </c>
      <c r="F23" s="50">
        <v>22</v>
      </c>
      <c r="G23" s="50">
        <v>1</v>
      </c>
      <c r="H23" s="50">
        <v>0</v>
      </c>
      <c r="I23" s="50">
        <v>6</v>
      </c>
      <c r="J23" s="50">
        <v>4</v>
      </c>
      <c r="K23" s="50">
        <v>0</v>
      </c>
      <c r="L23" s="50">
        <v>0</v>
      </c>
      <c r="M23" s="50">
        <v>240</v>
      </c>
      <c r="N23" s="50">
        <v>0</v>
      </c>
      <c r="O23" s="15">
        <f t="shared" si="0"/>
        <v>118</v>
      </c>
      <c r="P23" s="15">
        <f t="shared" si="1"/>
        <v>358</v>
      </c>
      <c r="R23" s="38" t="s">
        <v>91</v>
      </c>
      <c r="S23" s="39">
        <f>MAX(S13:S18)</f>
        <v>250</v>
      </c>
      <c r="T23" s="39">
        <f t="shared" ref="T23:AF23" si="15">MAX(T13:T18)</f>
        <v>42</v>
      </c>
      <c r="U23" s="39">
        <f t="shared" si="15"/>
        <v>32</v>
      </c>
      <c r="V23" s="39">
        <f t="shared" si="15"/>
        <v>94</v>
      </c>
      <c r="W23" s="39">
        <f t="shared" si="15"/>
        <v>2</v>
      </c>
      <c r="X23" s="39">
        <f t="shared" si="15"/>
        <v>2</v>
      </c>
      <c r="Y23" s="39">
        <f t="shared" si="15"/>
        <v>30</v>
      </c>
      <c r="Z23" s="39">
        <f t="shared" si="15"/>
        <v>7</v>
      </c>
      <c r="AA23" s="39">
        <f t="shared" si="15"/>
        <v>4</v>
      </c>
      <c r="AB23" s="39">
        <f t="shared" si="15"/>
        <v>5</v>
      </c>
      <c r="AC23" s="39">
        <f t="shared" si="15"/>
        <v>990</v>
      </c>
      <c r="AD23" s="39">
        <f t="shared" si="15"/>
        <v>0</v>
      </c>
      <c r="AE23" s="40">
        <f t="shared" si="15"/>
        <v>453</v>
      </c>
      <c r="AF23" s="40">
        <f t="shared" si="15"/>
        <v>1443</v>
      </c>
    </row>
    <row r="24" spans="2:32" ht="23.1" customHeight="1" x14ac:dyDescent="0.25">
      <c r="B24" s="23" t="s">
        <v>51</v>
      </c>
      <c r="C24" s="50">
        <v>65</v>
      </c>
      <c r="D24" s="50">
        <v>16</v>
      </c>
      <c r="E24" s="50">
        <v>13</v>
      </c>
      <c r="F24" s="50">
        <v>23</v>
      </c>
      <c r="G24" s="50">
        <v>0</v>
      </c>
      <c r="H24" s="50">
        <v>0</v>
      </c>
      <c r="I24" s="50">
        <v>4</v>
      </c>
      <c r="J24" s="50">
        <v>0</v>
      </c>
      <c r="K24" s="50">
        <v>0</v>
      </c>
      <c r="L24" s="50">
        <v>0</v>
      </c>
      <c r="M24" s="50">
        <v>240</v>
      </c>
      <c r="N24" s="50">
        <v>0</v>
      </c>
      <c r="O24" s="15">
        <f t="shared" si="0"/>
        <v>121</v>
      </c>
      <c r="P24" s="15">
        <f t="shared" si="1"/>
        <v>361</v>
      </c>
      <c r="R24" s="38" t="s">
        <v>92</v>
      </c>
      <c r="S24" s="39">
        <f>MAX(S19:S21)</f>
        <v>200</v>
      </c>
      <c r="T24" s="39">
        <f t="shared" ref="T24:AF24" si="16">MAX(T19:T21)</f>
        <v>27</v>
      </c>
      <c r="U24" s="39">
        <f t="shared" si="16"/>
        <v>27</v>
      </c>
      <c r="V24" s="39">
        <f t="shared" si="16"/>
        <v>129</v>
      </c>
      <c r="W24" s="39">
        <f t="shared" si="16"/>
        <v>2</v>
      </c>
      <c r="X24" s="39">
        <f t="shared" si="16"/>
        <v>2</v>
      </c>
      <c r="Y24" s="39">
        <f t="shared" si="16"/>
        <v>26</v>
      </c>
      <c r="Z24" s="39">
        <f t="shared" si="16"/>
        <v>6</v>
      </c>
      <c r="AA24" s="39">
        <f t="shared" si="16"/>
        <v>4</v>
      </c>
      <c r="AB24" s="39">
        <f t="shared" si="16"/>
        <v>2</v>
      </c>
      <c r="AC24" s="39">
        <f t="shared" si="16"/>
        <v>960</v>
      </c>
      <c r="AD24" s="39">
        <f t="shared" si="16"/>
        <v>0</v>
      </c>
      <c r="AE24" s="40">
        <f t="shared" si="16"/>
        <v>392</v>
      </c>
      <c r="AF24" s="40">
        <f t="shared" si="16"/>
        <v>1321</v>
      </c>
    </row>
    <row r="25" spans="2:32" ht="23.1" customHeight="1" x14ac:dyDescent="0.25">
      <c r="B25" s="23" t="s">
        <v>52</v>
      </c>
      <c r="C25" s="50">
        <v>46</v>
      </c>
      <c r="D25" s="50">
        <v>8</v>
      </c>
      <c r="E25" s="50">
        <v>7</v>
      </c>
      <c r="F25" s="50">
        <v>19</v>
      </c>
      <c r="G25" s="50">
        <v>0</v>
      </c>
      <c r="H25" s="50">
        <v>0</v>
      </c>
      <c r="I25" s="50">
        <v>6</v>
      </c>
      <c r="J25" s="50">
        <v>1</v>
      </c>
      <c r="K25" s="50">
        <v>1</v>
      </c>
      <c r="L25" s="50">
        <v>0</v>
      </c>
      <c r="M25" s="50">
        <v>235</v>
      </c>
      <c r="N25" s="50">
        <v>0</v>
      </c>
      <c r="O25" s="15">
        <f t="shared" si="0"/>
        <v>88</v>
      </c>
      <c r="P25" s="15">
        <f t="shared" si="1"/>
        <v>323</v>
      </c>
      <c r="R25" s="37" t="s">
        <v>85</v>
      </c>
      <c r="S25" s="35">
        <f t="shared" ref="S25:AF25" si="17">SUM(S10:S12)</f>
        <v>1459</v>
      </c>
      <c r="T25" s="16">
        <f t="shared" si="17"/>
        <v>170</v>
      </c>
      <c r="U25" s="16">
        <f t="shared" si="17"/>
        <v>143</v>
      </c>
      <c r="V25" s="16">
        <f t="shared" si="17"/>
        <v>419</v>
      </c>
      <c r="W25" s="16">
        <f t="shared" si="17"/>
        <v>9</v>
      </c>
      <c r="X25" s="16">
        <f t="shared" si="17"/>
        <v>1</v>
      </c>
      <c r="Y25" s="16">
        <f t="shared" si="17"/>
        <v>81</v>
      </c>
      <c r="Z25" s="16">
        <f t="shared" si="17"/>
        <v>9</v>
      </c>
      <c r="AA25" s="16">
        <f t="shared" si="17"/>
        <v>2</v>
      </c>
      <c r="AB25" s="16">
        <f t="shared" si="17"/>
        <v>5</v>
      </c>
      <c r="AC25" s="16">
        <f t="shared" si="17"/>
        <v>3472</v>
      </c>
      <c r="AD25" s="16">
        <f t="shared" si="17"/>
        <v>0</v>
      </c>
      <c r="AE25" s="32">
        <f t="shared" si="17"/>
        <v>2298</v>
      </c>
      <c r="AF25" s="32">
        <f t="shared" si="17"/>
        <v>5770</v>
      </c>
    </row>
    <row r="26" spans="2:32" ht="23.1" customHeight="1" x14ac:dyDescent="0.25">
      <c r="B26" s="23" t="s">
        <v>53</v>
      </c>
      <c r="C26" s="50">
        <v>48</v>
      </c>
      <c r="D26" s="50">
        <v>9</v>
      </c>
      <c r="E26" s="50">
        <v>8</v>
      </c>
      <c r="F26" s="50">
        <v>18</v>
      </c>
      <c r="G26" s="50">
        <v>0</v>
      </c>
      <c r="H26" s="50">
        <v>0</v>
      </c>
      <c r="I26" s="50">
        <v>6</v>
      </c>
      <c r="J26" s="50">
        <v>0</v>
      </c>
      <c r="K26" s="50">
        <v>0</v>
      </c>
      <c r="L26" s="50">
        <v>1</v>
      </c>
      <c r="M26" s="50">
        <v>235</v>
      </c>
      <c r="N26" s="50">
        <v>0</v>
      </c>
      <c r="O26" s="15">
        <f t="shared" si="0"/>
        <v>90</v>
      </c>
      <c r="P26" s="15">
        <f t="shared" si="1"/>
        <v>325</v>
      </c>
      <c r="R26" s="28" t="s">
        <v>86</v>
      </c>
      <c r="S26" s="16">
        <f t="shared" ref="S26:AF26" si="18">SUM(S13:S18)</f>
        <v>1158</v>
      </c>
      <c r="T26" s="16">
        <f t="shared" si="18"/>
        <v>197</v>
      </c>
      <c r="U26" s="16">
        <f t="shared" si="18"/>
        <v>166</v>
      </c>
      <c r="V26" s="16">
        <f t="shared" si="18"/>
        <v>486</v>
      </c>
      <c r="W26" s="16">
        <f t="shared" si="18"/>
        <v>4</v>
      </c>
      <c r="X26" s="16">
        <f t="shared" si="18"/>
        <v>4</v>
      </c>
      <c r="Y26" s="16">
        <f t="shared" si="18"/>
        <v>152</v>
      </c>
      <c r="Z26" s="16">
        <f t="shared" si="18"/>
        <v>26</v>
      </c>
      <c r="AA26" s="16">
        <f t="shared" si="18"/>
        <v>10</v>
      </c>
      <c r="AB26" s="16">
        <f t="shared" si="18"/>
        <v>11</v>
      </c>
      <c r="AC26" s="16">
        <f t="shared" si="18"/>
        <v>4456</v>
      </c>
      <c r="AD26" s="16">
        <f t="shared" si="18"/>
        <v>0</v>
      </c>
      <c r="AE26" s="32">
        <f t="shared" si="18"/>
        <v>2214</v>
      </c>
      <c r="AF26" s="32">
        <f t="shared" si="18"/>
        <v>6670</v>
      </c>
    </row>
    <row r="27" spans="2:32" ht="23.1" customHeight="1" x14ac:dyDescent="0.25">
      <c r="B27" s="23" t="s">
        <v>54</v>
      </c>
      <c r="C27" s="50">
        <v>53</v>
      </c>
      <c r="D27" s="50">
        <v>11</v>
      </c>
      <c r="E27" s="50">
        <v>7</v>
      </c>
      <c r="F27" s="50">
        <v>26</v>
      </c>
      <c r="G27" s="50">
        <v>1</v>
      </c>
      <c r="H27" s="50">
        <v>0</v>
      </c>
      <c r="I27" s="50">
        <v>3</v>
      </c>
      <c r="J27" s="50">
        <v>0</v>
      </c>
      <c r="K27" s="50">
        <v>0</v>
      </c>
      <c r="L27" s="50">
        <v>0</v>
      </c>
      <c r="M27" s="50">
        <v>225</v>
      </c>
      <c r="N27" s="50">
        <v>0</v>
      </c>
      <c r="O27" s="15">
        <f t="shared" si="0"/>
        <v>101</v>
      </c>
      <c r="P27" s="15">
        <f t="shared" si="1"/>
        <v>326</v>
      </c>
      <c r="R27" s="29" t="s">
        <v>87</v>
      </c>
      <c r="S27" s="16">
        <f t="shared" ref="S27:AF27" si="19">SUM(S19:S21)</f>
        <v>571</v>
      </c>
      <c r="T27" s="16">
        <f t="shared" si="19"/>
        <v>67</v>
      </c>
      <c r="U27" s="16">
        <f t="shared" si="19"/>
        <v>69</v>
      </c>
      <c r="V27" s="16">
        <f t="shared" si="19"/>
        <v>276</v>
      </c>
      <c r="W27" s="16">
        <f t="shared" si="19"/>
        <v>5</v>
      </c>
      <c r="X27" s="16">
        <f t="shared" si="19"/>
        <v>3</v>
      </c>
      <c r="Y27" s="16">
        <f t="shared" si="19"/>
        <v>65</v>
      </c>
      <c r="Z27" s="16">
        <f t="shared" si="19"/>
        <v>12</v>
      </c>
      <c r="AA27" s="16">
        <f t="shared" si="19"/>
        <v>10</v>
      </c>
      <c r="AB27" s="16">
        <f t="shared" si="19"/>
        <v>4</v>
      </c>
      <c r="AC27" s="16">
        <f t="shared" si="19"/>
        <v>2594</v>
      </c>
      <c r="AD27" s="16">
        <f t="shared" si="19"/>
        <v>0</v>
      </c>
      <c r="AE27" s="32">
        <f t="shared" si="19"/>
        <v>1082</v>
      </c>
      <c r="AF27" s="32">
        <f t="shared" si="19"/>
        <v>3676</v>
      </c>
    </row>
    <row r="28" spans="2:32" ht="23.1" customHeight="1" x14ac:dyDescent="0.25">
      <c r="B28" s="23" t="s">
        <v>55</v>
      </c>
      <c r="C28" s="50">
        <v>56</v>
      </c>
      <c r="D28" s="50">
        <v>6</v>
      </c>
      <c r="E28" s="50">
        <v>7</v>
      </c>
      <c r="F28" s="50">
        <v>22</v>
      </c>
      <c r="G28" s="50">
        <v>0</v>
      </c>
      <c r="H28" s="50">
        <v>0</v>
      </c>
      <c r="I28" s="50">
        <v>8</v>
      </c>
      <c r="J28" s="50">
        <v>1</v>
      </c>
      <c r="K28" s="50">
        <v>0</v>
      </c>
      <c r="L28" s="50">
        <v>0</v>
      </c>
      <c r="M28" s="50">
        <v>211</v>
      </c>
      <c r="N28" s="50">
        <v>0</v>
      </c>
      <c r="O28" s="15">
        <f t="shared" si="0"/>
        <v>100</v>
      </c>
      <c r="P28" s="15">
        <f t="shared" si="1"/>
        <v>311</v>
      </c>
      <c r="R28" s="5" t="s">
        <v>17</v>
      </c>
      <c r="S28" s="16">
        <f t="shared" ref="S28:AF28" si="20">SUM(S10:S21)</f>
        <v>3188</v>
      </c>
      <c r="T28" s="16">
        <f t="shared" si="20"/>
        <v>434</v>
      </c>
      <c r="U28" s="16">
        <f t="shared" si="20"/>
        <v>378</v>
      </c>
      <c r="V28" s="16">
        <f t="shared" si="20"/>
        <v>1181</v>
      </c>
      <c r="W28" s="16">
        <f t="shared" si="20"/>
        <v>18</v>
      </c>
      <c r="X28" s="16">
        <f t="shared" si="20"/>
        <v>8</v>
      </c>
      <c r="Y28" s="16">
        <f t="shared" si="20"/>
        <v>298</v>
      </c>
      <c r="Z28" s="16">
        <f t="shared" si="20"/>
        <v>47</v>
      </c>
      <c r="AA28" s="16">
        <f t="shared" si="20"/>
        <v>22</v>
      </c>
      <c r="AB28" s="16">
        <f t="shared" si="20"/>
        <v>20</v>
      </c>
      <c r="AC28" s="16">
        <f t="shared" si="20"/>
        <v>10522</v>
      </c>
      <c r="AD28" s="16">
        <f t="shared" si="20"/>
        <v>0</v>
      </c>
      <c r="AE28" s="32">
        <f t="shared" si="20"/>
        <v>5594</v>
      </c>
      <c r="AF28" s="32">
        <f t="shared" si="20"/>
        <v>16116</v>
      </c>
    </row>
    <row r="29" spans="2:32" ht="23.1" customHeight="1" x14ac:dyDescent="0.25">
      <c r="B29" s="23" t="s">
        <v>56</v>
      </c>
      <c r="C29" s="50">
        <v>39</v>
      </c>
      <c r="D29" s="50">
        <v>5</v>
      </c>
      <c r="E29" s="50">
        <v>9</v>
      </c>
      <c r="F29" s="50">
        <v>15</v>
      </c>
      <c r="G29" s="50">
        <v>0</v>
      </c>
      <c r="H29" s="50">
        <v>0</v>
      </c>
      <c r="I29" s="50">
        <v>5</v>
      </c>
      <c r="J29" s="50">
        <v>1</v>
      </c>
      <c r="K29" s="50">
        <v>1</v>
      </c>
      <c r="L29" s="50">
        <v>0</v>
      </c>
      <c r="M29" s="50">
        <v>180</v>
      </c>
      <c r="N29" s="50">
        <v>0</v>
      </c>
      <c r="O29" s="15">
        <f t="shared" si="0"/>
        <v>75</v>
      </c>
      <c r="P29" s="15">
        <f t="shared" si="1"/>
        <v>255</v>
      </c>
      <c r="R29"/>
      <c r="S29" s="20"/>
      <c r="T29" s="19"/>
    </row>
    <row r="30" spans="2:32" ht="23.1" customHeight="1" x14ac:dyDescent="0.25">
      <c r="B30" s="23" t="s">
        <v>57</v>
      </c>
      <c r="C30" s="50">
        <v>48</v>
      </c>
      <c r="D30" s="50">
        <v>5</v>
      </c>
      <c r="E30" s="50">
        <v>6</v>
      </c>
      <c r="F30" s="50">
        <v>25</v>
      </c>
      <c r="G30" s="50">
        <v>0</v>
      </c>
      <c r="H30" s="50">
        <v>0</v>
      </c>
      <c r="I30" s="50">
        <v>10</v>
      </c>
      <c r="J30" s="50">
        <v>2</v>
      </c>
      <c r="K30" s="50">
        <v>0</v>
      </c>
      <c r="L30" s="50">
        <v>1</v>
      </c>
      <c r="M30" s="50">
        <v>178</v>
      </c>
      <c r="N30" s="50">
        <v>0</v>
      </c>
      <c r="O30" s="15">
        <f t="shared" si="0"/>
        <v>97</v>
      </c>
      <c r="P30" s="15">
        <f t="shared" si="1"/>
        <v>275</v>
      </c>
    </row>
    <row r="31" spans="2:32" ht="23.1" customHeight="1" x14ac:dyDescent="0.25">
      <c r="B31" s="24" t="s">
        <v>58</v>
      </c>
      <c r="C31" s="50">
        <v>48</v>
      </c>
      <c r="D31" s="50">
        <v>8</v>
      </c>
      <c r="E31" s="50">
        <v>9</v>
      </c>
      <c r="F31" s="50">
        <v>20</v>
      </c>
      <c r="G31" s="50">
        <v>0</v>
      </c>
      <c r="H31" s="50">
        <v>0</v>
      </c>
      <c r="I31" s="50">
        <v>2</v>
      </c>
      <c r="J31" s="50">
        <v>1</v>
      </c>
      <c r="K31" s="50">
        <v>0</v>
      </c>
      <c r="L31" s="50">
        <v>1</v>
      </c>
      <c r="M31" s="50">
        <v>162</v>
      </c>
      <c r="N31" s="50">
        <v>0</v>
      </c>
      <c r="O31" s="15">
        <f t="shared" si="0"/>
        <v>89</v>
      </c>
      <c r="P31" s="15">
        <f t="shared" si="1"/>
        <v>251</v>
      </c>
    </row>
    <row r="32" spans="2:32" ht="23.1" customHeight="1" x14ac:dyDescent="0.25">
      <c r="B32" s="24" t="s">
        <v>59</v>
      </c>
      <c r="C32" s="50">
        <v>47</v>
      </c>
      <c r="D32" s="50">
        <v>11</v>
      </c>
      <c r="E32" s="50">
        <v>5</v>
      </c>
      <c r="F32" s="50">
        <v>17</v>
      </c>
      <c r="G32" s="50">
        <v>0</v>
      </c>
      <c r="H32" s="50">
        <v>0</v>
      </c>
      <c r="I32" s="50">
        <v>9</v>
      </c>
      <c r="J32" s="50">
        <v>2</v>
      </c>
      <c r="K32" s="50">
        <v>1</v>
      </c>
      <c r="L32" s="50">
        <v>1</v>
      </c>
      <c r="M32" s="50">
        <v>165</v>
      </c>
      <c r="N32" s="50">
        <v>0</v>
      </c>
      <c r="O32" s="15">
        <f t="shared" si="0"/>
        <v>93</v>
      </c>
      <c r="P32" s="15">
        <f t="shared" si="1"/>
        <v>258</v>
      </c>
    </row>
    <row r="33" spans="2:20" ht="23.1" customHeight="1" x14ac:dyDescent="0.25">
      <c r="B33" s="23" t="s">
        <v>60</v>
      </c>
      <c r="C33" s="50">
        <v>32</v>
      </c>
      <c r="D33" s="50">
        <v>11</v>
      </c>
      <c r="E33" s="50">
        <v>9</v>
      </c>
      <c r="F33" s="50">
        <v>17</v>
      </c>
      <c r="G33" s="50">
        <v>1</v>
      </c>
      <c r="H33" s="50">
        <v>0</v>
      </c>
      <c r="I33" s="50">
        <v>9</v>
      </c>
      <c r="J33" s="50">
        <v>0</v>
      </c>
      <c r="K33" s="50">
        <v>0</v>
      </c>
      <c r="L33" s="50">
        <v>0</v>
      </c>
      <c r="M33" s="50">
        <v>207</v>
      </c>
      <c r="N33" s="50">
        <v>0</v>
      </c>
      <c r="O33" s="15">
        <f t="shared" si="0"/>
        <v>79</v>
      </c>
      <c r="P33" s="15">
        <f t="shared" si="1"/>
        <v>286</v>
      </c>
    </row>
    <row r="34" spans="2:20" ht="23.1" customHeight="1" x14ac:dyDescent="0.25">
      <c r="B34" s="24" t="s">
        <v>61</v>
      </c>
      <c r="C34" s="50">
        <v>94</v>
      </c>
      <c r="D34" s="50">
        <v>8</v>
      </c>
      <c r="E34" s="50">
        <v>8</v>
      </c>
      <c r="F34" s="50">
        <v>19</v>
      </c>
      <c r="G34" s="50">
        <v>0</v>
      </c>
      <c r="H34" s="50">
        <v>1</v>
      </c>
      <c r="I34" s="50">
        <v>7</v>
      </c>
      <c r="J34" s="50">
        <v>1</v>
      </c>
      <c r="K34" s="50">
        <v>0</v>
      </c>
      <c r="L34" s="50">
        <v>0</v>
      </c>
      <c r="M34" s="50">
        <v>160</v>
      </c>
      <c r="N34" s="50">
        <v>0</v>
      </c>
      <c r="O34" s="15">
        <f t="shared" si="0"/>
        <v>138</v>
      </c>
      <c r="P34" s="15">
        <f t="shared" si="1"/>
        <v>298</v>
      </c>
    </row>
    <row r="35" spans="2:20" ht="23.1" customHeight="1" x14ac:dyDescent="0.25">
      <c r="B35" s="24" t="s">
        <v>62</v>
      </c>
      <c r="C35" s="50">
        <v>35</v>
      </c>
      <c r="D35" s="50">
        <v>6</v>
      </c>
      <c r="E35" s="50">
        <v>8</v>
      </c>
      <c r="F35" s="50">
        <v>23</v>
      </c>
      <c r="G35" s="50">
        <v>0</v>
      </c>
      <c r="H35" s="50">
        <v>0</v>
      </c>
      <c r="I35" s="50">
        <v>5</v>
      </c>
      <c r="J35" s="50">
        <v>0</v>
      </c>
      <c r="K35" s="50">
        <v>0</v>
      </c>
      <c r="L35" s="50">
        <v>0</v>
      </c>
      <c r="M35" s="50">
        <v>155</v>
      </c>
      <c r="N35" s="50">
        <v>0</v>
      </c>
      <c r="O35" s="15">
        <f t="shared" si="0"/>
        <v>77</v>
      </c>
      <c r="P35" s="15">
        <f t="shared" si="1"/>
        <v>232</v>
      </c>
    </row>
    <row r="36" spans="2:20" ht="23.1" customHeight="1" x14ac:dyDescent="0.25">
      <c r="B36" s="24" t="s">
        <v>63</v>
      </c>
      <c r="C36" s="50">
        <v>45</v>
      </c>
      <c r="D36" s="50">
        <v>6</v>
      </c>
      <c r="E36" s="50">
        <v>5</v>
      </c>
      <c r="F36" s="50">
        <v>13</v>
      </c>
      <c r="G36" s="50">
        <v>0</v>
      </c>
      <c r="H36" s="50">
        <v>1</v>
      </c>
      <c r="I36" s="50">
        <v>4</v>
      </c>
      <c r="J36" s="50">
        <v>2</v>
      </c>
      <c r="K36" s="50">
        <v>0</v>
      </c>
      <c r="L36" s="50">
        <v>1</v>
      </c>
      <c r="M36" s="50">
        <v>150</v>
      </c>
      <c r="N36" s="50">
        <v>0</v>
      </c>
      <c r="O36" s="15">
        <f t="shared" si="0"/>
        <v>77</v>
      </c>
      <c r="P36" s="15">
        <f t="shared" si="1"/>
        <v>227</v>
      </c>
    </row>
    <row r="37" spans="2:20" ht="23.1" customHeight="1" x14ac:dyDescent="0.25">
      <c r="B37" s="23" t="s">
        <v>64</v>
      </c>
      <c r="C37" s="50">
        <v>46</v>
      </c>
      <c r="D37" s="50">
        <v>6</v>
      </c>
      <c r="E37" s="50">
        <v>6</v>
      </c>
      <c r="F37" s="50">
        <v>21</v>
      </c>
      <c r="G37" s="50">
        <v>0</v>
      </c>
      <c r="H37" s="50">
        <v>0</v>
      </c>
      <c r="I37" s="50">
        <v>9</v>
      </c>
      <c r="J37" s="50">
        <v>4</v>
      </c>
      <c r="K37" s="50">
        <v>1</v>
      </c>
      <c r="L37" s="50">
        <v>0</v>
      </c>
      <c r="M37" s="50">
        <v>155</v>
      </c>
      <c r="N37" s="50">
        <v>0</v>
      </c>
      <c r="O37" s="15">
        <f t="shared" si="0"/>
        <v>93</v>
      </c>
      <c r="P37" s="15">
        <f t="shared" si="1"/>
        <v>248</v>
      </c>
    </row>
    <row r="38" spans="2:20" ht="23.1" customHeight="1" x14ac:dyDescent="0.25">
      <c r="B38" s="24" t="s">
        <v>65</v>
      </c>
      <c r="C38" s="50">
        <v>28</v>
      </c>
      <c r="D38" s="50">
        <v>25</v>
      </c>
      <c r="E38" s="50">
        <v>5</v>
      </c>
      <c r="F38" s="50">
        <v>21</v>
      </c>
      <c r="G38" s="50">
        <v>0</v>
      </c>
      <c r="H38" s="50">
        <v>1</v>
      </c>
      <c r="I38" s="50">
        <v>7</v>
      </c>
      <c r="J38" s="50">
        <v>0</v>
      </c>
      <c r="K38" s="50">
        <v>0</v>
      </c>
      <c r="L38" s="50">
        <v>0</v>
      </c>
      <c r="M38" s="50">
        <v>125</v>
      </c>
      <c r="N38" s="50">
        <v>0</v>
      </c>
      <c r="O38" s="15">
        <f t="shared" si="0"/>
        <v>87</v>
      </c>
      <c r="P38" s="15">
        <f t="shared" si="1"/>
        <v>212</v>
      </c>
    </row>
    <row r="39" spans="2:20" ht="23.1" customHeight="1" x14ac:dyDescent="0.25">
      <c r="B39" s="24" t="s">
        <v>66</v>
      </c>
      <c r="C39" s="50">
        <v>48</v>
      </c>
      <c r="D39" s="50">
        <v>6</v>
      </c>
      <c r="E39" s="50">
        <v>7</v>
      </c>
      <c r="F39" s="50">
        <v>24</v>
      </c>
      <c r="G39" s="50">
        <v>0</v>
      </c>
      <c r="H39" s="50">
        <v>0</v>
      </c>
      <c r="I39" s="50">
        <v>4</v>
      </c>
      <c r="J39" s="50">
        <v>0</v>
      </c>
      <c r="K39" s="50">
        <v>2</v>
      </c>
      <c r="L39" s="50">
        <v>3</v>
      </c>
      <c r="M39" s="50">
        <v>155</v>
      </c>
      <c r="N39" s="50">
        <v>0</v>
      </c>
      <c r="O39" s="15">
        <f t="shared" si="0"/>
        <v>94</v>
      </c>
      <c r="P39" s="15">
        <f t="shared" si="1"/>
        <v>249</v>
      </c>
    </row>
    <row r="40" spans="2:20" ht="23.1" customHeight="1" x14ac:dyDescent="0.25">
      <c r="B40" s="24" t="s">
        <v>67</v>
      </c>
      <c r="C40" s="50">
        <v>36</v>
      </c>
      <c r="D40" s="50">
        <v>4</v>
      </c>
      <c r="E40" s="50">
        <v>3</v>
      </c>
      <c r="F40" s="50">
        <v>16</v>
      </c>
      <c r="G40" s="50">
        <v>0</v>
      </c>
      <c r="H40" s="50">
        <v>0</v>
      </c>
      <c r="I40" s="50">
        <v>4</v>
      </c>
      <c r="J40" s="50">
        <v>2</v>
      </c>
      <c r="K40" s="50">
        <v>0</v>
      </c>
      <c r="L40" s="50">
        <v>0</v>
      </c>
      <c r="M40" s="50">
        <v>140</v>
      </c>
      <c r="N40" s="50">
        <v>0</v>
      </c>
      <c r="O40" s="15">
        <f t="shared" si="0"/>
        <v>65</v>
      </c>
      <c r="P40" s="15">
        <f t="shared" si="1"/>
        <v>205</v>
      </c>
    </row>
    <row r="41" spans="2:20" ht="23.1" customHeight="1" x14ac:dyDescent="0.25">
      <c r="B41" s="23" t="s">
        <v>68</v>
      </c>
      <c r="C41" s="50">
        <v>39</v>
      </c>
      <c r="D41" s="50">
        <v>6</v>
      </c>
      <c r="E41" s="50">
        <v>6</v>
      </c>
      <c r="F41" s="50">
        <v>24</v>
      </c>
      <c r="G41" s="50">
        <v>0</v>
      </c>
      <c r="H41" s="50">
        <v>1</v>
      </c>
      <c r="I41" s="50">
        <v>7</v>
      </c>
      <c r="J41" s="50">
        <v>1</v>
      </c>
      <c r="K41" s="50">
        <v>2</v>
      </c>
      <c r="L41" s="50">
        <v>2</v>
      </c>
      <c r="M41" s="50">
        <v>166</v>
      </c>
      <c r="N41" s="50">
        <v>0</v>
      </c>
      <c r="O41" s="15">
        <f t="shared" si="0"/>
        <v>88</v>
      </c>
      <c r="P41" s="15">
        <f t="shared" si="1"/>
        <v>254</v>
      </c>
    </row>
    <row r="42" spans="2:20" ht="23.1" customHeight="1" x14ac:dyDescent="0.25">
      <c r="B42" s="24" t="s">
        <v>69</v>
      </c>
      <c r="C42" s="50">
        <v>45</v>
      </c>
      <c r="D42" s="50">
        <v>7</v>
      </c>
      <c r="E42" s="50">
        <v>6</v>
      </c>
      <c r="F42" s="50">
        <v>17</v>
      </c>
      <c r="G42" s="50">
        <v>0</v>
      </c>
      <c r="H42" s="50">
        <v>0</v>
      </c>
      <c r="I42" s="50">
        <v>8</v>
      </c>
      <c r="J42" s="50">
        <v>3</v>
      </c>
      <c r="K42" s="50">
        <v>1</v>
      </c>
      <c r="L42" s="50">
        <v>0</v>
      </c>
      <c r="M42" s="50">
        <v>172</v>
      </c>
      <c r="N42" s="50">
        <v>0</v>
      </c>
      <c r="O42" s="15">
        <f t="shared" si="0"/>
        <v>87</v>
      </c>
      <c r="P42" s="15">
        <f t="shared" si="1"/>
        <v>259</v>
      </c>
    </row>
    <row r="43" spans="2:20" ht="23.1" customHeight="1" x14ac:dyDescent="0.25">
      <c r="B43" s="23" t="s">
        <v>70</v>
      </c>
      <c r="C43" s="50">
        <v>46</v>
      </c>
      <c r="D43" s="50">
        <v>2</v>
      </c>
      <c r="E43" s="50">
        <v>5</v>
      </c>
      <c r="F43" s="50">
        <v>22</v>
      </c>
      <c r="G43" s="50">
        <v>0</v>
      </c>
      <c r="H43" s="50">
        <v>0</v>
      </c>
      <c r="I43" s="50">
        <v>5</v>
      </c>
      <c r="J43" s="50">
        <v>0</v>
      </c>
      <c r="K43" s="50">
        <v>0</v>
      </c>
      <c r="L43" s="50">
        <v>0</v>
      </c>
      <c r="M43" s="50">
        <v>170</v>
      </c>
      <c r="N43" s="50">
        <v>0</v>
      </c>
      <c r="O43" s="15">
        <f t="shared" si="0"/>
        <v>80</v>
      </c>
      <c r="P43" s="15">
        <f t="shared" si="1"/>
        <v>250</v>
      </c>
    </row>
    <row r="44" spans="2:20" ht="23.1" customHeight="1" x14ac:dyDescent="0.25">
      <c r="B44" s="25" t="s">
        <v>71</v>
      </c>
      <c r="C44" s="50">
        <v>41</v>
      </c>
      <c r="D44" s="50">
        <v>7</v>
      </c>
      <c r="E44" s="50">
        <v>9</v>
      </c>
      <c r="F44" s="50">
        <v>16</v>
      </c>
      <c r="G44" s="50">
        <v>0</v>
      </c>
      <c r="H44" s="50">
        <v>0</v>
      </c>
      <c r="I44" s="50">
        <v>8</v>
      </c>
      <c r="J44" s="50">
        <v>0</v>
      </c>
      <c r="K44" s="50">
        <v>0</v>
      </c>
      <c r="L44" s="50">
        <v>0</v>
      </c>
      <c r="M44" s="50">
        <v>172</v>
      </c>
      <c r="N44" s="50">
        <v>0</v>
      </c>
      <c r="O44" s="15">
        <f t="shared" si="0"/>
        <v>81</v>
      </c>
      <c r="P44" s="15">
        <f t="shared" si="1"/>
        <v>253</v>
      </c>
    </row>
    <row r="45" spans="2:20" ht="23.1" customHeight="1" x14ac:dyDescent="0.25">
      <c r="B45" s="23" t="s">
        <v>72</v>
      </c>
      <c r="C45" s="50">
        <v>34</v>
      </c>
      <c r="D45" s="50">
        <v>6</v>
      </c>
      <c r="E45" s="50">
        <v>6</v>
      </c>
      <c r="F45" s="50">
        <v>16</v>
      </c>
      <c r="G45" s="50">
        <v>0</v>
      </c>
      <c r="H45" s="50">
        <v>0</v>
      </c>
      <c r="I45" s="50">
        <v>6</v>
      </c>
      <c r="J45" s="50">
        <v>1</v>
      </c>
      <c r="K45" s="50">
        <v>1</v>
      </c>
      <c r="L45" s="50">
        <v>0</v>
      </c>
      <c r="M45" s="50">
        <v>183</v>
      </c>
      <c r="N45" s="50">
        <v>0</v>
      </c>
      <c r="O45" s="15">
        <f t="shared" si="0"/>
        <v>70</v>
      </c>
      <c r="P45" s="15">
        <f t="shared" si="1"/>
        <v>253</v>
      </c>
    </row>
    <row r="46" spans="2:20" ht="23.1" customHeight="1" x14ac:dyDescent="0.25">
      <c r="B46" s="24" t="s">
        <v>73</v>
      </c>
      <c r="C46" s="50">
        <v>38</v>
      </c>
      <c r="D46" s="50">
        <v>3</v>
      </c>
      <c r="E46" s="50">
        <v>12</v>
      </c>
      <c r="F46" s="50">
        <v>18</v>
      </c>
      <c r="G46" s="50">
        <v>0</v>
      </c>
      <c r="H46" s="50">
        <v>0</v>
      </c>
      <c r="I46" s="50">
        <v>4</v>
      </c>
      <c r="J46" s="50">
        <v>2</v>
      </c>
      <c r="K46" s="50">
        <v>1</v>
      </c>
      <c r="L46" s="50">
        <v>0</v>
      </c>
      <c r="M46" s="50">
        <v>160</v>
      </c>
      <c r="N46" s="50">
        <v>0</v>
      </c>
      <c r="O46" s="15">
        <f t="shared" si="0"/>
        <v>78</v>
      </c>
      <c r="P46" s="15">
        <f t="shared" si="1"/>
        <v>238</v>
      </c>
      <c r="R46" s="8"/>
      <c r="T46"/>
    </row>
    <row r="47" spans="2:20" ht="23.1" customHeight="1" x14ac:dyDescent="0.25">
      <c r="B47" s="24" t="s">
        <v>74</v>
      </c>
      <c r="C47" s="50">
        <v>50</v>
      </c>
      <c r="D47" s="50">
        <v>5</v>
      </c>
      <c r="E47" s="50">
        <v>3</v>
      </c>
      <c r="F47" s="50">
        <v>17</v>
      </c>
      <c r="G47" s="50">
        <v>1</v>
      </c>
      <c r="H47" s="50">
        <v>1</v>
      </c>
      <c r="I47" s="50">
        <v>11</v>
      </c>
      <c r="J47" s="50">
        <v>1</v>
      </c>
      <c r="K47" s="50">
        <v>1</v>
      </c>
      <c r="L47" s="50">
        <v>1</v>
      </c>
      <c r="M47" s="50">
        <v>200</v>
      </c>
      <c r="N47" s="50">
        <v>0</v>
      </c>
      <c r="O47" s="15">
        <f t="shared" si="0"/>
        <v>91</v>
      </c>
      <c r="P47" s="15">
        <f t="shared" si="1"/>
        <v>291</v>
      </c>
      <c r="R47" s="8"/>
      <c r="T47"/>
    </row>
    <row r="48" spans="2:20" ht="23.1" customHeight="1" x14ac:dyDescent="0.25">
      <c r="B48" s="24" t="s">
        <v>75</v>
      </c>
      <c r="C48" s="50">
        <v>35</v>
      </c>
      <c r="D48" s="50">
        <v>12</v>
      </c>
      <c r="E48" s="50">
        <v>4</v>
      </c>
      <c r="F48" s="50">
        <v>19</v>
      </c>
      <c r="G48" s="50">
        <v>1</v>
      </c>
      <c r="H48" s="50">
        <v>0</v>
      </c>
      <c r="I48" s="50">
        <v>3</v>
      </c>
      <c r="J48" s="50">
        <v>2</v>
      </c>
      <c r="K48" s="50">
        <v>0</v>
      </c>
      <c r="L48" s="50">
        <v>0</v>
      </c>
      <c r="M48" s="50">
        <v>202</v>
      </c>
      <c r="N48" s="50">
        <v>0</v>
      </c>
      <c r="O48" s="15">
        <f t="shared" si="0"/>
        <v>76</v>
      </c>
      <c r="P48" s="15">
        <f t="shared" si="1"/>
        <v>278</v>
      </c>
      <c r="R48" s="8"/>
      <c r="T48"/>
    </row>
    <row r="49" spans="2:20" ht="23.1" customHeight="1" x14ac:dyDescent="0.25">
      <c r="B49" s="23" t="s">
        <v>76</v>
      </c>
      <c r="C49" s="50">
        <v>51</v>
      </c>
      <c r="D49" s="50">
        <v>2</v>
      </c>
      <c r="E49" s="50">
        <v>6</v>
      </c>
      <c r="F49" s="50">
        <v>18</v>
      </c>
      <c r="G49" s="50">
        <v>0</v>
      </c>
      <c r="H49" s="50">
        <v>0</v>
      </c>
      <c r="I49" s="50">
        <v>5</v>
      </c>
      <c r="J49" s="50">
        <v>0</v>
      </c>
      <c r="K49" s="50">
        <v>1</v>
      </c>
      <c r="L49" s="50">
        <v>1</v>
      </c>
      <c r="M49" s="50">
        <v>154</v>
      </c>
      <c r="N49" s="50">
        <v>0</v>
      </c>
      <c r="O49" s="15">
        <f t="shared" si="0"/>
        <v>84</v>
      </c>
      <c r="P49" s="15">
        <f t="shared" si="1"/>
        <v>238</v>
      </c>
      <c r="R49" s="8"/>
      <c r="T49"/>
    </row>
    <row r="50" spans="2:20" ht="23.1" customHeight="1" x14ac:dyDescent="0.25">
      <c r="B50" s="24" t="s">
        <v>77</v>
      </c>
      <c r="C50" s="50">
        <v>53</v>
      </c>
      <c r="D50" s="50">
        <v>10</v>
      </c>
      <c r="E50" s="50">
        <v>3</v>
      </c>
      <c r="F50" s="50">
        <v>20</v>
      </c>
      <c r="G50" s="50">
        <v>0</v>
      </c>
      <c r="H50" s="50">
        <v>0</v>
      </c>
      <c r="I50" s="50">
        <v>2</v>
      </c>
      <c r="J50" s="50">
        <v>3</v>
      </c>
      <c r="K50" s="50">
        <v>1</v>
      </c>
      <c r="L50" s="50">
        <v>1</v>
      </c>
      <c r="M50" s="50">
        <v>230</v>
      </c>
      <c r="N50" s="50">
        <v>0</v>
      </c>
      <c r="O50" s="15">
        <f t="shared" si="0"/>
        <v>93</v>
      </c>
      <c r="P50" s="15">
        <f t="shared" si="1"/>
        <v>323</v>
      </c>
      <c r="R50" s="8"/>
      <c r="T50"/>
    </row>
    <row r="51" spans="2:20" ht="23.1" customHeight="1" x14ac:dyDescent="0.25">
      <c r="B51" s="24" t="s">
        <v>78</v>
      </c>
      <c r="C51" s="50">
        <v>55</v>
      </c>
      <c r="D51" s="50">
        <v>2</v>
      </c>
      <c r="E51" s="50">
        <v>10</v>
      </c>
      <c r="F51" s="50">
        <v>20</v>
      </c>
      <c r="G51" s="50">
        <v>1</v>
      </c>
      <c r="H51" s="50">
        <v>1</v>
      </c>
      <c r="I51" s="50">
        <v>8</v>
      </c>
      <c r="J51" s="50">
        <v>2</v>
      </c>
      <c r="K51" s="50">
        <v>2</v>
      </c>
      <c r="L51" s="50">
        <v>1</v>
      </c>
      <c r="M51" s="50">
        <v>205</v>
      </c>
      <c r="N51" s="50">
        <v>0</v>
      </c>
      <c r="O51" s="15">
        <f t="shared" si="0"/>
        <v>102</v>
      </c>
      <c r="P51" s="15">
        <f t="shared" si="1"/>
        <v>307</v>
      </c>
      <c r="R51" s="8"/>
      <c r="T51"/>
    </row>
    <row r="52" spans="2:20" ht="23.1" customHeight="1" x14ac:dyDescent="0.25">
      <c r="B52" s="24" t="s">
        <v>79</v>
      </c>
      <c r="C52" s="50">
        <v>47</v>
      </c>
      <c r="D52" s="50">
        <v>8</v>
      </c>
      <c r="E52" s="50">
        <v>6</v>
      </c>
      <c r="F52" s="50">
        <v>19</v>
      </c>
      <c r="G52" s="50">
        <v>1</v>
      </c>
      <c r="H52" s="50">
        <v>1</v>
      </c>
      <c r="I52" s="50">
        <v>2</v>
      </c>
      <c r="J52" s="50">
        <v>0</v>
      </c>
      <c r="K52" s="50">
        <v>1</v>
      </c>
      <c r="L52" s="50">
        <v>0</v>
      </c>
      <c r="M52" s="50">
        <v>275</v>
      </c>
      <c r="N52" s="50">
        <v>0</v>
      </c>
      <c r="O52" s="15">
        <f t="shared" si="0"/>
        <v>85</v>
      </c>
      <c r="P52" s="15">
        <f t="shared" si="1"/>
        <v>360</v>
      </c>
      <c r="R52" s="8"/>
      <c r="T52"/>
    </row>
    <row r="53" spans="2:20" ht="23.1" customHeight="1" x14ac:dyDescent="0.25">
      <c r="B53" s="23" t="s">
        <v>80</v>
      </c>
      <c r="C53" s="50">
        <v>45</v>
      </c>
      <c r="D53" s="50">
        <v>7</v>
      </c>
      <c r="E53" s="50">
        <v>8</v>
      </c>
      <c r="F53" s="50">
        <v>16</v>
      </c>
      <c r="G53" s="50">
        <v>0</v>
      </c>
      <c r="H53" s="50">
        <v>0</v>
      </c>
      <c r="I53" s="50">
        <v>4</v>
      </c>
      <c r="J53" s="50">
        <v>1</v>
      </c>
      <c r="K53" s="50">
        <v>0</v>
      </c>
      <c r="L53" s="50">
        <v>0</v>
      </c>
      <c r="M53" s="50">
        <v>250</v>
      </c>
      <c r="N53" s="50">
        <v>0</v>
      </c>
      <c r="O53" s="15">
        <f t="shared" si="0"/>
        <v>81</v>
      </c>
      <c r="P53" s="15">
        <f t="shared" si="1"/>
        <v>331</v>
      </c>
      <c r="R53" s="8"/>
      <c r="T53"/>
    </row>
    <row r="54" spans="2:20" ht="23.1" customHeight="1" x14ac:dyDescent="0.25">
      <c r="B54" s="23" t="s">
        <v>81</v>
      </c>
      <c r="C54" s="50">
        <v>53</v>
      </c>
      <c r="D54" s="50">
        <v>6</v>
      </c>
      <c r="E54" s="50">
        <v>4</v>
      </c>
      <c r="F54" s="50">
        <v>35</v>
      </c>
      <c r="G54" s="50">
        <v>1</v>
      </c>
      <c r="H54" s="50">
        <v>0</v>
      </c>
      <c r="I54" s="50">
        <v>8</v>
      </c>
      <c r="J54" s="50">
        <v>0</v>
      </c>
      <c r="K54" s="50">
        <v>1</v>
      </c>
      <c r="L54" s="50">
        <v>0</v>
      </c>
      <c r="M54" s="50">
        <v>235</v>
      </c>
      <c r="N54" s="50">
        <v>0</v>
      </c>
      <c r="O54" s="15">
        <f t="shared" si="0"/>
        <v>108</v>
      </c>
      <c r="P54" s="15">
        <f t="shared" si="1"/>
        <v>343</v>
      </c>
      <c r="R54" s="8"/>
      <c r="T54"/>
    </row>
    <row r="55" spans="2:20" ht="23.1" customHeight="1" x14ac:dyDescent="0.25">
      <c r="B55" s="23" t="s">
        <v>82</v>
      </c>
      <c r="C55" s="50">
        <v>50</v>
      </c>
      <c r="D55" s="50">
        <v>4</v>
      </c>
      <c r="E55" s="50">
        <v>5</v>
      </c>
      <c r="F55" s="50">
        <v>34</v>
      </c>
      <c r="G55" s="50">
        <v>0</v>
      </c>
      <c r="H55" s="50">
        <v>0</v>
      </c>
      <c r="I55" s="50">
        <v>5</v>
      </c>
      <c r="J55" s="50">
        <v>1</v>
      </c>
      <c r="K55" s="50">
        <v>1</v>
      </c>
      <c r="L55" s="50">
        <v>0</v>
      </c>
      <c r="M55" s="50">
        <v>242</v>
      </c>
      <c r="N55" s="50">
        <v>0</v>
      </c>
      <c r="O55" s="15">
        <f t="shared" si="0"/>
        <v>100</v>
      </c>
      <c r="P55" s="15">
        <f t="shared" si="1"/>
        <v>342</v>
      </c>
      <c r="R55" s="8"/>
      <c r="T55"/>
    </row>
    <row r="56" spans="2:20" ht="23.1" customHeight="1" x14ac:dyDescent="0.25">
      <c r="B56" s="23" t="s">
        <v>83</v>
      </c>
      <c r="C56" s="50">
        <v>49</v>
      </c>
      <c r="D56" s="50">
        <v>3</v>
      </c>
      <c r="E56" s="50">
        <v>3</v>
      </c>
      <c r="F56" s="50">
        <v>29</v>
      </c>
      <c r="G56" s="50">
        <v>0</v>
      </c>
      <c r="H56" s="50">
        <v>0</v>
      </c>
      <c r="I56" s="50">
        <v>7</v>
      </c>
      <c r="J56" s="50">
        <v>0</v>
      </c>
      <c r="K56" s="50">
        <v>0</v>
      </c>
      <c r="L56" s="50">
        <v>0</v>
      </c>
      <c r="M56" s="50">
        <v>230</v>
      </c>
      <c r="N56" s="50">
        <v>0</v>
      </c>
      <c r="O56" s="15">
        <f t="shared" si="0"/>
        <v>91</v>
      </c>
      <c r="P56" s="15">
        <f t="shared" si="1"/>
        <v>321</v>
      </c>
      <c r="R56" s="8"/>
      <c r="T56"/>
    </row>
    <row r="57" spans="2:20" ht="23.1" customHeight="1" x14ac:dyDescent="0.25">
      <c r="B57" s="23" t="s">
        <v>84</v>
      </c>
      <c r="C57" s="50">
        <v>45</v>
      </c>
      <c r="D57" s="50">
        <v>5</v>
      </c>
      <c r="E57" s="50">
        <v>5</v>
      </c>
      <c r="F57" s="50">
        <v>31</v>
      </c>
      <c r="G57" s="50">
        <v>0</v>
      </c>
      <c r="H57" s="50">
        <v>0</v>
      </c>
      <c r="I57" s="50">
        <v>6</v>
      </c>
      <c r="J57" s="50">
        <v>0</v>
      </c>
      <c r="K57" s="50">
        <v>1</v>
      </c>
      <c r="L57" s="50">
        <v>0</v>
      </c>
      <c r="M57" s="50">
        <v>211</v>
      </c>
      <c r="N57" s="50">
        <v>0</v>
      </c>
      <c r="O57" s="15">
        <f t="shared" si="0"/>
        <v>93</v>
      </c>
      <c r="P57" s="15">
        <f t="shared" si="1"/>
        <v>304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3188</v>
      </c>
      <c r="D58" s="16">
        <f t="shared" si="21"/>
        <v>434</v>
      </c>
      <c r="E58" s="16">
        <f t="shared" si="21"/>
        <v>378</v>
      </c>
      <c r="F58" s="16">
        <f t="shared" si="21"/>
        <v>1181</v>
      </c>
      <c r="G58" s="16">
        <f t="shared" si="21"/>
        <v>18</v>
      </c>
      <c r="H58" s="16">
        <f t="shared" si="21"/>
        <v>8</v>
      </c>
      <c r="I58" s="16">
        <f t="shared" si="21"/>
        <v>298</v>
      </c>
      <c r="J58" s="16">
        <f t="shared" si="21"/>
        <v>47</v>
      </c>
      <c r="K58" s="16">
        <f t="shared" si="21"/>
        <v>22</v>
      </c>
      <c r="L58" s="16">
        <f t="shared" si="21"/>
        <v>20</v>
      </c>
      <c r="M58" s="16">
        <f t="shared" si="21"/>
        <v>10522</v>
      </c>
      <c r="N58" s="16">
        <f t="shared" si="21"/>
        <v>0</v>
      </c>
      <c r="O58" s="16">
        <f t="shared" si="21"/>
        <v>5594</v>
      </c>
      <c r="P58" s="16">
        <f t="shared" si="21"/>
        <v>16116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0.19781583519483742</v>
      </c>
      <c r="D59" s="43">
        <f t="shared" si="22"/>
        <v>2.692975924547034E-2</v>
      </c>
      <c r="E59" s="43">
        <f t="shared" si="22"/>
        <v>2.3454951600893521E-2</v>
      </c>
      <c r="F59" s="43">
        <f t="shared" si="22"/>
        <v>7.3281211218664682E-2</v>
      </c>
      <c r="G59" s="43">
        <f t="shared" si="22"/>
        <v>1.1169024571854058E-3</v>
      </c>
      <c r="H59" s="43">
        <f t="shared" si="22"/>
        <v>4.9640109208240262E-4</v>
      </c>
      <c r="I59" s="43">
        <f t="shared" si="22"/>
        <v>1.8490940680069495E-2</v>
      </c>
      <c r="J59" s="43">
        <f t="shared" si="22"/>
        <v>2.9163564159841154E-3</v>
      </c>
      <c r="K59" s="43">
        <f t="shared" si="22"/>
        <v>1.365103003226607E-3</v>
      </c>
      <c r="L59" s="43">
        <f t="shared" si="22"/>
        <v>1.2410027302060065E-3</v>
      </c>
      <c r="M59" s="43">
        <f t="shared" si="22"/>
        <v>0.65289153636137998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0.5698963174830175</v>
      </c>
      <c r="D60" s="44">
        <f t="shared" ref="D60:N60" si="23">D58/$O$58</f>
        <v>7.7583124776546303E-2</v>
      </c>
      <c r="E60" s="44">
        <f t="shared" si="23"/>
        <v>6.7572398998927419E-2</v>
      </c>
      <c r="F60" s="44">
        <f t="shared" si="23"/>
        <v>0.21111905613156953</v>
      </c>
      <c r="G60" s="44">
        <f t="shared" si="23"/>
        <v>3.2177332856632105E-3</v>
      </c>
      <c r="H60" s="44">
        <f t="shared" si="23"/>
        <v>1.4301036825169824E-3</v>
      </c>
      <c r="I60" s="44">
        <f t="shared" si="23"/>
        <v>5.3271362173757594E-2</v>
      </c>
      <c r="J60" s="44">
        <f t="shared" si="23"/>
        <v>8.4018591347872727E-3</v>
      </c>
      <c r="K60" s="44">
        <f t="shared" si="23"/>
        <v>3.9327851269217017E-3</v>
      </c>
      <c r="L60" s="44">
        <f t="shared" si="23"/>
        <v>3.5752592062924561E-3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52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zoomScale="84" zoomScaleSheetLayoutView="84" workbookViewId="0">
      <selection activeCell="G6" sqref="G6:H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2" t="str">
        <f>'22.07 Kitebi-Kabusu'!C3:G3</f>
        <v>MCC - C1 - STN06-WANKULUKUKU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166</v>
      </c>
      <c r="E5" s="3"/>
      <c r="F5" s="41" t="s">
        <v>1</v>
      </c>
      <c r="G5" s="57" t="str">
        <f>'25.07 Kitebi-Kabusu'!G5:H5</f>
        <v>kobil head office</v>
      </c>
      <c r="H5" s="58"/>
      <c r="I5" s="14"/>
      <c r="J5" s="2" t="s">
        <v>5</v>
      </c>
      <c r="K5" s="57" t="str">
        <f>'25.07 Kitebi-Kabusu'!K5:L5</f>
        <v>Mawa Haston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171</v>
      </c>
      <c r="E6" s="58"/>
      <c r="F6" s="2" t="s">
        <v>2</v>
      </c>
      <c r="G6" s="57" t="s">
        <v>176</v>
      </c>
      <c r="H6" s="58"/>
      <c r="J6" s="2" t="s">
        <v>21</v>
      </c>
      <c r="K6" s="57" t="s">
        <v>175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180</v>
      </c>
      <c r="D10" s="50">
        <v>20</v>
      </c>
      <c r="E10" s="50">
        <v>18</v>
      </c>
      <c r="F10" s="50">
        <v>46</v>
      </c>
      <c r="G10" s="50">
        <v>0</v>
      </c>
      <c r="H10" s="50">
        <v>0</v>
      </c>
      <c r="I10" s="50">
        <v>3</v>
      </c>
      <c r="J10" s="50">
        <v>0</v>
      </c>
      <c r="K10" s="50">
        <v>0</v>
      </c>
      <c r="L10" s="50">
        <v>0</v>
      </c>
      <c r="M10" s="50">
        <v>170</v>
      </c>
      <c r="N10" s="50">
        <v>0</v>
      </c>
      <c r="O10" s="15">
        <f t="shared" ref="O10:O57" si="0">SUM(C10:L10,N10)</f>
        <v>267</v>
      </c>
      <c r="P10" s="15">
        <f t="shared" ref="P10:P57" si="1">SUM(C10:N10)</f>
        <v>437</v>
      </c>
      <c r="R10" s="1" t="s">
        <v>6</v>
      </c>
      <c r="S10" s="17">
        <f t="shared" ref="S10:AF10" si="2">SUM(C10:C13)</f>
        <v>682</v>
      </c>
      <c r="T10" s="17">
        <f t="shared" si="2"/>
        <v>76</v>
      </c>
      <c r="U10" s="17">
        <f t="shared" si="2"/>
        <v>58</v>
      </c>
      <c r="V10" s="17">
        <f t="shared" si="2"/>
        <v>164</v>
      </c>
      <c r="W10" s="17">
        <f t="shared" si="2"/>
        <v>2</v>
      </c>
      <c r="X10" s="17">
        <f t="shared" si="2"/>
        <v>0</v>
      </c>
      <c r="Y10" s="17">
        <f t="shared" si="2"/>
        <v>18</v>
      </c>
      <c r="Z10" s="17">
        <f t="shared" si="2"/>
        <v>1</v>
      </c>
      <c r="AA10" s="17">
        <f t="shared" si="2"/>
        <v>0</v>
      </c>
      <c r="AB10" s="17">
        <f t="shared" si="2"/>
        <v>1</v>
      </c>
      <c r="AC10" s="17">
        <f t="shared" si="2"/>
        <v>823</v>
      </c>
      <c r="AD10" s="17">
        <f t="shared" si="2"/>
        <v>0</v>
      </c>
      <c r="AE10" s="31">
        <f t="shared" si="2"/>
        <v>1002</v>
      </c>
      <c r="AF10" s="31">
        <f t="shared" si="2"/>
        <v>1825</v>
      </c>
    </row>
    <row r="11" spans="2:32" s="6" customFormat="1" ht="23.1" customHeight="1" x14ac:dyDescent="0.25">
      <c r="B11" s="45" t="s">
        <v>38</v>
      </c>
      <c r="C11" s="50">
        <v>174</v>
      </c>
      <c r="D11" s="50">
        <v>17</v>
      </c>
      <c r="E11" s="50">
        <v>15</v>
      </c>
      <c r="F11" s="50">
        <v>41</v>
      </c>
      <c r="G11" s="50">
        <v>0</v>
      </c>
      <c r="H11" s="50">
        <v>0</v>
      </c>
      <c r="I11" s="50">
        <v>4</v>
      </c>
      <c r="J11" s="50">
        <v>0</v>
      </c>
      <c r="K11" s="50">
        <v>0</v>
      </c>
      <c r="L11" s="50">
        <v>0</v>
      </c>
      <c r="M11" s="50">
        <v>233</v>
      </c>
      <c r="N11" s="50">
        <v>0</v>
      </c>
      <c r="O11" s="15">
        <f t="shared" si="0"/>
        <v>251</v>
      </c>
      <c r="P11" s="15">
        <f t="shared" si="1"/>
        <v>484</v>
      </c>
      <c r="R11" s="1" t="s">
        <v>7</v>
      </c>
      <c r="S11" s="17">
        <f t="shared" ref="S11:AF11" si="3">SUM(C14:C17)</f>
        <v>478</v>
      </c>
      <c r="T11" s="17">
        <f t="shared" si="3"/>
        <v>60</v>
      </c>
      <c r="U11" s="17">
        <f t="shared" si="3"/>
        <v>53</v>
      </c>
      <c r="V11" s="17">
        <f t="shared" si="3"/>
        <v>145</v>
      </c>
      <c r="W11" s="17">
        <f t="shared" si="3"/>
        <v>3</v>
      </c>
      <c r="X11" s="17">
        <f t="shared" si="3"/>
        <v>0</v>
      </c>
      <c r="Y11" s="17">
        <f t="shared" si="3"/>
        <v>28</v>
      </c>
      <c r="Z11" s="17">
        <f t="shared" si="3"/>
        <v>2</v>
      </c>
      <c r="AA11" s="17">
        <f t="shared" si="3"/>
        <v>4</v>
      </c>
      <c r="AB11" s="17">
        <f t="shared" si="3"/>
        <v>0</v>
      </c>
      <c r="AC11" s="17">
        <f t="shared" si="3"/>
        <v>953</v>
      </c>
      <c r="AD11" s="17">
        <f t="shared" si="3"/>
        <v>0</v>
      </c>
      <c r="AE11" s="31">
        <f t="shared" si="3"/>
        <v>773</v>
      </c>
      <c r="AF11" s="31">
        <f t="shared" si="3"/>
        <v>1726</v>
      </c>
    </row>
    <row r="12" spans="2:32" ht="23.1" customHeight="1" x14ac:dyDescent="0.25">
      <c r="B12" s="45" t="s">
        <v>39</v>
      </c>
      <c r="C12" s="50">
        <v>163</v>
      </c>
      <c r="D12" s="50">
        <v>19</v>
      </c>
      <c r="E12" s="50">
        <v>10</v>
      </c>
      <c r="F12" s="50">
        <v>41</v>
      </c>
      <c r="G12" s="50">
        <v>1</v>
      </c>
      <c r="H12" s="50">
        <v>0</v>
      </c>
      <c r="I12" s="50">
        <v>3</v>
      </c>
      <c r="J12" s="50">
        <v>0</v>
      </c>
      <c r="K12" s="50">
        <v>0</v>
      </c>
      <c r="L12" s="50">
        <v>0</v>
      </c>
      <c r="M12" s="50">
        <v>220</v>
      </c>
      <c r="N12" s="50">
        <v>0</v>
      </c>
      <c r="O12" s="15">
        <f t="shared" si="0"/>
        <v>237</v>
      </c>
      <c r="P12" s="15">
        <f t="shared" si="1"/>
        <v>457</v>
      </c>
      <c r="R12" s="1" t="s">
        <v>8</v>
      </c>
      <c r="S12" s="17">
        <f t="shared" ref="S12:AF12" si="4">SUM(C18:C21)</f>
        <v>323</v>
      </c>
      <c r="T12" s="17">
        <f t="shared" si="4"/>
        <v>42</v>
      </c>
      <c r="U12" s="17">
        <f t="shared" si="4"/>
        <v>37</v>
      </c>
      <c r="V12" s="17">
        <f t="shared" si="4"/>
        <v>116</v>
      </c>
      <c r="W12" s="17">
        <f t="shared" si="4"/>
        <v>3</v>
      </c>
      <c r="X12" s="17">
        <f t="shared" si="4"/>
        <v>2</v>
      </c>
      <c r="Y12" s="17">
        <f t="shared" si="4"/>
        <v>27</v>
      </c>
      <c r="Z12" s="17">
        <f t="shared" si="4"/>
        <v>0</v>
      </c>
      <c r="AA12" s="17">
        <f t="shared" si="4"/>
        <v>0</v>
      </c>
      <c r="AB12" s="17">
        <f t="shared" si="4"/>
        <v>3</v>
      </c>
      <c r="AC12" s="17">
        <f t="shared" si="4"/>
        <v>848</v>
      </c>
      <c r="AD12" s="17">
        <f t="shared" si="4"/>
        <v>0</v>
      </c>
      <c r="AE12" s="31">
        <f t="shared" si="4"/>
        <v>553</v>
      </c>
      <c r="AF12" s="31">
        <f t="shared" si="4"/>
        <v>1401</v>
      </c>
    </row>
    <row r="13" spans="2:32" ht="23.1" customHeight="1" x14ac:dyDescent="0.25">
      <c r="B13" s="45" t="s">
        <v>40</v>
      </c>
      <c r="C13" s="50">
        <v>165</v>
      </c>
      <c r="D13" s="50">
        <v>20</v>
      </c>
      <c r="E13" s="50">
        <v>15</v>
      </c>
      <c r="F13" s="50">
        <v>36</v>
      </c>
      <c r="G13" s="50">
        <v>1</v>
      </c>
      <c r="H13" s="50">
        <v>0</v>
      </c>
      <c r="I13" s="50">
        <v>8</v>
      </c>
      <c r="J13" s="50">
        <v>1</v>
      </c>
      <c r="K13" s="50">
        <v>0</v>
      </c>
      <c r="L13" s="50">
        <v>1</v>
      </c>
      <c r="M13" s="50">
        <v>200</v>
      </c>
      <c r="N13" s="50">
        <v>0</v>
      </c>
      <c r="O13" s="15">
        <f t="shared" si="0"/>
        <v>247</v>
      </c>
      <c r="P13" s="15">
        <f t="shared" si="1"/>
        <v>447</v>
      </c>
      <c r="R13" s="1" t="s">
        <v>9</v>
      </c>
      <c r="S13" s="17">
        <f t="shared" ref="S13:AF13" si="5">SUM(C22:C25)</f>
        <v>279</v>
      </c>
      <c r="T13" s="17">
        <f t="shared" si="5"/>
        <v>56</v>
      </c>
      <c r="U13" s="17">
        <f t="shared" si="5"/>
        <v>34</v>
      </c>
      <c r="V13" s="17">
        <f t="shared" si="5"/>
        <v>85</v>
      </c>
      <c r="W13" s="17">
        <f t="shared" si="5"/>
        <v>5</v>
      </c>
      <c r="X13" s="17">
        <f t="shared" si="5"/>
        <v>0</v>
      </c>
      <c r="Y13" s="17">
        <f t="shared" si="5"/>
        <v>30</v>
      </c>
      <c r="Z13" s="17">
        <f t="shared" si="5"/>
        <v>5</v>
      </c>
      <c r="AA13" s="17">
        <f t="shared" si="5"/>
        <v>1</v>
      </c>
      <c r="AB13" s="17">
        <f t="shared" si="5"/>
        <v>7</v>
      </c>
      <c r="AC13" s="17">
        <f t="shared" si="5"/>
        <v>745</v>
      </c>
      <c r="AD13" s="17">
        <f t="shared" si="5"/>
        <v>0</v>
      </c>
      <c r="AE13" s="31">
        <f t="shared" si="5"/>
        <v>502</v>
      </c>
      <c r="AF13" s="31">
        <f t="shared" si="5"/>
        <v>1247</v>
      </c>
    </row>
    <row r="14" spans="2:32" ht="23.1" customHeight="1" x14ac:dyDescent="0.25">
      <c r="B14" s="45" t="s">
        <v>41</v>
      </c>
      <c r="C14" s="50">
        <v>157</v>
      </c>
      <c r="D14" s="50">
        <v>16</v>
      </c>
      <c r="E14" s="50">
        <v>18</v>
      </c>
      <c r="F14" s="50">
        <v>40</v>
      </c>
      <c r="G14" s="50">
        <v>1</v>
      </c>
      <c r="H14" s="50">
        <v>0</v>
      </c>
      <c r="I14" s="50">
        <v>14</v>
      </c>
      <c r="J14" s="50">
        <v>1</v>
      </c>
      <c r="K14" s="50">
        <v>2</v>
      </c>
      <c r="L14" s="50">
        <v>0</v>
      </c>
      <c r="M14" s="50">
        <v>257</v>
      </c>
      <c r="N14" s="50">
        <v>0</v>
      </c>
      <c r="O14" s="15">
        <f t="shared" si="0"/>
        <v>249</v>
      </c>
      <c r="P14" s="15">
        <f t="shared" si="1"/>
        <v>506</v>
      </c>
      <c r="R14" s="1" t="s">
        <v>10</v>
      </c>
      <c r="S14" s="17">
        <f t="shared" ref="S14:AF14" si="6">SUM(C26:C29)</f>
        <v>189</v>
      </c>
      <c r="T14" s="17">
        <f t="shared" si="6"/>
        <v>29</v>
      </c>
      <c r="U14" s="17">
        <f t="shared" si="6"/>
        <v>28</v>
      </c>
      <c r="V14" s="17">
        <f t="shared" si="6"/>
        <v>85</v>
      </c>
      <c r="W14" s="17">
        <f t="shared" si="6"/>
        <v>1</v>
      </c>
      <c r="X14" s="17">
        <f t="shared" si="6"/>
        <v>1</v>
      </c>
      <c r="Y14" s="17">
        <f t="shared" si="6"/>
        <v>29</v>
      </c>
      <c r="Z14" s="17">
        <f t="shared" si="6"/>
        <v>2</v>
      </c>
      <c r="AA14" s="17">
        <f t="shared" si="6"/>
        <v>8</v>
      </c>
      <c r="AB14" s="17">
        <f t="shared" si="6"/>
        <v>3</v>
      </c>
      <c r="AC14" s="17">
        <f t="shared" si="6"/>
        <v>733</v>
      </c>
      <c r="AD14" s="17">
        <f t="shared" si="6"/>
        <v>0</v>
      </c>
      <c r="AE14" s="31">
        <f t="shared" si="6"/>
        <v>375</v>
      </c>
      <c r="AF14" s="31">
        <f t="shared" si="6"/>
        <v>1108</v>
      </c>
    </row>
    <row r="15" spans="2:32" ht="23.1" customHeight="1" x14ac:dyDescent="0.25">
      <c r="B15" s="45" t="s">
        <v>42</v>
      </c>
      <c r="C15" s="50">
        <v>120</v>
      </c>
      <c r="D15" s="50">
        <v>13</v>
      </c>
      <c r="E15" s="50">
        <v>11</v>
      </c>
      <c r="F15" s="50">
        <v>36</v>
      </c>
      <c r="G15" s="50">
        <v>0</v>
      </c>
      <c r="H15" s="50">
        <v>0</v>
      </c>
      <c r="I15" s="50">
        <v>5</v>
      </c>
      <c r="J15" s="50">
        <v>1</v>
      </c>
      <c r="K15" s="50">
        <v>2</v>
      </c>
      <c r="L15" s="50">
        <v>0</v>
      </c>
      <c r="M15" s="50">
        <v>235</v>
      </c>
      <c r="N15" s="50">
        <v>0</v>
      </c>
      <c r="O15" s="15">
        <f t="shared" si="0"/>
        <v>188</v>
      </c>
      <c r="P15" s="15">
        <f t="shared" si="1"/>
        <v>423</v>
      </c>
      <c r="R15" s="1" t="s">
        <v>11</v>
      </c>
      <c r="S15" s="17">
        <f t="shared" ref="S15:AF15" si="7">SUM(C30:C33)</f>
        <v>186</v>
      </c>
      <c r="T15" s="17">
        <f t="shared" si="7"/>
        <v>35</v>
      </c>
      <c r="U15" s="17">
        <f t="shared" si="7"/>
        <v>27</v>
      </c>
      <c r="V15" s="17">
        <f t="shared" si="7"/>
        <v>85</v>
      </c>
      <c r="W15" s="17">
        <f t="shared" si="7"/>
        <v>1</v>
      </c>
      <c r="X15" s="17">
        <f t="shared" si="7"/>
        <v>0</v>
      </c>
      <c r="Y15" s="17">
        <f t="shared" si="7"/>
        <v>18</v>
      </c>
      <c r="Z15" s="17">
        <f t="shared" si="7"/>
        <v>6</v>
      </c>
      <c r="AA15" s="17">
        <f t="shared" si="7"/>
        <v>2</v>
      </c>
      <c r="AB15" s="17">
        <f t="shared" si="7"/>
        <v>3</v>
      </c>
      <c r="AC15" s="17">
        <f t="shared" si="7"/>
        <v>677</v>
      </c>
      <c r="AD15" s="17">
        <f t="shared" si="7"/>
        <v>0</v>
      </c>
      <c r="AE15" s="31">
        <f t="shared" si="7"/>
        <v>363</v>
      </c>
      <c r="AF15" s="31">
        <f t="shared" si="7"/>
        <v>1040</v>
      </c>
    </row>
    <row r="16" spans="2:32" ht="23.1" customHeight="1" x14ac:dyDescent="0.25">
      <c r="B16" s="45" t="s">
        <v>43</v>
      </c>
      <c r="C16" s="50">
        <v>110</v>
      </c>
      <c r="D16" s="50">
        <v>19</v>
      </c>
      <c r="E16" s="50">
        <v>12</v>
      </c>
      <c r="F16" s="50">
        <v>43</v>
      </c>
      <c r="G16" s="50">
        <v>2</v>
      </c>
      <c r="H16" s="50">
        <v>0</v>
      </c>
      <c r="I16" s="50">
        <v>7</v>
      </c>
      <c r="J16" s="50">
        <v>0</v>
      </c>
      <c r="K16" s="50">
        <v>0</v>
      </c>
      <c r="L16" s="50">
        <v>0</v>
      </c>
      <c r="M16" s="50">
        <v>241</v>
      </c>
      <c r="N16" s="50">
        <v>0</v>
      </c>
      <c r="O16" s="15">
        <f t="shared" si="0"/>
        <v>193</v>
      </c>
      <c r="P16" s="15">
        <f t="shared" si="1"/>
        <v>434</v>
      </c>
      <c r="R16" s="1" t="s">
        <v>12</v>
      </c>
      <c r="S16" s="17">
        <f t="shared" ref="S16:AF16" si="8">SUM(C34:C37)</f>
        <v>170</v>
      </c>
      <c r="T16" s="17">
        <f t="shared" si="8"/>
        <v>30</v>
      </c>
      <c r="U16" s="17">
        <f t="shared" si="8"/>
        <v>33</v>
      </c>
      <c r="V16" s="17">
        <f t="shared" si="8"/>
        <v>78</v>
      </c>
      <c r="W16" s="17">
        <f t="shared" si="8"/>
        <v>0</v>
      </c>
      <c r="X16" s="17">
        <f t="shared" si="8"/>
        <v>1</v>
      </c>
      <c r="Y16" s="17">
        <f t="shared" si="8"/>
        <v>30</v>
      </c>
      <c r="Z16" s="17">
        <f t="shared" si="8"/>
        <v>5</v>
      </c>
      <c r="AA16" s="17">
        <f t="shared" si="8"/>
        <v>0</v>
      </c>
      <c r="AB16" s="17">
        <f t="shared" si="8"/>
        <v>4</v>
      </c>
      <c r="AC16" s="17">
        <f t="shared" si="8"/>
        <v>627</v>
      </c>
      <c r="AD16" s="17">
        <f t="shared" si="8"/>
        <v>0</v>
      </c>
      <c r="AE16" s="31">
        <f t="shared" si="8"/>
        <v>351</v>
      </c>
      <c r="AF16" s="31">
        <f t="shared" si="8"/>
        <v>978</v>
      </c>
    </row>
    <row r="17" spans="2:32" ht="23.1" customHeight="1" x14ac:dyDescent="0.25">
      <c r="B17" s="45" t="s">
        <v>44</v>
      </c>
      <c r="C17" s="50">
        <v>91</v>
      </c>
      <c r="D17" s="50">
        <v>12</v>
      </c>
      <c r="E17" s="50">
        <v>12</v>
      </c>
      <c r="F17" s="50">
        <v>26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0</v>
      </c>
      <c r="M17" s="50">
        <v>220</v>
      </c>
      <c r="N17" s="50">
        <v>0</v>
      </c>
      <c r="O17" s="15">
        <f t="shared" si="0"/>
        <v>143</v>
      </c>
      <c r="P17" s="15">
        <f t="shared" si="1"/>
        <v>363</v>
      </c>
      <c r="R17" s="1" t="s">
        <v>13</v>
      </c>
      <c r="S17" s="17">
        <f t="shared" ref="S17:AF17" si="9">SUM(C38:C41)</f>
        <v>205</v>
      </c>
      <c r="T17" s="17">
        <f t="shared" si="9"/>
        <v>22</v>
      </c>
      <c r="U17" s="17">
        <f t="shared" si="9"/>
        <v>28</v>
      </c>
      <c r="V17" s="17">
        <f t="shared" si="9"/>
        <v>81</v>
      </c>
      <c r="W17" s="17">
        <f t="shared" si="9"/>
        <v>0</v>
      </c>
      <c r="X17" s="17">
        <f t="shared" si="9"/>
        <v>1</v>
      </c>
      <c r="Y17" s="17">
        <f t="shared" si="9"/>
        <v>24</v>
      </c>
      <c r="Z17" s="17">
        <f t="shared" si="9"/>
        <v>3</v>
      </c>
      <c r="AA17" s="17">
        <f t="shared" si="9"/>
        <v>1</v>
      </c>
      <c r="AB17" s="17">
        <f t="shared" si="9"/>
        <v>2</v>
      </c>
      <c r="AC17" s="17">
        <f t="shared" si="9"/>
        <v>616</v>
      </c>
      <c r="AD17" s="17">
        <f t="shared" si="9"/>
        <v>0</v>
      </c>
      <c r="AE17" s="31">
        <f t="shared" si="9"/>
        <v>367</v>
      </c>
      <c r="AF17" s="31">
        <f t="shared" si="9"/>
        <v>983</v>
      </c>
    </row>
    <row r="18" spans="2:32" ht="23.1" customHeight="1" x14ac:dyDescent="0.25">
      <c r="B18" s="45" t="s">
        <v>45</v>
      </c>
      <c r="C18" s="50">
        <v>105</v>
      </c>
      <c r="D18" s="50">
        <v>13</v>
      </c>
      <c r="E18" s="50">
        <v>8</v>
      </c>
      <c r="F18" s="50">
        <v>34</v>
      </c>
      <c r="G18" s="50">
        <v>1</v>
      </c>
      <c r="H18" s="50">
        <v>1</v>
      </c>
      <c r="I18" s="50">
        <v>8</v>
      </c>
      <c r="J18" s="50">
        <v>0</v>
      </c>
      <c r="K18" s="50">
        <v>0</v>
      </c>
      <c r="L18" s="50">
        <v>0</v>
      </c>
      <c r="M18" s="50">
        <v>240</v>
      </c>
      <c r="N18" s="50">
        <v>0</v>
      </c>
      <c r="O18" s="15">
        <f t="shared" si="0"/>
        <v>170</v>
      </c>
      <c r="P18" s="15">
        <f t="shared" si="1"/>
        <v>410</v>
      </c>
      <c r="R18" s="1" t="s">
        <v>14</v>
      </c>
      <c r="S18" s="17">
        <f t="shared" ref="S18:AF18" si="10">SUM(C42:C45)</f>
        <v>188</v>
      </c>
      <c r="T18" s="17">
        <f t="shared" si="10"/>
        <v>20</v>
      </c>
      <c r="U18" s="17">
        <f t="shared" si="10"/>
        <v>31</v>
      </c>
      <c r="V18" s="17">
        <f t="shared" si="10"/>
        <v>71</v>
      </c>
      <c r="W18" s="17">
        <f t="shared" si="10"/>
        <v>0</v>
      </c>
      <c r="X18" s="17">
        <f t="shared" si="10"/>
        <v>2</v>
      </c>
      <c r="Y18" s="17">
        <f t="shared" si="10"/>
        <v>20</v>
      </c>
      <c r="Z18" s="17">
        <f t="shared" si="10"/>
        <v>9</v>
      </c>
      <c r="AA18" s="17">
        <f t="shared" si="10"/>
        <v>2</v>
      </c>
      <c r="AB18" s="17">
        <f t="shared" si="10"/>
        <v>2</v>
      </c>
      <c r="AC18" s="17">
        <f t="shared" si="10"/>
        <v>396</v>
      </c>
      <c r="AD18" s="17">
        <f t="shared" si="10"/>
        <v>0</v>
      </c>
      <c r="AE18" s="31">
        <f t="shared" si="10"/>
        <v>345</v>
      </c>
      <c r="AF18" s="31">
        <f t="shared" si="10"/>
        <v>741</v>
      </c>
    </row>
    <row r="19" spans="2:32" ht="23.1" customHeight="1" x14ac:dyDescent="0.25">
      <c r="B19" s="45" t="s">
        <v>46</v>
      </c>
      <c r="C19" s="50">
        <v>87</v>
      </c>
      <c r="D19" s="50">
        <v>7</v>
      </c>
      <c r="E19" s="50">
        <v>12</v>
      </c>
      <c r="F19" s="50">
        <v>26</v>
      </c>
      <c r="G19" s="50">
        <v>0</v>
      </c>
      <c r="H19" s="50">
        <v>0</v>
      </c>
      <c r="I19" s="50">
        <v>3</v>
      </c>
      <c r="J19" s="50">
        <v>0</v>
      </c>
      <c r="K19" s="50">
        <v>0</v>
      </c>
      <c r="L19" s="50">
        <v>1</v>
      </c>
      <c r="M19" s="50">
        <v>225</v>
      </c>
      <c r="N19" s="50">
        <v>0</v>
      </c>
      <c r="O19" s="15">
        <f t="shared" si="0"/>
        <v>136</v>
      </c>
      <c r="P19" s="15">
        <f t="shared" si="1"/>
        <v>361</v>
      </c>
      <c r="R19" s="1" t="s">
        <v>15</v>
      </c>
      <c r="S19" s="17">
        <f t="shared" ref="S19:AF19" si="11">SUM(C46:C49)</f>
        <v>181</v>
      </c>
      <c r="T19" s="17">
        <f t="shared" si="11"/>
        <v>29</v>
      </c>
      <c r="U19" s="17">
        <f t="shared" si="11"/>
        <v>27</v>
      </c>
      <c r="V19" s="17">
        <f t="shared" si="11"/>
        <v>85</v>
      </c>
      <c r="W19" s="17">
        <f t="shared" si="11"/>
        <v>1</v>
      </c>
      <c r="X19" s="17">
        <f t="shared" si="11"/>
        <v>0</v>
      </c>
      <c r="Y19" s="17">
        <f t="shared" si="11"/>
        <v>20</v>
      </c>
      <c r="Z19" s="17">
        <f t="shared" si="11"/>
        <v>5</v>
      </c>
      <c r="AA19" s="17">
        <f t="shared" si="11"/>
        <v>0</v>
      </c>
      <c r="AB19" s="17">
        <f t="shared" si="11"/>
        <v>0</v>
      </c>
      <c r="AC19" s="17">
        <f t="shared" si="11"/>
        <v>740</v>
      </c>
      <c r="AD19" s="17">
        <f t="shared" si="11"/>
        <v>0</v>
      </c>
      <c r="AE19" s="31">
        <f t="shared" si="11"/>
        <v>348</v>
      </c>
      <c r="AF19" s="31">
        <f t="shared" si="11"/>
        <v>1088</v>
      </c>
    </row>
    <row r="20" spans="2:32" ht="23.1" customHeight="1" x14ac:dyDescent="0.25">
      <c r="B20" s="45" t="s">
        <v>47</v>
      </c>
      <c r="C20" s="50">
        <v>75</v>
      </c>
      <c r="D20" s="50">
        <v>8</v>
      </c>
      <c r="E20" s="50">
        <v>7</v>
      </c>
      <c r="F20" s="50">
        <v>31</v>
      </c>
      <c r="G20" s="50">
        <v>0</v>
      </c>
      <c r="H20" s="50">
        <v>1</v>
      </c>
      <c r="I20" s="50">
        <v>8</v>
      </c>
      <c r="J20" s="50">
        <v>0</v>
      </c>
      <c r="K20" s="50">
        <v>0</v>
      </c>
      <c r="L20" s="50">
        <v>1</v>
      </c>
      <c r="M20" s="50">
        <v>203</v>
      </c>
      <c r="N20" s="50">
        <v>0</v>
      </c>
      <c r="O20" s="15">
        <f t="shared" si="0"/>
        <v>131</v>
      </c>
      <c r="P20" s="15">
        <f t="shared" si="1"/>
        <v>334</v>
      </c>
      <c r="R20" s="1" t="s">
        <v>16</v>
      </c>
      <c r="S20" s="17">
        <f t="shared" ref="S20:AF20" si="12">SUM(C50:C53)</f>
        <v>179</v>
      </c>
      <c r="T20" s="17">
        <f t="shared" si="12"/>
        <v>23</v>
      </c>
      <c r="U20" s="17">
        <f t="shared" si="12"/>
        <v>25</v>
      </c>
      <c r="V20" s="17">
        <f t="shared" si="12"/>
        <v>93</v>
      </c>
      <c r="W20" s="17">
        <f t="shared" si="12"/>
        <v>5</v>
      </c>
      <c r="X20" s="17">
        <f t="shared" si="12"/>
        <v>0</v>
      </c>
      <c r="Y20" s="17">
        <f t="shared" si="12"/>
        <v>18</v>
      </c>
      <c r="Z20" s="17">
        <f t="shared" si="12"/>
        <v>9</v>
      </c>
      <c r="AA20" s="17">
        <f t="shared" si="12"/>
        <v>1</v>
      </c>
      <c r="AB20" s="17">
        <f t="shared" si="12"/>
        <v>1</v>
      </c>
      <c r="AC20" s="17">
        <f t="shared" si="12"/>
        <v>833</v>
      </c>
      <c r="AD20" s="17">
        <f t="shared" si="12"/>
        <v>0</v>
      </c>
      <c r="AE20" s="31">
        <f t="shared" si="12"/>
        <v>354</v>
      </c>
      <c r="AF20" s="31">
        <f t="shared" si="12"/>
        <v>1187</v>
      </c>
    </row>
    <row r="21" spans="2:32" ht="23.1" customHeight="1" x14ac:dyDescent="0.25">
      <c r="B21" s="45" t="s">
        <v>48</v>
      </c>
      <c r="C21" s="50">
        <v>56</v>
      </c>
      <c r="D21" s="50">
        <v>14</v>
      </c>
      <c r="E21" s="50">
        <v>10</v>
      </c>
      <c r="F21" s="50">
        <v>25</v>
      </c>
      <c r="G21" s="50">
        <v>2</v>
      </c>
      <c r="H21" s="50">
        <v>0</v>
      </c>
      <c r="I21" s="50">
        <v>8</v>
      </c>
      <c r="J21" s="50">
        <v>0</v>
      </c>
      <c r="K21" s="50">
        <v>0</v>
      </c>
      <c r="L21" s="50">
        <v>1</v>
      </c>
      <c r="M21" s="50">
        <v>180</v>
      </c>
      <c r="N21" s="50">
        <v>0</v>
      </c>
      <c r="O21" s="15">
        <f t="shared" si="0"/>
        <v>116</v>
      </c>
      <c r="P21" s="15">
        <f t="shared" si="1"/>
        <v>296</v>
      </c>
      <c r="R21" s="36" t="s">
        <v>20</v>
      </c>
      <c r="S21" s="34">
        <f t="shared" ref="S21:AF21" si="13">SUM(C54:C57)</f>
        <v>199</v>
      </c>
      <c r="T21" s="17">
        <f t="shared" si="13"/>
        <v>34</v>
      </c>
      <c r="U21" s="17">
        <f t="shared" si="13"/>
        <v>33</v>
      </c>
      <c r="V21" s="17">
        <f t="shared" si="13"/>
        <v>146</v>
      </c>
      <c r="W21" s="17">
        <f t="shared" si="13"/>
        <v>9</v>
      </c>
      <c r="X21" s="17">
        <f t="shared" si="13"/>
        <v>1</v>
      </c>
      <c r="Y21" s="17">
        <f t="shared" si="13"/>
        <v>24</v>
      </c>
      <c r="Z21" s="17">
        <f t="shared" si="13"/>
        <v>4</v>
      </c>
      <c r="AA21" s="17">
        <f t="shared" si="13"/>
        <v>7</v>
      </c>
      <c r="AB21" s="17">
        <f t="shared" si="13"/>
        <v>0</v>
      </c>
      <c r="AC21" s="17">
        <f t="shared" si="13"/>
        <v>1037</v>
      </c>
      <c r="AD21" s="17">
        <f t="shared" si="13"/>
        <v>0</v>
      </c>
      <c r="AE21" s="31">
        <f t="shared" si="13"/>
        <v>457</v>
      </c>
      <c r="AF21" s="31">
        <f t="shared" si="13"/>
        <v>1494</v>
      </c>
    </row>
    <row r="22" spans="2:32" ht="23.1" customHeight="1" x14ac:dyDescent="0.25">
      <c r="B22" s="45" t="s">
        <v>49</v>
      </c>
      <c r="C22" s="50">
        <v>73</v>
      </c>
      <c r="D22" s="50">
        <v>12</v>
      </c>
      <c r="E22" s="50">
        <v>10</v>
      </c>
      <c r="F22" s="50">
        <v>20</v>
      </c>
      <c r="G22" s="50">
        <v>0</v>
      </c>
      <c r="H22" s="50">
        <v>0</v>
      </c>
      <c r="I22" s="50">
        <v>6</v>
      </c>
      <c r="J22" s="50">
        <v>4</v>
      </c>
      <c r="K22" s="50">
        <v>0</v>
      </c>
      <c r="L22" s="50">
        <v>4</v>
      </c>
      <c r="M22" s="50">
        <v>215</v>
      </c>
      <c r="N22" s="50">
        <v>0</v>
      </c>
      <c r="O22" s="15">
        <f t="shared" si="0"/>
        <v>129</v>
      </c>
      <c r="P22" s="15">
        <f t="shared" si="1"/>
        <v>344</v>
      </c>
      <c r="R22" s="36" t="s">
        <v>146</v>
      </c>
      <c r="S22" s="34">
        <f>SUM(C58:C61)</f>
        <v>169</v>
      </c>
      <c r="T22" s="34">
        <f t="shared" ref="T22:AF22" si="14">SUM(D58:D61)</f>
        <v>12</v>
      </c>
      <c r="U22" s="34">
        <f t="shared" si="14"/>
        <v>20</v>
      </c>
      <c r="V22" s="34">
        <f t="shared" si="14"/>
        <v>172</v>
      </c>
      <c r="W22" s="34">
        <f t="shared" si="14"/>
        <v>5</v>
      </c>
      <c r="X22" s="34">
        <f t="shared" si="14"/>
        <v>1</v>
      </c>
      <c r="Y22" s="34">
        <f t="shared" si="14"/>
        <v>11</v>
      </c>
      <c r="Z22" s="34">
        <f t="shared" si="14"/>
        <v>0</v>
      </c>
      <c r="AA22" s="34">
        <f t="shared" si="14"/>
        <v>0</v>
      </c>
      <c r="AB22" s="34">
        <f t="shared" si="14"/>
        <v>1</v>
      </c>
      <c r="AC22" s="34">
        <f t="shared" si="14"/>
        <v>857</v>
      </c>
      <c r="AD22" s="34">
        <f t="shared" si="14"/>
        <v>0</v>
      </c>
      <c r="AE22" s="31">
        <f t="shared" si="14"/>
        <v>391</v>
      </c>
      <c r="AF22" s="31">
        <f t="shared" si="14"/>
        <v>1248</v>
      </c>
    </row>
    <row r="23" spans="2:32" ht="23.1" customHeight="1" x14ac:dyDescent="0.25">
      <c r="B23" s="45" t="s">
        <v>50</v>
      </c>
      <c r="C23" s="50">
        <v>70</v>
      </c>
      <c r="D23" s="50">
        <v>14</v>
      </c>
      <c r="E23" s="50">
        <v>12</v>
      </c>
      <c r="F23" s="50">
        <v>21</v>
      </c>
      <c r="G23" s="50">
        <v>5</v>
      </c>
      <c r="H23" s="50">
        <v>0</v>
      </c>
      <c r="I23" s="50">
        <v>8</v>
      </c>
      <c r="J23" s="50">
        <v>0</v>
      </c>
      <c r="K23" s="50">
        <v>0</v>
      </c>
      <c r="L23" s="50">
        <v>2</v>
      </c>
      <c r="M23" s="50">
        <v>190</v>
      </c>
      <c r="N23" s="50">
        <v>0</v>
      </c>
      <c r="O23" s="15">
        <f t="shared" si="0"/>
        <v>132</v>
      </c>
      <c r="P23" s="15">
        <f t="shared" si="1"/>
        <v>322</v>
      </c>
      <c r="R23" s="36" t="s">
        <v>147</v>
      </c>
      <c r="S23" s="34">
        <f>SUM(C62:C65)</f>
        <v>134</v>
      </c>
      <c r="T23" s="34">
        <f t="shared" ref="T23:AF23" si="15">SUM(D62:D65)</f>
        <v>13</v>
      </c>
      <c r="U23" s="34">
        <f t="shared" si="15"/>
        <v>14</v>
      </c>
      <c r="V23" s="34">
        <f t="shared" si="15"/>
        <v>182</v>
      </c>
      <c r="W23" s="34">
        <f t="shared" si="15"/>
        <v>1</v>
      </c>
      <c r="X23" s="34">
        <f t="shared" si="15"/>
        <v>1</v>
      </c>
      <c r="Y23" s="34">
        <f t="shared" si="15"/>
        <v>8</v>
      </c>
      <c r="Z23" s="34">
        <f t="shared" si="15"/>
        <v>3</v>
      </c>
      <c r="AA23" s="34">
        <f t="shared" si="15"/>
        <v>1</v>
      </c>
      <c r="AB23" s="34">
        <f t="shared" si="15"/>
        <v>1</v>
      </c>
      <c r="AC23" s="34">
        <f t="shared" si="15"/>
        <v>900</v>
      </c>
      <c r="AD23" s="34">
        <f t="shared" si="15"/>
        <v>0</v>
      </c>
      <c r="AE23" s="31">
        <f t="shared" si="15"/>
        <v>358</v>
      </c>
      <c r="AF23" s="31">
        <f t="shared" si="15"/>
        <v>1258</v>
      </c>
    </row>
    <row r="24" spans="2:32" ht="23.1" customHeight="1" x14ac:dyDescent="0.25">
      <c r="B24" s="45" t="s">
        <v>51</v>
      </c>
      <c r="C24" s="50">
        <v>71</v>
      </c>
      <c r="D24" s="50">
        <v>18</v>
      </c>
      <c r="E24" s="50">
        <v>8</v>
      </c>
      <c r="F24" s="50">
        <v>25</v>
      </c>
      <c r="G24" s="50">
        <v>0</v>
      </c>
      <c r="H24" s="50">
        <v>0</v>
      </c>
      <c r="I24" s="50">
        <v>10</v>
      </c>
      <c r="J24" s="50">
        <v>0</v>
      </c>
      <c r="K24" s="50">
        <v>0</v>
      </c>
      <c r="L24" s="50">
        <v>0</v>
      </c>
      <c r="M24" s="50">
        <v>170</v>
      </c>
      <c r="N24" s="50">
        <v>0</v>
      </c>
      <c r="O24" s="15">
        <f t="shared" si="0"/>
        <v>132</v>
      </c>
      <c r="P24" s="15">
        <f t="shared" si="1"/>
        <v>302</v>
      </c>
      <c r="R24" s="36" t="s">
        <v>148</v>
      </c>
      <c r="S24" s="34">
        <f>SUM(C66:C69)</f>
        <v>115</v>
      </c>
      <c r="T24" s="34">
        <f t="shared" ref="T24:AF24" si="16">SUM(D66:D69)</f>
        <v>16</v>
      </c>
      <c r="U24" s="34">
        <f t="shared" si="16"/>
        <v>11</v>
      </c>
      <c r="V24" s="34">
        <f t="shared" si="16"/>
        <v>104</v>
      </c>
      <c r="W24" s="34">
        <f t="shared" si="16"/>
        <v>11</v>
      </c>
      <c r="X24" s="34">
        <f t="shared" si="16"/>
        <v>0</v>
      </c>
      <c r="Y24" s="34">
        <f t="shared" si="16"/>
        <v>4</v>
      </c>
      <c r="Z24" s="34">
        <f t="shared" si="16"/>
        <v>3</v>
      </c>
      <c r="AA24" s="34">
        <f t="shared" si="16"/>
        <v>0</v>
      </c>
      <c r="AB24" s="34">
        <f t="shared" si="16"/>
        <v>0</v>
      </c>
      <c r="AC24" s="34">
        <f t="shared" si="16"/>
        <v>694</v>
      </c>
      <c r="AD24" s="34">
        <f t="shared" si="16"/>
        <v>0</v>
      </c>
      <c r="AE24" s="31">
        <f t="shared" si="16"/>
        <v>264</v>
      </c>
      <c r="AF24" s="31">
        <f t="shared" si="16"/>
        <v>958</v>
      </c>
    </row>
    <row r="25" spans="2:32" ht="23.1" customHeight="1" x14ac:dyDescent="0.25">
      <c r="B25" s="45" t="s">
        <v>52</v>
      </c>
      <c r="C25" s="50">
        <v>65</v>
      </c>
      <c r="D25" s="50">
        <v>12</v>
      </c>
      <c r="E25" s="50">
        <v>4</v>
      </c>
      <c r="F25" s="50">
        <v>19</v>
      </c>
      <c r="G25" s="50">
        <v>0</v>
      </c>
      <c r="H25" s="50">
        <v>0</v>
      </c>
      <c r="I25" s="50">
        <v>6</v>
      </c>
      <c r="J25" s="50">
        <v>1</v>
      </c>
      <c r="K25" s="50">
        <v>1</v>
      </c>
      <c r="L25" s="50">
        <v>1</v>
      </c>
      <c r="M25" s="50">
        <v>170</v>
      </c>
      <c r="N25" s="50">
        <v>0</v>
      </c>
      <c r="O25" s="15">
        <f t="shared" si="0"/>
        <v>109</v>
      </c>
      <c r="P25" s="15">
        <f t="shared" si="1"/>
        <v>279</v>
      </c>
      <c r="R25" s="36" t="s">
        <v>149</v>
      </c>
      <c r="S25" s="34">
        <f>SUM(C70:C73)</f>
        <v>127</v>
      </c>
      <c r="T25" s="34">
        <f t="shared" ref="T25:AF25" si="17">SUM(D70:D73)</f>
        <v>13</v>
      </c>
      <c r="U25" s="34">
        <f t="shared" si="17"/>
        <v>12</v>
      </c>
      <c r="V25" s="34">
        <f t="shared" si="17"/>
        <v>58</v>
      </c>
      <c r="W25" s="34">
        <f t="shared" si="17"/>
        <v>0</v>
      </c>
      <c r="X25" s="34">
        <f t="shared" si="17"/>
        <v>0</v>
      </c>
      <c r="Y25" s="34">
        <f t="shared" si="17"/>
        <v>8</v>
      </c>
      <c r="Z25" s="34">
        <f t="shared" si="17"/>
        <v>1</v>
      </c>
      <c r="AA25" s="34">
        <f t="shared" si="17"/>
        <v>0</v>
      </c>
      <c r="AB25" s="34">
        <f t="shared" si="17"/>
        <v>0</v>
      </c>
      <c r="AC25" s="34">
        <f t="shared" si="17"/>
        <v>573</v>
      </c>
      <c r="AD25" s="34">
        <f t="shared" si="17"/>
        <v>0</v>
      </c>
      <c r="AE25" s="31">
        <f t="shared" si="17"/>
        <v>219</v>
      </c>
      <c r="AF25" s="31">
        <f t="shared" si="17"/>
        <v>792</v>
      </c>
    </row>
    <row r="26" spans="2:32" ht="23.1" customHeight="1" x14ac:dyDescent="0.25">
      <c r="B26" s="45" t="s">
        <v>53</v>
      </c>
      <c r="C26" s="50">
        <v>41</v>
      </c>
      <c r="D26" s="50">
        <v>5</v>
      </c>
      <c r="E26" s="50">
        <v>10</v>
      </c>
      <c r="F26" s="50">
        <v>24</v>
      </c>
      <c r="G26" s="50">
        <v>0</v>
      </c>
      <c r="H26" s="50">
        <v>1</v>
      </c>
      <c r="I26" s="50">
        <v>13</v>
      </c>
      <c r="J26" s="50">
        <v>1</v>
      </c>
      <c r="K26" s="50">
        <v>3</v>
      </c>
      <c r="L26" s="50">
        <v>0</v>
      </c>
      <c r="M26" s="50">
        <v>190</v>
      </c>
      <c r="N26" s="50">
        <v>0</v>
      </c>
      <c r="O26" s="15">
        <f t="shared" si="0"/>
        <v>98</v>
      </c>
      <c r="P26" s="15">
        <f t="shared" si="1"/>
        <v>288</v>
      </c>
      <c r="R26" s="36" t="s">
        <v>150</v>
      </c>
      <c r="S26" s="34">
        <f>SUM(C74:C77)</f>
        <v>73</v>
      </c>
      <c r="T26" s="34">
        <f t="shared" ref="T26:AF26" si="18">SUM(D74:D77)</f>
        <v>8</v>
      </c>
      <c r="U26" s="34">
        <f t="shared" si="18"/>
        <v>12</v>
      </c>
      <c r="V26" s="34">
        <f t="shared" si="18"/>
        <v>21</v>
      </c>
      <c r="W26" s="34">
        <f t="shared" si="18"/>
        <v>0</v>
      </c>
      <c r="X26" s="34">
        <f t="shared" si="18"/>
        <v>0</v>
      </c>
      <c r="Y26" s="34">
        <f t="shared" si="18"/>
        <v>7</v>
      </c>
      <c r="Z26" s="34">
        <f t="shared" si="18"/>
        <v>1</v>
      </c>
      <c r="AA26" s="34">
        <f t="shared" si="18"/>
        <v>0</v>
      </c>
      <c r="AB26" s="34">
        <f t="shared" si="18"/>
        <v>0</v>
      </c>
      <c r="AC26" s="34">
        <f t="shared" si="18"/>
        <v>483</v>
      </c>
      <c r="AD26" s="34">
        <f t="shared" si="18"/>
        <v>0</v>
      </c>
      <c r="AE26" s="31">
        <f t="shared" si="18"/>
        <v>122</v>
      </c>
      <c r="AF26" s="31">
        <f t="shared" si="18"/>
        <v>605</v>
      </c>
    </row>
    <row r="27" spans="2:32" ht="23.1" customHeight="1" x14ac:dyDescent="0.25">
      <c r="B27" s="45" t="s">
        <v>54</v>
      </c>
      <c r="C27" s="50">
        <v>61</v>
      </c>
      <c r="D27" s="50">
        <v>7</v>
      </c>
      <c r="E27" s="50">
        <v>5</v>
      </c>
      <c r="F27" s="50">
        <v>21</v>
      </c>
      <c r="G27" s="50">
        <v>0</v>
      </c>
      <c r="H27" s="50">
        <v>0</v>
      </c>
      <c r="I27" s="50">
        <v>4</v>
      </c>
      <c r="J27" s="50">
        <v>0</v>
      </c>
      <c r="K27" s="50">
        <v>0</v>
      </c>
      <c r="L27" s="50">
        <v>0</v>
      </c>
      <c r="M27" s="50">
        <v>212</v>
      </c>
      <c r="N27" s="50">
        <v>0</v>
      </c>
      <c r="O27" s="15">
        <f t="shared" si="0"/>
        <v>98</v>
      </c>
      <c r="P27" s="15">
        <f t="shared" si="1"/>
        <v>310</v>
      </c>
      <c r="R27" s="36" t="s">
        <v>151</v>
      </c>
      <c r="S27" s="34">
        <f>SUM(C78:C81)</f>
        <v>59</v>
      </c>
      <c r="T27" s="34">
        <f t="shared" ref="T27:AF27" si="19">SUM(D78:D81)</f>
        <v>6</v>
      </c>
      <c r="U27" s="34">
        <f t="shared" si="19"/>
        <v>6</v>
      </c>
      <c r="V27" s="34">
        <f t="shared" si="19"/>
        <v>5</v>
      </c>
      <c r="W27" s="34">
        <f t="shared" si="19"/>
        <v>0</v>
      </c>
      <c r="X27" s="34">
        <f t="shared" si="19"/>
        <v>0</v>
      </c>
      <c r="Y27" s="34">
        <f t="shared" si="19"/>
        <v>7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347</v>
      </c>
      <c r="AD27" s="34">
        <f t="shared" si="19"/>
        <v>0</v>
      </c>
      <c r="AE27" s="31">
        <f t="shared" si="19"/>
        <v>83</v>
      </c>
      <c r="AF27" s="31">
        <f t="shared" si="19"/>
        <v>430</v>
      </c>
    </row>
    <row r="28" spans="2:32" ht="23.1" customHeight="1" x14ac:dyDescent="0.25">
      <c r="B28" s="45" t="s">
        <v>55</v>
      </c>
      <c r="C28" s="50">
        <v>44</v>
      </c>
      <c r="D28" s="50">
        <v>8</v>
      </c>
      <c r="E28" s="50">
        <v>11</v>
      </c>
      <c r="F28" s="50">
        <v>19</v>
      </c>
      <c r="G28" s="50">
        <v>1</v>
      </c>
      <c r="H28" s="50">
        <v>0</v>
      </c>
      <c r="I28" s="50">
        <v>8</v>
      </c>
      <c r="J28" s="50">
        <v>0</v>
      </c>
      <c r="K28" s="50">
        <v>4</v>
      </c>
      <c r="L28" s="50">
        <v>1</v>
      </c>
      <c r="M28" s="50">
        <v>171</v>
      </c>
      <c r="N28" s="50">
        <v>0</v>
      </c>
      <c r="O28" s="15">
        <f t="shared" si="0"/>
        <v>96</v>
      </c>
      <c r="P28" s="15">
        <f t="shared" si="1"/>
        <v>267</v>
      </c>
      <c r="R28" s="36" t="s">
        <v>152</v>
      </c>
      <c r="S28" s="34">
        <f>SUM(C82:C85)</f>
        <v>28</v>
      </c>
      <c r="T28" s="34">
        <f t="shared" ref="T28:AF28" si="20">SUM(D82:D85)</f>
        <v>5</v>
      </c>
      <c r="U28" s="34">
        <f t="shared" si="20"/>
        <v>4</v>
      </c>
      <c r="V28" s="34">
        <f t="shared" si="20"/>
        <v>5</v>
      </c>
      <c r="W28" s="34">
        <f t="shared" si="20"/>
        <v>0</v>
      </c>
      <c r="X28" s="34">
        <f t="shared" si="20"/>
        <v>0</v>
      </c>
      <c r="Y28" s="34">
        <f t="shared" si="20"/>
        <v>7</v>
      </c>
      <c r="Z28" s="34">
        <f t="shared" si="20"/>
        <v>1</v>
      </c>
      <c r="AA28" s="34">
        <f t="shared" si="20"/>
        <v>0</v>
      </c>
      <c r="AB28" s="34">
        <f t="shared" si="20"/>
        <v>0</v>
      </c>
      <c r="AC28" s="34">
        <f t="shared" si="20"/>
        <v>253</v>
      </c>
      <c r="AD28" s="34">
        <f t="shared" si="20"/>
        <v>0</v>
      </c>
      <c r="AE28" s="31">
        <f t="shared" si="20"/>
        <v>50</v>
      </c>
      <c r="AF28" s="31">
        <f t="shared" si="20"/>
        <v>303</v>
      </c>
    </row>
    <row r="29" spans="2:32" ht="23.1" customHeight="1" x14ac:dyDescent="0.25">
      <c r="B29" s="45" t="s">
        <v>56</v>
      </c>
      <c r="C29" s="50">
        <v>43</v>
      </c>
      <c r="D29" s="50">
        <v>9</v>
      </c>
      <c r="E29" s="50">
        <v>2</v>
      </c>
      <c r="F29" s="50">
        <v>21</v>
      </c>
      <c r="G29" s="50">
        <v>0</v>
      </c>
      <c r="H29" s="50">
        <v>0</v>
      </c>
      <c r="I29" s="50">
        <v>4</v>
      </c>
      <c r="J29" s="50">
        <v>1</v>
      </c>
      <c r="K29" s="50">
        <v>1</v>
      </c>
      <c r="L29" s="50">
        <v>2</v>
      </c>
      <c r="M29" s="50">
        <v>160</v>
      </c>
      <c r="N29" s="50">
        <v>0</v>
      </c>
      <c r="O29" s="15">
        <f t="shared" si="0"/>
        <v>83</v>
      </c>
      <c r="P29" s="15">
        <f t="shared" si="1"/>
        <v>243</v>
      </c>
      <c r="R29" s="36" t="s">
        <v>153</v>
      </c>
      <c r="S29" s="34">
        <f>SUM(C86:C89)</f>
        <v>26</v>
      </c>
      <c r="T29" s="34">
        <f t="shared" ref="T29:AF29" si="21">SUM(D86:D89)</f>
        <v>3</v>
      </c>
      <c r="U29" s="34">
        <f t="shared" si="21"/>
        <v>1</v>
      </c>
      <c r="V29" s="34">
        <f t="shared" si="21"/>
        <v>3</v>
      </c>
      <c r="W29" s="34">
        <f t="shared" si="21"/>
        <v>0</v>
      </c>
      <c r="X29" s="34">
        <f t="shared" si="21"/>
        <v>0</v>
      </c>
      <c r="Y29" s="34">
        <f t="shared" si="21"/>
        <v>4</v>
      </c>
      <c r="Z29" s="34">
        <f t="shared" si="21"/>
        <v>0</v>
      </c>
      <c r="AA29" s="34">
        <f t="shared" si="21"/>
        <v>1</v>
      </c>
      <c r="AB29" s="34">
        <f t="shared" si="21"/>
        <v>1</v>
      </c>
      <c r="AC29" s="34">
        <f t="shared" si="21"/>
        <v>201</v>
      </c>
      <c r="AD29" s="34">
        <f t="shared" si="21"/>
        <v>0</v>
      </c>
      <c r="AE29" s="31">
        <f t="shared" si="21"/>
        <v>39</v>
      </c>
      <c r="AF29" s="31">
        <f t="shared" si="21"/>
        <v>240</v>
      </c>
    </row>
    <row r="30" spans="2:32" ht="23.1" customHeight="1" x14ac:dyDescent="0.25">
      <c r="B30" s="45" t="s">
        <v>57</v>
      </c>
      <c r="C30" s="50">
        <v>62</v>
      </c>
      <c r="D30" s="50">
        <v>7</v>
      </c>
      <c r="E30" s="50">
        <v>10</v>
      </c>
      <c r="F30" s="50">
        <v>29</v>
      </c>
      <c r="G30" s="50">
        <v>0</v>
      </c>
      <c r="H30" s="50">
        <v>0</v>
      </c>
      <c r="I30" s="50">
        <v>6</v>
      </c>
      <c r="J30" s="50">
        <v>2</v>
      </c>
      <c r="K30" s="50">
        <v>0</v>
      </c>
      <c r="L30" s="50">
        <v>0</v>
      </c>
      <c r="M30" s="50">
        <v>155</v>
      </c>
      <c r="N30" s="50">
        <v>0</v>
      </c>
      <c r="O30" s="15">
        <f t="shared" si="0"/>
        <v>116</v>
      </c>
      <c r="P30" s="15">
        <f t="shared" si="1"/>
        <v>271</v>
      </c>
      <c r="R30" s="36" t="s">
        <v>154</v>
      </c>
      <c r="S30" s="34">
        <f>SUM(C90:C93)</f>
        <v>92</v>
      </c>
      <c r="T30" s="34">
        <f t="shared" ref="T30:AF30" si="22">SUM(D90:D93)</f>
        <v>8</v>
      </c>
      <c r="U30" s="34">
        <f t="shared" si="22"/>
        <v>6</v>
      </c>
      <c r="V30" s="34">
        <f t="shared" si="22"/>
        <v>51</v>
      </c>
      <c r="W30" s="34">
        <f t="shared" si="22"/>
        <v>0</v>
      </c>
      <c r="X30" s="34">
        <f t="shared" si="22"/>
        <v>0</v>
      </c>
      <c r="Y30" s="34">
        <f t="shared" si="22"/>
        <v>4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191</v>
      </c>
      <c r="AD30" s="34">
        <f t="shared" si="22"/>
        <v>0</v>
      </c>
      <c r="AE30" s="31">
        <f t="shared" si="22"/>
        <v>161</v>
      </c>
      <c r="AF30" s="31">
        <f t="shared" si="22"/>
        <v>352</v>
      </c>
    </row>
    <row r="31" spans="2:32" ht="23.1" customHeight="1" x14ac:dyDescent="0.25">
      <c r="B31" s="46" t="s">
        <v>58</v>
      </c>
      <c r="C31" s="50">
        <v>46</v>
      </c>
      <c r="D31" s="50">
        <v>6</v>
      </c>
      <c r="E31" s="50">
        <v>10</v>
      </c>
      <c r="F31" s="50">
        <v>23</v>
      </c>
      <c r="G31" s="50">
        <v>1</v>
      </c>
      <c r="H31" s="50">
        <v>0</v>
      </c>
      <c r="I31" s="50">
        <v>5</v>
      </c>
      <c r="J31" s="50">
        <v>3</v>
      </c>
      <c r="K31" s="50">
        <v>0</v>
      </c>
      <c r="L31" s="50">
        <v>2</v>
      </c>
      <c r="M31" s="50">
        <v>170</v>
      </c>
      <c r="N31" s="50">
        <v>0</v>
      </c>
      <c r="O31" s="15">
        <f t="shared" si="0"/>
        <v>96</v>
      </c>
      <c r="P31" s="15">
        <f t="shared" si="1"/>
        <v>266</v>
      </c>
      <c r="R31" s="36" t="s">
        <v>155</v>
      </c>
      <c r="S31" s="34">
        <f>SUM(C94:C97)</f>
        <v>38</v>
      </c>
      <c r="T31" s="34">
        <f t="shared" ref="T31:AF31" si="23">SUM(D94:D97)</f>
        <v>2</v>
      </c>
      <c r="U31" s="34">
        <f t="shared" si="23"/>
        <v>4</v>
      </c>
      <c r="V31" s="34">
        <f t="shared" si="23"/>
        <v>22</v>
      </c>
      <c r="W31" s="34">
        <f t="shared" si="23"/>
        <v>5</v>
      </c>
      <c r="X31" s="34">
        <f t="shared" si="23"/>
        <v>1</v>
      </c>
      <c r="Y31" s="34">
        <f t="shared" si="23"/>
        <v>3</v>
      </c>
      <c r="Z31" s="34">
        <f t="shared" si="23"/>
        <v>0</v>
      </c>
      <c r="AA31" s="34">
        <f t="shared" si="23"/>
        <v>1</v>
      </c>
      <c r="AB31" s="34">
        <f t="shared" si="23"/>
        <v>0</v>
      </c>
      <c r="AC31" s="34">
        <f t="shared" si="23"/>
        <v>211</v>
      </c>
      <c r="AD31" s="34">
        <f t="shared" si="23"/>
        <v>0</v>
      </c>
      <c r="AE31" s="31">
        <f t="shared" si="23"/>
        <v>76</v>
      </c>
      <c r="AF31" s="31">
        <f t="shared" si="23"/>
        <v>287</v>
      </c>
    </row>
    <row r="32" spans="2:32" ht="23.1" customHeight="1" x14ac:dyDescent="0.25">
      <c r="B32" s="46" t="s">
        <v>59</v>
      </c>
      <c r="C32" s="50">
        <v>47</v>
      </c>
      <c r="D32" s="50">
        <v>16</v>
      </c>
      <c r="E32" s="50">
        <v>5</v>
      </c>
      <c r="F32" s="50">
        <v>16</v>
      </c>
      <c r="G32" s="50">
        <v>0</v>
      </c>
      <c r="H32" s="50">
        <v>0</v>
      </c>
      <c r="I32" s="50">
        <v>4</v>
      </c>
      <c r="J32" s="50">
        <v>0</v>
      </c>
      <c r="K32" s="50">
        <v>0</v>
      </c>
      <c r="L32" s="50">
        <v>1</v>
      </c>
      <c r="M32" s="50">
        <v>185</v>
      </c>
      <c r="N32" s="50">
        <v>0</v>
      </c>
      <c r="O32" s="15">
        <f t="shared" si="0"/>
        <v>89</v>
      </c>
      <c r="P32" s="15">
        <f t="shared" si="1"/>
        <v>274</v>
      </c>
      <c r="R32" s="33" t="s">
        <v>156</v>
      </c>
      <c r="S32" s="34">
        <f>SUM(C98:C101)</f>
        <v>97</v>
      </c>
      <c r="T32" s="34">
        <f t="shared" ref="T32:AF32" si="24">SUM(D98:D101)</f>
        <v>0</v>
      </c>
      <c r="U32" s="34">
        <f t="shared" si="24"/>
        <v>10</v>
      </c>
      <c r="V32" s="34">
        <f t="shared" si="24"/>
        <v>165</v>
      </c>
      <c r="W32" s="34">
        <f t="shared" si="24"/>
        <v>1</v>
      </c>
      <c r="X32" s="34">
        <f t="shared" si="24"/>
        <v>0</v>
      </c>
      <c r="Y32" s="34">
        <f t="shared" si="24"/>
        <v>5</v>
      </c>
      <c r="Z32" s="34">
        <f t="shared" si="24"/>
        <v>0</v>
      </c>
      <c r="AA32" s="34">
        <f t="shared" si="24"/>
        <v>0</v>
      </c>
      <c r="AB32" s="34">
        <f t="shared" si="24"/>
        <v>1</v>
      </c>
      <c r="AC32" s="34">
        <f t="shared" si="24"/>
        <v>296</v>
      </c>
      <c r="AD32" s="34">
        <f t="shared" si="24"/>
        <v>0</v>
      </c>
      <c r="AE32" s="31">
        <f t="shared" si="24"/>
        <v>279</v>
      </c>
      <c r="AF32" s="31">
        <f t="shared" si="24"/>
        <v>575</v>
      </c>
    </row>
    <row r="33" spans="2:32" ht="23.1" customHeight="1" x14ac:dyDescent="0.25">
      <c r="B33" s="45" t="s">
        <v>60</v>
      </c>
      <c r="C33" s="50">
        <v>31</v>
      </c>
      <c r="D33" s="50">
        <v>6</v>
      </c>
      <c r="E33" s="50">
        <v>2</v>
      </c>
      <c r="F33" s="50">
        <v>17</v>
      </c>
      <c r="G33" s="50">
        <v>0</v>
      </c>
      <c r="H33" s="50">
        <v>0</v>
      </c>
      <c r="I33" s="50">
        <v>3</v>
      </c>
      <c r="J33" s="50">
        <v>1</v>
      </c>
      <c r="K33" s="50">
        <v>2</v>
      </c>
      <c r="L33" s="50">
        <v>0</v>
      </c>
      <c r="M33" s="50">
        <v>167</v>
      </c>
      <c r="N33" s="50">
        <v>0</v>
      </c>
      <c r="O33" s="15">
        <f t="shared" si="0"/>
        <v>62</v>
      </c>
      <c r="P33" s="15">
        <f t="shared" si="1"/>
        <v>229</v>
      </c>
      <c r="R33" s="33" t="s">
        <v>157</v>
      </c>
      <c r="S33" s="34">
        <f>SUM(C102:C105)</f>
        <v>135</v>
      </c>
      <c r="T33" s="34">
        <f t="shared" ref="T33:AF33" si="25">SUM(D102:D105)</f>
        <v>15</v>
      </c>
      <c r="U33" s="34">
        <f t="shared" si="25"/>
        <v>15</v>
      </c>
      <c r="V33" s="34">
        <f t="shared" si="25"/>
        <v>153</v>
      </c>
      <c r="W33" s="34">
        <f t="shared" si="25"/>
        <v>2</v>
      </c>
      <c r="X33" s="34">
        <f t="shared" si="25"/>
        <v>0</v>
      </c>
      <c r="Y33" s="34">
        <f t="shared" si="25"/>
        <v>9</v>
      </c>
      <c r="Z33" s="34">
        <f t="shared" si="25"/>
        <v>3</v>
      </c>
      <c r="AA33" s="34">
        <f t="shared" si="25"/>
        <v>0</v>
      </c>
      <c r="AB33" s="34">
        <f t="shared" si="25"/>
        <v>0</v>
      </c>
      <c r="AC33" s="34">
        <f t="shared" si="25"/>
        <v>501</v>
      </c>
      <c r="AD33" s="34">
        <f t="shared" si="25"/>
        <v>0</v>
      </c>
      <c r="AE33" s="31">
        <f t="shared" si="25"/>
        <v>332</v>
      </c>
      <c r="AF33" s="31">
        <f t="shared" si="25"/>
        <v>833</v>
      </c>
    </row>
    <row r="34" spans="2:32" ht="23.1" customHeight="1" x14ac:dyDescent="0.25">
      <c r="B34" s="46" t="s">
        <v>61</v>
      </c>
      <c r="C34" s="50">
        <v>56</v>
      </c>
      <c r="D34" s="50">
        <v>10</v>
      </c>
      <c r="E34" s="50">
        <v>10</v>
      </c>
      <c r="F34" s="50">
        <v>19</v>
      </c>
      <c r="G34" s="50">
        <v>0</v>
      </c>
      <c r="H34" s="50">
        <v>1</v>
      </c>
      <c r="I34" s="50">
        <v>6</v>
      </c>
      <c r="J34" s="50">
        <v>2</v>
      </c>
      <c r="K34" s="50">
        <v>0</v>
      </c>
      <c r="L34" s="50">
        <v>0</v>
      </c>
      <c r="M34" s="50">
        <v>170</v>
      </c>
      <c r="N34" s="50">
        <v>0</v>
      </c>
      <c r="O34" s="15">
        <f t="shared" si="0"/>
        <v>104</v>
      </c>
      <c r="P34" s="15">
        <f t="shared" si="1"/>
        <v>274</v>
      </c>
      <c r="R34" s="38" t="s">
        <v>90</v>
      </c>
      <c r="S34" s="39">
        <f t="shared" ref="S34:AF34" si="26">MAX(S10:S12)</f>
        <v>682</v>
      </c>
      <c r="T34" s="39">
        <f t="shared" si="26"/>
        <v>76</v>
      </c>
      <c r="U34" s="39">
        <f t="shared" si="26"/>
        <v>58</v>
      </c>
      <c r="V34" s="39">
        <f t="shared" si="26"/>
        <v>164</v>
      </c>
      <c r="W34" s="39">
        <f t="shared" si="26"/>
        <v>3</v>
      </c>
      <c r="X34" s="39">
        <f t="shared" si="26"/>
        <v>2</v>
      </c>
      <c r="Y34" s="39">
        <f t="shared" si="26"/>
        <v>28</v>
      </c>
      <c r="Z34" s="39">
        <f t="shared" si="26"/>
        <v>2</v>
      </c>
      <c r="AA34" s="39">
        <f t="shared" si="26"/>
        <v>4</v>
      </c>
      <c r="AB34" s="39">
        <f t="shared" si="26"/>
        <v>3</v>
      </c>
      <c r="AC34" s="39">
        <f t="shared" si="26"/>
        <v>953</v>
      </c>
      <c r="AD34" s="39">
        <f t="shared" si="26"/>
        <v>0</v>
      </c>
      <c r="AE34" s="40">
        <f t="shared" si="26"/>
        <v>1002</v>
      </c>
      <c r="AF34" s="40">
        <f t="shared" si="26"/>
        <v>1825</v>
      </c>
    </row>
    <row r="35" spans="2:32" ht="23.1" customHeight="1" x14ac:dyDescent="0.25">
      <c r="B35" s="46" t="s">
        <v>62</v>
      </c>
      <c r="C35" s="50">
        <v>35</v>
      </c>
      <c r="D35" s="50">
        <v>10</v>
      </c>
      <c r="E35" s="50">
        <v>3</v>
      </c>
      <c r="F35" s="50">
        <v>19</v>
      </c>
      <c r="G35" s="50">
        <v>0</v>
      </c>
      <c r="H35" s="50">
        <v>0</v>
      </c>
      <c r="I35" s="50">
        <v>7</v>
      </c>
      <c r="J35" s="50">
        <v>2</v>
      </c>
      <c r="K35" s="50">
        <v>0</v>
      </c>
      <c r="L35" s="50">
        <v>0</v>
      </c>
      <c r="M35" s="50">
        <v>183</v>
      </c>
      <c r="N35" s="50">
        <v>0</v>
      </c>
      <c r="O35" s="15">
        <f t="shared" si="0"/>
        <v>76</v>
      </c>
      <c r="P35" s="15">
        <f t="shared" si="1"/>
        <v>259</v>
      </c>
      <c r="R35" s="38" t="s">
        <v>91</v>
      </c>
      <c r="S35" s="39">
        <f t="shared" ref="S35:AF35" si="27">MAX(S13:S18)</f>
        <v>279</v>
      </c>
      <c r="T35" s="39">
        <f t="shared" si="27"/>
        <v>56</v>
      </c>
      <c r="U35" s="39">
        <f t="shared" si="27"/>
        <v>34</v>
      </c>
      <c r="V35" s="39">
        <f t="shared" si="27"/>
        <v>85</v>
      </c>
      <c r="W35" s="39">
        <f t="shared" si="27"/>
        <v>5</v>
      </c>
      <c r="X35" s="39">
        <f t="shared" si="27"/>
        <v>2</v>
      </c>
      <c r="Y35" s="39">
        <f t="shared" si="27"/>
        <v>30</v>
      </c>
      <c r="Z35" s="39">
        <f t="shared" si="27"/>
        <v>9</v>
      </c>
      <c r="AA35" s="39">
        <f t="shared" si="27"/>
        <v>8</v>
      </c>
      <c r="AB35" s="39">
        <f t="shared" si="27"/>
        <v>7</v>
      </c>
      <c r="AC35" s="39">
        <f t="shared" si="27"/>
        <v>745</v>
      </c>
      <c r="AD35" s="39">
        <f t="shared" si="27"/>
        <v>0</v>
      </c>
      <c r="AE35" s="40">
        <f t="shared" si="27"/>
        <v>502</v>
      </c>
      <c r="AF35" s="40">
        <f t="shared" si="27"/>
        <v>1247</v>
      </c>
    </row>
    <row r="36" spans="2:32" ht="23.1" customHeight="1" x14ac:dyDescent="0.25">
      <c r="B36" s="46" t="s">
        <v>63</v>
      </c>
      <c r="C36" s="50">
        <v>50</v>
      </c>
      <c r="D36" s="50">
        <v>5</v>
      </c>
      <c r="E36" s="50">
        <v>12</v>
      </c>
      <c r="F36" s="50">
        <v>19</v>
      </c>
      <c r="G36" s="50">
        <v>0</v>
      </c>
      <c r="H36" s="50">
        <v>0</v>
      </c>
      <c r="I36" s="50">
        <v>9</v>
      </c>
      <c r="J36" s="50">
        <v>0</v>
      </c>
      <c r="K36" s="50">
        <v>0</v>
      </c>
      <c r="L36" s="50">
        <v>2</v>
      </c>
      <c r="M36" s="50">
        <v>150</v>
      </c>
      <c r="N36" s="50">
        <v>0</v>
      </c>
      <c r="O36" s="15">
        <f t="shared" si="0"/>
        <v>97</v>
      </c>
      <c r="P36" s="15">
        <f t="shared" si="1"/>
        <v>247</v>
      </c>
      <c r="R36" s="38" t="s">
        <v>92</v>
      </c>
      <c r="S36" s="39">
        <f t="shared" ref="S36:AF36" si="28">MAX(S19:S21)</f>
        <v>199</v>
      </c>
      <c r="T36" s="39">
        <f t="shared" si="28"/>
        <v>34</v>
      </c>
      <c r="U36" s="39">
        <f t="shared" si="28"/>
        <v>33</v>
      </c>
      <c r="V36" s="39">
        <f t="shared" si="28"/>
        <v>146</v>
      </c>
      <c r="W36" s="39">
        <f t="shared" si="28"/>
        <v>9</v>
      </c>
      <c r="X36" s="39">
        <f t="shared" si="28"/>
        <v>1</v>
      </c>
      <c r="Y36" s="39">
        <f t="shared" si="28"/>
        <v>24</v>
      </c>
      <c r="Z36" s="39">
        <f t="shared" si="28"/>
        <v>9</v>
      </c>
      <c r="AA36" s="39">
        <f t="shared" si="28"/>
        <v>7</v>
      </c>
      <c r="AB36" s="39">
        <f t="shared" si="28"/>
        <v>1</v>
      </c>
      <c r="AC36" s="39">
        <f t="shared" si="28"/>
        <v>1037</v>
      </c>
      <c r="AD36" s="39">
        <f t="shared" si="28"/>
        <v>0</v>
      </c>
      <c r="AE36" s="40">
        <f t="shared" si="28"/>
        <v>457</v>
      </c>
      <c r="AF36" s="40">
        <f t="shared" si="28"/>
        <v>1494</v>
      </c>
    </row>
    <row r="37" spans="2:32" ht="23.1" customHeight="1" x14ac:dyDescent="0.25">
      <c r="B37" s="45" t="s">
        <v>64</v>
      </c>
      <c r="C37" s="50">
        <v>29</v>
      </c>
      <c r="D37" s="50">
        <v>5</v>
      </c>
      <c r="E37" s="50">
        <v>8</v>
      </c>
      <c r="F37" s="50">
        <v>21</v>
      </c>
      <c r="G37" s="50">
        <v>0</v>
      </c>
      <c r="H37" s="50">
        <v>0</v>
      </c>
      <c r="I37" s="50">
        <v>8</v>
      </c>
      <c r="J37" s="50">
        <v>1</v>
      </c>
      <c r="K37" s="50">
        <v>0</v>
      </c>
      <c r="L37" s="50">
        <v>2</v>
      </c>
      <c r="M37" s="50">
        <v>124</v>
      </c>
      <c r="N37" s="50">
        <v>0</v>
      </c>
      <c r="O37" s="15">
        <f t="shared" si="0"/>
        <v>74</v>
      </c>
      <c r="P37" s="15">
        <f t="shared" si="1"/>
        <v>198</v>
      </c>
      <c r="R37" s="37" t="s">
        <v>85</v>
      </c>
      <c r="S37" s="35">
        <f t="shared" ref="S37:AF37" si="29">SUM(S10:S12)</f>
        <v>1483</v>
      </c>
      <c r="T37" s="16">
        <f t="shared" si="29"/>
        <v>178</v>
      </c>
      <c r="U37" s="16">
        <f t="shared" si="29"/>
        <v>148</v>
      </c>
      <c r="V37" s="16">
        <f t="shared" si="29"/>
        <v>425</v>
      </c>
      <c r="W37" s="16">
        <f t="shared" si="29"/>
        <v>8</v>
      </c>
      <c r="X37" s="16">
        <f t="shared" si="29"/>
        <v>2</v>
      </c>
      <c r="Y37" s="16">
        <f t="shared" si="29"/>
        <v>73</v>
      </c>
      <c r="Z37" s="16">
        <f t="shared" si="29"/>
        <v>3</v>
      </c>
      <c r="AA37" s="16">
        <f t="shared" si="29"/>
        <v>4</v>
      </c>
      <c r="AB37" s="16">
        <f t="shared" si="29"/>
        <v>4</v>
      </c>
      <c r="AC37" s="16">
        <f t="shared" si="29"/>
        <v>2624</v>
      </c>
      <c r="AD37" s="16">
        <f t="shared" si="29"/>
        <v>0</v>
      </c>
      <c r="AE37" s="32">
        <f t="shared" si="29"/>
        <v>2328</v>
      </c>
      <c r="AF37" s="32">
        <f t="shared" si="29"/>
        <v>4952</v>
      </c>
    </row>
    <row r="38" spans="2:32" ht="23.1" customHeight="1" x14ac:dyDescent="0.25">
      <c r="B38" s="46" t="s">
        <v>65</v>
      </c>
      <c r="C38" s="50">
        <v>43</v>
      </c>
      <c r="D38" s="50">
        <v>5</v>
      </c>
      <c r="E38" s="50">
        <v>5</v>
      </c>
      <c r="F38" s="50">
        <v>20</v>
      </c>
      <c r="G38" s="50">
        <v>0</v>
      </c>
      <c r="H38" s="50">
        <v>0</v>
      </c>
      <c r="I38" s="50">
        <v>5</v>
      </c>
      <c r="J38" s="50">
        <v>0</v>
      </c>
      <c r="K38" s="50">
        <v>0</v>
      </c>
      <c r="L38" s="50">
        <v>1</v>
      </c>
      <c r="M38" s="50">
        <v>155</v>
      </c>
      <c r="N38" s="50">
        <v>0</v>
      </c>
      <c r="O38" s="15">
        <f t="shared" si="0"/>
        <v>79</v>
      </c>
      <c r="P38" s="15">
        <f t="shared" si="1"/>
        <v>234</v>
      </c>
      <c r="R38" s="28" t="s">
        <v>86</v>
      </c>
      <c r="S38" s="16">
        <f t="shared" ref="S38:AF38" si="30">SUM(S13:S18)</f>
        <v>1217</v>
      </c>
      <c r="T38" s="16">
        <f t="shared" si="30"/>
        <v>192</v>
      </c>
      <c r="U38" s="16">
        <f t="shared" si="30"/>
        <v>181</v>
      </c>
      <c r="V38" s="16">
        <f t="shared" si="30"/>
        <v>485</v>
      </c>
      <c r="W38" s="16">
        <f t="shared" si="30"/>
        <v>7</v>
      </c>
      <c r="X38" s="16">
        <f t="shared" si="30"/>
        <v>5</v>
      </c>
      <c r="Y38" s="16">
        <f t="shared" si="30"/>
        <v>151</v>
      </c>
      <c r="Z38" s="16">
        <f t="shared" si="30"/>
        <v>30</v>
      </c>
      <c r="AA38" s="16">
        <f t="shared" si="30"/>
        <v>14</v>
      </c>
      <c r="AB38" s="16">
        <f t="shared" si="30"/>
        <v>21</v>
      </c>
      <c r="AC38" s="16">
        <f t="shared" si="30"/>
        <v>3794</v>
      </c>
      <c r="AD38" s="16">
        <f t="shared" si="30"/>
        <v>0</v>
      </c>
      <c r="AE38" s="32">
        <f t="shared" si="30"/>
        <v>2303</v>
      </c>
      <c r="AF38" s="32">
        <f t="shared" si="30"/>
        <v>6097</v>
      </c>
    </row>
    <row r="39" spans="2:32" ht="23.1" customHeight="1" x14ac:dyDescent="0.25">
      <c r="B39" s="46" t="s">
        <v>66</v>
      </c>
      <c r="C39" s="50">
        <v>56</v>
      </c>
      <c r="D39" s="50">
        <v>2</v>
      </c>
      <c r="E39" s="50">
        <v>9</v>
      </c>
      <c r="F39" s="50">
        <v>20</v>
      </c>
      <c r="G39" s="50">
        <v>0</v>
      </c>
      <c r="H39" s="50">
        <v>0</v>
      </c>
      <c r="I39" s="50">
        <v>4</v>
      </c>
      <c r="J39" s="50">
        <v>1</v>
      </c>
      <c r="K39" s="50">
        <v>0</v>
      </c>
      <c r="L39" s="50">
        <v>0</v>
      </c>
      <c r="M39" s="50">
        <v>147</v>
      </c>
      <c r="N39" s="50">
        <v>0</v>
      </c>
      <c r="O39" s="15">
        <f t="shared" si="0"/>
        <v>92</v>
      </c>
      <c r="P39" s="15">
        <f t="shared" si="1"/>
        <v>239</v>
      </c>
      <c r="R39" s="29" t="s">
        <v>87</v>
      </c>
      <c r="S39" s="16">
        <f t="shared" ref="S39:AF39" si="31">SUM(S19:S21)</f>
        <v>559</v>
      </c>
      <c r="T39" s="16">
        <f t="shared" si="31"/>
        <v>86</v>
      </c>
      <c r="U39" s="16">
        <f t="shared" si="31"/>
        <v>85</v>
      </c>
      <c r="V39" s="16">
        <f t="shared" si="31"/>
        <v>324</v>
      </c>
      <c r="W39" s="16">
        <f t="shared" si="31"/>
        <v>15</v>
      </c>
      <c r="X39" s="16">
        <f t="shared" si="31"/>
        <v>1</v>
      </c>
      <c r="Y39" s="16">
        <f t="shared" si="31"/>
        <v>62</v>
      </c>
      <c r="Z39" s="16">
        <f t="shared" si="31"/>
        <v>18</v>
      </c>
      <c r="AA39" s="16">
        <f t="shared" si="31"/>
        <v>8</v>
      </c>
      <c r="AB39" s="16">
        <f t="shared" si="31"/>
        <v>1</v>
      </c>
      <c r="AC39" s="16">
        <f t="shared" si="31"/>
        <v>2610</v>
      </c>
      <c r="AD39" s="16">
        <f t="shared" si="31"/>
        <v>0</v>
      </c>
      <c r="AE39" s="32">
        <f t="shared" si="31"/>
        <v>1159</v>
      </c>
      <c r="AF39" s="32">
        <f t="shared" si="31"/>
        <v>3769</v>
      </c>
    </row>
    <row r="40" spans="2:32" ht="23.1" customHeight="1" x14ac:dyDescent="0.25">
      <c r="B40" s="46" t="s">
        <v>67</v>
      </c>
      <c r="C40" s="50">
        <v>60</v>
      </c>
      <c r="D40" s="50">
        <v>5</v>
      </c>
      <c r="E40" s="50">
        <v>7</v>
      </c>
      <c r="F40" s="50">
        <v>22</v>
      </c>
      <c r="G40" s="50">
        <v>0</v>
      </c>
      <c r="H40" s="50">
        <v>1</v>
      </c>
      <c r="I40" s="50">
        <v>7</v>
      </c>
      <c r="J40" s="50">
        <v>1</v>
      </c>
      <c r="K40" s="50">
        <v>1</v>
      </c>
      <c r="L40" s="50">
        <v>0</v>
      </c>
      <c r="M40" s="50">
        <v>153</v>
      </c>
      <c r="N40" s="50">
        <v>0</v>
      </c>
      <c r="O40" s="15">
        <f t="shared" si="0"/>
        <v>104</v>
      </c>
      <c r="P40" s="15">
        <f t="shared" si="1"/>
        <v>257</v>
      </c>
      <c r="R40" s="5" t="s">
        <v>17</v>
      </c>
      <c r="S40" s="16">
        <f t="shared" ref="S40:AF40" si="32">SUM(S10:S21)</f>
        <v>3259</v>
      </c>
      <c r="T40" s="16">
        <f t="shared" si="32"/>
        <v>456</v>
      </c>
      <c r="U40" s="16">
        <f t="shared" si="32"/>
        <v>414</v>
      </c>
      <c r="V40" s="16">
        <f t="shared" si="32"/>
        <v>1234</v>
      </c>
      <c r="W40" s="16">
        <f t="shared" si="32"/>
        <v>30</v>
      </c>
      <c r="X40" s="16">
        <f t="shared" si="32"/>
        <v>8</v>
      </c>
      <c r="Y40" s="16">
        <f t="shared" si="32"/>
        <v>286</v>
      </c>
      <c r="Z40" s="16">
        <f t="shared" si="32"/>
        <v>51</v>
      </c>
      <c r="AA40" s="16">
        <f t="shared" si="32"/>
        <v>26</v>
      </c>
      <c r="AB40" s="16">
        <f t="shared" si="32"/>
        <v>26</v>
      </c>
      <c r="AC40" s="16">
        <f t="shared" si="32"/>
        <v>9028</v>
      </c>
      <c r="AD40" s="16">
        <f t="shared" si="32"/>
        <v>0</v>
      </c>
      <c r="AE40" s="32">
        <f t="shared" si="32"/>
        <v>5790</v>
      </c>
      <c r="AF40" s="32">
        <f t="shared" si="32"/>
        <v>14818</v>
      </c>
    </row>
    <row r="41" spans="2:32" ht="23.1" customHeight="1" x14ac:dyDescent="0.25">
      <c r="B41" s="45" t="s">
        <v>68</v>
      </c>
      <c r="C41" s="50">
        <v>46</v>
      </c>
      <c r="D41" s="50">
        <v>10</v>
      </c>
      <c r="E41" s="50">
        <v>7</v>
      </c>
      <c r="F41" s="50">
        <v>19</v>
      </c>
      <c r="G41" s="50">
        <v>0</v>
      </c>
      <c r="H41" s="50">
        <v>0</v>
      </c>
      <c r="I41" s="50">
        <v>8</v>
      </c>
      <c r="J41" s="50">
        <v>1</v>
      </c>
      <c r="K41" s="50">
        <v>0</v>
      </c>
      <c r="L41" s="50">
        <v>1</v>
      </c>
      <c r="M41" s="50">
        <v>161</v>
      </c>
      <c r="N41" s="50">
        <v>0</v>
      </c>
      <c r="O41" s="15">
        <f t="shared" si="0"/>
        <v>92</v>
      </c>
      <c r="P41" s="15">
        <f t="shared" si="1"/>
        <v>253</v>
      </c>
      <c r="R41" s="5" t="s">
        <v>159</v>
      </c>
      <c r="S41" s="16">
        <f>SUM(S10:S33)</f>
        <v>4352</v>
      </c>
      <c r="T41" s="16">
        <f t="shared" ref="T41:AF41" si="33">SUM(T10:T33)</f>
        <v>557</v>
      </c>
      <c r="U41" s="16">
        <f t="shared" si="33"/>
        <v>529</v>
      </c>
      <c r="V41" s="16">
        <f t="shared" si="33"/>
        <v>2175</v>
      </c>
      <c r="W41" s="16">
        <f t="shared" si="33"/>
        <v>55</v>
      </c>
      <c r="X41" s="16">
        <f t="shared" si="33"/>
        <v>11</v>
      </c>
      <c r="Y41" s="16">
        <f t="shared" si="33"/>
        <v>363</v>
      </c>
      <c r="Z41" s="16">
        <f t="shared" si="33"/>
        <v>63</v>
      </c>
      <c r="AA41" s="16">
        <f t="shared" si="33"/>
        <v>29</v>
      </c>
      <c r="AB41" s="16">
        <f t="shared" si="33"/>
        <v>30</v>
      </c>
      <c r="AC41" s="16">
        <f t="shared" si="33"/>
        <v>14535</v>
      </c>
      <c r="AD41" s="16">
        <f t="shared" si="33"/>
        <v>0</v>
      </c>
      <c r="AE41" s="32">
        <f t="shared" si="33"/>
        <v>8164</v>
      </c>
      <c r="AF41" s="32">
        <f t="shared" si="33"/>
        <v>22699</v>
      </c>
    </row>
    <row r="42" spans="2:32" ht="23.1" customHeight="1" x14ac:dyDescent="0.25">
      <c r="B42" s="46" t="s">
        <v>69</v>
      </c>
      <c r="C42" s="50">
        <v>41</v>
      </c>
      <c r="D42" s="50">
        <v>3</v>
      </c>
      <c r="E42" s="50">
        <v>2</v>
      </c>
      <c r="F42" s="50">
        <v>18</v>
      </c>
      <c r="G42" s="50">
        <v>0</v>
      </c>
      <c r="H42" s="50">
        <v>2</v>
      </c>
      <c r="I42" s="50">
        <v>7</v>
      </c>
      <c r="J42" s="50">
        <v>0</v>
      </c>
      <c r="K42" s="50">
        <v>2</v>
      </c>
      <c r="L42" s="50">
        <v>0</v>
      </c>
      <c r="M42" s="50">
        <v>150</v>
      </c>
      <c r="N42" s="50">
        <v>0</v>
      </c>
      <c r="O42" s="15">
        <f t="shared" si="0"/>
        <v>75</v>
      </c>
      <c r="P42" s="15">
        <f t="shared" si="1"/>
        <v>225</v>
      </c>
      <c r="R42" s="5" t="s">
        <v>160</v>
      </c>
      <c r="S42" s="48">
        <f>S41/S40</f>
        <v>1.3353789505983431</v>
      </c>
      <c r="T42" s="48">
        <f t="shared" ref="T42:AF42" si="34">T41/T40</f>
        <v>1.2214912280701755</v>
      </c>
      <c r="U42" s="48">
        <f t="shared" si="34"/>
        <v>1.2777777777777777</v>
      </c>
      <c r="V42" s="48">
        <f t="shared" si="34"/>
        <v>1.7625607779578607</v>
      </c>
      <c r="W42" s="48">
        <f t="shared" si="34"/>
        <v>1.8333333333333333</v>
      </c>
      <c r="X42" s="48">
        <f t="shared" si="34"/>
        <v>1.375</v>
      </c>
      <c r="Y42" s="48">
        <f t="shared" si="34"/>
        <v>1.2692307692307692</v>
      </c>
      <c r="Z42" s="48">
        <f t="shared" si="34"/>
        <v>1.2352941176470589</v>
      </c>
      <c r="AA42" s="48">
        <f t="shared" si="34"/>
        <v>1.1153846153846154</v>
      </c>
      <c r="AB42" s="48">
        <f t="shared" si="34"/>
        <v>1.1538461538461537</v>
      </c>
      <c r="AC42" s="48">
        <f t="shared" si="34"/>
        <v>1.6099911386796633</v>
      </c>
      <c r="AD42" s="48" t="e">
        <f t="shared" si="34"/>
        <v>#DIV/0!</v>
      </c>
      <c r="AE42" s="48">
        <f t="shared" si="34"/>
        <v>1.4100172711571675</v>
      </c>
      <c r="AF42" s="48">
        <f t="shared" si="34"/>
        <v>1.5318531515724119</v>
      </c>
    </row>
    <row r="43" spans="2:32" ht="23.1" customHeight="1" x14ac:dyDescent="0.25">
      <c r="B43" s="45" t="s">
        <v>70</v>
      </c>
      <c r="C43" s="50">
        <v>52</v>
      </c>
      <c r="D43" s="50">
        <v>6</v>
      </c>
      <c r="E43" s="50">
        <v>5</v>
      </c>
      <c r="F43" s="50">
        <v>20</v>
      </c>
      <c r="G43" s="50">
        <v>0</v>
      </c>
      <c r="H43" s="50">
        <v>0</v>
      </c>
      <c r="I43" s="50">
        <v>3</v>
      </c>
      <c r="J43" s="50">
        <v>4</v>
      </c>
      <c r="K43" s="50">
        <v>0</v>
      </c>
      <c r="L43" s="50">
        <v>1</v>
      </c>
      <c r="M43" s="50">
        <v>161</v>
      </c>
      <c r="N43" s="50">
        <v>0</v>
      </c>
      <c r="O43" s="15">
        <f t="shared" si="0"/>
        <v>91</v>
      </c>
      <c r="P43" s="15">
        <f t="shared" si="1"/>
        <v>252</v>
      </c>
    </row>
    <row r="44" spans="2:32" ht="23.1" customHeight="1" x14ac:dyDescent="0.25">
      <c r="B44" s="47" t="s">
        <v>71</v>
      </c>
      <c r="C44" s="50">
        <v>42</v>
      </c>
      <c r="D44" s="50">
        <v>6</v>
      </c>
      <c r="E44" s="50">
        <v>16</v>
      </c>
      <c r="F44" s="50">
        <v>17</v>
      </c>
      <c r="G44" s="50">
        <v>0</v>
      </c>
      <c r="H44" s="50">
        <v>0</v>
      </c>
      <c r="I44" s="50">
        <v>5</v>
      </c>
      <c r="J44" s="50">
        <v>4</v>
      </c>
      <c r="K44" s="50">
        <v>0</v>
      </c>
      <c r="L44" s="50">
        <v>0</v>
      </c>
      <c r="M44" s="50">
        <v>80</v>
      </c>
      <c r="N44" s="50">
        <v>0</v>
      </c>
      <c r="O44" s="15">
        <f t="shared" si="0"/>
        <v>90</v>
      </c>
      <c r="P44" s="15">
        <f t="shared" si="1"/>
        <v>170</v>
      </c>
    </row>
    <row r="45" spans="2:32" ht="23.1" customHeight="1" x14ac:dyDescent="0.25">
      <c r="B45" s="45" t="s">
        <v>72</v>
      </c>
      <c r="C45" s="50">
        <v>53</v>
      </c>
      <c r="D45" s="50">
        <v>5</v>
      </c>
      <c r="E45" s="50">
        <v>8</v>
      </c>
      <c r="F45" s="50">
        <v>16</v>
      </c>
      <c r="G45" s="50">
        <v>0</v>
      </c>
      <c r="H45" s="50">
        <v>0</v>
      </c>
      <c r="I45" s="50">
        <v>5</v>
      </c>
      <c r="J45" s="50">
        <v>1</v>
      </c>
      <c r="K45" s="50">
        <v>0</v>
      </c>
      <c r="L45" s="50">
        <v>1</v>
      </c>
      <c r="M45" s="50">
        <v>5</v>
      </c>
      <c r="N45" s="50">
        <v>0</v>
      </c>
      <c r="O45" s="15">
        <f t="shared" si="0"/>
        <v>89</v>
      </c>
      <c r="P45" s="15">
        <f t="shared" si="1"/>
        <v>94</v>
      </c>
    </row>
    <row r="46" spans="2:32" ht="23.1" customHeight="1" x14ac:dyDescent="0.25">
      <c r="B46" s="46" t="s">
        <v>73</v>
      </c>
      <c r="C46" s="50">
        <v>35</v>
      </c>
      <c r="D46" s="50">
        <v>7</v>
      </c>
      <c r="E46" s="50">
        <v>3</v>
      </c>
      <c r="F46" s="50">
        <v>7</v>
      </c>
      <c r="G46" s="50">
        <v>0</v>
      </c>
      <c r="H46" s="50">
        <v>0</v>
      </c>
      <c r="I46" s="50">
        <v>4</v>
      </c>
      <c r="J46" s="50">
        <v>1</v>
      </c>
      <c r="K46" s="50">
        <v>0</v>
      </c>
      <c r="L46" s="50">
        <v>0</v>
      </c>
      <c r="M46" s="50">
        <v>125</v>
      </c>
      <c r="N46" s="50">
        <v>0</v>
      </c>
      <c r="O46" s="15">
        <f t="shared" si="0"/>
        <v>57</v>
      </c>
      <c r="P46" s="15">
        <f t="shared" si="1"/>
        <v>182</v>
      </c>
      <c r="R46" s="8"/>
      <c r="T46"/>
    </row>
    <row r="47" spans="2:32" ht="23.1" customHeight="1" x14ac:dyDescent="0.25">
      <c r="B47" s="46" t="s">
        <v>74</v>
      </c>
      <c r="C47" s="50">
        <v>58</v>
      </c>
      <c r="D47" s="50">
        <v>8</v>
      </c>
      <c r="E47" s="50">
        <v>7</v>
      </c>
      <c r="F47" s="50">
        <v>12</v>
      </c>
      <c r="G47" s="50">
        <v>1</v>
      </c>
      <c r="H47" s="50">
        <v>0</v>
      </c>
      <c r="I47" s="50">
        <v>6</v>
      </c>
      <c r="J47" s="50">
        <v>1</v>
      </c>
      <c r="K47" s="50">
        <v>0</v>
      </c>
      <c r="L47" s="50">
        <v>0</v>
      </c>
      <c r="M47" s="50">
        <v>180</v>
      </c>
      <c r="N47" s="50">
        <v>0</v>
      </c>
      <c r="O47" s="15">
        <f t="shared" si="0"/>
        <v>93</v>
      </c>
      <c r="P47" s="15">
        <f t="shared" si="1"/>
        <v>273</v>
      </c>
      <c r="R47" s="8"/>
      <c r="T47"/>
    </row>
    <row r="48" spans="2:32" ht="23.1" customHeight="1" x14ac:dyDescent="0.25">
      <c r="B48" s="46" t="s">
        <v>75</v>
      </c>
      <c r="C48" s="50">
        <v>37</v>
      </c>
      <c r="D48" s="50">
        <v>7</v>
      </c>
      <c r="E48" s="50">
        <v>11</v>
      </c>
      <c r="F48" s="50">
        <v>49</v>
      </c>
      <c r="G48" s="50">
        <v>0</v>
      </c>
      <c r="H48" s="50">
        <v>0</v>
      </c>
      <c r="I48" s="50">
        <v>6</v>
      </c>
      <c r="J48" s="50">
        <v>1</v>
      </c>
      <c r="K48" s="50">
        <v>0</v>
      </c>
      <c r="L48" s="50">
        <v>0</v>
      </c>
      <c r="M48" s="50">
        <v>215</v>
      </c>
      <c r="N48" s="50">
        <v>0</v>
      </c>
      <c r="O48" s="15">
        <f t="shared" si="0"/>
        <v>111</v>
      </c>
      <c r="P48" s="15">
        <f t="shared" si="1"/>
        <v>326</v>
      </c>
      <c r="R48" s="8"/>
      <c r="T48"/>
    </row>
    <row r="49" spans="2:20" ht="23.1" customHeight="1" x14ac:dyDescent="0.25">
      <c r="B49" s="45" t="s">
        <v>76</v>
      </c>
      <c r="C49" s="50">
        <v>51</v>
      </c>
      <c r="D49" s="50">
        <v>7</v>
      </c>
      <c r="E49" s="50">
        <v>6</v>
      </c>
      <c r="F49" s="50">
        <v>17</v>
      </c>
      <c r="G49" s="50">
        <v>0</v>
      </c>
      <c r="H49" s="50">
        <v>0</v>
      </c>
      <c r="I49" s="50">
        <v>4</v>
      </c>
      <c r="J49" s="50">
        <v>2</v>
      </c>
      <c r="K49" s="50">
        <v>0</v>
      </c>
      <c r="L49" s="50">
        <v>0</v>
      </c>
      <c r="M49" s="50">
        <v>220</v>
      </c>
      <c r="N49" s="50">
        <v>0</v>
      </c>
      <c r="O49" s="15">
        <f t="shared" si="0"/>
        <v>87</v>
      </c>
      <c r="P49" s="15">
        <f t="shared" si="1"/>
        <v>307</v>
      </c>
      <c r="R49" s="8"/>
      <c r="T49"/>
    </row>
    <row r="50" spans="2:20" ht="23.1" customHeight="1" x14ac:dyDescent="0.25">
      <c r="B50" s="46" t="s">
        <v>77</v>
      </c>
      <c r="C50" s="50">
        <v>50</v>
      </c>
      <c r="D50" s="50">
        <v>10</v>
      </c>
      <c r="E50" s="50">
        <v>8</v>
      </c>
      <c r="F50" s="50">
        <v>18</v>
      </c>
      <c r="G50" s="50">
        <v>0</v>
      </c>
      <c r="H50" s="50">
        <v>0</v>
      </c>
      <c r="I50" s="50">
        <v>5</v>
      </c>
      <c r="J50" s="50">
        <v>2</v>
      </c>
      <c r="K50" s="50">
        <v>0</v>
      </c>
      <c r="L50" s="50">
        <v>0</v>
      </c>
      <c r="M50" s="50">
        <v>169</v>
      </c>
      <c r="N50" s="50">
        <v>0</v>
      </c>
      <c r="O50" s="15">
        <f t="shared" si="0"/>
        <v>93</v>
      </c>
      <c r="P50" s="15">
        <f t="shared" si="1"/>
        <v>262</v>
      </c>
      <c r="R50" s="8"/>
      <c r="T50"/>
    </row>
    <row r="51" spans="2:20" ht="23.1" customHeight="1" x14ac:dyDescent="0.25">
      <c r="B51" s="46" t="s">
        <v>78</v>
      </c>
      <c r="C51" s="50">
        <v>50</v>
      </c>
      <c r="D51" s="50">
        <v>5</v>
      </c>
      <c r="E51" s="50">
        <v>3</v>
      </c>
      <c r="F51" s="50">
        <v>26</v>
      </c>
      <c r="G51" s="50">
        <v>0</v>
      </c>
      <c r="H51" s="50">
        <v>0</v>
      </c>
      <c r="I51" s="50">
        <v>6</v>
      </c>
      <c r="J51" s="50">
        <v>2</v>
      </c>
      <c r="K51" s="50">
        <v>0</v>
      </c>
      <c r="L51" s="50">
        <v>0</v>
      </c>
      <c r="M51" s="50">
        <v>209</v>
      </c>
      <c r="N51" s="50">
        <v>0</v>
      </c>
      <c r="O51" s="15">
        <f t="shared" si="0"/>
        <v>92</v>
      </c>
      <c r="P51" s="15">
        <f t="shared" si="1"/>
        <v>301</v>
      </c>
      <c r="R51" s="8"/>
      <c r="T51"/>
    </row>
    <row r="52" spans="2:20" ht="23.1" customHeight="1" x14ac:dyDescent="0.25">
      <c r="B52" s="46" t="s">
        <v>79</v>
      </c>
      <c r="C52" s="50">
        <v>40</v>
      </c>
      <c r="D52" s="50">
        <v>5</v>
      </c>
      <c r="E52" s="50">
        <v>4</v>
      </c>
      <c r="F52" s="50">
        <v>25</v>
      </c>
      <c r="G52" s="50">
        <v>5</v>
      </c>
      <c r="H52" s="50">
        <v>0</v>
      </c>
      <c r="I52" s="50">
        <v>5</v>
      </c>
      <c r="J52" s="50">
        <v>1</v>
      </c>
      <c r="K52" s="50">
        <v>0</v>
      </c>
      <c r="L52" s="50">
        <v>1</v>
      </c>
      <c r="M52" s="50">
        <v>240</v>
      </c>
      <c r="N52" s="50">
        <v>0</v>
      </c>
      <c r="O52" s="15">
        <f t="shared" si="0"/>
        <v>86</v>
      </c>
      <c r="P52" s="15">
        <f t="shared" si="1"/>
        <v>326</v>
      </c>
      <c r="R52" s="8"/>
      <c r="T52"/>
    </row>
    <row r="53" spans="2:20" ht="23.1" customHeight="1" x14ac:dyDescent="0.25">
      <c r="B53" s="45" t="s">
        <v>80</v>
      </c>
      <c r="C53" s="50">
        <v>39</v>
      </c>
      <c r="D53" s="50">
        <v>3</v>
      </c>
      <c r="E53" s="50">
        <v>10</v>
      </c>
      <c r="F53" s="50">
        <v>24</v>
      </c>
      <c r="G53" s="50">
        <v>0</v>
      </c>
      <c r="H53" s="50">
        <v>0</v>
      </c>
      <c r="I53" s="50">
        <v>2</v>
      </c>
      <c r="J53" s="50">
        <v>4</v>
      </c>
      <c r="K53" s="50">
        <v>1</v>
      </c>
      <c r="L53" s="50">
        <v>0</v>
      </c>
      <c r="M53" s="50">
        <v>215</v>
      </c>
      <c r="N53" s="50">
        <v>0</v>
      </c>
      <c r="O53" s="15">
        <f t="shared" si="0"/>
        <v>83</v>
      </c>
      <c r="P53" s="15">
        <f t="shared" si="1"/>
        <v>298</v>
      </c>
      <c r="R53" s="8"/>
      <c r="T53"/>
    </row>
    <row r="54" spans="2:20" ht="23.1" customHeight="1" x14ac:dyDescent="0.25">
      <c r="B54" s="45" t="s">
        <v>81</v>
      </c>
      <c r="C54" s="50">
        <v>43</v>
      </c>
      <c r="D54" s="50">
        <v>8</v>
      </c>
      <c r="E54" s="50">
        <v>6</v>
      </c>
      <c r="F54" s="50">
        <v>25</v>
      </c>
      <c r="G54" s="50">
        <v>1</v>
      </c>
      <c r="H54" s="50">
        <v>0</v>
      </c>
      <c r="I54" s="50">
        <v>10</v>
      </c>
      <c r="J54" s="50">
        <v>2</v>
      </c>
      <c r="K54" s="50">
        <v>2</v>
      </c>
      <c r="L54" s="50">
        <v>0</v>
      </c>
      <c r="M54" s="50">
        <v>263</v>
      </c>
      <c r="N54" s="50">
        <v>0</v>
      </c>
      <c r="O54" s="15">
        <f t="shared" si="0"/>
        <v>97</v>
      </c>
      <c r="P54" s="15">
        <f t="shared" si="1"/>
        <v>360</v>
      </c>
      <c r="R54" s="8"/>
      <c r="T54"/>
    </row>
    <row r="55" spans="2:20" ht="23.1" customHeight="1" x14ac:dyDescent="0.25">
      <c r="B55" s="45" t="s">
        <v>82</v>
      </c>
      <c r="C55" s="50">
        <v>43</v>
      </c>
      <c r="D55" s="50">
        <v>10</v>
      </c>
      <c r="E55" s="50">
        <v>3</v>
      </c>
      <c r="F55" s="50">
        <v>25</v>
      </c>
      <c r="G55" s="50">
        <v>2</v>
      </c>
      <c r="H55" s="50">
        <v>0</v>
      </c>
      <c r="I55" s="50">
        <v>4</v>
      </c>
      <c r="J55" s="50">
        <v>1</v>
      </c>
      <c r="K55" s="50">
        <v>1</v>
      </c>
      <c r="L55" s="50">
        <v>0</v>
      </c>
      <c r="M55" s="50">
        <v>275</v>
      </c>
      <c r="N55" s="50">
        <v>0</v>
      </c>
      <c r="O55" s="15">
        <f t="shared" si="0"/>
        <v>89</v>
      </c>
      <c r="P55" s="15">
        <f t="shared" si="1"/>
        <v>364</v>
      </c>
      <c r="R55" s="8"/>
      <c r="T55"/>
    </row>
    <row r="56" spans="2:20" ht="23.1" customHeight="1" x14ac:dyDescent="0.25">
      <c r="B56" s="45" t="s">
        <v>83</v>
      </c>
      <c r="C56" s="50">
        <v>60</v>
      </c>
      <c r="D56" s="50">
        <v>11</v>
      </c>
      <c r="E56" s="50">
        <v>10</v>
      </c>
      <c r="F56" s="50">
        <v>44</v>
      </c>
      <c r="G56" s="50">
        <v>3</v>
      </c>
      <c r="H56" s="50">
        <v>0</v>
      </c>
      <c r="I56" s="50">
        <v>3</v>
      </c>
      <c r="J56" s="50">
        <v>1</v>
      </c>
      <c r="K56" s="50">
        <v>2</v>
      </c>
      <c r="L56" s="50">
        <v>0</v>
      </c>
      <c r="M56" s="50">
        <v>254</v>
      </c>
      <c r="N56" s="50">
        <v>0</v>
      </c>
      <c r="O56" s="15">
        <f t="shared" si="0"/>
        <v>134</v>
      </c>
      <c r="P56" s="15">
        <f t="shared" si="1"/>
        <v>388</v>
      </c>
      <c r="R56" s="8"/>
      <c r="T56"/>
    </row>
    <row r="57" spans="2:20" ht="23.1" customHeight="1" x14ac:dyDescent="0.25">
      <c r="B57" s="45" t="s">
        <v>84</v>
      </c>
      <c r="C57" s="50">
        <v>53</v>
      </c>
      <c r="D57" s="50">
        <v>5</v>
      </c>
      <c r="E57" s="50">
        <v>14</v>
      </c>
      <c r="F57" s="50">
        <v>52</v>
      </c>
      <c r="G57" s="50">
        <v>3</v>
      </c>
      <c r="H57" s="50">
        <v>1</v>
      </c>
      <c r="I57" s="50">
        <v>7</v>
      </c>
      <c r="J57" s="50">
        <v>0</v>
      </c>
      <c r="K57" s="50">
        <v>2</v>
      </c>
      <c r="L57" s="50">
        <v>0</v>
      </c>
      <c r="M57" s="50">
        <v>245</v>
      </c>
      <c r="N57" s="50">
        <v>0</v>
      </c>
      <c r="O57" s="15">
        <f t="shared" si="0"/>
        <v>137</v>
      </c>
      <c r="P57" s="15">
        <f t="shared" si="1"/>
        <v>382</v>
      </c>
      <c r="R57" s="8"/>
      <c r="T57"/>
    </row>
    <row r="58" spans="2:20" ht="23.1" customHeight="1" x14ac:dyDescent="0.25">
      <c r="B58" s="45" t="s">
        <v>99</v>
      </c>
      <c r="C58" s="50">
        <v>46</v>
      </c>
      <c r="D58" s="50">
        <v>2</v>
      </c>
      <c r="E58" s="50">
        <v>9</v>
      </c>
      <c r="F58" s="50">
        <v>45</v>
      </c>
      <c r="G58" s="50">
        <v>1</v>
      </c>
      <c r="H58" s="50">
        <v>0</v>
      </c>
      <c r="I58" s="50">
        <v>2</v>
      </c>
      <c r="J58" s="50">
        <v>0</v>
      </c>
      <c r="K58" s="50">
        <v>0</v>
      </c>
      <c r="L58" s="50">
        <v>1</v>
      </c>
      <c r="M58" s="50">
        <v>250</v>
      </c>
      <c r="N58" s="50">
        <v>0</v>
      </c>
      <c r="O58" s="15">
        <f t="shared" ref="O58:O105" si="35">SUM(C58:L58,N58)</f>
        <v>106</v>
      </c>
      <c r="P58" s="15">
        <f t="shared" ref="P58:P105" si="36">SUM(C58:N58)</f>
        <v>356</v>
      </c>
      <c r="R58" s="8"/>
      <c r="T58"/>
    </row>
    <row r="59" spans="2:20" ht="23.1" customHeight="1" x14ac:dyDescent="0.25">
      <c r="B59" s="45" t="s">
        <v>100</v>
      </c>
      <c r="C59" s="50">
        <v>41</v>
      </c>
      <c r="D59" s="50">
        <v>2</v>
      </c>
      <c r="E59" s="50">
        <v>3</v>
      </c>
      <c r="F59" s="50">
        <v>55</v>
      </c>
      <c r="G59" s="50">
        <v>1</v>
      </c>
      <c r="H59" s="50">
        <v>0</v>
      </c>
      <c r="I59" s="50">
        <v>5</v>
      </c>
      <c r="J59" s="50">
        <v>0</v>
      </c>
      <c r="K59" s="50">
        <v>0</v>
      </c>
      <c r="L59" s="50">
        <v>0</v>
      </c>
      <c r="M59" s="50">
        <v>234</v>
      </c>
      <c r="N59" s="50">
        <v>0</v>
      </c>
      <c r="O59" s="15">
        <f t="shared" si="35"/>
        <v>107</v>
      </c>
      <c r="P59" s="15">
        <f t="shared" si="36"/>
        <v>341</v>
      </c>
      <c r="R59" s="8"/>
      <c r="T59"/>
    </row>
    <row r="60" spans="2:20" ht="23.1" customHeight="1" x14ac:dyDescent="0.25">
      <c r="B60" s="45" t="s">
        <v>101</v>
      </c>
      <c r="C60" s="50">
        <v>50</v>
      </c>
      <c r="D60" s="50">
        <v>4</v>
      </c>
      <c r="E60" s="50">
        <v>4</v>
      </c>
      <c r="F60" s="50">
        <v>29</v>
      </c>
      <c r="G60" s="50">
        <v>2</v>
      </c>
      <c r="H60" s="50">
        <v>1</v>
      </c>
      <c r="I60" s="50">
        <v>1</v>
      </c>
      <c r="J60" s="50">
        <v>0</v>
      </c>
      <c r="K60" s="50">
        <v>0</v>
      </c>
      <c r="L60" s="50">
        <v>0</v>
      </c>
      <c r="M60" s="50">
        <v>215</v>
      </c>
      <c r="N60" s="50">
        <v>0</v>
      </c>
      <c r="O60" s="15">
        <f t="shared" si="35"/>
        <v>91</v>
      </c>
      <c r="P60" s="15">
        <f t="shared" si="36"/>
        <v>306</v>
      </c>
      <c r="R60" s="8"/>
      <c r="T60"/>
    </row>
    <row r="61" spans="2:20" ht="23.1" customHeight="1" x14ac:dyDescent="0.25">
      <c r="B61" s="45" t="s">
        <v>102</v>
      </c>
      <c r="C61" s="50">
        <v>32</v>
      </c>
      <c r="D61" s="50">
        <v>4</v>
      </c>
      <c r="E61" s="50">
        <v>4</v>
      </c>
      <c r="F61" s="50">
        <v>43</v>
      </c>
      <c r="G61" s="50">
        <v>1</v>
      </c>
      <c r="H61" s="50">
        <v>0</v>
      </c>
      <c r="I61" s="50">
        <v>3</v>
      </c>
      <c r="J61" s="50">
        <v>0</v>
      </c>
      <c r="K61" s="50">
        <v>0</v>
      </c>
      <c r="L61" s="50">
        <v>0</v>
      </c>
      <c r="M61" s="50">
        <v>158</v>
      </c>
      <c r="N61" s="50">
        <v>0</v>
      </c>
      <c r="O61" s="15">
        <f t="shared" si="35"/>
        <v>87</v>
      </c>
      <c r="P61" s="15">
        <f t="shared" si="36"/>
        <v>245</v>
      </c>
      <c r="R61" s="8"/>
      <c r="T61"/>
    </row>
    <row r="62" spans="2:20" ht="23.1" customHeight="1" x14ac:dyDescent="0.25">
      <c r="B62" s="45" t="s">
        <v>107</v>
      </c>
      <c r="C62" s="50">
        <v>31</v>
      </c>
      <c r="D62" s="50">
        <v>3</v>
      </c>
      <c r="E62" s="50">
        <v>4</v>
      </c>
      <c r="F62" s="50">
        <v>50</v>
      </c>
      <c r="G62" s="50">
        <v>1</v>
      </c>
      <c r="H62" s="50">
        <v>1</v>
      </c>
      <c r="I62" s="50">
        <v>3</v>
      </c>
      <c r="J62" s="50">
        <v>0</v>
      </c>
      <c r="K62" s="50">
        <v>1</v>
      </c>
      <c r="L62" s="50">
        <v>1</v>
      </c>
      <c r="M62" s="50">
        <v>220</v>
      </c>
      <c r="N62" s="50">
        <v>0</v>
      </c>
      <c r="O62" s="15">
        <f t="shared" si="35"/>
        <v>95</v>
      </c>
      <c r="P62" s="15">
        <f t="shared" si="36"/>
        <v>315</v>
      </c>
      <c r="R62" s="8"/>
      <c r="T62"/>
    </row>
    <row r="63" spans="2:20" ht="23.1" customHeight="1" x14ac:dyDescent="0.25">
      <c r="B63" s="45" t="s">
        <v>108</v>
      </c>
      <c r="C63" s="50">
        <v>30</v>
      </c>
      <c r="D63" s="50">
        <v>2</v>
      </c>
      <c r="E63" s="50">
        <v>4</v>
      </c>
      <c r="F63" s="50">
        <v>35</v>
      </c>
      <c r="G63" s="50">
        <v>0</v>
      </c>
      <c r="H63" s="50">
        <v>0</v>
      </c>
      <c r="I63" s="50">
        <v>1</v>
      </c>
      <c r="J63" s="50">
        <v>3</v>
      </c>
      <c r="K63" s="50">
        <v>0</v>
      </c>
      <c r="L63" s="50">
        <v>0</v>
      </c>
      <c r="M63" s="50">
        <v>234</v>
      </c>
      <c r="N63" s="50">
        <v>0</v>
      </c>
      <c r="O63" s="15">
        <f t="shared" si="35"/>
        <v>75</v>
      </c>
      <c r="P63" s="15">
        <f t="shared" si="36"/>
        <v>309</v>
      </c>
      <c r="R63" s="8"/>
      <c r="T63"/>
    </row>
    <row r="64" spans="2:20" ht="23.1" customHeight="1" x14ac:dyDescent="0.25">
      <c r="B64" s="45" t="s">
        <v>109</v>
      </c>
      <c r="C64" s="50">
        <v>41</v>
      </c>
      <c r="D64" s="50">
        <v>2</v>
      </c>
      <c r="E64" s="50">
        <v>4</v>
      </c>
      <c r="F64" s="50">
        <v>49</v>
      </c>
      <c r="G64" s="50">
        <v>0</v>
      </c>
      <c r="H64" s="50">
        <v>0</v>
      </c>
      <c r="I64" s="50">
        <v>3</v>
      </c>
      <c r="J64" s="50">
        <v>0</v>
      </c>
      <c r="K64" s="50">
        <v>0</v>
      </c>
      <c r="L64" s="50">
        <v>0</v>
      </c>
      <c r="M64" s="50">
        <v>230</v>
      </c>
      <c r="N64" s="50">
        <v>0</v>
      </c>
      <c r="O64" s="15">
        <f t="shared" si="35"/>
        <v>99</v>
      </c>
      <c r="P64" s="15">
        <f t="shared" si="36"/>
        <v>329</v>
      </c>
      <c r="R64" s="8"/>
      <c r="T64"/>
    </row>
    <row r="65" spans="2:20" ht="23.1" customHeight="1" x14ac:dyDescent="0.25">
      <c r="B65" s="45" t="s">
        <v>158</v>
      </c>
      <c r="C65" s="50">
        <v>32</v>
      </c>
      <c r="D65" s="50">
        <v>6</v>
      </c>
      <c r="E65" s="50">
        <v>2</v>
      </c>
      <c r="F65" s="50">
        <v>48</v>
      </c>
      <c r="G65" s="50">
        <v>0</v>
      </c>
      <c r="H65" s="50">
        <v>0</v>
      </c>
      <c r="I65" s="50">
        <v>1</v>
      </c>
      <c r="J65" s="50">
        <v>0</v>
      </c>
      <c r="K65" s="50">
        <v>0</v>
      </c>
      <c r="L65" s="50">
        <v>0</v>
      </c>
      <c r="M65" s="50">
        <v>216</v>
      </c>
      <c r="N65" s="50">
        <v>0</v>
      </c>
      <c r="O65" s="15">
        <f t="shared" si="35"/>
        <v>89</v>
      </c>
      <c r="P65" s="15">
        <f t="shared" si="36"/>
        <v>305</v>
      </c>
      <c r="R65" s="8"/>
      <c r="T65"/>
    </row>
    <row r="66" spans="2:20" ht="23.1" customHeight="1" x14ac:dyDescent="0.25">
      <c r="B66" s="45" t="s">
        <v>103</v>
      </c>
      <c r="C66" s="50">
        <v>34</v>
      </c>
      <c r="D66" s="50">
        <v>8</v>
      </c>
      <c r="E66" s="50">
        <v>3</v>
      </c>
      <c r="F66" s="50">
        <v>17</v>
      </c>
      <c r="G66" s="50">
        <v>10</v>
      </c>
      <c r="H66" s="50">
        <v>0</v>
      </c>
      <c r="I66" s="50">
        <v>3</v>
      </c>
      <c r="J66" s="50">
        <v>0</v>
      </c>
      <c r="K66" s="50">
        <v>0</v>
      </c>
      <c r="L66" s="50">
        <v>0</v>
      </c>
      <c r="M66" s="50">
        <v>175</v>
      </c>
      <c r="N66" s="50">
        <v>0</v>
      </c>
      <c r="O66" s="15">
        <f t="shared" si="35"/>
        <v>75</v>
      </c>
      <c r="P66" s="15">
        <f t="shared" si="36"/>
        <v>250</v>
      </c>
      <c r="R66" s="8"/>
      <c r="T66"/>
    </row>
    <row r="67" spans="2:20" ht="23.1" customHeight="1" x14ac:dyDescent="0.25">
      <c r="B67" s="45" t="s">
        <v>104</v>
      </c>
      <c r="C67" s="50">
        <v>26</v>
      </c>
      <c r="D67" s="50">
        <v>5</v>
      </c>
      <c r="E67" s="50">
        <v>3</v>
      </c>
      <c r="F67" s="50">
        <v>31</v>
      </c>
      <c r="G67" s="50">
        <v>1</v>
      </c>
      <c r="H67" s="50">
        <v>0</v>
      </c>
      <c r="I67" s="50">
        <v>0</v>
      </c>
      <c r="J67" s="50">
        <v>2</v>
      </c>
      <c r="K67" s="50">
        <v>0</v>
      </c>
      <c r="L67" s="50">
        <v>0</v>
      </c>
      <c r="M67" s="50">
        <v>172</v>
      </c>
      <c r="N67" s="50">
        <v>0</v>
      </c>
      <c r="O67" s="15">
        <f t="shared" si="35"/>
        <v>68</v>
      </c>
      <c r="P67" s="15">
        <f t="shared" si="36"/>
        <v>240</v>
      </c>
      <c r="R67" s="8"/>
      <c r="T67"/>
    </row>
    <row r="68" spans="2:20" ht="23.1" customHeight="1" x14ac:dyDescent="0.25">
      <c r="B68" s="45" t="s">
        <v>105</v>
      </c>
      <c r="C68" s="50">
        <v>35</v>
      </c>
      <c r="D68" s="50">
        <v>2</v>
      </c>
      <c r="E68" s="50">
        <v>3</v>
      </c>
      <c r="F68" s="50">
        <v>29</v>
      </c>
      <c r="G68" s="50">
        <v>0</v>
      </c>
      <c r="H68" s="50">
        <v>0</v>
      </c>
      <c r="I68" s="50">
        <v>0</v>
      </c>
      <c r="J68" s="50">
        <v>1</v>
      </c>
      <c r="K68" s="50">
        <v>0</v>
      </c>
      <c r="L68" s="50">
        <v>0</v>
      </c>
      <c r="M68" s="50">
        <v>184</v>
      </c>
      <c r="N68" s="50">
        <v>0</v>
      </c>
      <c r="O68" s="15">
        <f t="shared" si="35"/>
        <v>70</v>
      </c>
      <c r="P68" s="15">
        <f t="shared" si="36"/>
        <v>254</v>
      </c>
      <c r="R68" s="8"/>
      <c r="T68"/>
    </row>
    <row r="69" spans="2:20" ht="23.1" customHeight="1" x14ac:dyDescent="0.25">
      <c r="B69" s="45" t="s">
        <v>106</v>
      </c>
      <c r="C69" s="50">
        <v>20</v>
      </c>
      <c r="D69" s="50">
        <v>1</v>
      </c>
      <c r="E69" s="50">
        <v>2</v>
      </c>
      <c r="F69" s="50">
        <v>27</v>
      </c>
      <c r="G69" s="50">
        <v>0</v>
      </c>
      <c r="H69" s="50">
        <v>0</v>
      </c>
      <c r="I69" s="50">
        <v>1</v>
      </c>
      <c r="J69" s="50">
        <v>0</v>
      </c>
      <c r="K69" s="50">
        <v>0</v>
      </c>
      <c r="L69" s="50">
        <v>0</v>
      </c>
      <c r="M69" s="50">
        <v>163</v>
      </c>
      <c r="N69" s="50">
        <v>0</v>
      </c>
      <c r="O69" s="15">
        <f t="shared" si="35"/>
        <v>51</v>
      </c>
      <c r="P69" s="15">
        <f t="shared" si="36"/>
        <v>214</v>
      </c>
      <c r="R69" s="8"/>
      <c r="T69"/>
    </row>
    <row r="70" spans="2:20" ht="23.1" customHeight="1" x14ac:dyDescent="0.25">
      <c r="B70" s="45" t="s">
        <v>110</v>
      </c>
      <c r="C70" s="50">
        <v>27</v>
      </c>
      <c r="D70" s="50">
        <v>1</v>
      </c>
      <c r="E70" s="50">
        <v>1</v>
      </c>
      <c r="F70" s="50">
        <v>20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152</v>
      </c>
      <c r="N70" s="50">
        <v>0</v>
      </c>
      <c r="O70" s="15">
        <f t="shared" si="35"/>
        <v>49</v>
      </c>
      <c r="P70" s="15">
        <f t="shared" si="36"/>
        <v>201</v>
      </c>
      <c r="R70" s="8"/>
      <c r="T70"/>
    </row>
    <row r="71" spans="2:20" ht="23.1" customHeight="1" x14ac:dyDescent="0.25">
      <c r="B71" s="45" t="s">
        <v>111</v>
      </c>
      <c r="C71" s="50">
        <v>27</v>
      </c>
      <c r="D71" s="50">
        <v>2</v>
      </c>
      <c r="E71" s="50">
        <v>1</v>
      </c>
      <c r="F71" s="50">
        <v>14</v>
      </c>
      <c r="G71" s="50">
        <v>0</v>
      </c>
      <c r="H71" s="50">
        <v>0</v>
      </c>
      <c r="I71" s="50">
        <v>2</v>
      </c>
      <c r="J71" s="50">
        <v>1</v>
      </c>
      <c r="K71" s="50">
        <v>0</v>
      </c>
      <c r="L71" s="50">
        <v>0</v>
      </c>
      <c r="M71" s="50">
        <v>143</v>
      </c>
      <c r="N71" s="50">
        <v>0</v>
      </c>
      <c r="O71" s="15">
        <f t="shared" si="35"/>
        <v>47</v>
      </c>
      <c r="P71" s="15">
        <f t="shared" si="36"/>
        <v>190</v>
      </c>
      <c r="R71" s="8"/>
      <c r="T71"/>
    </row>
    <row r="72" spans="2:20" ht="23.1" customHeight="1" x14ac:dyDescent="0.25">
      <c r="B72" s="45" t="s">
        <v>112</v>
      </c>
      <c r="C72" s="50">
        <v>33</v>
      </c>
      <c r="D72" s="50">
        <v>6</v>
      </c>
      <c r="E72" s="50">
        <v>2</v>
      </c>
      <c r="F72" s="50">
        <v>14</v>
      </c>
      <c r="G72" s="50">
        <v>0</v>
      </c>
      <c r="H72" s="50">
        <v>0</v>
      </c>
      <c r="I72" s="50">
        <v>4</v>
      </c>
      <c r="J72" s="50">
        <v>0</v>
      </c>
      <c r="K72" s="50">
        <v>0</v>
      </c>
      <c r="L72" s="50">
        <v>0</v>
      </c>
      <c r="M72" s="50">
        <v>127</v>
      </c>
      <c r="N72" s="50">
        <v>0</v>
      </c>
      <c r="O72" s="15">
        <f t="shared" si="35"/>
        <v>59</v>
      </c>
      <c r="P72" s="15">
        <f t="shared" si="36"/>
        <v>186</v>
      </c>
      <c r="R72" s="8"/>
      <c r="T72"/>
    </row>
    <row r="73" spans="2:20" ht="23.1" customHeight="1" x14ac:dyDescent="0.25">
      <c r="B73" s="45" t="s">
        <v>113</v>
      </c>
      <c r="C73" s="50">
        <v>40</v>
      </c>
      <c r="D73" s="50">
        <v>4</v>
      </c>
      <c r="E73" s="50">
        <v>8</v>
      </c>
      <c r="F73" s="50">
        <v>10</v>
      </c>
      <c r="G73" s="50">
        <v>0</v>
      </c>
      <c r="H73" s="50">
        <v>0</v>
      </c>
      <c r="I73" s="50">
        <v>2</v>
      </c>
      <c r="J73" s="50">
        <v>0</v>
      </c>
      <c r="K73" s="50">
        <v>0</v>
      </c>
      <c r="L73" s="50">
        <v>0</v>
      </c>
      <c r="M73" s="50">
        <v>151</v>
      </c>
      <c r="N73" s="50">
        <v>0</v>
      </c>
      <c r="O73" s="15">
        <f t="shared" si="35"/>
        <v>64</v>
      </c>
      <c r="P73" s="15">
        <f t="shared" si="36"/>
        <v>215</v>
      </c>
      <c r="R73" s="8"/>
      <c r="T73"/>
    </row>
    <row r="74" spans="2:20" ht="23.1" customHeight="1" x14ac:dyDescent="0.25">
      <c r="B74" s="45" t="s">
        <v>114</v>
      </c>
      <c r="C74" s="50">
        <v>15</v>
      </c>
      <c r="D74" s="50">
        <v>3</v>
      </c>
      <c r="E74" s="50">
        <v>5</v>
      </c>
      <c r="F74" s="50">
        <v>6</v>
      </c>
      <c r="G74" s="50">
        <v>0</v>
      </c>
      <c r="H74" s="50">
        <v>0</v>
      </c>
      <c r="I74" s="50">
        <v>1</v>
      </c>
      <c r="J74" s="50">
        <v>0</v>
      </c>
      <c r="K74" s="50">
        <v>0</v>
      </c>
      <c r="L74" s="50">
        <v>0</v>
      </c>
      <c r="M74" s="50">
        <v>112</v>
      </c>
      <c r="N74" s="50">
        <v>0</v>
      </c>
      <c r="O74" s="15">
        <f t="shared" si="35"/>
        <v>30</v>
      </c>
      <c r="P74" s="15">
        <f t="shared" si="36"/>
        <v>142</v>
      </c>
      <c r="R74" s="8"/>
      <c r="T74"/>
    </row>
    <row r="75" spans="2:20" ht="23.1" customHeight="1" x14ac:dyDescent="0.25">
      <c r="B75" s="45" t="s">
        <v>115</v>
      </c>
      <c r="C75" s="50">
        <v>24</v>
      </c>
      <c r="D75" s="50">
        <v>2</v>
      </c>
      <c r="E75" s="50">
        <v>5</v>
      </c>
      <c r="F75" s="50">
        <v>9</v>
      </c>
      <c r="G75" s="50">
        <v>0</v>
      </c>
      <c r="H75" s="50">
        <v>0</v>
      </c>
      <c r="I75" s="50">
        <v>3</v>
      </c>
      <c r="J75" s="50">
        <v>0</v>
      </c>
      <c r="K75" s="50">
        <v>0</v>
      </c>
      <c r="L75" s="50">
        <v>0</v>
      </c>
      <c r="M75" s="50">
        <v>103</v>
      </c>
      <c r="N75" s="50">
        <v>0</v>
      </c>
      <c r="O75" s="15">
        <f t="shared" si="35"/>
        <v>43</v>
      </c>
      <c r="P75" s="15">
        <f t="shared" si="36"/>
        <v>146</v>
      </c>
      <c r="R75" s="8"/>
      <c r="T75"/>
    </row>
    <row r="76" spans="2:20" ht="23.1" customHeight="1" x14ac:dyDescent="0.25">
      <c r="B76" s="45" t="s">
        <v>116</v>
      </c>
      <c r="C76" s="50">
        <v>19</v>
      </c>
      <c r="D76" s="50">
        <v>1</v>
      </c>
      <c r="E76" s="50">
        <v>0</v>
      </c>
      <c r="F76" s="50">
        <v>3</v>
      </c>
      <c r="G76" s="50">
        <v>0</v>
      </c>
      <c r="H76" s="50">
        <v>0</v>
      </c>
      <c r="I76" s="50">
        <v>1</v>
      </c>
      <c r="J76" s="50">
        <v>1</v>
      </c>
      <c r="K76" s="50">
        <v>0</v>
      </c>
      <c r="L76" s="50">
        <v>0</v>
      </c>
      <c r="M76" s="50">
        <v>131</v>
      </c>
      <c r="N76" s="50">
        <v>0</v>
      </c>
      <c r="O76" s="15">
        <f t="shared" si="35"/>
        <v>25</v>
      </c>
      <c r="P76" s="15">
        <f t="shared" si="36"/>
        <v>156</v>
      </c>
      <c r="R76" s="8"/>
      <c r="T76"/>
    </row>
    <row r="77" spans="2:20" ht="23.1" customHeight="1" x14ac:dyDescent="0.25">
      <c r="B77" s="45" t="s">
        <v>117</v>
      </c>
      <c r="C77" s="50">
        <v>15</v>
      </c>
      <c r="D77" s="50">
        <v>2</v>
      </c>
      <c r="E77" s="50">
        <v>2</v>
      </c>
      <c r="F77" s="50">
        <v>3</v>
      </c>
      <c r="G77" s="50">
        <v>0</v>
      </c>
      <c r="H77" s="50">
        <v>0</v>
      </c>
      <c r="I77" s="50">
        <v>2</v>
      </c>
      <c r="J77" s="50">
        <v>0</v>
      </c>
      <c r="K77" s="50">
        <v>0</v>
      </c>
      <c r="L77" s="50">
        <v>0</v>
      </c>
      <c r="M77" s="50">
        <v>137</v>
      </c>
      <c r="N77" s="50">
        <v>0</v>
      </c>
      <c r="O77" s="15">
        <f t="shared" si="35"/>
        <v>24</v>
      </c>
      <c r="P77" s="15">
        <f t="shared" si="36"/>
        <v>161</v>
      </c>
      <c r="R77" s="8"/>
      <c r="T77"/>
    </row>
    <row r="78" spans="2:20" ht="23.1" customHeight="1" x14ac:dyDescent="0.25">
      <c r="B78" s="46" t="s">
        <v>118</v>
      </c>
      <c r="C78" s="50">
        <v>13</v>
      </c>
      <c r="D78" s="50">
        <v>1</v>
      </c>
      <c r="E78" s="50">
        <v>3</v>
      </c>
      <c r="F78" s="50">
        <v>2</v>
      </c>
      <c r="G78" s="50">
        <v>0</v>
      </c>
      <c r="H78" s="50">
        <v>0</v>
      </c>
      <c r="I78" s="50">
        <v>1</v>
      </c>
      <c r="J78" s="50">
        <v>0</v>
      </c>
      <c r="K78" s="50">
        <v>0</v>
      </c>
      <c r="L78" s="50">
        <v>0</v>
      </c>
      <c r="M78" s="50">
        <v>115</v>
      </c>
      <c r="N78" s="50">
        <v>0</v>
      </c>
      <c r="O78" s="15">
        <f t="shared" si="35"/>
        <v>20</v>
      </c>
      <c r="P78" s="15">
        <f t="shared" si="36"/>
        <v>135</v>
      </c>
      <c r="R78" s="8"/>
      <c r="T78"/>
    </row>
    <row r="79" spans="2:20" ht="23.1" customHeight="1" x14ac:dyDescent="0.25">
      <c r="B79" s="45" t="s">
        <v>119</v>
      </c>
      <c r="C79" s="50">
        <v>16</v>
      </c>
      <c r="D79" s="50">
        <v>2</v>
      </c>
      <c r="E79" s="50">
        <v>2</v>
      </c>
      <c r="F79" s="50">
        <v>2</v>
      </c>
      <c r="G79" s="50">
        <v>0</v>
      </c>
      <c r="H79" s="50">
        <v>0</v>
      </c>
      <c r="I79" s="50">
        <v>2</v>
      </c>
      <c r="J79" s="50">
        <v>0</v>
      </c>
      <c r="K79" s="50">
        <v>0</v>
      </c>
      <c r="L79" s="50">
        <v>0</v>
      </c>
      <c r="M79" s="50">
        <v>108</v>
      </c>
      <c r="N79" s="50">
        <v>0</v>
      </c>
      <c r="O79" s="15">
        <f t="shared" si="35"/>
        <v>24</v>
      </c>
      <c r="P79" s="15">
        <f t="shared" si="36"/>
        <v>132</v>
      </c>
      <c r="R79" s="8"/>
      <c r="T79"/>
    </row>
    <row r="80" spans="2:20" ht="23.1" customHeight="1" x14ac:dyDescent="0.25">
      <c r="B80" s="47" t="s">
        <v>120</v>
      </c>
      <c r="C80" s="50">
        <v>18</v>
      </c>
      <c r="D80" s="50">
        <v>3</v>
      </c>
      <c r="E80" s="50">
        <v>0</v>
      </c>
      <c r="F80" s="50">
        <v>1</v>
      </c>
      <c r="G80" s="50">
        <v>0</v>
      </c>
      <c r="H80" s="50">
        <v>0</v>
      </c>
      <c r="I80" s="50">
        <v>2</v>
      </c>
      <c r="J80" s="50">
        <v>0</v>
      </c>
      <c r="K80" s="50">
        <v>0</v>
      </c>
      <c r="L80" s="50">
        <v>0</v>
      </c>
      <c r="M80" s="50">
        <v>74</v>
      </c>
      <c r="N80" s="50">
        <v>0</v>
      </c>
      <c r="O80" s="15">
        <f t="shared" si="35"/>
        <v>24</v>
      </c>
      <c r="P80" s="15">
        <f t="shared" si="36"/>
        <v>98</v>
      </c>
      <c r="R80" s="8"/>
      <c r="T80"/>
    </row>
    <row r="81" spans="2:20" ht="23.1" customHeight="1" x14ac:dyDescent="0.25">
      <c r="B81" s="45" t="s">
        <v>121</v>
      </c>
      <c r="C81" s="50">
        <v>12</v>
      </c>
      <c r="D81" s="50">
        <v>0</v>
      </c>
      <c r="E81" s="50">
        <v>1</v>
      </c>
      <c r="F81" s="50">
        <v>0</v>
      </c>
      <c r="G81" s="50">
        <v>0</v>
      </c>
      <c r="H81" s="50">
        <v>0</v>
      </c>
      <c r="I81" s="50">
        <v>2</v>
      </c>
      <c r="J81" s="50">
        <v>0</v>
      </c>
      <c r="K81" s="50">
        <v>0</v>
      </c>
      <c r="L81" s="50">
        <v>0</v>
      </c>
      <c r="M81" s="50">
        <v>50</v>
      </c>
      <c r="N81" s="50">
        <v>0</v>
      </c>
      <c r="O81" s="15">
        <f t="shared" si="35"/>
        <v>15</v>
      </c>
      <c r="P81" s="15">
        <f t="shared" si="36"/>
        <v>65</v>
      </c>
      <c r="R81" s="8"/>
      <c r="T81"/>
    </row>
    <row r="82" spans="2:20" ht="23.1" customHeight="1" x14ac:dyDescent="0.25">
      <c r="B82" s="46" t="s">
        <v>122</v>
      </c>
      <c r="C82" s="50">
        <v>8</v>
      </c>
      <c r="D82" s="50">
        <v>2</v>
      </c>
      <c r="E82" s="50">
        <v>2</v>
      </c>
      <c r="F82" s="50">
        <v>2</v>
      </c>
      <c r="G82" s="50">
        <v>0</v>
      </c>
      <c r="H82" s="50">
        <v>0</v>
      </c>
      <c r="I82" s="50">
        <v>1</v>
      </c>
      <c r="J82" s="50">
        <v>1</v>
      </c>
      <c r="K82" s="50">
        <v>0</v>
      </c>
      <c r="L82" s="50">
        <v>0</v>
      </c>
      <c r="M82" s="50">
        <v>90</v>
      </c>
      <c r="N82" s="50">
        <v>0</v>
      </c>
      <c r="O82" s="15">
        <f t="shared" si="35"/>
        <v>16</v>
      </c>
      <c r="P82" s="15">
        <f t="shared" si="36"/>
        <v>106</v>
      </c>
      <c r="R82" s="8"/>
      <c r="T82"/>
    </row>
    <row r="83" spans="2:20" ht="23.1" customHeight="1" x14ac:dyDescent="0.25">
      <c r="B83" s="45" t="s">
        <v>123</v>
      </c>
      <c r="C83" s="50">
        <v>6</v>
      </c>
      <c r="D83" s="50">
        <v>2</v>
      </c>
      <c r="E83" s="50">
        <v>1</v>
      </c>
      <c r="F83" s="50">
        <v>2</v>
      </c>
      <c r="G83" s="50">
        <v>0</v>
      </c>
      <c r="H83" s="50">
        <v>0</v>
      </c>
      <c r="I83" s="50">
        <v>2</v>
      </c>
      <c r="J83" s="50">
        <v>0</v>
      </c>
      <c r="K83" s="50">
        <v>0</v>
      </c>
      <c r="L83" s="50">
        <v>0</v>
      </c>
      <c r="M83" s="50">
        <v>37</v>
      </c>
      <c r="N83" s="50">
        <v>0</v>
      </c>
      <c r="O83" s="15">
        <f t="shared" si="35"/>
        <v>13</v>
      </c>
      <c r="P83" s="15">
        <f t="shared" si="36"/>
        <v>50</v>
      </c>
      <c r="R83" s="8"/>
      <c r="T83"/>
    </row>
    <row r="84" spans="2:20" ht="23.1" customHeight="1" x14ac:dyDescent="0.25">
      <c r="B84" s="47" t="s">
        <v>124</v>
      </c>
      <c r="C84" s="50">
        <v>8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1</v>
      </c>
      <c r="J84" s="50">
        <v>0</v>
      </c>
      <c r="K84" s="50">
        <v>0</v>
      </c>
      <c r="L84" s="50">
        <v>0</v>
      </c>
      <c r="M84" s="50">
        <v>63</v>
      </c>
      <c r="N84" s="50">
        <v>0</v>
      </c>
      <c r="O84" s="15">
        <f t="shared" si="35"/>
        <v>9</v>
      </c>
      <c r="P84" s="15">
        <f t="shared" si="36"/>
        <v>72</v>
      </c>
      <c r="R84" s="8"/>
      <c r="T84"/>
    </row>
    <row r="85" spans="2:20" ht="23.1" customHeight="1" x14ac:dyDescent="0.25">
      <c r="B85" s="45" t="s">
        <v>125</v>
      </c>
      <c r="C85" s="50">
        <v>6</v>
      </c>
      <c r="D85" s="50">
        <v>1</v>
      </c>
      <c r="E85" s="50">
        <v>1</v>
      </c>
      <c r="F85" s="50">
        <v>1</v>
      </c>
      <c r="G85" s="50">
        <v>0</v>
      </c>
      <c r="H85" s="50">
        <v>0</v>
      </c>
      <c r="I85" s="50">
        <v>3</v>
      </c>
      <c r="J85" s="50">
        <v>0</v>
      </c>
      <c r="K85" s="50">
        <v>0</v>
      </c>
      <c r="L85" s="50">
        <v>0</v>
      </c>
      <c r="M85" s="50">
        <v>63</v>
      </c>
      <c r="N85" s="50">
        <v>0</v>
      </c>
      <c r="O85" s="15">
        <f t="shared" si="35"/>
        <v>12</v>
      </c>
      <c r="P85" s="15">
        <f t="shared" si="36"/>
        <v>75</v>
      </c>
      <c r="R85" s="8"/>
      <c r="T85"/>
    </row>
    <row r="86" spans="2:20" ht="23.1" customHeight="1" x14ac:dyDescent="0.25">
      <c r="B86" s="46" t="s">
        <v>126</v>
      </c>
      <c r="C86" s="50">
        <v>8</v>
      </c>
      <c r="D86" s="50">
        <v>2</v>
      </c>
      <c r="E86" s="50">
        <v>1</v>
      </c>
      <c r="F86" s="50">
        <v>1</v>
      </c>
      <c r="G86" s="50">
        <v>0</v>
      </c>
      <c r="H86" s="50">
        <v>0</v>
      </c>
      <c r="I86" s="50">
        <v>2</v>
      </c>
      <c r="J86" s="50">
        <v>0</v>
      </c>
      <c r="K86" s="50">
        <v>0</v>
      </c>
      <c r="L86" s="50">
        <v>0</v>
      </c>
      <c r="M86" s="50">
        <v>82</v>
      </c>
      <c r="N86" s="50">
        <v>0</v>
      </c>
      <c r="O86" s="15">
        <f t="shared" si="35"/>
        <v>14</v>
      </c>
      <c r="P86" s="15">
        <f t="shared" si="36"/>
        <v>96</v>
      </c>
      <c r="R86" s="8"/>
      <c r="T86"/>
    </row>
    <row r="87" spans="2:20" ht="23.1" customHeight="1" x14ac:dyDescent="0.25">
      <c r="B87" s="45" t="s">
        <v>127</v>
      </c>
      <c r="C87" s="50">
        <v>7</v>
      </c>
      <c r="D87" s="50">
        <v>1</v>
      </c>
      <c r="E87" s="50">
        <v>0</v>
      </c>
      <c r="F87" s="50">
        <v>1</v>
      </c>
      <c r="G87" s="50">
        <v>0</v>
      </c>
      <c r="H87" s="50">
        <v>0</v>
      </c>
      <c r="I87" s="50">
        <v>1</v>
      </c>
      <c r="J87" s="50">
        <v>0</v>
      </c>
      <c r="K87" s="50">
        <v>0</v>
      </c>
      <c r="L87" s="50">
        <v>0</v>
      </c>
      <c r="M87" s="50">
        <v>43</v>
      </c>
      <c r="N87" s="50">
        <v>0</v>
      </c>
      <c r="O87" s="15">
        <f t="shared" si="35"/>
        <v>10</v>
      </c>
      <c r="P87" s="15">
        <f t="shared" si="36"/>
        <v>53</v>
      </c>
      <c r="R87" s="8"/>
      <c r="T87"/>
    </row>
    <row r="88" spans="2:20" ht="23.1" customHeight="1" x14ac:dyDescent="0.25">
      <c r="B88" s="47" t="s">
        <v>128</v>
      </c>
      <c r="C88" s="50">
        <v>3</v>
      </c>
      <c r="D88" s="50">
        <v>0</v>
      </c>
      <c r="E88" s="50">
        <v>0</v>
      </c>
      <c r="F88" s="50">
        <v>1</v>
      </c>
      <c r="G88" s="50">
        <v>0</v>
      </c>
      <c r="H88" s="50">
        <v>0</v>
      </c>
      <c r="I88" s="50">
        <v>1</v>
      </c>
      <c r="J88" s="50">
        <v>0</v>
      </c>
      <c r="K88" s="50">
        <v>0</v>
      </c>
      <c r="L88" s="50">
        <v>1</v>
      </c>
      <c r="M88" s="50">
        <v>43</v>
      </c>
      <c r="N88" s="50">
        <v>0</v>
      </c>
      <c r="O88" s="15">
        <f t="shared" si="35"/>
        <v>6</v>
      </c>
      <c r="P88" s="15">
        <f t="shared" si="36"/>
        <v>49</v>
      </c>
      <c r="R88" s="8"/>
      <c r="T88"/>
    </row>
    <row r="89" spans="2:20" ht="23.1" customHeight="1" x14ac:dyDescent="0.25">
      <c r="B89" s="45" t="s">
        <v>129</v>
      </c>
      <c r="C89" s="50">
        <v>8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1</v>
      </c>
      <c r="L89" s="50">
        <v>0</v>
      </c>
      <c r="M89" s="50">
        <v>33</v>
      </c>
      <c r="N89" s="50">
        <v>0</v>
      </c>
      <c r="O89" s="15">
        <f t="shared" si="35"/>
        <v>9</v>
      </c>
      <c r="P89" s="15">
        <f t="shared" si="36"/>
        <v>42</v>
      </c>
      <c r="R89" s="8"/>
      <c r="T89"/>
    </row>
    <row r="90" spans="2:20" ht="23.1" customHeight="1" x14ac:dyDescent="0.25">
      <c r="B90" s="46" t="s">
        <v>130</v>
      </c>
      <c r="C90" s="50">
        <v>18</v>
      </c>
      <c r="D90" s="50">
        <v>3</v>
      </c>
      <c r="E90" s="50">
        <v>1</v>
      </c>
      <c r="F90" s="50">
        <v>2</v>
      </c>
      <c r="G90" s="50">
        <v>0</v>
      </c>
      <c r="H90" s="50">
        <v>0</v>
      </c>
      <c r="I90" s="50">
        <v>2</v>
      </c>
      <c r="J90" s="50">
        <v>0</v>
      </c>
      <c r="K90" s="50">
        <v>0</v>
      </c>
      <c r="L90" s="50">
        <v>0</v>
      </c>
      <c r="M90" s="50">
        <v>33</v>
      </c>
      <c r="N90" s="50">
        <v>0</v>
      </c>
      <c r="O90" s="15">
        <f t="shared" si="35"/>
        <v>26</v>
      </c>
      <c r="P90" s="15">
        <f t="shared" si="36"/>
        <v>59</v>
      </c>
      <c r="R90" s="8"/>
      <c r="T90"/>
    </row>
    <row r="91" spans="2:20" ht="23.1" customHeight="1" x14ac:dyDescent="0.25">
      <c r="B91" s="45" t="s">
        <v>131</v>
      </c>
      <c r="C91" s="50">
        <v>22</v>
      </c>
      <c r="D91" s="50">
        <v>1</v>
      </c>
      <c r="E91" s="50">
        <v>1</v>
      </c>
      <c r="F91" s="50">
        <v>27</v>
      </c>
      <c r="G91" s="50">
        <v>0</v>
      </c>
      <c r="H91" s="50">
        <v>0</v>
      </c>
      <c r="I91" s="50">
        <v>1</v>
      </c>
      <c r="J91" s="50">
        <v>0</v>
      </c>
      <c r="K91" s="50">
        <v>0</v>
      </c>
      <c r="L91" s="50">
        <v>0</v>
      </c>
      <c r="M91" s="50">
        <v>46</v>
      </c>
      <c r="N91" s="50">
        <v>0</v>
      </c>
      <c r="O91" s="15">
        <f t="shared" si="35"/>
        <v>52</v>
      </c>
      <c r="P91" s="15">
        <f t="shared" si="36"/>
        <v>98</v>
      </c>
      <c r="R91" s="8"/>
      <c r="T91"/>
    </row>
    <row r="92" spans="2:20" ht="23.1" customHeight="1" x14ac:dyDescent="0.25">
      <c r="B92" s="47" t="s">
        <v>132</v>
      </c>
      <c r="C92" s="50">
        <v>44</v>
      </c>
      <c r="D92" s="50">
        <v>3</v>
      </c>
      <c r="E92" s="50">
        <v>3</v>
      </c>
      <c r="F92" s="50">
        <v>17</v>
      </c>
      <c r="G92" s="50">
        <v>0</v>
      </c>
      <c r="H92" s="50">
        <v>0</v>
      </c>
      <c r="I92" s="50">
        <v>1</v>
      </c>
      <c r="J92" s="50">
        <v>0</v>
      </c>
      <c r="K92" s="50">
        <v>0</v>
      </c>
      <c r="L92" s="50">
        <v>0</v>
      </c>
      <c r="M92" s="50">
        <v>63</v>
      </c>
      <c r="N92" s="50">
        <v>0</v>
      </c>
      <c r="O92" s="15">
        <f t="shared" si="35"/>
        <v>68</v>
      </c>
      <c r="P92" s="15">
        <f t="shared" si="36"/>
        <v>131</v>
      </c>
      <c r="R92" s="8"/>
      <c r="T92"/>
    </row>
    <row r="93" spans="2:20" ht="23.1" customHeight="1" x14ac:dyDescent="0.25">
      <c r="B93" s="45" t="s">
        <v>133</v>
      </c>
      <c r="C93" s="50">
        <v>8</v>
      </c>
      <c r="D93" s="50">
        <v>1</v>
      </c>
      <c r="E93" s="50">
        <v>1</v>
      </c>
      <c r="F93" s="50">
        <v>5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49</v>
      </c>
      <c r="N93" s="50">
        <v>0</v>
      </c>
      <c r="O93" s="15">
        <f t="shared" si="35"/>
        <v>15</v>
      </c>
      <c r="P93" s="15">
        <f t="shared" si="36"/>
        <v>64</v>
      </c>
      <c r="R93" s="8"/>
      <c r="T93"/>
    </row>
    <row r="94" spans="2:20" ht="23.1" customHeight="1" x14ac:dyDescent="0.25">
      <c r="B94" s="46" t="s">
        <v>134</v>
      </c>
      <c r="C94" s="50">
        <v>9</v>
      </c>
      <c r="D94" s="50">
        <v>0</v>
      </c>
      <c r="E94" s="50">
        <v>0</v>
      </c>
      <c r="F94" s="50">
        <v>5</v>
      </c>
      <c r="G94" s="50">
        <v>0</v>
      </c>
      <c r="H94" s="50">
        <v>0</v>
      </c>
      <c r="I94" s="50">
        <v>2</v>
      </c>
      <c r="J94" s="50">
        <v>0</v>
      </c>
      <c r="K94" s="50">
        <v>0</v>
      </c>
      <c r="L94" s="50">
        <v>0</v>
      </c>
      <c r="M94" s="50">
        <v>56</v>
      </c>
      <c r="N94" s="50"/>
      <c r="O94" s="15">
        <f t="shared" si="35"/>
        <v>16</v>
      </c>
      <c r="P94" s="15">
        <f t="shared" si="36"/>
        <v>72</v>
      </c>
      <c r="R94" s="8"/>
      <c r="T94"/>
    </row>
    <row r="95" spans="2:20" ht="23.1" customHeight="1" x14ac:dyDescent="0.25">
      <c r="B95" s="45" t="s">
        <v>135</v>
      </c>
      <c r="C95" s="50">
        <v>6</v>
      </c>
      <c r="D95" s="50">
        <v>2</v>
      </c>
      <c r="E95" s="50">
        <v>1</v>
      </c>
      <c r="F95" s="50">
        <v>5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47</v>
      </c>
      <c r="N95" s="50">
        <v>0</v>
      </c>
      <c r="O95" s="15">
        <f t="shared" si="35"/>
        <v>14</v>
      </c>
      <c r="P95" s="15">
        <f t="shared" si="36"/>
        <v>61</v>
      </c>
      <c r="R95" s="8"/>
      <c r="T95"/>
    </row>
    <row r="96" spans="2:20" ht="23.1" customHeight="1" x14ac:dyDescent="0.25">
      <c r="B96" s="47" t="s">
        <v>136</v>
      </c>
      <c r="C96" s="50">
        <v>8</v>
      </c>
      <c r="D96" s="50">
        <v>0</v>
      </c>
      <c r="E96" s="50">
        <v>2</v>
      </c>
      <c r="F96" s="50">
        <v>6</v>
      </c>
      <c r="G96" s="50">
        <v>5</v>
      </c>
      <c r="H96" s="50">
        <v>1</v>
      </c>
      <c r="I96" s="50">
        <v>1</v>
      </c>
      <c r="J96" s="50">
        <v>0</v>
      </c>
      <c r="K96" s="50">
        <v>1</v>
      </c>
      <c r="L96" s="50">
        <v>0</v>
      </c>
      <c r="M96" s="50">
        <v>48</v>
      </c>
      <c r="N96" s="50">
        <v>0</v>
      </c>
      <c r="O96" s="15">
        <f t="shared" si="35"/>
        <v>24</v>
      </c>
      <c r="P96" s="15">
        <f t="shared" si="36"/>
        <v>72</v>
      </c>
      <c r="R96" s="8"/>
      <c r="T96"/>
    </row>
    <row r="97" spans="2:20" ht="23.1" customHeight="1" x14ac:dyDescent="0.25">
      <c r="B97" s="45" t="s">
        <v>137</v>
      </c>
      <c r="C97" s="50">
        <v>15</v>
      </c>
      <c r="D97" s="50">
        <v>0</v>
      </c>
      <c r="E97" s="50">
        <v>1</v>
      </c>
      <c r="F97" s="50">
        <v>6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60</v>
      </c>
      <c r="N97" s="50">
        <v>0</v>
      </c>
      <c r="O97" s="15">
        <f t="shared" si="35"/>
        <v>22</v>
      </c>
      <c r="P97" s="15">
        <f t="shared" si="36"/>
        <v>82</v>
      </c>
      <c r="R97" s="8"/>
      <c r="T97"/>
    </row>
    <row r="98" spans="2:20" ht="23.1" customHeight="1" x14ac:dyDescent="0.25">
      <c r="B98" s="46" t="s">
        <v>138</v>
      </c>
      <c r="C98" s="50">
        <v>13</v>
      </c>
      <c r="D98" s="50">
        <v>0</v>
      </c>
      <c r="E98" s="50">
        <v>3</v>
      </c>
      <c r="F98" s="50">
        <v>25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45</v>
      </c>
      <c r="N98" s="50">
        <v>0</v>
      </c>
      <c r="O98" s="15">
        <f t="shared" si="35"/>
        <v>41</v>
      </c>
      <c r="P98" s="15">
        <f t="shared" si="36"/>
        <v>86</v>
      </c>
      <c r="R98" s="8"/>
      <c r="T98"/>
    </row>
    <row r="99" spans="2:20" ht="23.1" customHeight="1" x14ac:dyDescent="0.25">
      <c r="B99" s="45" t="s">
        <v>139</v>
      </c>
      <c r="C99" s="50">
        <v>34</v>
      </c>
      <c r="D99" s="50">
        <v>0</v>
      </c>
      <c r="E99" s="50">
        <v>1</v>
      </c>
      <c r="F99" s="50">
        <v>50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75</v>
      </c>
      <c r="N99" s="50">
        <v>0</v>
      </c>
      <c r="O99" s="15">
        <f t="shared" si="35"/>
        <v>85</v>
      </c>
      <c r="P99" s="15">
        <f t="shared" si="36"/>
        <v>160</v>
      </c>
      <c r="R99" s="8"/>
      <c r="T99"/>
    </row>
    <row r="100" spans="2:20" ht="23.1" customHeight="1" x14ac:dyDescent="0.25">
      <c r="B100" s="47" t="s">
        <v>140</v>
      </c>
      <c r="C100" s="50">
        <v>35</v>
      </c>
      <c r="D100" s="50">
        <v>0</v>
      </c>
      <c r="E100" s="50">
        <v>3</v>
      </c>
      <c r="F100" s="50">
        <v>55</v>
      </c>
      <c r="G100" s="50">
        <v>0</v>
      </c>
      <c r="H100" s="50">
        <v>0</v>
      </c>
      <c r="I100" s="50">
        <v>2</v>
      </c>
      <c r="J100" s="50">
        <v>0</v>
      </c>
      <c r="K100" s="50">
        <v>0</v>
      </c>
      <c r="L100" s="50">
        <v>0</v>
      </c>
      <c r="M100" s="50">
        <v>80</v>
      </c>
      <c r="N100" s="50">
        <v>0</v>
      </c>
      <c r="O100" s="15">
        <f t="shared" si="35"/>
        <v>95</v>
      </c>
      <c r="P100" s="15">
        <f t="shared" si="36"/>
        <v>175</v>
      </c>
      <c r="R100" s="8"/>
      <c r="T100"/>
    </row>
    <row r="101" spans="2:20" ht="23.1" customHeight="1" x14ac:dyDescent="0.25">
      <c r="B101" s="45" t="s">
        <v>141</v>
      </c>
      <c r="C101" s="50">
        <v>15</v>
      </c>
      <c r="D101" s="50">
        <v>0</v>
      </c>
      <c r="E101" s="50">
        <v>3</v>
      </c>
      <c r="F101" s="50">
        <v>35</v>
      </c>
      <c r="G101" s="50">
        <v>1</v>
      </c>
      <c r="H101" s="50">
        <v>0</v>
      </c>
      <c r="I101" s="50">
        <v>3</v>
      </c>
      <c r="J101" s="50">
        <v>0</v>
      </c>
      <c r="K101" s="50">
        <v>0</v>
      </c>
      <c r="L101" s="50">
        <v>1</v>
      </c>
      <c r="M101" s="50">
        <v>96</v>
      </c>
      <c r="N101" s="50">
        <v>0</v>
      </c>
      <c r="O101" s="15">
        <f t="shared" si="35"/>
        <v>58</v>
      </c>
      <c r="P101" s="15">
        <f t="shared" si="36"/>
        <v>154</v>
      </c>
      <c r="R101" s="8"/>
      <c r="T101"/>
    </row>
    <row r="102" spans="2:20" ht="23.1" customHeight="1" x14ac:dyDescent="0.25">
      <c r="B102" s="46" t="s">
        <v>142</v>
      </c>
      <c r="C102" s="50">
        <v>19</v>
      </c>
      <c r="D102" s="50">
        <v>0</v>
      </c>
      <c r="E102" s="50">
        <v>4</v>
      </c>
      <c r="F102" s="50">
        <v>43</v>
      </c>
      <c r="G102" s="50">
        <v>1</v>
      </c>
      <c r="H102" s="50">
        <v>0</v>
      </c>
      <c r="I102" s="50">
        <v>3</v>
      </c>
      <c r="J102" s="50">
        <v>1</v>
      </c>
      <c r="K102" s="50">
        <v>0</v>
      </c>
      <c r="L102" s="50">
        <v>0</v>
      </c>
      <c r="M102" s="50">
        <v>106</v>
      </c>
      <c r="N102" s="50">
        <v>0</v>
      </c>
      <c r="O102" s="15">
        <f t="shared" si="35"/>
        <v>71</v>
      </c>
      <c r="P102" s="15">
        <f t="shared" si="36"/>
        <v>177</v>
      </c>
      <c r="R102" s="8"/>
      <c r="T102"/>
    </row>
    <row r="103" spans="2:20" ht="23.1" customHeight="1" x14ac:dyDescent="0.25">
      <c r="B103" s="45" t="s">
        <v>143</v>
      </c>
      <c r="C103" s="50">
        <v>31</v>
      </c>
      <c r="D103" s="50">
        <v>5</v>
      </c>
      <c r="E103" s="50">
        <v>2</v>
      </c>
      <c r="F103" s="50">
        <v>32</v>
      </c>
      <c r="G103" s="50">
        <v>0</v>
      </c>
      <c r="H103" s="50">
        <v>0</v>
      </c>
      <c r="I103" s="50">
        <v>2</v>
      </c>
      <c r="J103" s="50">
        <v>2</v>
      </c>
      <c r="K103" s="50">
        <v>0</v>
      </c>
      <c r="L103" s="50">
        <v>0</v>
      </c>
      <c r="M103" s="50">
        <v>130</v>
      </c>
      <c r="N103" s="50">
        <v>0</v>
      </c>
      <c r="O103" s="15">
        <f t="shared" si="35"/>
        <v>74</v>
      </c>
      <c r="P103" s="15">
        <f t="shared" si="36"/>
        <v>204</v>
      </c>
      <c r="R103" s="8"/>
      <c r="T103"/>
    </row>
    <row r="104" spans="2:20" ht="23.1" customHeight="1" x14ac:dyDescent="0.25">
      <c r="B104" s="47" t="s">
        <v>144</v>
      </c>
      <c r="C104" s="50">
        <v>40</v>
      </c>
      <c r="D104" s="50">
        <v>3</v>
      </c>
      <c r="E104" s="50">
        <v>6</v>
      </c>
      <c r="F104" s="50">
        <v>41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120</v>
      </c>
      <c r="N104" s="50">
        <v>0</v>
      </c>
      <c r="O104" s="15">
        <f t="shared" si="35"/>
        <v>90</v>
      </c>
      <c r="P104" s="15">
        <f t="shared" si="36"/>
        <v>210</v>
      </c>
      <c r="R104" s="8"/>
      <c r="T104"/>
    </row>
    <row r="105" spans="2:20" ht="23.1" customHeight="1" x14ac:dyDescent="0.25">
      <c r="B105" s="45" t="s">
        <v>145</v>
      </c>
      <c r="C105" s="50">
        <v>45</v>
      </c>
      <c r="D105" s="50">
        <v>7</v>
      </c>
      <c r="E105" s="50">
        <v>3</v>
      </c>
      <c r="F105" s="50">
        <v>37</v>
      </c>
      <c r="G105" s="50">
        <v>1</v>
      </c>
      <c r="H105" s="50">
        <v>0</v>
      </c>
      <c r="I105" s="50">
        <v>4</v>
      </c>
      <c r="J105" s="50">
        <v>0</v>
      </c>
      <c r="K105" s="50">
        <v>0</v>
      </c>
      <c r="L105" s="50">
        <v>0</v>
      </c>
      <c r="M105" s="51">
        <v>145</v>
      </c>
      <c r="N105" s="50">
        <v>0</v>
      </c>
      <c r="O105" s="15">
        <f t="shared" si="35"/>
        <v>97</v>
      </c>
      <c r="P105" s="15">
        <f t="shared" si="36"/>
        <v>242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4352</v>
      </c>
      <c r="D106" s="16">
        <f t="shared" ref="D106:P106" si="37">SUM(D10:D105)</f>
        <v>557</v>
      </c>
      <c r="E106" s="16">
        <f t="shared" si="37"/>
        <v>529</v>
      </c>
      <c r="F106" s="16">
        <f t="shared" si="37"/>
        <v>2175</v>
      </c>
      <c r="G106" s="16">
        <f t="shared" si="37"/>
        <v>55</v>
      </c>
      <c r="H106" s="16">
        <f t="shared" si="37"/>
        <v>11</v>
      </c>
      <c r="I106" s="16">
        <f t="shared" si="37"/>
        <v>363</v>
      </c>
      <c r="J106" s="16">
        <f t="shared" si="37"/>
        <v>63</v>
      </c>
      <c r="K106" s="16">
        <f t="shared" si="37"/>
        <v>29</v>
      </c>
      <c r="L106" s="16">
        <f t="shared" si="37"/>
        <v>30</v>
      </c>
      <c r="M106" s="16">
        <f t="shared" si="37"/>
        <v>14535</v>
      </c>
      <c r="N106" s="16">
        <f t="shared" si="37"/>
        <v>0</v>
      </c>
      <c r="O106" s="16">
        <f t="shared" si="37"/>
        <v>8164</v>
      </c>
      <c r="P106" s="16">
        <f t="shared" si="37"/>
        <v>22699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0.19172650777567293</v>
      </c>
      <c r="D107" s="43">
        <f t="shared" si="38"/>
        <v>2.4538525926252257E-2</v>
      </c>
      <c r="E107" s="43">
        <f t="shared" si="38"/>
        <v>2.3304991409313185E-2</v>
      </c>
      <c r="F107" s="43">
        <f t="shared" si="38"/>
        <v>9.5819199083660073E-2</v>
      </c>
      <c r="G107" s="43">
        <f t="shared" si="38"/>
        <v>2.4230142297017492E-3</v>
      </c>
      <c r="H107" s="43">
        <f t="shared" si="38"/>
        <v>4.8460284594034977E-4</v>
      </c>
      <c r="I107" s="43">
        <f t="shared" si="38"/>
        <v>1.5991893916031542E-2</v>
      </c>
      <c r="J107" s="43">
        <f t="shared" si="38"/>
        <v>2.7754526631129125E-3</v>
      </c>
      <c r="K107" s="43">
        <f t="shared" si="38"/>
        <v>1.2775893211154677E-3</v>
      </c>
      <c r="L107" s="43">
        <f t="shared" si="38"/>
        <v>1.3216441252918631E-3</v>
      </c>
      <c r="M107" s="43">
        <f t="shared" si="38"/>
        <v>0.6403365787039077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0.53307202351788341</v>
      </c>
      <c r="D108" s="44">
        <f t="shared" ref="D108:N108" si="39">D106/$O$106</f>
        <v>6.8226359627633515E-2</v>
      </c>
      <c r="E108" s="44">
        <f t="shared" si="39"/>
        <v>6.4796668299853019E-2</v>
      </c>
      <c r="F108" s="44">
        <f t="shared" si="39"/>
        <v>0.26641352278294955</v>
      </c>
      <c r="G108" s="44">
        <f t="shared" si="39"/>
        <v>6.7368936795688386E-3</v>
      </c>
      <c r="H108" s="44">
        <f t="shared" si="39"/>
        <v>1.3473787359137678E-3</v>
      </c>
      <c r="I108" s="44">
        <f t="shared" si="39"/>
        <v>4.4463498285154335E-2</v>
      </c>
      <c r="J108" s="44">
        <f t="shared" si="39"/>
        <v>7.7168054875061242E-3</v>
      </c>
      <c r="K108" s="44">
        <f t="shared" si="39"/>
        <v>3.5521803037726605E-3</v>
      </c>
      <c r="L108" s="44">
        <f t="shared" si="39"/>
        <v>3.6746692797648213E-3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D1" zoomScale="84" zoomScaleSheetLayoutView="84" workbookViewId="0">
      <selection activeCell="G6" sqref="G6:H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2" t="str">
        <f>'22.07 Kitebi-Kabusu'!C3:G3</f>
        <v>MCC - C1 - STN06-WANKULUKUKU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'26.07 Kitebi-Kabusu-24'!D5</f>
        <v>26.07.19</v>
      </c>
      <c r="E5" s="3"/>
      <c r="F5" s="41" t="s">
        <v>1</v>
      </c>
      <c r="G5" s="57" t="str">
        <f>'26.07 Kitebi-Kabusu-24'!G5:H5</f>
        <v>kobil head office</v>
      </c>
      <c r="H5" s="58"/>
      <c r="I5" s="14"/>
      <c r="J5" s="2" t="s">
        <v>5</v>
      </c>
      <c r="K5" s="57" t="s">
        <v>174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176</v>
      </c>
      <c r="E6" s="58"/>
      <c r="F6" s="2" t="s">
        <v>2</v>
      </c>
      <c r="G6" s="57" t="s">
        <v>171</v>
      </c>
      <c r="H6" s="58"/>
      <c r="J6" s="2" t="s">
        <v>21</v>
      </c>
      <c r="K6" s="57" t="str">
        <f>'26.07 Kitebi-Kabusu-24'!K6:L6</f>
        <v>Oloya Felix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25</v>
      </c>
      <c r="D10" s="50">
        <v>5</v>
      </c>
      <c r="E10" s="50">
        <v>6</v>
      </c>
      <c r="F10" s="50">
        <v>20</v>
      </c>
      <c r="G10" s="50">
        <v>0</v>
      </c>
      <c r="H10" s="50">
        <v>1</v>
      </c>
      <c r="I10" s="50">
        <v>2</v>
      </c>
      <c r="J10" s="50">
        <v>1</v>
      </c>
      <c r="K10" s="50">
        <v>3</v>
      </c>
      <c r="L10" s="50">
        <v>1</v>
      </c>
      <c r="M10" s="50">
        <v>69</v>
      </c>
      <c r="N10" s="50">
        <v>0</v>
      </c>
      <c r="O10" s="15">
        <f t="shared" ref="O10:O73" si="0">SUM(C10:L10,N10)</f>
        <v>64</v>
      </c>
      <c r="P10" s="15">
        <f t="shared" ref="P10:P73" si="1">SUM(C10:N10)</f>
        <v>133</v>
      </c>
      <c r="R10" s="1" t="s">
        <v>6</v>
      </c>
      <c r="S10" s="17">
        <f t="shared" ref="S10:AF10" si="2">SUM(C10:C13)</f>
        <v>104</v>
      </c>
      <c r="T10" s="17">
        <f t="shared" si="2"/>
        <v>21</v>
      </c>
      <c r="U10" s="17">
        <f t="shared" si="2"/>
        <v>12</v>
      </c>
      <c r="V10" s="17">
        <f t="shared" si="2"/>
        <v>102</v>
      </c>
      <c r="W10" s="17">
        <f t="shared" si="2"/>
        <v>5</v>
      </c>
      <c r="X10" s="17">
        <f t="shared" si="2"/>
        <v>4</v>
      </c>
      <c r="Y10" s="17">
        <f t="shared" si="2"/>
        <v>10</v>
      </c>
      <c r="Z10" s="17">
        <f t="shared" si="2"/>
        <v>1</v>
      </c>
      <c r="AA10" s="17">
        <f t="shared" si="2"/>
        <v>13</v>
      </c>
      <c r="AB10" s="17">
        <f t="shared" si="2"/>
        <v>4</v>
      </c>
      <c r="AC10" s="17">
        <f t="shared" si="2"/>
        <v>354</v>
      </c>
      <c r="AD10" s="17">
        <f t="shared" si="2"/>
        <v>0</v>
      </c>
      <c r="AE10" s="31">
        <f t="shared" si="2"/>
        <v>276</v>
      </c>
      <c r="AF10" s="31">
        <f t="shared" si="2"/>
        <v>630</v>
      </c>
    </row>
    <row r="11" spans="2:32" s="6" customFormat="1" ht="23.1" customHeight="1" x14ac:dyDescent="0.25">
      <c r="B11" s="45" t="s">
        <v>38</v>
      </c>
      <c r="C11" s="50">
        <v>23</v>
      </c>
      <c r="D11" s="50">
        <v>3</v>
      </c>
      <c r="E11" s="50">
        <v>3</v>
      </c>
      <c r="F11" s="50">
        <v>23</v>
      </c>
      <c r="G11" s="50">
        <v>0</v>
      </c>
      <c r="H11" s="50">
        <v>1</v>
      </c>
      <c r="I11" s="50">
        <v>1</v>
      </c>
      <c r="J11" s="50">
        <v>0</v>
      </c>
      <c r="K11" s="50">
        <v>5</v>
      </c>
      <c r="L11" s="50">
        <v>1</v>
      </c>
      <c r="M11" s="50">
        <v>80</v>
      </c>
      <c r="N11" s="50">
        <v>0</v>
      </c>
      <c r="O11" s="15">
        <f t="shared" si="0"/>
        <v>60</v>
      </c>
      <c r="P11" s="15">
        <f t="shared" si="1"/>
        <v>140</v>
      </c>
      <c r="R11" s="1" t="s">
        <v>7</v>
      </c>
      <c r="S11" s="17">
        <f t="shared" ref="S11:AF11" si="3">SUM(C14:C17)</f>
        <v>79</v>
      </c>
      <c r="T11" s="17">
        <f t="shared" si="3"/>
        <v>16</v>
      </c>
      <c r="U11" s="17">
        <f t="shared" si="3"/>
        <v>11</v>
      </c>
      <c r="V11" s="17">
        <f t="shared" si="3"/>
        <v>103</v>
      </c>
      <c r="W11" s="17">
        <f t="shared" si="3"/>
        <v>8</v>
      </c>
      <c r="X11" s="17">
        <f t="shared" si="3"/>
        <v>1</v>
      </c>
      <c r="Y11" s="17">
        <f t="shared" si="3"/>
        <v>11</v>
      </c>
      <c r="Z11" s="17">
        <f t="shared" si="3"/>
        <v>8</v>
      </c>
      <c r="AA11" s="17">
        <f t="shared" si="3"/>
        <v>4</v>
      </c>
      <c r="AB11" s="17">
        <f t="shared" si="3"/>
        <v>3</v>
      </c>
      <c r="AC11" s="17">
        <f t="shared" si="3"/>
        <v>410</v>
      </c>
      <c r="AD11" s="17">
        <f t="shared" si="3"/>
        <v>0</v>
      </c>
      <c r="AE11" s="31">
        <f t="shared" si="3"/>
        <v>244</v>
      </c>
      <c r="AF11" s="31">
        <f t="shared" si="3"/>
        <v>654</v>
      </c>
    </row>
    <row r="12" spans="2:32" ht="23.1" customHeight="1" x14ac:dyDescent="0.25">
      <c r="B12" s="45" t="s">
        <v>39</v>
      </c>
      <c r="C12" s="50">
        <v>33</v>
      </c>
      <c r="D12" s="50">
        <v>3</v>
      </c>
      <c r="E12" s="50">
        <v>2</v>
      </c>
      <c r="F12" s="50">
        <v>24</v>
      </c>
      <c r="G12" s="50">
        <v>3</v>
      </c>
      <c r="H12" s="50">
        <v>1</v>
      </c>
      <c r="I12" s="50">
        <v>3</v>
      </c>
      <c r="J12" s="50">
        <v>0</v>
      </c>
      <c r="K12" s="50">
        <v>1</v>
      </c>
      <c r="L12" s="50">
        <v>1</v>
      </c>
      <c r="M12" s="50">
        <v>110</v>
      </c>
      <c r="N12" s="50">
        <v>0</v>
      </c>
      <c r="O12" s="15">
        <f t="shared" si="0"/>
        <v>71</v>
      </c>
      <c r="P12" s="15">
        <f t="shared" si="1"/>
        <v>181</v>
      </c>
      <c r="R12" s="1" t="s">
        <v>8</v>
      </c>
      <c r="S12" s="17">
        <f t="shared" ref="S12:AF12" si="4">SUM(C18:C21)</f>
        <v>87</v>
      </c>
      <c r="T12" s="17">
        <f t="shared" si="4"/>
        <v>11</v>
      </c>
      <c r="U12" s="17">
        <f t="shared" si="4"/>
        <v>13</v>
      </c>
      <c r="V12" s="17">
        <f t="shared" si="4"/>
        <v>82</v>
      </c>
      <c r="W12" s="17">
        <f t="shared" si="4"/>
        <v>3</v>
      </c>
      <c r="X12" s="17">
        <f t="shared" si="4"/>
        <v>1</v>
      </c>
      <c r="Y12" s="17">
        <f t="shared" si="4"/>
        <v>21</v>
      </c>
      <c r="Z12" s="17">
        <f t="shared" si="4"/>
        <v>9</v>
      </c>
      <c r="AA12" s="17">
        <f t="shared" si="4"/>
        <v>7</v>
      </c>
      <c r="AB12" s="17">
        <f t="shared" si="4"/>
        <v>3</v>
      </c>
      <c r="AC12" s="17">
        <f t="shared" si="4"/>
        <v>440</v>
      </c>
      <c r="AD12" s="17">
        <f t="shared" si="4"/>
        <v>0</v>
      </c>
      <c r="AE12" s="31">
        <f t="shared" si="4"/>
        <v>237</v>
      </c>
      <c r="AF12" s="31">
        <f t="shared" si="4"/>
        <v>677</v>
      </c>
    </row>
    <row r="13" spans="2:32" ht="23.1" customHeight="1" x14ac:dyDescent="0.25">
      <c r="B13" s="45" t="s">
        <v>40</v>
      </c>
      <c r="C13" s="50">
        <v>23</v>
      </c>
      <c r="D13" s="50">
        <v>10</v>
      </c>
      <c r="E13" s="50">
        <v>1</v>
      </c>
      <c r="F13" s="50">
        <v>35</v>
      </c>
      <c r="G13" s="50">
        <v>2</v>
      </c>
      <c r="H13" s="50">
        <v>1</v>
      </c>
      <c r="I13" s="50">
        <v>4</v>
      </c>
      <c r="J13" s="50">
        <v>0</v>
      </c>
      <c r="K13" s="50">
        <v>4</v>
      </c>
      <c r="L13" s="50">
        <v>1</v>
      </c>
      <c r="M13" s="50">
        <v>95</v>
      </c>
      <c r="N13" s="50">
        <v>0</v>
      </c>
      <c r="O13" s="15">
        <f t="shared" si="0"/>
        <v>81</v>
      </c>
      <c r="P13" s="15">
        <f t="shared" si="1"/>
        <v>176</v>
      </c>
      <c r="R13" s="1" t="s">
        <v>9</v>
      </c>
      <c r="S13" s="17">
        <f t="shared" ref="S13:AF13" si="5">SUM(C22:C25)</f>
        <v>83</v>
      </c>
      <c r="T13" s="17">
        <f t="shared" si="5"/>
        <v>18</v>
      </c>
      <c r="U13" s="17">
        <f t="shared" si="5"/>
        <v>21</v>
      </c>
      <c r="V13" s="17">
        <f t="shared" si="5"/>
        <v>78</v>
      </c>
      <c r="W13" s="17">
        <f t="shared" si="5"/>
        <v>2</v>
      </c>
      <c r="X13" s="17">
        <f t="shared" si="5"/>
        <v>0</v>
      </c>
      <c r="Y13" s="17">
        <f t="shared" si="5"/>
        <v>14</v>
      </c>
      <c r="Z13" s="17">
        <f t="shared" si="5"/>
        <v>5</v>
      </c>
      <c r="AA13" s="17">
        <f t="shared" si="5"/>
        <v>4</v>
      </c>
      <c r="AB13" s="17">
        <f t="shared" si="5"/>
        <v>0</v>
      </c>
      <c r="AC13" s="17">
        <f t="shared" si="5"/>
        <v>363</v>
      </c>
      <c r="AD13" s="17">
        <f t="shared" si="5"/>
        <v>0</v>
      </c>
      <c r="AE13" s="31">
        <f t="shared" si="5"/>
        <v>225</v>
      </c>
      <c r="AF13" s="31">
        <f t="shared" si="5"/>
        <v>588</v>
      </c>
    </row>
    <row r="14" spans="2:32" ht="23.1" customHeight="1" x14ac:dyDescent="0.25">
      <c r="B14" s="45" t="s">
        <v>41</v>
      </c>
      <c r="C14" s="50">
        <v>18</v>
      </c>
      <c r="D14" s="50">
        <v>6</v>
      </c>
      <c r="E14" s="50">
        <v>1</v>
      </c>
      <c r="F14" s="50">
        <v>30</v>
      </c>
      <c r="G14" s="50">
        <v>3</v>
      </c>
      <c r="H14" s="50">
        <v>0</v>
      </c>
      <c r="I14" s="50">
        <v>2</v>
      </c>
      <c r="J14" s="50">
        <v>2</v>
      </c>
      <c r="K14" s="50">
        <v>3</v>
      </c>
      <c r="L14" s="50">
        <v>0</v>
      </c>
      <c r="M14" s="50">
        <v>85</v>
      </c>
      <c r="N14" s="50">
        <v>0</v>
      </c>
      <c r="O14" s="15">
        <f t="shared" si="0"/>
        <v>65</v>
      </c>
      <c r="P14" s="15">
        <f t="shared" si="1"/>
        <v>150</v>
      </c>
      <c r="R14" s="1" t="s">
        <v>10</v>
      </c>
      <c r="S14" s="17">
        <f t="shared" ref="S14:AF14" si="6">SUM(C26:C29)</f>
        <v>127</v>
      </c>
      <c r="T14" s="17">
        <f t="shared" si="6"/>
        <v>20</v>
      </c>
      <c r="U14" s="17">
        <f t="shared" si="6"/>
        <v>26</v>
      </c>
      <c r="V14" s="17">
        <f t="shared" si="6"/>
        <v>78</v>
      </c>
      <c r="W14" s="17">
        <f t="shared" si="6"/>
        <v>2</v>
      </c>
      <c r="X14" s="17">
        <f t="shared" si="6"/>
        <v>1</v>
      </c>
      <c r="Y14" s="17">
        <f t="shared" si="6"/>
        <v>13</v>
      </c>
      <c r="Z14" s="17">
        <f t="shared" si="6"/>
        <v>4</v>
      </c>
      <c r="AA14" s="17">
        <f t="shared" si="6"/>
        <v>4</v>
      </c>
      <c r="AB14" s="17">
        <f t="shared" si="6"/>
        <v>0</v>
      </c>
      <c r="AC14" s="17">
        <f t="shared" si="6"/>
        <v>283</v>
      </c>
      <c r="AD14" s="17">
        <f t="shared" si="6"/>
        <v>0</v>
      </c>
      <c r="AE14" s="31">
        <f t="shared" si="6"/>
        <v>275</v>
      </c>
      <c r="AF14" s="31">
        <f t="shared" si="6"/>
        <v>558</v>
      </c>
    </row>
    <row r="15" spans="2:32" ht="23.1" customHeight="1" x14ac:dyDescent="0.25">
      <c r="B15" s="45" t="s">
        <v>42</v>
      </c>
      <c r="C15" s="50">
        <v>24</v>
      </c>
      <c r="D15" s="50">
        <v>3</v>
      </c>
      <c r="E15" s="50">
        <v>4</v>
      </c>
      <c r="F15" s="50">
        <v>29</v>
      </c>
      <c r="G15" s="50">
        <v>1</v>
      </c>
      <c r="H15" s="50">
        <v>0</v>
      </c>
      <c r="I15" s="50">
        <v>1</v>
      </c>
      <c r="J15" s="50">
        <v>0</v>
      </c>
      <c r="K15" s="50">
        <v>1</v>
      </c>
      <c r="L15" s="50">
        <v>0</v>
      </c>
      <c r="M15" s="50">
        <v>90</v>
      </c>
      <c r="N15" s="50">
        <v>0</v>
      </c>
      <c r="O15" s="15">
        <f t="shared" si="0"/>
        <v>63</v>
      </c>
      <c r="P15" s="15">
        <f t="shared" si="1"/>
        <v>153</v>
      </c>
      <c r="R15" s="1" t="s">
        <v>11</v>
      </c>
      <c r="S15" s="17">
        <f t="shared" ref="S15:AF15" si="7">SUM(C30:C33)</f>
        <v>106</v>
      </c>
      <c r="T15" s="17">
        <f t="shared" si="7"/>
        <v>21</v>
      </c>
      <c r="U15" s="17">
        <f t="shared" si="7"/>
        <v>21</v>
      </c>
      <c r="V15" s="17">
        <f t="shared" si="7"/>
        <v>78</v>
      </c>
      <c r="W15" s="17">
        <f t="shared" si="7"/>
        <v>0</v>
      </c>
      <c r="X15" s="17">
        <f t="shared" si="7"/>
        <v>0</v>
      </c>
      <c r="Y15" s="17">
        <f t="shared" si="7"/>
        <v>21</v>
      </c>
      <c r="Z15" s="17">
        <f t="shared" si="7"/>
        <v>11</v>
      </c>
      <c r="AA15" s="17">
        <f t="shared" si="7"/>
        <v>2</v>
      </c>
      <c r="AB15" s="17">
        <f t="shared" si="7"/>
        <v>2</v>
      </c>
      <c r="AC15" s="17">
        <f t="shared" si="7"/>
        <v>325</v>
      </c>
      <c r="AD15" s="17">
        <f t="shared" si="7"/>
        <v>0</v>
      </c>
      <c r="AE15" s="31">
        <f t="shared" si="7"/>
        <v>262</v>
      </c>
      <c r="AF15" s="31">
        <f t="shared" si="7"/>
        <v>587</v>
      </c>
    </row>
    <row r="16" spans="2:32" ht="23.1" customHeight="1" x14ac:dyDescent="0.25">
      <c r="B16" s="45" t="s">
        <v>43</v>
      </c>
      <c r="C16" s="50">
        <v>18</v>
      </c>
      <c r="D16" s="50">
        <v>2</v>
      </c>
      <c r="E16" s="50">
        <v>4</v>
      </c>
      <c r="F16" s="50">
        <v>22</v>
      </c>
      <c r="G16" s="50">
        <v>2</v>
      </c>
      <c r="H16" s="50">
        <v>1</v>
      </c>
      <c r="I16" s="50">
        <v>7</v>
      </c>
      <c r="J16" s="50">
        <v>2</v>
      </c>
      <c r="K16" s="50">
        <v>0</v>
      </c>
      <c r="L16" s="50">
        <v>3</v>
      </c>
      <c r="M16" s="50">
        <v>130</v>
      </c>
      <c r="N16" s="50">
        <v>0</v>
      </c>
      <c r="O16" s="15">
        <f t="shared" si="0"/>
        <v>61</v>
      </c>
      <c r="P16" s="15">
        <f t="shared" si="1"/>
        <v>191</v>
      </c>
      <c r="R16" s="1" t="s">
        <v>12</v>
      </c>
      <c r="S16" s="17">
        <f t="shared" ref="S16:AF16" si="8">SUM(C34:C37)</f>
        <v>146</v>
      </c>
      <c r="T16" s="17">
        <f t="shared" si="8"/>
        <v>17</v>
      </c>
      <c r="U16" s="17">
        <f t="shared" si="8"/>
        <v>26</v>
      </c>
      <c r="V16" s="17">
        <f t="shared" si="8"/>
        <v>81</v>
      </c>
      <c r="W16" s="17">
        <f t="shared" si="8"/>
        <v>3</v>
      </c>
      <c r="X16" s="17">
        <f t="shared" si="8"/>
        <v>1</v>
      </c>
      <c r="Y16" s="17">
        <f t="shared" si="8"/>
        <v>33</v>
      </c>
      <c r="Z16" s="17">
        <f t="shared" si="8"/>
        <v>12</v>
      </c>
      <c r="AA16" s="17">
        <f t="shared" si="8"/>
        <v>3</v>
      </c>
      <c r="AB16" s="17">
        <f t="shared" si="8"/>
        <v>2</v>
      </c>
      <c r="AC16" s="17">
        <f t="shared" si="8"/>
        <v>505</v>
      </c>
      <c r="AD16" s="17">
        <f t="shared" si="8"/>
        <v>0</v>
      </c>
      <c r="AE16" s="31">
        <f t="shared" si="8"/>
        <v>324</v>
      </c>
      <c r="AF16" s="31">
        <f t="shared" si="8"/>
        <v>829</v>
      </c>
    </row>
    <row r="17" spans="2:32" ht="23.1" customHeight="1" x14ac:dyDescent="0.25">
      <c r="B17" s="45" t="s">
        <v>44</v>
      </c>
      <c r="C17" s="50">
        <v>19</v>
      </c>
      <c r="D17" s="50">
        <v>5</v>
      </c>
      <c r="E17" s="50">
        <v>2</v>
      </c>
      <c r="F17" s="50">
        <v>22</v>
      </c>
      <c r="G17" s="50">
        <v>2</v>
      </c>
      <c r="H17" s="50">
        <v>0</v>
      </c>
      <c r="I17" s="50">
        <v>1</v>
      </c>
      <c r="J17" s="50">
        <v>4</v>
      </c>
      <c r="K17" s="50">
        <v>0</v>
      </c>
      <c r="L17" s="50">
        <v>0</v>
      </c>
      <c r="M17" s="50">
        <v>105</v>
      </c>
      <c r="N17" s="50">
        <v>0</v>
      </c>
      <c r="O17" s="15">
        <f t="shared" si="0"/>
        <v>55</v>
      </c>
      <c r="P17" s="15">
        <f t="shared" si="1"/>
        <v>160</v>
      </c>
      <c r="R17" s="1" t="s">
        <v>13</v>
      </c>
      <c r="S17" s="17">
        <f t="shared" ref="S17:AF17" si="9">SUM(C38:C41)</f>
        <v>149</v>
      </c>
      <c r="T17" s="17">
        <f t="shared" si="9"/>
        <v>29</v>
      </c>
      <c r="U17" s="17">
        <f t="shared" si="9"/>
        <v>19</v>
      </c>
      <c r="V17" s="17">
        <f t="shared" si="9"/>
        <v>48</v>
      </c>
      <c r="W17" s="17">
        <f t="shared" si="9"/>
        <v>1</v>
      </c>
      <c r="X17" s="17">
        <f t="shared" si="9"/>
        <v>2</v>
      </c>
      <c r="Y17" s="17">
        <f t="shared" si="9"/>
        <v>23</v>
      </c>
      <c r="Z17" s="17">
        <f t="shared" si="9"/>
        <v>12</v>
      </c>
      <c r="AA17" s="17">
        <f t="shared" si="9"/>
        <v>2</v>
      </c>
      <c r="AB17" s="17">
        <f t="shared" si="9"/>
        <v>1</v>
      </c>
      <c r="AC17" s="17">
        <f t="shared" si="9"/>
        <v>472</v>
      </c>
      <c r="AD17" s="17">
        <f t="shared" si="9"/>
        <v>0</v>
      </c>
      <c r="AE17" s="31">
        <f t="shared" si="9"/>
        <v>286</v>
      </c>
      <c r="AF17" s="31">
        <f t="shared" si="9"/>
        <v>758</v>
      </c>
    </row>
    <row r="18" spans="2:32" ht="23.1" customHeight="1" x14ac:dyDescent="0.25">
      <c r="B18" s="45" t="s">
        <v>45</v>
      </c>
      <c r="C18" s="50">
        <v>15</v>
      </c>
      <c r="D18" s="50">
        <v>3</v>
      </c>
      <c r="E18" s="50">
        <v>5</v>
      </c>
      <c r="F18" s="50">
        <v>22</v>
      </c>
      <c r="G18" s="50">
        <v>0</v>
      </c>
      <c r="H18" s="50">
        <v>0</v>
      </c>
      <c r="I18" s="50">
        <v>3</v>
      </c>
      <c r="J18" s="50">
        <v>3</v>
      </c>
      <c r="K18" s="50">
        <v>4</v>
      </c>
      <c r="L18" s="50">
        <v>0</v>
      </c>
      <c r="M18" s="50">
        <v>120</v>
      </c>
      <c r="N18" s="50">
        <v>0</v>
      </c>
      <c r="O18" s="15">
        <f t="shared" si="0"/>
        <v>55</v>
      </c>
      <c r="P18" s="15">
        <f t="shared" si="1"/>
        <v>175</v>
      </c>
      <c r="R18" s="1" t="s">
        <v>14</v>
      </c>
      <c r="S18" s="17">
        <f t="shared" ref="S18:AF18" si="10">SUM(C42:C45)</f>
        <v>162</v>
      </c>
      <c r="T18" s="17">
        <f t="shared" si="10"/>
        <v>20</v>
      </c>
      <c r="U18" s="17">
        <f t="shared" si="10"/>
        <v>28</v>
      </c>
      <c r="V18" s="17">
        <f t="shared" si="10"/>
        <v>70</v>
      </c>
      <c r="W18" s="17">
        <f t="shared" si="10"/>
        <v>0</v>
      </c>
      <c r="X18" s="17">
        <f t="shared" si="10"/>
        <v>0</v>
      </c>
      <c r="Y18" s="17">
        <f t="shared" si="10"/>
        <v>15</v>
      </c>
      <c r="Z18" s="17">
        <f t="shared" si="10"/>
        <v>7</v>
      </c>
      <c r="AA18" s="17">
        <f t="shared" si="10"/>
        <v>4</v>
      </c>
      <c r="AB18" s="17">
        <f t="shared" si="10"/>
        <v>2</v>
      </c>
      <c r="AC18" s="17">
        <f t="shared" si="10"/>
        <v>367</v>
      </c>
      <c r="AD18" s="17">
        <f t="shared" si="10"/>
        <v>0</v>
      </c>
      <c r="AE18" s="31">
        <f t="shared" si="10"/>
        <v>308</v>
      </c>
      <c r="AF18" s="31">
        <f t="shared" si="10"/>
        <v>675</v>
      </c>
    </row>
    <row r="19" spans="2:32" ht="23.1" customHeight="1" x14ac:dyDescent="0.25">
      <c r="B19" s="45" t="s">
        <v>46</v>
      </c>
      <c r="C19" s="50">
        <v>21</v>
      </c>
      <c r="D19" s="50">
        <v>3</v>
      </c>
      <c r="E19" s="50">
        <v>3</v>
      </c>
      <c r="F19" s="50">
        <v>19</v>
      </c>
      <c r="G19" s="50">
        <v>0</v>
      </c>
      <c r="H19" s="50">
        <v>0</v>
      </c>
      <c r="I19" s="50">
        <v>5</v>
      </c>
      <c r="J19" s="50">
        <v>2</v>
      </c>
      <c r="K19" s="50">
        <v>0</v>
      </c>
      <c r="L19" s="50">
        <v>1</v>
      </c>
      <c r="M19" s="50">
        <v>110</v>
      </c>
      <c r="N19" s="50">
        <v>0</v>
      </c>
      <c r="O19" s="15">
        <f t="shared" si="0"/>
        <v>54</v>
      </c>
      <c r="P19" s="15">
        <f t="shared" si="1"/>
        <v>164</v>
      </c>
      <c r="R19" s="1" t="s">
        <v>15</v>
      </c>
      <c r="S19" s="17">
        <f t="shared" ref="S19:AF19" si="11">SUM(C46:C49)</f>
        <v>365</v>
      </c>
      <c r="T19" s="17">
        <f t="shared" si="11"/>
        <v>26</v>
      </c>
      <c r="U19" s="17">
        <f t="shared" si="11"/>
        <v>24</v>
      </c>
      <c r="V19" s="17">
        <f t="shared" si="11"/>
        <v>83</v>
      </c>
      <c r="W19" s="17">
        <f t="shared" si="11"/>
        <v>1</v>
      </c>
      <c r="X19" s="17">
        <f t="shared" si="11"/>
        <v>0</v>
      </c>
      <c r="Y19" s="17">
        <f t="shared" si="11"/>
        <v>21</v>
      </c>
      <c r="Z19" s="17">
        <f t="shared" si="11"/>
        <v>12</v>
      </c>
      <c r="AA19" s="17">
        <f t="shared" si="11"/>
        <v>5</v>
      </c>
      <c r="AB19" s="17">
        <f t="shared" si="11"/>
        <v>1</v>
      </c>
      <c r="AC19" s="17">
        <f t="shared" si="11"/>
        <v>639</v>
      </c>
      <c r="AD19" s="17">
        <f t="shared" si="11"/>
        <v>0</v>
      </c>
      <c r="AE19" s="31">
        <f t="shared" si="11"/>
        <v>538</v>
      </c>
      <c r="AF19" s="31">
        <f t="shared" si="11"/>
        <v>1177</v>
      </c>
    </row>
    <row r="20" spans="2:32" ht="23.1" customHeight="1" x14ac:dyDescent="0.25">
      <c r="B20" s="45" t="s">
        <v>47</v>
      </c>
      <c r="C20" s="50">
        <v>28</v>
      </c>
      <c r="D20" s="50">
        <v>1</v>
      </c>
      <c r="E20" s="50">
        <v>4</v>
      </c>
      <c r="F20" s="50">
        <v>27</v>
      </c>
      <c r="G20" s="50">
        <v>3</v>
      </c>
      <c r="H20" s="50">
        <v>1</v>
      </c>
      <c r="I20" s="50">
        <v>8</v>
      </c>
      <c r="J20" s="50">
        <v>2</v>
      </c>
      <c r="K20" s="50">
        <v>1</v>
      </c>
      <c r="L20" s="50">
        <v>0</v>
      </c>
      <c r="M20" s="50">
        <v>125</v>
      </c>
      <c r="N20" s="50">
        <v>0</v>
      </c>
      <c r="O20" s="15">
        <f t="shared" si="0"/>
        <v>75</v>
      </c>
      <c r="P20" s="15">
        <f t="shared" si="1"/>
        <v>200</v>
      </c>
      <c r="R20" s="1" t="s">
        <v>16</v>
      </c>
      <c r="S20" s="17">
        <f t="shared" ref="S20:AF20" si="12">SUM(C50:C53)</f>
        <v>313</v>
      </c>
      <c r="T20" s="17">
        <f t="shared" si="12"/>
        <v>52</v>
      </c>
      <c r="U20" s="17">
        <f t="shared" si="12"/>
        <v>32</v>
      </c>
      <c r="V20" s="17">
        <f t="shared" si="12"/>
        <v>79</v>
      </c>
      <c r="W20" s="17">
        <f t="shared" si="12"/>
        <v>2</v>
      </c>
      <c r="X20" s="17">
        <f t="shared" si="12"/>
        <v>1</v>
      </c>
      <c r="Y20" s="17">
        <f t="shared" si="12"/>
        <v>19</v>
      </c>
      <c r="Z20" s="17">
        <f t="shared" si="12"/>
        <v>6</v>
      </c>
      <c r="AA20" s="17">
        <f t="shared" si="12"/>
        <v>1</v>
      </c>
      <c r="AB20" s="17">
        <f t="shared" si="12"/>
        <v>1</v>
      </c>
      <c r="AC20" s="17">
        <f t="shared" si="12"/>
        <v>595</v>
      </c>
      <c r="AD20" s="17">
        <f t="shared" si="12"/>
        <v>0</v>
      </c>
      <c r="AE20" s="31">
        <f t="shared" si="12"/>
        <v>506</v>
      </c>
      <c r="AF20" s="31">
        <f t="shared" si="12"/>
        <v>1101</v>
      </c>
    </row>
    <row r="21" spans="2:32" ht="23.1" customHeight="1" x14ac:dyDescent="0.25">
      <c r="B21" s="45" t="s">
        <v>48</v>
      </c>
      <c r="C21" s="50">
        <v>23</v>
      </c>
      <c r="D21" s="50">
        <v>4</v>
      </c>
      <c r="E21" s="50">
        <v>1</v>
      </c>
      <c r="F21" s="50">
        <v>14</v>
      </c>
      <c r="G21" s="50">
        <v>0</v>
      </c>
      <c r="H21" s="50">
        <v>0</v>
      </c>
      <c r="I21" s="50">
        <v>5</v>
      </c>
      <c r="J21" s="50">
        <v>2</v>
      </c>
      <c r="K21" s="50">
        <v>2</v>
      </c>
      <c r="L21" s="50">
        <v>2</v>
      </c>
      <c r="M21" s="50">
        <v>85</v>
      </c>
      <c r="N21" s="50">
        <v>0</v>
      </c>
      <c r="O21" s="15">
        <f t="shared" si="0"/>
        <v>53</v>
      </c>
      <c r="P21" s="15">
        <f t="shared" si="1"/>
        <v>138</v>
      </c>
      <c r="R21" s="36" t="s">
        <v>20</v>
      </c>
      <c r="S21" s="34">
        <f t="shared" ref="S21:AF21" si="13">SUM(C54:C57)</f>
        <v>449</v>
      </c>
      <c r="T21" s="17">
        <f t="shared" si="13"/>
        <v>82</v>
      </c>
      <c r="U21" s="17">
        <f t="shared" si="13"/>
        <v>42</v>
      </c>
      <c r="V21" s="17">
        <f t="shared" si="13"/>
        <v>117</v>
      </c>
      <c r="W21" s="17">
        <f t="shared" si="13"/>
        <v>1</v>
      </c>
      <c r="X21" s="17">
        <f t="shared" si="13"/>
        <v>2</v>
      </c>
      <c r="Y21" s="17">
        <f t="shared" si="13"/>
        <v>19</v>
      </c>
      <c r="Z21" s="17">
        <f t="shared" si="13"/>
        <v>9</v>
      </c>
      <c r="AA21" s="17">
        <f t="shared" si="13"/>
        <v>3</v>
      </c>
      <c r="AB21" s="17">
        <f t="shared" si="13"/>
        <v>0</v>
      </c>
      <c r="AC21" s="17">
        <f t="shared" si="13"/>
        <v>644</v>
      </c>
      <c r="AD21" s="17">
        <f t="shared" si="13"/>
        <v>0</v>
      </c>
      <c r="AE21" s="31">
        <f t="shared" si="13"/>
        <v>724</v>
      </c>
      <c r="AF21" s="31">
        <f t="shared" si="13"/>
        <v>1368</v>
      </c>
    </row>
    <row r="22" spans="2:32" ht="23.1" customHeight="1" x14ac:dyDescent="0.25">
      <c r="B22" s="45" t="s">
        <v>49</v>
      </c>
      <c r="C22" s="50">
        <v>15</v>
      </c>
      <c r="D22" s="50">
        <v>4</v>
      </c>
      <c r="E22" s="50">
        <v>7</v>
      </c>
      <c r="F22" s="50">
        <v>19</v>
      </c>
      <c r="G22" s="50">
        <v>0</v>
      </c>
      <c r="H22" s="50">
        <v>0</v>
      </c>
      <c r="I22" s="50">
        <v>4</v>
      </c>
      <c r="J22" s="50">
        <v>0</v>
      </c>
      <c r="K22" s="50">
        <v>0</v>
      </c>
      <c r="L22" s="50">
        <v>0</v>
      </c>
      <c r="M22" s="50">
        <v>100</v>
      </c>
      <c r="N22" s="50">
        <v>0</v>
      </c>
      <c r="O22" s="15">
        <f t="shared" si="0"/>
        <v>49</v>
      </c>
      <c r="P22" s="15">
        <f t="shared" si="1"/>
        <v>149</v>
      </c>
      <c r="R22" s="36" t="s">
        <v>146</v>
      </c>
      <c r="S22" s="34">
        <f>SUM(C58:C61)</f>
        <v>409</v>
      </c>
      <c r="T22" s="34">
        <f t="shared" ref="T22:AF22" si="14">SUM(D58:D61)</f>
        <v>60</v>
      </c>
      <c r="U22" s="34">
        <f t="shared" si="14"/>
        <v>38</v>
      </c>
      <c r="V22" s="34">
        <f t="shared" si="14"/>
        <v>143</v>
      </c>
      <c r="W22" s="34">
        <f t="shared" si="14"/>
        <v>3</v>
      </c>
      <c r="X22" s="34">
        <f t="shared" si="14"/>
        <v>0</v>
      </c>
      <c r="Y22" s="34">
        <f t="shared" si="14"/>
        <v>19</v>
      </c>
      <c r="Z22" s="34">
        <f t="shared" si="14"/>
        <v>11</v>
      </c>
      <c r="AA22" s="34">
        <f t="shared" si="14"/>
        <v>0</v>
      </c>
      <c r="AB22" s="34">
        <f t="shared" si="14"/>
        <v>1</v>
      </c>
      <c r="AC22" s="34">
        <f t="shared" si="14"/>
        <v>715</v>
      </c>
      <c r="AD22" s="34">
        <f t="shared" si="14"/>
        <v>0</v>
      </c>
      <c r="AE22" s="31">
        <f t="shared" si="14"/>
        <v>684</v>
      </c>
      <c r="AF22" s="31">
        <f t="shared" si="14"/>
        <v>1399</v>
      </c>
    </row>
    <row r="23" spans="2:32" ht="23.1" customHeight="1" x14ac:dyDescent="0.25">
      <c r="B23" s="45" t="s">
        <v>50</v>
      </c>
      <c r="C23" s="50">
        <v>33</v>
      </c>
      <c r="D23" s="50">
        <v>3</v>
      </c>
      <c r="E23" s="50">
        <v>3</v>
      </c>
      <c r="F23" s="50">
        <v>23</v>
      </c>
      <c r="G23" s="50">
        <v>1</v>
      </c>
      <c r="H23" s="50">
        <v>0</v>
      </c>
      <c r="I23" s="50">
        <v>6</v>
      </c>
      <c r="J23" s="50">
        <v>1</v>
      </c>
      <c r="K23" s="50">
        <v>1</v>
      </c>
      <c r="L23" s="50">
        <v>0</v>
      </c>
      <c r="M23" s="50">
        <v>73</v>
      </c>
      <c r="N23" s="50">
        <v>0</v>
      </c>
      <c r="O23" s="15">
        <f t="shared" si="0"/>
        <v>71</v>
      </c>
      <c r="P23" s="15">
        <f t="shared" si="1"/>
        <v>144</v>
      </c>
      <c r="R23" s="36" t="s">
        <v>147</v>
      </c>
      <c r="S23" s="34">
        <f>SUM(C62:C65)</f>
        <v>412</v>
      </c>
      <c r="T23" s="34">
        <f t="shared" ref="T23:AF23" si="15">SUM(D62:D65)</f>
        <v>28</v>
      </c>
      <c r="U23" s="34">
        <f t="shared" si="15"/>
        <v>27</v>
      </c>
      <c r="V23" s="34">
        <f t="shared" si="15"/>
        <v>160</v>
      </c>
      <c r="W23" s="34">
        <f t="shared" si="15"/>
        <v>3</v>
      </c>
      <c r="X23" s="34">
        <f t="shared" si="15"/>
        <v>1</v>
      </c>
      <c r="Y23" s="34">
        <f t="shared" si="15"/>
        <v>9</v>
      </c>
      <c r="Z23" s="34">
        <f t="shared" si="15"/>
        <v>7</v>
      </c>
      <c r="AA23" s="34">
        <f t="shared" si="15"/>
        <v>2</v>
      </c>
      <c r="AB23" s="34">
        <f t="shared" si="15"/>
        <v>3</v>
      </c>
      <c r="AC23" s="34">
        <f t="shared" si="15"/>
        <v>623</v>
      </c>
      <c r="AD23" s="34">
        <f t="shared" si="15"/>
        <v>0</v>
      </c>
      <c r="AE23" s="31">
        <f t="shared" si="15"/>
        <v>652</v>
      </c>
      <c r="AF23" s="31">
        <f t="shared" si="15"/>
        <v>1275</v>
      </c>
    </row>
    <row r="24" spans="2:32" ht="23.1" customHeight="1" x14ac:dyDescent="0.25">
      <c r="B24" s="45" t="s">
        <v>51</v>
      </c>
      <c r="C24" s="50">
        <v>20</v>
      </c>
      <c r="D24" s="50">
        <v>3</v>
      </c>
      <c r="E24" s="50">
        <v>5</v>
      </c>
      <c r="F24" s="50">
        <v>20</v>
      </c>
      <c r="G24" s="50">
        <v>1</v>
      </c>
      <c r="H24" s="50">
        <v>0</v>
      </c>
      <c r="I24" s="50">
        <v>3</v>
      </c>
      <c r="J24" s="50">
        <v>4</v>
      </c>
      <c r="K24" s="50">
        <v>1</v>
      </c>
      <c r="L24" s="50">
        <v>0</v>
      </c>
      <c r="M24" s="50">
        <v>105</v>
      </c>
      <c r="N24" s="50">
        <v>0</v>
      </c>
      <c r="O24" s="15">
        <f t="shared" si="0"/>
        <v>57</v>
      </c>
      <c r="P24" s="15">
        <f t="shared" si="1"/>
        <v>162</v>
      </c>
      <c r="R24" s="36" t="s">
        <v>148</v>
      </c>
      <c r="S24" s="34">
        <f>SUM(C66:C69)</f>
        <v>408</v>
      </c>
      <c r="T24" s="34">
        <f t="shared" ref="T24:AF24" si="16">SUM(D66:D69)</f>
        <v>27</v>
      </c>
      <c r="U24" s="34">
        <f t="shared" si="16"/>
        <v>33</v>
      </c>
      <c r="V24" s="34">
        <f t="shared" si="16"/>
        <v>168</v>
      </c>
      <c r="W24" s="34">
        <f t="shared" si="16"/>
        <v>2</v>
      </c>
      <c r="X24" s="34">
        <f t="shared" si="16"/>
        <v>3</v>
      </c>
      <c r="Y24" s="34">
        <f t="shared" si="16"/>
        <v>11</v>
      </c>
      <c r="Z24" s="34">
        <f t="shared" si="16"/>
        <v>7</v>
      </c>
      <c r="AA24" s="34">
        <f t="shared" si="16"/>
        <v>3</v>
      </c>
      <c r="AB24" s="34">
        <f t="shared" si="16"/>
        <v>1</v>
      </c>
      <c r="AC24" s="34">
        <f t="shared" si="16"/>
        <v>432</v>
      </c>
      <c r="AD24" s="34">
        <f t="shared" si="16"/>
        <v>0</v>
      </c>
      <c r="AE24" s="31">
        <f t="shared" si="16"/>
        <v>663</v>
      </c>
      <c r="AF24" s="31">
        <f t="shared" si="16"/>
        <v>1095</v>
      </c>
    </row>
    <row r="25" spans="2:32" ht="23.1" customHeight="1" x14ac:dyDescent="0.25">
      <c r="B25" s="45" t="s">
        <v>52</v>
      </c>
      <c r="C25" s="50">
        <v>15</v>
      </c>
      <c r="D25" s="50">
        <v>8</v>
      </c>
      <c r="E25" s="50">
        <v>6</v>
      </c>
      <c r="F25" s="50">
        <v>16</v>
      </c>
      <c r="G25" s="50">
        <v>0</v>
      </c>
      <c r="H25" s="50">
        <v>0</v>
      </c>
      <c r="I25" s="50">
        <v>1</v>
      </c>
      <c r="J25" s="50">
        <v>0</v>
      </c>
      <c r="K25" s="50">
        <v>2</v>
      </c>
      <c r="L25" s="50">
        <v>0</v>
      </c>
      <c r="M25" s="50">
        <v>85</v>
      </c>
      <c r="N25" s="50">
        <v>0</v>
      </c>
      <c r="O25" s="15">
        <f t="shared" si="0"/>
        <v>48</v>
      </c>
      <c r="P25" s="15">
        <f t="shared" si="1"/>
        <v>133</v>
      </c>
      <c r="R25" s="36" t="s">
        <v>149</v>
      </c>
      <c r="S25" s="34">
        <f>SUM(C70:C73)</f>
        <v>249</v>
      </c>
      <c r="T25" s="34">
        <f t="shared" ref="T25:AF25" si="17">SUM(D70:D73)</f>
        <v>48</v>
      </c>
      <c r="U25" s="34">
        <f t="shared" si="17"/>
        <v>30</v>
      </c>
      <c r="V25" s="34">
        <f t="shared" si="17"/>
        <v>104</v>
      </c>
      <c r="W25" s="34">
        <f t="shared" si="17"/>
        <v>1</v>
      </c>
      <c r="X25" s="34">
        <f t="shared" si="17"/>
        <v>0</v>
      </c>
      <c r="Y25" s="34">
        <f t="shared" si="17"/>
        <v>11</v>
      </c>
      <c r="Z25" s="34">
        <f t="shared" si="17"/>
        <v>4</v>
      </c>
      <c r="AA25" s="34">
        <f t="shared" si="17"/>
        <v>2</v>
      </c>
      <c r="AB25" s="34">
        <f t="shared" si="17"/>
        <v>1</v>
      </c>
      <c r="AC25" s="34">
        <f t="shared" si="17"/>
        <v>345</v>
      </c>
      <c r="AD25" s="34">
        <f t="shared" si="17"/>
        <v>0</v>
      </c>
      <c r="AE25" s="31">
        <f t="shared" si="17"/>
        <v>450</v>
      </c>
      <c r="AF25" s="31">
        <f t="shared" si="17"/>
        <v>795</v>
      </c>
    </row>
    <row r="26" spans="2:32" ht="23.1" customHeight="1" x14ac:dyDescent="0.25">
      <c r="B26" s="45" t="s">
        <v>53</v>
      </c>
      <c r="C26" s="50">
        <v>19</v>
      </c>
      <c r="D26" s="50">
        <v>6</v>
      </c>
      <c r="E26" s="50">
        <v>6</v>
      </c>
      <c r="F26" s="50">
        <v>21</v>
      </c>
      <c r="G26" s="50">
        <v>0</v>
      </c>
      <c r="H26" s="50">
        <v>0</v>
      </c>
      <c r="I26" s="50">
        <v>4</v>
      </c>
      <c r="J26" s="50">
        <v>1</v>
      </c>
      <c r="K26" s="50">
        <v>0</v>
      </c>
      <c r="L26" s="50">
        <v>0</v>
      </c>
      <c r="M26" s="50">
        <v>73</v>
      </c>
      <c r="N26" s="50">
        <v>0</v>
      </c>
      <c r="O26" s="15">
        <f t="shared" si="0"/>
        <v>57</v>
      </c>
      <c r="P26" s="15">
        <f t="shared" si="1"/>
        <v>130</v>
      </c>
      <c r="R26" s="36" t="s">
        <v>150</v>
      </c>
      <c r="S26" s="34">
        <f>SUM(C74:C77)</f>
        <v>159</v>
      </c>
      <c r="T26" s="34">
        <f t="shared" ref="T26:AF26" si="18">SUM(D74:D77)</f>
        <v>20</v>
      </c>
      <c r="U26" s="34">
        <f t="shared" si="18"/>
        <v>16</v>
      </c>
      <c r="V26" s="34">
        <f t="shared" si="18"/>
        <v>39</v>
      </c>
      <c r="W26" s="34">
        <f t="shared" si="18"/>
        <v>0</v>
      </c>
      <c r="X26" s="34">
        <f t="shared" si="18"/>
        <v>1</v>
      </c>
      <c r="Y26" s="34">
        <f t="shared" si="18"/>
        <v>11</v>
      </c>
      <c r="Z26" s="34">
        <f t="shared" si="18"/>
        <v>3</v>
      </c>
      <c r="AA26" s="34">
        <f t="shared" si="18"/>
        <v>2</v>
      </c>
      <c r="AB26" s="34">
        <f t="shared" si="18"/>
        <v>1</v>
      </c>
      <c r="AC26" s="34">
        <f t="shared" si="18"/>
        <v>292</v>
      </c>
      <c r="AD26" s="34">
        <f t="shared" si="18"/>
        <v>0</v>
      </c>
      <c r="AE26" s="31">
        <f t="shared" si="18"/>
        <v>252</v>
      </c>
      <c r="AF26" s="31">
        <f t="shared" si="18"/>
        <v>544</v>
      </c>
    </row>
    <row r="27" spans="2:32" ht="23.1" customHeight="1" x14ac:dyDescent="0.25">
      <c r="B27" s="45" t="s">
        <v>54</v>
      </c>
      <c r="C27" s="50">
        <v>44</v>
      </c>
      <c r="D27" s="50">
        <v>4</v>
      </c>
      <c r="E27" s="50">
        <v>5</v>
      </c>
      <c r="F27" s="50">
        <v>20</v>
      </c>
      <c r="G27" s="50">
        <v>2</v>
      </c>
      <c r="H27" s="50">
        <v>0</v>
      </c>
      <c r="I27" s="50">
        <v>2</v>
      </c>
      <c r="J27" s="50">
        <v>0</v>
      </c>
      <c r="K27" s="50">
        <v>3</v>
      </c>
      <c r="L27" s="50">
        <v>0</v>
      </c>
      <c r="M27" s="50">
        <v>70</v>
      </c>
      <c r="N27" s="50">
        <v>0</v>
      </c>
      <c r="O27" s="15">
        <f t="shared" si="0"/>
        <v>80</v>
      </c>
      <c r="P27" s="15">
        <f t="shared" si="1"/>
        <v>150</v>
      </c>
      <c r="R27" s="36" t="s">
        <v>151</v>
      </c>
      <c r="S27" s="34">
        <f>SUM(C78:C81)</f>
        <v>142</v>
      </c>
      <c r="T27" s="34">
        <f t="shared" ref="T27:AF27" si="19">SUM(D78:D81)</f>
        <v>10</v>
      </c>
      <c r="U27" s="34">
        <f t="shared" si="19"/>
        <v>13</v>
      </c>
      <c r="V27" s="34">
        <f t="shared" si="19"/>
        <v>16</v>
      </c>
      <c r="W27" s="34">
        <f t="shared" si="19"/>
        <v>0</v>
      </c>
      <c r="X27" s="34">
        <f t="shared" si="19"/>
        <v>0</v>
      </c>
      <c r="Y27" s="34">
        <f t="shared" si="19"/>
        <v>4</v>
      </c>
      <c r="Z27" s="34">
        <f t="shared" si="19"/>
        <v>2</v>
      </c>
      <c r="AA27" s="34">
        <f t="shared" si="19"/>
        <v>2</v>
      </c>
      <c r="AB27" s="34">
        <f t="shared" si="19"/>
        <v>0</v>
      </c>
      <c r="AC27" s="34">
        <f t="shared" si="19"/>
        <v>255</v>
      </c>
      <c r="AD27" s="34">
        <f t="shared" si="19"/>
        <v>0</v>
      </c>
      <c r="AE27" s="31">
        <f t="shared" si="19"/>
        <v>189</v>
      </c>
      <c r="AF27" s="31">
        <f t="shared" si="19"/>
        <v>444</v>
      </c>
    </row>
    <row r="28" spans="2:32" ht="23.1" customHeight="1" x14ac:dyDescent="0.25">
      <c r="B28" s="45" t="s">
        <v>55</v>
      </c>
      <c r="C28" s="50">
        <v>30</v>
      </c>
      <c r="D28" s="50">
        <v>0</v>
      </c>
      <c r="E28" s="50">
        <v>8</v>
      </c>
      <c r="F28" s="50">
        <v>11</v>
      </c>
      <c r="G28" s="50">
        <v>0</v>
      </c>
      <c r="H28" s="50">
        <v>0</v>
      </c>
      <c r="I28" s="50">
        <v>3</v>
      </c>
      <c r="J28" s="50">
        <v>1</v>
      </c>
      <c r="K28" s="50">
        <v>0</v>
      </c>
      <c r="L28" s="50">
        <v>0</v>
      </c>
      <c r="M28" s="50">
        <v>55</v>
      </c>
      <c r="N28" s="50">
        <v>0</v>
      </c>
      <c r="O28" s="15">
        <f t="shared" si="0"/>
        <v>53</v>
      </c>
      <c r="P28" s="15">
        <f t="shared" si="1"/>
        <v>108</v>
      </c>
      <c r="R28" s="36" t="s">
        <v>152</v>
      </c>
      <c r="S28" s="34">
        <f>SUM(C82:C85)</f>
        <v>57</v>
      </c>
      <c r="T28" s="34">
        <f t="shared" ref="T28:AF28" si="20">SUM(D82:D85)</f>
        <v>7</v>
      </c>
      <c r="U28" s="34">
        <f t="shared" si="20"/>
        <v>3</v>
      </c>
      <c r="V28" s="34">
        <f t="shared" si="20"/>
        <v>8</v>
      </c>
      <c r="W28" s="34">
        <f t="shared" si="20"/>
        <v>0</v>
      </c>
      <c r="X28" s="34">
        <f t="shared" si="20"/>
        <v>0</v>
      </c>
      <c r="Y28" s="34">
        <f t="shared" si="20"/>
        <v>3</v>
      </c>
      <c r="Z28" s="34">
        <f t="shared" si="20"/>
        <v>4</v>
      </c>
      <c r="AA28" s="34">
        <f t="shared" si="20"/>
        <v>2</v>
      </c>
      <c r="AB28" s="34">
        <f t="shared" si="20"/>
        <v>2</v>
      </c>
      <c r="AC28" s="34">
        <f t="shared" si="20"/>
        <v>193</v>
      </c>
      <c r="AD28" s="34">
        <f t="shared" si="20"/>
        <v>0</v>
      </c>
      <c r="AE28" s="31">
        <f t="shared" si="20"/>
        <v>86</v>
      </c>
      <c r="AF28" s="31">
        <f t="shared" si="20"/>
        <v>279</v>
      </c>
    </row>
    <row r="29" spans="2:32" ht="23.1" customHeight="1" x14ac:dyDescent="0.25">
      <c r="B29" s="45" t="s">
        <v>56</v>
      </c>
      <c r="C29" s="50">
        <v>34</v>
      </c>
      <c r="D29" s="50">
        <v>10</v>
      </c>
      <c r="E29" s="50">
        <v>7</v>
      </c>
      <c r="F29" s="50">
        <v>26</v>
      </c>
      <c r="G29" s="50">
        <v>0</v>
      </c>
      <c r="H29" s="50">
        <v>1</v>
      </c>
      <c r="I29" s="50">
        <v>4</v>
      </c>
      <c r="J29" s="50">
        <v>2</v>
      </c>
      <c r="K29" s="50">
        <v>1</v>
      </c>
      <c r="L29" s="50">
        <v>0</v>
      </c>
      <c r="M29" s="50">
        <v>85</v>
      </c>
      <c r="N29" s="50">
        <v>0</v>
      </c>
      <c r="O29" s="15">
        <f t="shared" si="0"/>
        <v>85</v>
      </c>
      <c r="P29" s="15">
        <f t="shared" si="1"/>
        <v>170</v>
      </c>
      <c r="R29" s="36" t="s">
        <v>153</v>
      </c>
      <c r="S29" s="34">
        <f>SUM(C86:C89)</f>
        <v>44</v>
      </c>
      <c r="T29" s="34">
        <f t="shared" ref="T29:AF29" si="21">SUM(D86:D89)</f>
        <v>10</v>
      </c>
      <c r="U29" s="34">
        <f t="shared" si="21"/>
        <v>2</v>
      </c>
      <c r="V29" s="34">
        <f t="shared" si="21"/>
        <v>14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2</v>
      </c>
      <c r="AA29" s="34">
        <f t="shared" si="21"/>
        <v>0</v>
      </c>
      <c r="AB29" s="34">
        <f t="shared" si="21"/>
        <v>0</v>
      </c>
      <c r="AC29" s="34">
        <f t="shared" si="21"/>
        <v>104</v>
      </c>
      <c r="AD29" s="34">
        <f t="shared" si="21"/>
        <v>0</v>
      </c>
      <c r="AE29" s="31">
        <f t="shared" si="21"/>
        <v>72</v>
      </c>
      <c r="AF29" s="31">
        <f t="shared" si="21"/>
        <v>176</v>
      </c>
    </row>
    <row r="30" spans="2:32" ht="23.1" customHeight="1" x14ac:dyDescent="0.25">
      <c r="B30" s="45" t="s">
        <v>57</v>
      </c>
      <c r="C30" s="50">
        <v>20</v>
      </c>
      <c r="D30" s="50">
        <v>9</v>
      </c>
      <c r="E30" s="50">
        <v>7</v>
      </c>
      <c r="F30" s="50">
        <v>21</v>
      </c>
      <c r="G30" s="50">
        <v>0</v>
      </c>
      <c r="H30" s="50">
        <v>0</v>
      </c>
      <c r="I30" s="50">
        <v>10</v>
      </c>
      <c r="J30" s="50">
        <v>6</v>
      </c>
      <c r="K30" s="50">
        <v>1</v>
      </c>
      <c r="L30" s="50">
        <v>1</v>
      </c>
      <c r="M30" s="50">
        <v>85</v>
      </c>
      <c r="N30" s="50">
        <v>0</v>
      </c>
      <c r="O30" s="15">
        <f t="shared" si="0"/>
        <v>75</v>
      </c>
      <c r="P30" s="15">
        <f t="shared" si="1"/>
        <v>160</v>
      </c>
      <c r="R30" s="36" t="s">
        <v>154</v>
      </c>
      <c r="S30" s="34">
        <f>SUM(C90:C93)</f>
        <v>25</v>
      </c>
      <c r="T30" s="34">
        <f t="shared" ref="T30:AF30" si="22">SUM(D90:D93)</f>
        <v>4</v>
      </c>
      <c r="U30" s="34">
        <f t="shared" si="22"/>
        <v>0</v>
      </c>
      <c r="V30" s="34">
        <f t="shared" si="22"/>
        <v>17</v>
      </c>
      <c r="W30" s="34">
        <f t="shared" si="22"/>
        <v>0</v>
      </c>
      <c r="X30" s="34">
        <f t="shared" si="22"/>
        <v>0</v>
      </c>
      <c r="Y30" s="34">
        <f t="shared" si="22"/>
        <v>6</v>
      </c>
      <c r="Z30" s="34">
        <f t="shared" si="22"/>
        <v>2</v>
      </c>
      <c r="AA30" s="34">
        <f t="shared" si="22"/>
        <v>1</v>
      </c>
      <c r="AB30" s="34">
        <f t="shared" si="22"/>
        <v>0</v>
      </c>
      <c r="AC30" s="34">
        <f t="shared" si="22"/>
        <v>129</v>
      </c>
      <c r="AD30" s="34">
        <f t="shared" si="22"/>
        <v>0</v>
      </c>
      <c r="AE30" s="31">
        <f t="shared" si="22"/>
        <v>55</v>
      </c>
      <c r="AF30" s="31">
        <f t="shared" si="22"/>
        <v>184</v>
      </c>
    </row>
    <row r="31" spans="2:32" ht="23.1" customHeight="1" x14ac:dyDescent="0.25">
      <c r="B31" s="46" t="s">
        <v>58</v>
      </c>
      <c r="C31" s="50">
        <v>41</v>
      </c>
      <c r="D31" s="50">
        <v>1</v>
      </c>
      <c r="E31" s="50">
        <v>3</v>
      </c>
      <c r="F31" s="50">
        <v>18</v>
      </c>
      <c r="G31" s="50">
        <v>0</v>
      </c>
      <c r="H31" s="50">
        <v>0</v>
      </c>
      <c r="I31" s="50">
        <v>4</v>
      </c>
      <c r="J31" s="50">
        <v>3</v>
      </c>
      <c r="K31" s="50">
        <v>1</v>
      </c>
      <c r="L31" s="50">
        <v>1</v>
      </c>
      <c r="M31" s="50">
        <v>75</v>
      </c>
      <c r="N31" s="50">
        <v>0</v>
      </c>
      <c r="O31" s="15">
        <f t="shared" si="0"/>
        <v>72</v>
      </c>
      <c r="P31" s="15">
        <f t="shared" si="1"/>
        <v>147</v>
      </c>
      <c r="R31" s="36" t="s">
        <v>155</v>
      </c>
      <c r="S31" s="34">
        <f>SUM(C94:C97)</f>
        <v>44</v>
      </c>
      <c r="T31" s="34">
        <f t="shared" ref="T31:AF31" si="23">SUM(D94:D97)</f>
        <v>4</v>
      </c>
      <c r="U31" s="34">
        <f t="shared" si="23"/>
        <v>9</v>
      </c>
      <c r="V31" s="34">
        <f t="shared" si="23"/>
        <v>22</v>
      </c>
      <c r="W31" s="34">
        <f t="shared" si="23"/>
        <v>0</v>
      </c>
      <c r="X31" s="34">
        <f t="shared" si="23"/>
        <v>0</v>
      </c>
      <c r="Y31" s="34">
        <f t="shared" si="23"/>
        <v>3</v>
      </c>
      <c r="Z31" s="34">
        <f t="shared" si="23"/>
        <v>5</v>
      </c>
      <c r="AA31" s="34">
        <f t="shared" si="23"/>
        <v>0</v>
      </c>
      <c r="AB31" s="34">
        <f t="shared" si="23"/>
        <v>0</v>
      </c>
      <c r="AC31" s="34">
        <f t="shared" si="23"/>
        <v>84</v>
      </c>
      <c r="AD31" s="34">
        <f t="shared" si="23"/>
        <v>0</v>
      </c>
      <c r="AE31" s="31">
        <f t="shared" si="23"/>
        <v>87</v>
      </c>
      <c r="AF31" s="31">
        <f t="shared" si="23"/>
        <v>171</v>
      </c>
    </row>
    <row r="32" spans="2:32" ht="23.1" customHeight="1" x14ac:dyDescent="0.25">
      <c r="B32" s="46" t="s">
        <v>59</v>
      </c>
      <c r="C32" s="50">
        <v>20</v>
      </c>
      <c r="D32" s="50">
        <v>6</v>
      </c>
      <c r="E32" s="50">
        <v>3</v>
      </c>
      <c r="F32" s="50">
        <v>25</v>
      </c>
      <c r="G32" s="50">
        <v>0</v>
      </c>
      <c r="H32" s="50">
        <v>0</v>
      </c>
      <c r="I32" s="50">
        <v>5</v>
      </c>
      <c r="J32" s="50">
        <v>0</v>
      </c>
      <c r="K32" s="50">
        <v>0</v>
      </c>
      <c r="L32" s="50">
        <v>0</v>
      </c>
      <c r="M32" s="50">
        <v>95</v>
      </c>
      <c r="N32" s="50">
        <v>0</v>
      </c>
      <c r="O32" s="15">
        <f t="shared" si="0"/>
        <v>59</v>
      </c>
      <c r="P32" s="15">
        <f t="shared" si="1"/>
        <v>154</v>
      </c>
      <c r="R32" s="33" t="s">
        <v>156</v>
      </c>
      <c r="S32" s="34">
        <f>SUM(C98:C101)</f>
        <v>23</v>
      </c>
      <c r="T32" s="34">
        <f t="shared" ref="T32:AF32" si="24">SUM(D98:D101)</f>
        <v>3</v>
      </c>
      <c r="U32" s="34">
        <f t="shared" si="24"/>
        <v>4</v>
      </c>
      <c r="V32" s="34">
        <f t="shared" si="24"/>
        <v>49</v>
      </c>
      <c r="W32" s="34">
        <f t="shared" si="24"/>
        <v>0</v>
      </c>
      <c r="X32" s="34">
        <f t="shared" si="24"/>
        <v>0</v>
      </c>
      <c r="Y32" s="34">
        <f t="shared" si="24"/>
        <v>3</v>
      </c>
      <c r="Z32" s="34">
        <f t="shared" si="24"/>
        <v>2</v>
      </c>
      <c r="AA32" s="34">
        <f t="shared" si="24"/>
        <v>3</v>
      </c>
      <c r="AB32" s="34">
        <f t="shared" si="24"/>
        <v>4</v>
      </c>
      <c r="AC32" s="34">
        <f t="shared" si="24"/>
        <v>93</v>
      </c>
      <c r="AD32" s="34">
        <f t="shared" si="24"/>
        <v>0</v>
      </c>
      <c r="AE32" s="31">
        <f t="shared" si="24"/>
        <v>91</v>
      </c>
      <c r="AF32" s="31">
        <f t="shared" si="24"/>
        <v>184</v>
      </c>
    </row>
    <row r="33" spans="2:32" ht="23.1" customHeight="1" x14ac:dyDescent="0.25">
      <c r="B33" s="45" t="s">
        <v>60</v>
      </c>
      <c r="C33" s="50">
        <v>25</v>
      </c>
      <c r="D33" s="50">
        <v>5</v>
      </c>
      <c r="E33" s="50">
        <v>8</v>
      </c>
      <c r="F33" s="50">
        <v>14</v>
      </c>
      <c r="G33" s="50">
        <v>0</v>
      </c>
      <c r="H33" s="50">
        <v>0</v>
      </c>
      <c r="I33" s="50">
        <v>2</v>
      </c>
      <c r="J33" s="50">
        <v>2</v>
      </c>
      <c r="K33" s="50">
        <v>0</v>
      </c>
      <c r="L33" s="50">
        <v>0</v>
      </c>
      <c r="M33" s="50">
        <v>70</v>
      </c>
      <c r="N33" s="50">
        <v>0</v>
      </c>
      <c r="O33" s="15">
        <f t="shared" si="0"/>
        <v>56</v>
      </c>
      <c r="P33" s="15">
        <f t="shared" si="1"/>
        <v>126</v>
      </c>
      <c r="R33" s="33" t="s">
        <v>157</v>
      </c>
      <c r="S33" s="34">
        <f>SUM(C102:C105)</f>
        <v>23</v>
      </c>
      <c r="T33" s="34">
        <f t="shared" ref="T33:AF33" si="25">SUM(D102:D105)</f>
        <v>3</v>
      </c>
      <c r="U33" s="34">
        <f t="shared" si="25"/>
        <v>10</v>
      </c>
      <c r="V33" s="34">
        <f t="shared" si="25"/>
        <v>72</v>
      </c>
      <c r="W33" s="34">
        <f t="shared" si="25"/>
        <v>1</v>
      </c>
      <c r="X33" s="34">
        <f t="shared" si="25"/>
        <v>3</v>
      </c>
      <c r="Y33" s="34">
        <f t="shared" si="25"/>
        <v>2</v>
      </c>
      <c r="Z33" s="34">
        <f t="shared" si="25"/>
        <v>9</v>
      </c>
      <c r="AA33" s="34">
        <f t="shared" si="25"/>
        <v>0</v>
      </c>
      <c r="AB33" s="34">
        <f t="shared" si="25"/>
        <v>0</v>
      </c>
      <c r="AC33" s="34">
        <f t="shared" si="25"/>
        <v>204</v>
      </c>
      <c r="AD33" s="34">
        <f t="shared" si="25"/>
        <v>0</v>
      </c>
      <c r="AE33" s="31">
        <f t="shared" si="25"/>
        <v>123</v>
      </c>
      <c r="AF33" s="31">
        <f t="shared" si="25"/>
        <v>327</v>
      </c>
    </row>
    <row r="34" spans="2:32" ht="23.1" customHeight="1" x14ac:dyDescent="0.25">
      <c r="B34" s="46" t="s">
        <v>61</v>
      </c>
      <c r="C34" s="50">
        <v>33</v>
      </c>
      <c r="D34" s="50">
        <v>5</v>
      </c>
      <c r="E34" s="50">
        <v>7</v>
      </c>
      <c r="F34" s="50">
        <v>17</v>
      </c>
      <c r="G34" s="50">
        <v>1</v>
      </c>
      <c r="H34" s="50">
        <v>0</v>
      </c>
      <c r="I34" s="50">
        <v>8</v>
      </c>
      <c r="J34" s="50">
        <v>3</v>
      </c>
      <c r="K34" s="50">
        <v>0</v>
      </c>
      <c r="L34" s="50">
        <v>1</v>
      </c>
      <c r="M34" s="50">
        <v>140</v>
      </c>
      <c r="N34" s="50">
        <v>0</v>
      </c>
      <c r="O34" s="15">
        <f t="shared" si="0"/>
        <v>75</v>
      </c>
      <c r="P34" s="15">
        <f t="shared" si="1"/>
        <v>215</v>
      </c>
      <c r="R34" s="38" t="s">
        <v>90</v>
      </c>
      <c r="S34" s="39">
        <f t="shared" ref="S34:AF34" si="26">MAX(S10:S12)</f>
        <v>104</v>
      </c>
      <c r="T34" s="39">
        <f t="shared" si="26"/>
        <v>21</v>
      </c>
      <c r="U34" s="39">
        <f t="shared" si="26"/>
        <v>13</v>
      </c>
      <c r="V34" s="39">
        <f t="shared" si="26"/>
        <v>103</v>
      </c>
      <c r="W34" s="39">
        <f t="shared" si="26"/>
        <v>8</v>
      </c>
      <c r="X34" s="39">
        <f t="shared" si="26"/>
        <v>4</v>
      </c>
      <c r="Y34" s="39">
        <f t="shared" si="26"/>
        <v>21</v>
      </c>
      <c r="Z34" s="39">
        <f t="shared" si="26"/>
        <v>9</v>
      </c>
      <c r="AA34" s="39">
        <f t="shared" si="26"/>
        <v>13</v>
      </c>
      <c r="AB34" s="39">
        <f t="shared" si="26"/>
        <v>4</v>
      </c>
      <c r="AC34" s="39">
        <f t="shared" si="26"/>
        <v>440</v>
      </c>
      <c r="AD34" s="39">
        <f t="shared" si="26"/>
        <v>0</v>
      </c>
      <c r="AE34" s="40">
        <f t="shared" si="26"/>
        <v>276</v>
      </c>
      <c r="AF34" s="40">
        <f t="shared" si="26"/>
        <v>677</v>
      </c>
    </row>
    <row r="35" spans="2:32" ht="23.1" customHeight="1" x14ac:dyDescent="0.25">
      <c r="B35" s="46" t="s">
        <v>62</v>
      </c>
      <c r="C35" s="50">
        <v>38</v>
      </c>
      <c r="D35" s="50">
        <v>2</v>
      </c>
      <c r="E35" s="50">
        <v>8</v>
      </c>
      <c r="F35" s="50">
        <v>15</v>
      </c>
      <c r="G35" s="50">
        <v>0</v>
      </c>
      <c r="H35" s="50">
        <v>0</v>
      </c>
      <c r="I35" s="50">
        <v>10</v>
      </c>
      <c r="J35" s="50">
        <v>2</v>
      </c>
      <c r="K35" s="50">
        <v>1</v>
      </c>
      <c r="L35" s="50">
        <v>0</v>
      </c>
      <c r="M35" s="50">
        <v>120</v>
      </c>
      <c r="N35" s="50">
        <v>0</v>
      </c>
      <c r="O35" s="15">
        <f t="shared" si="0"/>
        <v>76</v>
      </c>
      <c r="P35" s="15">
        <f t="shared" si="1"/>
        <v>196</v>
      </c>
      <c r="R35" s="38" t="s">
        <v>91</v>
      </c>
      <c r="S35" s="39">
        <f t="shared" ref="S35:AF35" si="27">MAX(S13:S18)</f>
        <v>162</v>
      </c>
      <c r="T35" s="39">
        <f t="shared" si="27"/>
        <v>29</v>
      </c>
      <c r="U35" s="39">
        <f t="shared" si="27"/>
        <v>28</v>
      </c>
      <c r="V35" s="39">
        <f t="shared" si="27"/>
        <v>81</v>
      </c>
      <c r="W35" s="39">
        <f t="shared" si="27"/>
        <v>3</v>
      </c>
      <c r="X35" s="39">
        <f t="shared" si="27"/>
        <v>2</v>
      </c>
      <c r="Y35" s="39">
        <f t="shared" si="27"/>
        <v>33</v>
      </c>
      <c r="Z35" s="39">
        <f t="shared" si="27"/>
        <v>12</v>
      </c>
      <c r="AA35" s="39">
        <f t="shared" si="27"/>
        <v>4</v>
      </c>
      <c r="AB35" s="39">
        <f t="shared" si="27"/>
        <v>2</v>
      </c>
      <c r="AC35" s="39">
        <f t="shared" si="27"/>
        <v>505</v>
      </c>
      <c r="AD35" s="39">
        <f t="shared" si="27"/>
        <v>0</v>
      </c>
      <c r="AE35" s="40">
        <f t="shared" si="27"/>
        <v>324</v>
      </c>
      <c r="AF35" s="40">
        <f t="shared" si="27"/>
        <v>829</v>
      </c>
    </row>
    <row r="36" spans="2:32" ht="23.1" customHeight="1" x14ac:dyDescent="0.25">
      <c r="B36" s="46" t="s">
        <v>63</v>
      </c>
      <c r="C36" s="50">
        <v>40</v>
      </c>
      <c r="D36" s="50">
        <v>6</v>
      </c>
      <c r="E36" s="50">
        <v>6</v>
      </c>
      <c r="F36" s="50">
        <v>28</v>
      </c>
      <c r="G36" s="50">
        <v>2</v>
      </c>
      <c r="H36" s="50">
        <v>0</v>
      </c>
      <c r="I36" s="50">
        <v>9</v>
      </c>
      <c r="J36" s="50">
        <v>4</v>
      </c>
      <c r="K36" s="50">
        <v>2</v>
      </c>
      <c r="L36" s="50">
        <v>1</v>
      </c>
      <c r="M36" s="50">
        <v>125</v>
      </c>
      <c r="N36" s="50">
        <v>0</v>
      </c>
      <c r="O36" s="15">
        <f t="shared" si="0"/>
        <v>98</v>
      </c>
      <c r="P36" s="15">
        <f t="shared" si="1"/>
        <v>223</v>
      </c>
      <c r="R36" s="38" t="s">
        <v>92</v>
      </c>
      <c r="S36" s="39">
        <f t="shared" ref="S36:AF36" si="28">MAX(S19:S21)</f>
        <v>449</v>
      </c>
      <c r="T36" s="39">
        <f t="shared" si="28"/>
        <v>82</v>
      </c>
      <c r="U36" s="39">
        <f t="shared" si="28"/>
        <v>42</v>
      </c>
      <c r="V36" s="39">
        <f t="shared" si="28"/>
        <v>117</v>
      </c>
      <c r="W36" s="39">
        <f t="shared" si="28"/>
        <v>2</v>
      </c>
      <c r="X36" s="39">
        <f t="shared" si="28"/>
        <v>2</v>
      </c>
      <c r="Y36" s="39">
        <f t="shared" si="28"/>
        <v>21</v>
      </c>
      <c r="Z36" s="39">
        <f t="shared" si="28"/>
        <v>12</v>
      </c>
      <c r="AA36" s="39">
        <f t="shared" si="28"/>
        <v>5</v>
      </c>
      <c r="AB36" s="39">
        <f t="shared" si="28"/>
        <v>1</v>
      </c>
      <c r="AC36" s="39">
        <f t="shared" si="28"/>
        <v>644</v>
      </c>
      <c r="AD36" s="39">
        <f t="shared" si="28"/>
        <v>0</v>
      </c>
      <c r="AE36" s="40">
        <f t="shared" si="28"/>
        <v>724</v>
      </c>
      <c r="AF36" s="40">
        <f t="shared" si="28"/>
        <v>1368</v>
      </c>
    </row>
    <row r="37" spans="2:32" ht="23.1" customHeight="1" x14ac:dyDescent="0.25">
      <c r="B37" s="45" t="s">
        <v>64</v>
      </c>
      <c r="C37" s="50">
        <v>35</v>
      </c>
      <c r="D37" s="50">
        <v>4</v>
      </c>
      <c r="E37" s="50">
        <v>5</v>
      </c>
      <c r="F37" s="50">
        <v>21</v>
      </c>
      <c r="G37" s="50">
        <v>0</v>
      </c>
      <c r="H37" s="50">
        <v>1</v>
      </c>
      <c r="I37" s="50">
        <v>6</v>
      </c>
      <c r="J37" s="50">
        <v>3</v>
      </c>
      <c r="K37" s="50">
        <v>0</v>
      </c>
      <c r="L37" s="50">
        <v>0</v>
      </c>
      <c r="M37" s="50">
        <v>120</v>
      </c>
      <c r="N37" s="50">
        <v>0</v>
      </c>
      <c r="O37" s="15">
        <f t="shared" si="0"/>
        <v>75</v>
      </c>
      <c r="P37" s="15">
        <f t="shared" si="1"/>
        <v>195</v>
      </c>
      <c r="R37" s="37" t="s">
        <v>85</v>
      </c>
      <c r="S37" s="35">
        <f t="shared" ref="S37:AF37" si="29">SUM(S10:S12)</f>
        <v>270</v>
      </c>
      <c r="T37" s="16">
        <f t="shared" si="29"/>
        <v>48</v>
      </c>
      <c r="U37" s="16">
        <f t="shared" si="29"/>
        <v>36</v>
      </c>
      <c r="V37" s="16">
        <f t="shared" si="29"/>
        <v>287</v>
      </c>
      <c r="W37" s="16">
        <f t="shared" si="29"/>
        <v>16</v>
      </c>
      <c r="X37" s="16">
        <f t="shared" si="29"/>
        <v>6</v>
      </c>
      <c r="Y37" s="16">
        <f t="shared" si="29"/>
        <v>42</v>
      </c>
      <c r="Z37" s="16">
        <f t="shared" si="29"/>
        <v>18</v>
      </c>
      <c r="AA37" s="16">
        <f t="shared" si="29"/>
        <v>24</v>
      </c>
      <c r="AB37" s="16">
        <f t="shared" si="29"/>
        <v>10</v>
      </c>
      <c r="AC37" s="16">
        <f t="shared" si="29"/>
        <v>1204</v>
      </c>
      <c r="AD37" s="16">
        <f t="shared" si="29"/>
        <v>0</v>
      </c>
      <c r="AE37" s="32">
        <f t="shared" si="29"/>
        <v>757</v>
      </c>
      <c r="AF37" s="32">
        <f t="shared" si="29"/>
        <v>1961</v>
      </c>
    </row>
    <row r="38" spans="2:32" ht="23.1" customHeight="1" x14ac:dyDescent="0.25">
      <c r="B38" s="46" t="s">
        <v>65</v>
      </c>
      <c r="C38" s="50">
        <v>30</v>
      </c>
      <c r="D38" s="50">
        <v>7</v>
      </c>
      <c r="E38" s="50">
        <v>3</v>
      </c>
      <c r="F38" s="50">
        <v>15</v>
      </c>
      <c r="G38" s="50">
        <v>0</v>
      </c>
      <c r="H38" s="50">
        <v>0</v>
      </c>
      <c r="I38" s="50">
        <v>4</v>
      </c>
      <c r="J38" s="50">
        <v>2</v>
      </c>
      <c r="K38" s="50">
        <v>0</v>
      </c>
      <c r="L38" s="50">
        <v>0</v>
      </c>
      <c r="M38" s="50">
        <v>100</v>
      </c>
      <c r="N38" s="50">
        <v>0</v>
      </c>
      <c r="O38" s="15">
        <f t="shared" si="0"/>
        <v>61</v>
      </c>
      <c r="P38" s="15">
        <f t="shared" si="1"/>
        <v>161</v>
      </c>
      <c r="R38" s="28" t="s">
        <v>86</v>
      </c>
      <c r="S38" s="16">
        <f t="shared" ref="S38:AF38" si="30">SUM(S13:S18)</f>
        <v>773</v>
      </c>
      <c r="T38" s="16">
        <f t="shared" si="30"/>
        <v>125</v>
      </c>
      <c r="U38" s="16">
        <f t="shared" si="30"/>
        <v>141</v>
      </c>
      <c r="V38" s="16">
        <f t="shared" si="30"/>
        <v>433</v>
      </c>
      <c r="W38" s="16">
        <f t="shared" si="30"/>
        <v>8</v>
      </c>
      <c r="X38" s="16">
        <f t="shared" si="30"/>
        <v>4</v>
      </c>
      <c r="Y38" s="16">
        <f t="shared" si="30"/>
        <v>119</v>
      </c>
      <c r="Z38" s="16">
        <f t="shared" si="30"/>
        <v>51</v>
      </c>
      <c r="AA38" s="16">
        <f t="shared" si="30"/>
        <v>19</v>
      </c>
      <c r="AB38" s="16">
        <f t="shared" si="30"/>
        <v>7</v>
      </c>
      <c r="AC38" s="16">
        <f t="shared" si="30"/>
        <v>2315</v>
      </c>
      <c r="AD38" s="16">
        <f t="shared" si="30"/>
        <v>0</v>
      </c>
      <c r="AE38" s="32">
        <f t="shared" si="30"/>
        <v>1680</v>
      </c>
      <c r="AF38" s="32">
        <f t="shared" si="30"/>
        <v>3995</v>
      </c>
    </row>
    <row r="39" spans="2:32" ht="23.1" customHeight="1" x14ac:dyDescent="0.25">
      <c r="B39" s="46" t="s">
        <v>66</v>
      </c>
      <c r="C39" s="50">
        <v>31</v>
      </c>
      <c r="D39" s="50">
        <v>5</v>
      </c>
      <c r="E39" s="50">
        <v>6</v>
      </c>
      <c r="F39" s="50">
        <v>18</v>
      </c>
      <c r="G39" s="50">
        <v>0</v>
      </c>
      <c r="H39" s="50">
        <v>0</v>
      </c>
      <c r="I39" s="50">
        <v>3</v>
      </c>
      <c r="J39" s="50">
        <v>2</v>
      </c>
      <c r="K39" s="50">
        <v>0</v>
      </c>
      <c r="L39" s="50">
        <v>1</v>
      </c>
      <c r="M39" s="50">
        <v>127</v>
      </c>
      <c r="N39" s="50">
        <v>0</v>
      </c>
      <c r="O39" s="15">
        <f t="shared" si="0"/>
        <v>66</v>
      </c>
      <c r="P39" s="15">
        <f t="shared" si="1"/>
        <v>193</v>
      </c>
      <c r="R39" s="29" t="s">
        <v>87</v>
      </c>
      <c r="S39" s="16">
        <f t="shared" ref="S39:AF39" si="31">SUM(S19:S21)</f>
        <v>1127</v>
      </c>
      <c r="T39" s="16">
        <f t="shared" si="31"/>
        <v>160</v>
      </c>
      <c r="U39" s="16">
        <f t="shared" si="31"/>
        <v>98</v>
      </c>
      <c r="V39" s="16">
        <f t="shared" si="31"/>
        <v>279</v>
      </c>
      <c r="W39" s="16">
        <f t="shared" si="31"/>
        <v>4</v>
      </c>
      <c r="X39" s="16">
        <f t="shared" si="31"/>
        <v>3</v>
      </c>
      <c r="Y39" s="16">
        <f t="shared" si="31"/>
        <v>59</v>
      </c>
      <c r="Z39" s="16">
        <f t="shared" si="31"/>
        <v>27</v>
      </c>
      <c r="AA39" s="16">
        <f t="shared" si="31"/>
        <v>9</v>
      </c>
      <c r="AB39" s="16">
        <f t="shared" si="31"/>
        <v>2</v>
      </c>
      <c r="AC39" s="16">
        <f t="shared" si="31"/>
        <v>1878</v>
      </c>
      <c r="AD39" s="16">
        <f t="shared" si="31"/>
        <v>0</v>
      </c>
      <c r="AE39" s="32">
        <f t="shared" si="31"/>
        <v>1768</v>
      </c>
      <c r="AF39" s="32">
        <f t="shared" si="31"/>
        <v>3646</v>
      </c>
    </row>
    <row r="40" spans="2:32" ht="23.1" customHeight="1" x14ac:dyDescent="0.25">
      <c r="B40" s="46" t="s">
        <v>67</v>
      </c>
      <c r="C40" s="50">
        <v>46</v>
      </c>
      <c r="D40" s="50">
        <v>10</v>
      </c>
      <c r="E40" s="50">
        <v>5</v>
      </c>
      <c r="F40" s="50">
        <v>11</v>
      </c>
      <c r="G40" s="50">
        <v>1</v>
      </c>
      <c r="H40" s="50">
        <v>2</v>
      </c>
      <c r="I40" s="50">
        <v>11</v>
      </c>
      <c r="J40" s="50">
        <v>5</v>
      </c>
      <c r="K40" s="50">
        <v>1</v>
      </c>
      <c r="L40" s="50">
        <v>0</v>
      </c>
      <c r="M40" s="50">
        <v>130</v>
      </c>
      <c r="N40" s="50">
        <v>0</v>
      </c>
      <c r="O40" s="15">
        <f t="shared" si="0"/>
        <v>92</v>
      </c>
      <c r="P40" s="15">
        <f t="shared" si="1"/>
        <v>222</v>
      </c>
      <c r="R40" s="5" t="s">
        <v>17</v>
      </c>
      <c r="S40" s="16">
        <f t="shared" ref="S40:AF40" si="32">SUM(S10:S21)</f>
        <v>2170</v>
      </c>
      <c r="T40" s="16">
        <f t="shared" si="32"/>
        <v>333</v>
      </c>
      <c r="U40" s="16">
        <f t="shared" si="32"/>
        <v>275</v>
      </c>
      <c r="V40" s="16">
        <f t="shared" si="32"/>
        <v>999</v>
      </c>
      <c r="W40" s="16">
        <f t="shared" si="32"/>
        <v>28</v>
      </c>
      <c r="X40" s="16">
        <f t="shared" si="32"/>
        <v>13</v>
      </c>
      <c r="Y40" s="16">
        <f t="shared" si="32"/>
        <v>220</v>
      </c>
      <c r="Z40" s="16">
        <f t="shared" si="32"/>
        <v>96</v>
      </c>
      <c r="AA40" s="16">
        <f t="shared" si="32"/>
        <v>52</v>
      </c>
      <c r="AB40" s="16">
        <f t="shared" si="32"/>
        <v>19</v>
      </c>
      <c r="AC40" s="16">
        <f t="shared" si="32"/>
        <v>5397</v>
      </c>
      <c r="AD40" s="16">
        <f t="shared" si="32"/>
        <v>0</v>
      </c>
      <c r="AE40" s="32">
        <f t="shared" si="32"/>
        <v>4205</v>
      </c>
      <c r="AF40" s="32">
        <f t="shared" si="32"/>
        <v>9602</v>
      </c>
    </row>
    <row r="41" spans="2:32" ht="23.1" customHeight="1" x14ac:dyDescent="0.25">
      <c r="B41" s="45" t="s">
        <v>68</v>
      </c>
      <c r="C41" s="50">
        <v>42</v>
      </c>
      <c r="D41" s="50">
        <v>7</v>
      </c>
      <c r="E41" s="50">
        <v>5</v>
      </c>
      <c r="F41" s="50">
        <v>4</v>
      </c>
      <c r="G41" s="50">
        <v>0</v>
      </c>
      <c r="H41" s="50">
        <v>0</v>
      </c>
      <c r="I41" s="50">
        <v>5</v>
      </c>
      <c r="J41" s="50">
        <v>3</v>
      </c>
      <c r="K41" s="50">
        <v>1</v>
      </c>
      <c r="L41" s="50">
        <v>0</v>
      </c>
      <c r="M41" s="50">
        <v>115</v>
      </c>
      <c r="N41" s="50">
        <v>0</v>
      </c>
      <c r="O41" s="15">
        <f t="shared" si="0"/>
        <v>67</v>
      </c>
      <c r="P41" s="15">
        <f t="shared" si="1"/>
        <v>182</v>
      </c>
      <c r="R41" s="5" t="s">
        <v>159</v>
      </c>
      <c r="S41" s="16">
        <f>SUM(S10:S33)</f>
        <v>4165</v>
      </c>
      <c r="T41" s="16">
        <f t="shared" ref="T41:AF41" si="33">SUM(T10:T33)</f>
        <v>557</v>
      </c>
      <c r="U41" s="16">
        <f t="shared" si="33"/>
        <v>460</v>
      </c>
      <c r="V41" s="16">
        <f t="shared" si="33"/>
        <v>1811</v>
      </c>
      <c r="W41" s="16">
        <f t="shared" si="33"/>
        <v>38</v>
      </c>
      <c r="X41" s="16">
        <f t="shared" si="33"/>
        <v>21</v>
      </c>
      <c r="Y41" s="16">
        <f t="shared" si="33"/>
        <v>302</v>
      </c>
      <c r="Z41" s="16">
        <f t="shared" si="33"/>
        <v>154</v>
      </c>
      <c r="AA41" s="16">
        <f t="shared" si="33"/>
        <v>69</v>
      </c>
      <c r="AB41" s="16">
        <f t="shared" si="33"/>
        <v>32</v>
      </c>
      <c r="AC41" s="16">
        <f t="shared" si="33"/>
        <v>8866</v>
      </c>
      <c r="AD41" s="16">
        <f t="shared" si="33"/>
        <v>0</v>
      </c>
      <c r="AE41" s="32">
        <f t="shared" si="33"/>
        <v>7609</v>
      </c>
      <c r="AF41" s="32">
        <f t="shared" si="33"/>
        <v>16475</v>
      </c>
    </row>
    <row r="42" spans="2:32" ht="23.1" customHeight="1" x14ac:dyDescent="0.25">
      <c r="B42" s="46" t="s">
        <v>69</v>
      </c>
      <c r="C42" s="50">
        <v>32</v>
      </c>
      <c r="D42" s="50">
        <v>6</v>
      </c>
      <c r="E42" s="50">
        <v>4</v>
      </c>
      <c r="F42" s="50">
        <v>22</v>
      </c>
      <c r="G42" s="50">
        <v>0</v>
      </c>
      <c r="H42" s="50">
        <v>0</v>
      </c>
      <c r="I42" s="50">
        <v>4</v>
      </c>
      <c r="J42" s="50">
        <v>0</v>
      </c>
      <c r="K42" s="50">
        <v>1</v>
      </c>
      <c r="L42" s="50">
        <v>0</v>
      </c>
      <c r="M42" s="50">
        <v>105</v>
      </c>
      <c r="N42" s="50">
        <v>0</v>
      </c>
      <c r="O42" s="15">
        <f t="shared" si="0"/>
        <v>69</v>
      </c>
      <c r="P42" s="15">
        <f t="shared" si="1"/>
        <v>174</v>
      </c>
      <c r="R42" s="5" t="s">
        <v>160</v>
      </c>
      <c r="S42" s="48">
        <f>S41/S40</f>
        <v>1.9193548387096775</v>
      </c>
      <c r="T42" s="48">
        <f t="shared" ref="T42:AF42" si="34">T41/T40</f>
        <v>1.6726726726726726</v>
      </c>
      <c r="U42" s="48">
        <f t="shared" si="34"/>
        <v>1.6727272727272726</v>
      </c>
      <c r="V42" s="48">
        <f t="shared" si="34"/>
        <v>1.8128128128128129</v>
      </c>
      <c r="W42" s="48">
        <f t="shared" si="34"/>
        <v>1.3571428571428572</v>
      </c>
      <c r="X42" s="48">
        <f t="shared" si="34"/>
        <v>1.6153846153846154</v>
      </c>
      <c r="Y42" s="48">
        <f t="shared" si="34"/>
        <v>1.3727272727272728</v>
      </c>
      <c r="Z42" s="48">
        <f t="shared" si="34"/>
        <v>1.6041666666666667</v>
      </c>
      <c r="AA42" s="48">
        <f t="shared" si="34"/>
        <v>1.3269230769230769</v>
      </c>
      <c r="AB42" s="48">
        <f t="shared" si="34"/>
        <v>1.6842105263157894</v>
      </c>
      <c r="AC42" s="48">
        <f t="shared" si="34"/>
        <v>1.6427644987956271</v>
      </c>
      <c r="AD42" s="48" t="e">
        <f t="shared" si="34"/>
        <v>#DIV/0!</v>
      </c>
      <c r="AE42" s="48">
        <f t="shared" si="34"/>
        <v>1.8095124851367419</v>
      </c>
      <c r="AF42" s="48">
        <f t="shared" si="34"/>
        <v>1.7157883774213705</v>
      </c>
    </row>
    <row r="43" spans="2:32" ht="23.1" customHeight="1" x14ac:dyDescent="0.25">
      <c r="B43" s="45" t="s">
        <v>70</v>
      </c>
      <c r="C43" s="50">
        <v>25</v>
      </c>
      <c r="D43" s="50">
        <v>3</v>
      </c>
      <c r="E43" s="50">
        <v>3</v>
      </c>
      <c r="F43" s="50">
        <v>23</v>
      </c>
      <c r="G43" s="50">
        <v>0</v>
      </c>
      <c r="H43" s="50">
        <v>0</v>
      </c>
      <c r="I43" s="50">
        <v>5</v>
      </c>
      <c r="J43" s="50">
        <v>1</v>
      </c>
      <c r="K43" s="50">
        <v>2</v>
      </c>
      <c r="L43" s="50">
        <v>1</v>
      </c>
      <c r="M43" s="50">
        <v>114</v>
      </c>
      <c r="N43" s="50">
        <v>0</v>
      </c>
      <c r="O43" s="15">
        <f t="shared" si="0"/>
        <v>63</v>
      </c>
      <c r="P43" s="15">
        <f t="shared" si="1"/>
        <v>177</v>
      </c>
    </row>
    <row r="44" spans="2:32" ht="23.1" customHeight="1" x14ac:dyDescent="0.25">
      <c r="B44" s="47" t="s">
        <v>71</v>
      </c>
      <c r="C44" s="50">
        <v>35</v>
      </c>
      <c r="D44" s="50">
        <v>6</v>
      </c>
      <c r="E44" s="50">
        <v>10</v>
      </c>
      <c r="F44" s="50">
        <v>9</v>
      </c>
      <c r="G44" s="50">
        <v>0</v>
      </c>
      <c r="H44" s="50">
        <v>0</v>
      </c>
      <c r="I44" s="50">
        <v>2</v>
      </c>
      <c r="J44" s="50">
        <v>4</v>
      </c>
      <c r="K44" s="50">
        <v>0</v>
      </c>
      <c r="L44" s="50">
        <v>0</v>
      </c>
      <c r="M44" s="50">
        <v>85</v>
      </c>
      <c r="N44" s="50">
        <v>0</v>
      </c>
      <c r="O44" s="15">
        <f t="shared" si="0"/>
        <v>66</v>
      </c>
      <c r="P44" s="15">
        <f t="shared" si="1"/>
        <v>151</v>
      </c>
    </row>
    <row r="45" spans="2:32" ht="23.1" customHeight="1" x14ac:dyDescent="0.25">
      <c r="B45" s="45" t="s">
        <v>72</v>
      </c>
      <c r="C45" s="50">
        <v>70</v>
      </c>
      <c r="D45" s="50">
        <v>5</v>
      </c>
      <c r="E45" s="50">
        <v>11</v>
      </c>
      <c r="F45" s="50">
        <v>16</v>
      </c>
      <c r="G45" s="50">
        <v>0</v>
      </c>
      <c r="H45" s="50">
        <v>0</v>
      </c>
      <c r="I45" s="50">
        <v>4</v>
      </c>
      <c r="J45" s="50">
        <v>2</v>
      </c>
      <c r="K45" s="50">
        <v>1</v>
      </c>
      <c r="L45" s="50">
        <v>1</v>
      </c>
      <c r="M45" s="50">
        <v>63</v>
      </c>
      <c r="N45" s="50">
        <v>0</v>
      </c>
      <c r="O45" s="15">
        <f t="shared" si="0"/>
        <v>110</v>
      </c>
      <c r="P45" s="15">
        <f t="shared" si="1"/>
        <v>173</v>
      </c>
    </row>
    <row r="46" spans="2:32" ht="23.1" customHeight="1" x14ac:dyDescent="0.25">
      <c r="B46" s="46" t="s">
        <v>73</v>
      </c>
      <c r="C46" s="50">
        <v>85</v>
      </c>
      <c r="D46" s="50">
        <v>8</v>
      </c>
      <c r="E46" s="50">
        <v>4</v>
      </c>
      <c r="F46" s="50">
        <v>13</v>
      </c>
      <c r="G46" s="50">
        <v>0</v>
      </c>
      <c r="H46" s="50">
        <v>0</v>
      </c>
      <c r="I46" s="50">
        <v>5</v>
      </c>
      <c r="J46" s="50">
        <v>3</v>
      </c>
      <c r="K46" s="50">
        <v>1</v>
      </c>
      <c r="L46" s="50">
        <v>0</v>
      </c>
      <c r="M46" s="50">
        <v>178</v>
      </c>
      <c r="N46" s="50">
        <v>0</v>
      </c>
      <c r="O46" s="15">
        <f t="shared" si="0"/>
        <v>119</v>
      </c>
      <c r="P46" s="15">
        <f t="shared" si="1"/>
        <v>297</v>
      </c>
      <c r="R46" s="8"/>
      <c r="T46"/>
    </row>
    <row r="47" spans="2:32" ht="23.1" customHeight="1" x14ac:dyDescent="0.25">
      <c r="B47" s="46" t="s">
        <v>74</v>
      </c>
      <c r="C47" s="50">
        <v>80</v>
      </c>
      <c r="D47" s="50">
        <v>8</v>
      </c>
      <c r="E47" s="50">
        <v>8</v>
      </c>
      <c r="F47" s="50">
        <v>25</v>
      </c>
      <c r="G47" s="50">
        <v>0</v>
      </c>
      <c r="H47" s="50">
        <v>0</v>
      </c>
      <c r="I47" s="50">
        <v>5</v>
      </c>
      <c r="J47" s="50">
        <v>5</v>
      </c>
      <c r="K47" s="50">
        <v>3</v>
      </c>
      <c r="L47" s="50">
        <v>1</v>
      </c>
      <c r="M47" s="50">
        <v>190</v>
      </c>
      <c r="N47" s="50">
        <v>0</v>
      </c>
      <c r="O47" s="15">
        <f t="shared" si="0"/>
        <v>135</v>
      </c>
      <c r="P47" s="15">
        <f t="shared" si="1"/>
        <v>325</v>
      </c>
      <c r="R47" s="8"/>
      <c r="T47"/>
    </row>
    <row r="48" spans="2:32" ht="23.1" customHeight="1" x14ac:dyDescent="0.25">
      <c r="B48" s="46" t="s">
        <v>75</v>
      </c>
      <c r="C48" s="50">
        <v>105</v>
      </c>
      <c r="D48" s="50">
        <v>3</v>
      </c>
      <c r="E48" s="50">
        <v>4</v>
      </c>
      <c r="F48" s="50">
        <v>15</v>
      </c>
      <c r="G48" s="50">
        <v>1</v>
      </c>
      <c r="H48" s="50">
        <v>0</v>
      </c>
      <c r="I48" s="50">
        <v>4</v>
      </c>
      <c r="J48" s="50">
        <v>0</v>
      </c>
      <c r="K48" s="50">
        <v>0</v>
      </c>
      <c r="L48" s="50">
        <v>0</v>
      </c>
      <c r="M48" s="50">
        <v>126</v>
      </c>
      <c r="N48" s="50">
        <v>0</v>
      </c>
      <c r="O48" s="15">
        <f t="shared" si="0"/>
        <v>132</v>
      </c>
      <c r="P48" s="15">
        <f t="shared" si="1"/>
        <v>258</v>
      </c>
      <c r="R48" s="8"/>
      <c r="T48"/>
    </row>
    <row r="49" spans="2:20" ht="23.1" customHeight="1" x14ac:dyDescent="0.25">
      <c r="B49" s="45" t="s">
        <v>76</v>
      </c>
      <c r="C49" s="50">
        <v>95</v>
      </c>
      <c r="D49" s="50">
        <v>7</v>
      </c>
      <c r="E49" s="50">
        <v>8</v>
      </c>
      <c r="F49" s="50">
        <v>30</v>
      </c>
      <c r="G49" s="50">
        <v>0</v>
      </c>
      <c r="H49" s="50">
        <v>0</v>
      </c>
      <c r="I49" s="50">
        <v>7</v>
      </c>
      <c r="J49" s="50">
        <v>4</v>
      </c>
      <c r="K49" s="50">
        <v>1</v>
      </c>
      <c r="L49" s="50">
        <v>0</v>
      </c>
      <c r="M49" s="50">
        <v>145</v>
      </c>
      <c r="N49" s="50">
        <v>0</v>
      </c>
      <c r="O49" s="15">
        <f t="shared" si="0"/>
        <v>152</v>
      </c>
      <c r="P49" s="15">
        <f t="shared" si="1"/>
        <v>297</v>
      </c>
      <c r="R49" s="8"/>
      <c r="T49"/>
    </row>
    <row r="50" spans="2:20" ht="23.1" customHeight="1" x14ac:dyDescent="0.25">
      <c r="B50" s="46" t="s">
        <v>77</v>
      </c>
      <c r="C50" s="50">
        <v>83</v>
      </c>
      <c r="D50" s="50">
        <v>18</v>
      </c>
      <c r="E50" s="50">
        <v>8</v>
      </c>
      <c r="F50" s="50">
        <v>26</v>
      </c>
      <c r="G50" s="50">
        <v>0</v>
      </c>
      <c r="H50" s="50">
        <v>0</v>
      </c>
      <c r="I50" s="50">
        <v>4</v>
      </c>
      <c r="J50" s="50">
        <v>0</v>
      </c>
      <c r="K50" s="50">
        <v>1</v>
      </c>
      <c r="L50" s="50">
        <v>0</v>
      </c>
      <c r="M50" s="50">
        <v>165</v>
      </c>
      <c r="N50" s="50">
        <v>0</v>
      </c>
      <c r="O50" s="15">
        <f t="shared" si="0"/>
        <v>140</v>
      </c>
      <c r="P50" s="15">
        <f t="shared" si="1"/>
        <v>305</v>
      </c>
      <c r="R50" s="8"/>
      <c r="T50"/>
    </row>
    <row r="51" spans="2:20" ht="23.1" customHeight="1" x14ac:dyDescent="0.25">
      <c r="B51" s="46" t="s">
        <v>78</v>
      </c>
      <c r="C51" s="50">
        <v>73</v>
      </c>
      <c r="D51" s="50">
        <v>12</v>
      </c>
      <c r="E51" s="50">
        <v>12</v>
      </c>
      <c r="F51" s="50">
        <v>18</v>
      </c>
      <c r="G51" s="50">
        <v>0</v>
      </c>
      <c r="H51" s="50">
        <v>0</v>
      </c>
      <c r="I51" s="50">
        <v>7</v>
      </c>
      <c r="J51" s="50">
        <v>1</v>
      </c>
      <c r="K51" s="50">
        <v>0</v>
      </c>
      <c r="L51" s="50">
        <v>0</v>
      </c>
      <c r="M51" s="50">
        <v>130</v>
      </c>
      <c r="N51" s="50">
        <v>0</v>
      </c>
      <c r="O51" s="15">
        <f t="shared" si="0"/>
        <v>123</v>
      </c>
      <c r="P51" s="15">
        <f t="shared" si="1"/>
        <v>253</v>
      </c>
      <c r="R51" s="8"/>
      <c r="T51"/>
    </row>
    <row r="52" spans="2:20" ht="23.1" customHeight="1" x14ac:dyDescent="0.25">
      <c r="B52" s="46" t="s">
        <v>79</v>
      </c>
      <c r="C52" s="50">
        <v>82</v>
      </c>
      <c r="D52" s="50">
        <v>13</v>
      </c>
      <c r="E52" s="50">
        <v>6</v>
      </c>
      <c r="F52" s="50">
        <v>24</v>
      </c>
      <c r="G52" s="50">
        <v>0</v>
      </c>
      <c r="H52" s="50">
        <v>1</v>
      </c>
      <c r="I52" s="50">
        <v>3</v>
      </c>
      <c r="J52" s="50">
        <v>3</v>
      </c>
      <c r="K52" s="50">
        <v>0</v>
      </c>
      <c r="L52" s="50">
        <v>1</v>
      </c>
      <c r="M52" s="50">
        <v>185</v>
      </c>
      <c r="N52" s="50">
        <v>0</v>
      </c>
      <c r="O52" s="15">
        <f t="shared" si="0"/>
        <v>133</v>
      </c>
      <c r="P52" s="15">
        <f t="shared" si="1"/>
        <v>318</v>
      </c>
      <c r="R52" s="8"/>
      <c r="T52"/>
    </row>
    <row r="53" spans="2:20" ht="23.1" customHeight="1" x14ac:dyDescent="0.25">
      <c r="B53" s="45" t="s">
        <v>80</v>
      </c>
      <c r="C53" s="50">
        <v>75</v>
      </c>
      <c r="D53" s="50">
        <v>9</v>
      </c>
      <c r="E53" s="50">
        <v>6</v>
      </c>
      <c r="F53" s="50">
        <v>11</v>
      </c>
      <c r="G53" s="50">
        <v>2</v>
      </c>
      <c r="H53" s="50">
        <v>0</v>
      </c>
      <c r="I53" s="50">
        <v>5</v>
      </c>
      <c r="J53" s="50">
        <v>2</v>
      </c>
      <c r="K53" s="50">
        <v>0</v>
      </c>
      <c r="L53" s="50">
        <v>0</v>
      </c>
      <c r="M53" s="50">
        <v>115</v>
      </c>
      <c r="N53" s="50">
        <v>0</v>
      </c>
      <c r="O53" s="15">
        <f t="shared" si="0"/>
        <v>110</v>
      </c>
      <c r="P53" s="15">
        <f t="shared" si="1"/>
        <v>225</v>
      </c>
      <c r="R53" s="8"/>
      <c r="T53"/>
    </row>
    <row r="54" spans="2:20" ht="23.1" customHeight="1" x14ac:dyDescent="0.25">
      <c r="B54" s="45" t="s">
        <v>81</v>
      </c>
      <c r="C54" s="50">
        <v>125</v>
      </c>
      <c r="D54" s="50">
        <v>23</v>
      </c>
      <c r="E54" s="50">
        <v>13</v>
      </c>
      <c r="F54" s="50">
        <v>33</v>
      </c>
      <c r="G54" s="50">
        <v>0</v>
      </c>
      <c r="H54" s="50">
        <v>2</v>
      </c>
      <c r="I54" s="50">
        <v>3</v>
      </c>
      <c r="J54" s="50">
        <v>2</v>
      </c>
      <c r="K54" s="50">
        <v>3</v>
      </c>
      <c r="L54" s="50">
        <v>0</v>
      </c>
      <c r="M54" s="50">
        <v>180</v>
      </c>
      <c r="N54" s="50">
        <v>0</v>
      </c>
      <c r="O54" s="15">
        <f t="shared" si="0"/>
        <v>204</v>
      </c>
      <c r="P54" s="15">
        <f t="shared" si="1"/>
        <v>384</v>
      </c>
      <c r="R54" s="8"/>
      <c r="T54"/>
    </row>
    <row r="55" spans="2:20" ht="23.1" customHeight="1" x14ac:dyDescent="0.25">
      <c r="B55" s="45" t="s">
        <v>82</v>
      </c>
      <c r="C55" s="50">
        <v>123</v>
      </c>
      <c r="D55" s="50">
        <v>23</v>
      </c>
      <c r="E55" s="50">
        <v>11</v>
      </c>
      <c r="F55" s="50">
        <v>31</v>
      </c>
      <c r="G55" s="50">
        <v>1</v>
      </c>
      <c r="H55" s="50">
        <v>0</v>
      </c>
      <c r="I55" s="50">
        <v>5</v>
      </c>
      <c r="J55" s="50">
        <v>2</v>
      </c>
      <c r="K55" s="50">
        <v>0</v>
      </c>
      <c r="L55" s="50">
        <v>0</v>
      </c>
      <c r="M55" s="50">
        <v>174</v>
      </c>
      <c r="N55" s="50">
        <v>0</v>
      </c>
      <c r="O55" s="15">
        <f t="shared" si="0"/>
        <v>196</v>
      </c>
      <c r="P55" s="15">
        <f t="shared" si="1"/>
        <v>370</v>
      </c>
      <c r="R55" s="8"/>
      <c r="T55"/>
    </row>
    <row r="56" spans="2:20" ht="23.1" customHeight="1" x14ac:dyDescent="0.25">
      <c r="B56" s="45" t="s">
        <v>83</v>
      </c>
      <c r="C56" s="50">
        <v>104</v>
      </c>
      <c r="D56" s="50">
        <v>18</v>
      </c>
      <c r="E56" s="50">
        <v>8</v>
      </c>
      <c r="F56" s="50">
        <v>25</v>
      </c>
      <c r="G56" s="50">
        <v>0</v>
      </c>
      <c r="H56" s="50">
        <v>0</v>
      </c>
      <c r="I56" s="50">
        <v>7</v>
      </c>
      <c r="J56" s="50">
        <v>1</v>
      </c>
      <c r="K56" s="50">
        <v>0</v>
      </c>
      <c r="L56" s="50">
        <v>0</v>
      </c>
      <c r="M56" s="50">
        <v>150</v>
      </c>
      <c r="N56" s="50">
        <v>0</v>
      </c>
      <c r="O56" s="15">
        <f t="shared" si="0"/>
        <v>163</v>
      </c>
      <c r="P56" s="15">
        <f t="shared" si="1"/>
        <v>313</v>
      </c>
      <c r="R56" s="8"/>
      <c r="T56"/>
    </row>
    <row r="57" spans="2:20" ht="23.1" customHeight="1" x14ac:dyDescent="0.25">
      <c r="B57" s="45" t="s">
        <v>84</v>
      </c>
      <c r="C57" s="50">
        <v>97</v>
      </c>
      <c r="D57" s="50">
        <v>18</v>
      </c>
      <c r="E57" s="50">
        <v>10</v>
      </c>
      <c r="F57" s="50">
        <v>28</v>
      </c>
      <c r="G57" s="50">
        <v>0</v>
      </c>
      <c r="H57" s="50">
        <v>0</v>
      </c>
      <c r="I57" s="50">
        <v>4</v>
      </c>
      <c r="J57" s="50">
        <v>4</v>
      </c>
      <c r="K57" s="50">
        <v>0</v>
      </c>
      <c r="L57" s="50">
        <v>0</v>
      </c>
      <c r="M57" s="50">
        <v>140</v>
      </c>
      <c r="N57" s="50">
        <v>0</v>
      </c>
      <c r="O57" s="15">
        <f t="shared" si="0"/>
        <v>161</v>
      </c>
      <c r="P57" s="15">
        <f t="shared" si="1"/>
        <v>301</v>
      </c>
      <c r="R57" s="8"/>
      <c r="T57"/>
    </row>
    <row r="58" spans="2:20" ht="23.1" customHeight="1" x14ac:dyDescent="0.25">
      <c r="B58" s="45" t="s">
        <v>99</v>
      </c>
      <c r="C58" s="50">
        <v>95</v>
      </c>
      <c r="D58" s="50">
        <v>21</v>
      </c>
      <c r="E58" s="50">
        <v>7</v>
      </c>
      <c r="F58" s="50">
        <v>43</v>
      </c>
      <c r="G58" s="50">
        <v>2</v>
      </c>
      <c r="H58" s="50">
        <v>0</v>
      </c>
      <c r="I58" s="50">
        <v>2</v>
      </c>
      <c r="J58" s="50">
        <v>1</v>
      </c>
      <c r="K58" s="50">
        <v>0</v>
      </c>
      <c r="L58" s="50">
        <v>1</v>
      </c>
      <c r="M58" s="50">
        <v>180</v>
      </c>
      <c r="N58" s="50">
        <v>0</v>
      </c>
      <c r="O58" s="15">
        <f t="shared" si="0"/>
        <v>172</v>
      </c>
      <c r="P58" s="15">
        <f t="shared" si="1"/>
        <v>352</v>
      </c>
      <c r="R58" s="8"/>
      <c r="T58"/>
    </row>
    <row r="59" spans="2:20" ht="23.1" customHeight="1" x14ac:dyDescent="0.25">
      <c r="B59" s="45" t="s">
        <v>100</v>
      </c>
      <c r="C59" s="50">
        <v>150</v>
      </c>
      <c r="D59" s="50">
        <v>15</v>
      </c>
      <c r="E59" s="50">
        <v>12</v>
      </c>
      <c r="F59" s="50">
        <v>35</v>
      </c>
      <c r="G59" s="50">
        <v>0</v>
      </c>
      <c r="H59" s="50">
        <v>0</v>
      </c>
      <c r="I59" s="50">
        <v>4</v>
      </c>
      <c r="J59" s="50">
        <v>5</v>
      </c>
      <c r="K59" s="50">
        <v>0</v>
      </c>
      <c r="L59" s="50">
        <v>0</v>
      </c>
      <c r="M59" s="50">
        <v>185</v>
      </c>
      <c r="N59" s="50">
        <v>0</v>
      </c>
      <c r="O59" s="15">
        <f t="shared" si="0"/>
        <v>221</v>
      </c>
      <c r="P59" s="15">
        <f t="shared" si="1"/>
        <v>406</v>
      </c>
      <c r="R59" s="8"/>
      <c r="T59"/>
    </row>
    <row r="60" spans="2:20" ht="23.1" customHeight="1" x14ac:dyDescent="0.25">
      <c r="B60" s="45" t="s">
        <v>101</v>
      </c>
      <c r="C60" s="50">
        <v>85</v>
      </c>
      <c r="D60" s="50">
        <v>11</v>
      </c>
      <c r="E60" s="50">
        <v>9</v>
      </c>
      <c r="F60" s="50">
        <v>24</v>
      </c>
      <c r="G60" s="50">
        <v>1</v>
      </c>
      <c r="H60" s="50">
        <v>0</v>
      </c>
      <c r="I60" s="50">
        <v>7</v>
      </c>
      <c r="J60" s="50">
        <v>3</v>
      </c>
      <c r="K60" s="50">
        <v>0</v>
      </c>
      <c r="L60" s="50">
        <v>0</v>
      </c>
      <c r="M60" s="50">
        <v>160</v>
      </c>
      <c r="N60" s="50">
        <v>0</v>
      </c>
      <c r="O60" s="15">
        <f t="shared" si="0"/>
        <v>140</v>
      </c>
      <c r="P60" s="15">
        <f t="shared" si="1"/>
        <v>300</v>
      </c>
      <c r="R60" s="8"/>
      <c r="T60"/>
    </row>
    <row r="61" spans="2:20" ht="23.1" customHeight="1" x14ac:dyDescent="0.25">
      <c r="B61" s="45" t="s">
        <v>102</v>
      </c>
      <c r="C61" s="50">
        <v>79</v>
      </c>
      <c r="D61" s="50">
        <v>13</v>
      </c>
      <c r="E61" s="50">
        <v>10</v>
      </c>
      <c r="F61" s="50">
        <v>41</v>
      </c>
      <c r="G61" s="50">
        <v>0</v>
      </c>
      <c r="H61" s="50">
        <v>0</v>
      </c>
      <c r="I61" s="50">
        <v>6</v>
      </c>
      <c r="J61" s="50">
        <v>2</v>
      </c>
      <c r="K61" s="50">
        <v>0</v>
      </c>
      <c r="L61" s="50">
        <v>0</v>
      </c>
      <c r="M61" s="50">
        <v>190</v>
      </c>
      <c r="N61" s="50">
        <v>0</v>
      </c>
      <c r="O61" s="15">
        <f t="shared" si="0"/>
        <v>151</v>
      </c>
      <c r="P61" s="15">
        <f t="shared" si="1"/>
        <v>341</v>
      </c>
      <c r="R61" s="8"/>
      <c r="T61"/>
    </row>
    <row r="62" spans="2:20" ht="23.1" customHeight="1" x14ac:dyDescent="0.25">
      <c r="B62" s="45" t="s">
        <v>107</v>
      </c>
      <c r="C62" s="50">
        <v>100</v>
      </c>
      <c r="D62" s="50">
        <v>7</v>
      </c>
      <c r="E62" s="50">
        <v>8</v>
      </c>
      <c r="F62" s="50">
        <v>40</v>
      </c>
      <c r="G62" s="50">
        <v>0</v>
      </c>
      <c r="H62" s="50">
        <v>0</v>
      </c>
      <c r="I62" s="50">
        <v>1</v>
      </c>
      <c r="J62" s="50">
        <v>0</v>
      </c>
      <c r="K62" s="50">
        <v>1</v>
      </c>
      <c r="L62" s="50">
        <v>1</v>
      </c>
      <c r="M62" s="50">
        <v>165</v>
      </c>
      <c r="N62" s="50">
        <v>0</v>
      </c>
      <c r="O62" s="15">
        <f t="shared" si="0"/>
        <v>158</v>
      </c>
      <c r="P62" s="15">
        <f t="shared" si="1"/>
        <v>323</v>
      </c>
      <c r="R62" s="8"/>
      <c r="T62"/>
    </row>
    <row r="63" spans="2:20" ht="23.1" customHeight="1" x14ac:dyDescent="0.25">
      <c r="B63" s="45" t="s">
        <v>108</v>
      </c>
      <c r="C63" s="50">
        <v>118</v>
      </c>
      <c r="D63" s="50">
        <v>8</v>
      </c>
      <c r="E63" s="50">
        <v>7</v>
      </c>
      <c r="F63" s="50">
        <v>35</v>
      </c>
      <c r="G63" s="50">
        <v>1</v>
      </c>
      <c r="H63" s="50">
        <v>1</v>
      </c>
      <c r="I63" s="50">
        <v>1</v>
      </c>
      <c r="J63" s="50">
        <v>2</v>
      </c>
      <c r="K63" s="50">
        <v>1</v>
      </c>
      <c r="L63" s="50">
        <v>0</v>
      </c>
      <c r="M63" s="50">
        <v>160</v>
      </c>
      <c r="N63" s="50">
        <v>0</v>
      </c>
      <c r="O63" s="15">
        <f t="shared" si="0"/>
        <v>174</v>
      </c>
      <c r="P63" s="15">
        <f t="shared" si="1"/>
        <v>334</v>
      </c>
      <c r="R63" s="8"/>
      <c r="T63"/>
    </row>
    <row r="64" spans="2:20" ht="23.1" customHeight="1" x14ac:dyDescent="0.25">
      <c r="B64" s="45" t="s">
        <v>109</v>
      </c>
      <c r="C64" s="50">
        <v>90</v>
      </c>
      <c r="D64" s="50">
        <v>5</v>
      </c>
      <c r="E64" s="50">
        <v>8</v>
      </c>
      <c r="F64" s="50">
        <v>40</v>
      </c>
      <c r="G64" s="50">
        <v>2</v>
      </c>
      <c r="H64" s="50">
        <v>0</v>
      </c>
      <c r="I64" s="50">
        <v>4</v>
      </c>
      <c r="J64" s="50">
        <v>4</v>
      </c>
      <c r="K64" s="50">
        <v>0</v>
      </c>
      <c r="L64" s="50">
        <v>0</v>
      </c>
      <c r="M64" s="50">
        <v>150</v>
      </c>
      <c r="N64" s="50">
        <v>0</v>
      </c>
      <c r="O64" s="15">
        <f t="shared" si="0"/>
        <v>153</v>
      </c>
      <c r="P64" s="15">
        <f t="shared" si="1"/>
        <v>303</v>
      </c>
      <c r="R64" s="8"/>
      <c r="T64"/>
    </row>
    <row r="65" spans="2:20" ht="23.1" customHeight="1" x14ac:dyDescent="0.25">
      <c r="B65" s="45" t="s">
        <v>158</v>
      </c>
      <c r="C65" s="50">
        <v>104</v>
      </c>
      <c r="D65" s="50">
        <v>8</v>
      </c>
      <c r="E65" s="50">
        <v>4</v>
      </c>
      <c r="F65" s="50">
        <v>45</v>
      </c>
      <c r="G65" s="50">
        <v>0</v>
      </c>
      <c r="H65" s="50">
        <v>0</v>
      </c>
      <c r="I65" s="50">
        <v>3</v>
      </c>
      <c r="J65" s="50">
        <v>1</v>
      </c>
      <c r="K65" s="50">
        <v>0</v>
      </c>
      <c r="L65" s="50">
        <v>2</v>
      </c>
      <c r="M65" s="50">
        <v>148</v>
      </c>
      <c r="N65" s="50">
        <v>0</v>
      </c>
      <c r="O65" s="15">
        <f t="shared" si="0"/>
        <v>167</v>
      </c>
      <c r="P65" s="15">
        <f t="shared" si="1"/>
        <v>315</v>
      </c>
      <c r="R65" s="8"/>
      <c r="T65"/>
    </row>
    <row r="66" spans="2:20" ht="23.1" customHeight="1" x14ac:dyDescent="0.25">
      <c r="B66" s="45" t="s">
        <v>103</v>
      </c>
      <c r="C66" s="50">
        <v>110</v>
      </c>
      <c r="D66" s="50">
        <v>5</v>
      </c>
      <c r="E66" s="50">
        <v>6</v>
      </c>
      <c r="F66" s="50">
        <v>41</v>
      </c>
      <c r="G66" s="50">
        <v>0</v>
      </c>
      <c r="H66" s="50">
        <v>1</v>
      </c>
      <c r="I66" s="50">
        <v>0</v>
      </c>
      <c r="J66" s="50">
        <v>1</v>
      </c>
      <c r="K66" s="50">
        <v>0</v>
      </c>
      <c r="L66" s="50">
        <v>1</v>
      </c>
      <c r="M66" s="50">
        <v>110</v>
      </c>
      <c r="N66" s="50">
        <v>0</v>
      </c>
      <c r="O66" s="15">
        <f t="shared" si="0"/>
        <v>165</v>
      </c>
      <c r="P66" s="15">
        <f t="shared" si="1"/>
        <v>275</v>
      </c>
      <c r="R66" s="8"/>
      <c r="T66"/>
    </row>
    <row r="67" spans="2:20" ht="23.1" customHeight="1" x14ac:dyDescent="0.25">
      <c r="B67" s="45" t="s">
        <v>104</v>
      </c>
      <c r="C67" s="50">
        <v>98</v>
      </c>
      <c r="D67" s="50">
        <v>9</v>
      </c>
      <c r="E67" s="50">
        <v>10</v>
      </c>
      <c r="F67" s="50">
        <v>47</v>
      </c>
      <c r="G67" s="50">
        <v>2</v>
      </c>
      <c r="H67" s="50">
        <v>0</v>
      </c>
      <c r="I67" s="50">
        <v>3</v>
      </c>
      <c r="J67" s="50">
        <v>1</v>
      </c>
      <c r="K67" s="50">
        <v>0</v>
      </c>
      <c r="L67" s="50">
        <v>0</v>
      </c>
      <c r="M67" s="50">
        <v>152</v>
      </c>
      <c r="N67" s="50">
        <v>0</v>
      </c>
      <c r="O67" s="15">
        <f t="shared" si="0"/>
        <v>170</v>
      </c>
      <c r="P67" s="15">
        <f t="shared" si="1"/>
        <v>322</v>
      </c>
      <c r="R67" s="8"/>
      <c r="T67"/>
    </row>
    <row r="68" spans="2:20" ht="23.1" customHeight="1" x14ac:dyDescent="0.25">
      <c r="B68" s="45" t="s">
        <v>105</v>
      </c>
      <c r="C68" s="50">
        <v>115</v>
      </c>
      <c r="D68" s="50">
        <v>7</v>
      </c>
      <c r="E68" s="50">
        <v>8</v>
      </c>
      <c r="F68" s="50">
        <v>57</v>
      </c>
      <c r="G68" s="50">
        <v>0</v>
      </c>
      <c r="H68" s="50">
        <v>0</v>
      </c>
      <c r="I68" s="50">
        <v>3</v>
      </c>
      <c r="J68" s="50">
        <v>2</v>
      </c>
      <c r="K68" s="50">
        <v>1</v>
      </c>
      <c r="L68" s="50">
        <v>0</v>
      </c>
      <c r="M68" s="50">
        <v>100</v>
      </c>
      <c r="N68" s="50">
        <v>0</v>
      </c>
      <c r="O68" s="15">
        <f t="shared" si="0"/>
        <v>193</v>
      </c>
      <c r="P68" s="15">
        <f t="shared" si="1"/>
        <v>293</v>
      </c>
      <c r="R68" s="8"/>
      <c r="T68"/>
    </row>
    <row r="69" spans="2:20" ht="23.1" customHeight="1" x14ac:dyDescent="0.25">
      <c r="B69" s="45" t="s">
        <v>106</v>
      </c>
      <c r="C69" s="50">
        <v>85</v>
      </c>
      <c r="D69" s="50">
        <v>6</v>
      </c>
      <c r="E69" s="50">
        <v>9</v>
      </c>
      <c r="F69" s="50">
        <v>23</v>
      </c>
      <c r="G69" s="50">
        <v>0</v>
      </c>
      <c r="H69" s="50">
        <v>2</v>
      </c>
      <c r="I69" s="50">
        <v>5</v>
      </c>
      <c r="J69" s="50">
        <v>3</v>
      </c>
      <c r="K69" s="50">
        <v>2</v>
      </c>
      <c r="L69" s="50">
        <v>0</v>
      </c>
      <c r="M69" s="50">
        <v>70</v>
      </c>
      <c r="N69" s="50">
        <v>0</v>
      </c>
      <c r="O69" s="15">
        <f t="shared" si="0"/>
        <v>135</v>
      </c>
      <c r="P69" s="15">
        <f t="shared" si="1"/>
        <v>205</v>
      </c>
      <c r="R69" s="8"/>
      <c r="T69"/>
    </row>
    <row r="70" spans="2:20" ht="23.1" customHeight="1" x14ac:dyDescent="0.25">
      <c r="B70" s="45" t="s">
        <v>110</v>
      </c>
      <c r="C70" s="50">
        <v>75</v>
      </c>
      <c r="D70" s="50">
        <v>16</v>
      </c>
      <c r="E70" s="50">
        <v>5</v>
      </c>
      <c r="F70" s="50">
        <v>23</v>
      </c>
      <c r="G70" s="50">
        <v>0</v>
      </c>
      <c r="H70" s="50">
        <v>0</v>
      </c>
      <c r="I70" s="50">
        <v>4</v>
      </c>
      <c r="J70" s="50">
        <v>0</v>
      </c>
      <c r="K70" s="50">
        <v>2</v>
      </c>
      <c r="L70" s="50">
        <v>0</v>
      </c>
      <c r="M70" s="50">
        <v>87</v>
      </c>
      <c r="N70" s="50">
        <v>0</v>
      </c>
      <c r="O70" s="15">
        <f t="shared" si="0"/>
        <v>125</v>
      </c>
      <c r="P70" s="15">
        <f t="shared" si="1"/>
        <v>212</v>
      </c>
      <c r="R70" s="8"/>
      <c r="T70"/>
    </row>
    <row r="71" spans="2:20" ht="23.1" customHeight="1" x14ac:dyDescent="0.25">
      <c r="B71" s="45" t="s">
        <v>111</v>
      </c>
      <c r="C71" s="50">
        <v>62</v>
      </c>
      <c r="D71" s="50">
        <v>17</v>
      </c>
      <c r="E71" s="50">
        <v>8</v>
      </c>
      <c r="F71" s="50">
        <v>30</v>
      </c>
      <c r="G71" s="50">
        <v>1</v>
      </c>
      <c r="H71" s="50">
        <v>0</v>
      </c>
      <c r="I71" s="50">
        <v>1</v>
      </c>
      <c r="J71" s="50">
        <v>2</v>
      </c>
      <c r="K71" s="50">
        <v>0</v>
      </c>
      <c r="L71" s="50">
        <v>0</v>
      </c>
      <c r="M71" s="50">
        <v>100</v>
      </c>
      <c r="N71" s="50">
        <v>0</v>
      </c>
      <c r="O71" s="15">
        <f t="shared" si="0"/>
        <v>121</v>
      </c>
      <c r="P71" s="15">
        <f t="shared" si="1"/>
        <v>221</v>
      </c>
      <c r="R71" s="8"/>
      <c r="T71"/>
    </row>
    <row r="72" spans="2:20" ht="23.1" customHeight="1" x14ac:dyDescent="0.25">
      <c r="B72" s="45" t="s">
        <v>112</v>
      </c>
      <c r="C72" s="50">
        <v>65</v>
      </c>
      <c r="D72" s="50">
        <v>8</v>
      </c>
      <c r="E72" s="50">
        <v>10</v>
      </c>
      <c r="F72" s="50">
        <v>31</v>
      </c>
      <c r="G72" s="50">
        <v>0</v>
      </c>
      <c r="H72" s="50">
        <v>0</v>
      </c>
      <c r="I72" s="50">
        <v>3</v>
      </c>
      <c r="J72" s="50">
        <v>0</v>
      </c>
      <c r="K72" s="50">
        <v>0</v>
      </c>
      <c r="L72" s="50">
        <v>1</v>
      </c>
      <c r="M72" s="50">
        <v>93</v>
      </c>
      <c r="N72" s="50">
        <v>0</v>
      </c>
      <c r="O72" s="15">
        <f t="shared" si="0"/>
        <v>118</v>
      </c>
      <c r="P72" s="15">
        <f t="shared" si="1"/>
        <v>211</v>
      </c>
      <c r="R72" s="8"/>
      <c r="T72"/>
    </row>
    <row r="73" spans="2:20" ht="23.1" customHeight="1" x14ac:dyDescent="0.25">
      <c r="B73" s="45" t="s">
        <v>113</v>
      </c>
      <c r="C73" s="50">
        <v>47</v>
      </c>
      <c r="D73" s="50">
        <v>7</v>
      </c>
      <c r="E73" s="50">
        <v>7</v>
      </c>
      <c r="F73" s="50">
        <v>20</v>
      </c>
      <c r="G73" s="50">
        <v>0</v>
      </c>
      <c r="H73" s="50">
        <v>0</v>
      </c>
      <c r="I73" s="50">
        <v>3</v>
      </c>
      <c r="J73" s="50">
        <v>2</v>
      </c>
      <c r="K73" s="50">
        <v>0</v>
      </c>
      <c r="L73" s="50">
        <v>0</v>
      </c>
      <c r="M73" s="50">
        <v>65</v>
      </c>
      <c r="N73" s="50">
        <v>0</v>
      </c>
      <c r="O73" s="15">
        <f t="shared" si="0"/>
        <v>86</v>
      </c>
      <c r="P73" s="15">
        <f t="shared" si="1"/>
        <v>151</v>
      </c>
      <c r="R73" s="8"/>
      <c r="T73"/>
    </row>
    <row r="74" spans="2:20" ht="23.1" customHeight="1" x14ac:dyDescent="0.25">
      <c r="B74" s="45" t="s">
        <v>114</v>
      </c>
      <c r="C74" s="50">
        <v>48</v>
      </c>
      <c r="D74" s="50">
        <v>2</v>
      </c>
      <c r="E74" s="50">
        <v>3</v>
      </c>
      <c r="F74" s="50">
        <v>9</v>
      </c>
      <c r="G74" s="50">
        <v>0</v>
      </c>
      <c r="H74" s="50">
        <v>0</v>
      </c>
      <c r="I74" s="50">
        <v>3</v>
      </c>
      <c r="J74" s="50">
        <v>0</v>
      </c>
      <c r="K74" s="50">
        <v>1</v>
      </c>
      <c r="L74" s="50">
        <v>1</v>
      </c>
      <c r="M74" s="50">
        <v>85</v>
      </c>
      <c r="N74" s="50">
        <v>0</v>
      </c>
      <c r="O74" s="15">
        <f t="shared" ref="O74:O105" si="35">SUM(C74:L74,N74)</f>
        <v>67</v>
      </c>
      <c r="P74" s="15">
        <f t="shared" ref="P74:P105" si="36">SUM(C74:N74)</f>
        <v>152</v>
      </c>
      <c r="R74" s="8"/>
      <c r="T74"/>
    </row>
    <row r="75" spans="2:20" ht="23.1" customHeight="1" x14ac:dyDescent="0.25">
      <c r="B75" s="45" t="s">
        <v>115</v>
      </c>
      <c r="C75" s="50">
        <v>45</v>
      </c>
      <c r="D75" s="50">
        <v>7</v>
      </c>
      <c r="E75" s="50">
        <v>4</v>
      </c>
      <c r="F75" s="50">
        <v>15</v>
      </c>
      <c r="G75" s="50">
        <v>0</v>
      </c>
      <c r="H75" s="50">
        <v>0</v>
      </c>
      <c r="I75" s="50">
        <v>3</v>
      </c>
      <c r="J75" s="50">
        <v>3</v>
      </c>
      <c r="K75" s="50">
        <v>1</v>
      </c>
      <c r="L75" s="50">
        <v>0</v>
      </c>
      <c r="M75" s="50">
        <v>65</v>
      </c>
      <c r="N75" s="50">
        <v>0</v>
      </c>
      <c r="O75" s="15">
        <f t="shared" si="35"/>
        <v>78</v>
      </c>
      <c r="P75" s="15">
        <f t="shared" si="36"/>
        <v>143</v>
      </c>
      <c r="R75" s="8"/>
      <c r="T75"/>
    </row>
    <row r="76" spans="2:20" ht="23.1" customHeight="1" x14ac:dyDescent="0.25">
      <c r="B76" s="45" t="s">
        <v>116</v>
      </c>
      <c r="C76" s="50">
        <v>37</v>
      </c>
      <c r="D76" s="50">
        <v>5</v>
      </c>
      <c r="E76" s="50">
        <v>5</v>
      </c>
      <c r="F76" s="50">
        <v>7</v>
      </c>
      <c r="G76" s="50">
        <v>0</v>
      </c>
      <c r="H76" s="50">
        <v>1</v>
      </c>
      <c r="I76" s="50">
        <v>1</v>
      </c>
      <c r="J76" s="50">
        <v>0</v>
      </c>
      <c r="K76" s="50">
        <v>0</v>
      </c>
      <c r="L76" s="50">
        <v>0</v>
      </c>
      <c r="M76" s="50">
        <v>85</v>
      </c>
      <c r="N76" s="50">
        <v>0</v>
      </c>
      <c r="O76" s="15">
        <f t="shared" si="35"/>
        <v>56</v>
      </c>
      <c r="P76" s="15">
        <f t="shared" si="36"/>
        <v>141</v>
      </c>
      <c r="R76" s="8"/>
      <c r="T76"/>
    </row>
    <row r="77" spans="2:20" ht="23.1" customHeight="1" x14ac:dyDescent="0.25">
      <c r="B77" s="45" t="s">
        <v>117</v>
      </c>
      <c r="C77" s="50">
        <v>29</v>
      </c>
      <c r="D77" s="50">
        <v>6</v>
      </c>
      <c r="E77" s="50">
        <v>4</v>
      </c>
      <c r="F77" s="50">
        <v>8</v>
      </c>
      <c r="G77" s="50">
        <v>0</v>
      </c>
      <c r="H77" s="50">
        <v>0</v>
      </c>
      <c r="I77" s="50">
        <v>4</v>
      </c>
      <c r="J77" s="50">
        <v>0</v>
      </c>
      <c r="K77" s="50">
        <v>0</v>
      </c>
      <c r="L77" s="50">
        <v>0</v>
      </c>
      <c r="M77" s="50">
        <v>57</v>
      </c>
      <c r="N77" s="50">
        <v>0</v>
      </c>
      <c r="O77" s="15">
        <f t="shared" si="35"/>
        <v>51</v>
      </c>
      <c r="P77" s="15">
        <f t="shared" si="36"/>
        <v>108</v>
      </c>
      <c r="R77" s="8"/>
      <c r="T77"/>
    </row>
    <row r="78" spans="2:20" ht="23.1" customHeight="1" x14ac:dyDescent="0.25">
      <c r="B78" s="46" t="s">
        <v>118</v>
      </c>
      <c r="C78" s="50">
        <v>44</v>
      </c>
      <c r="D78" s="50">
        <v>5</v>
      </c>
      <c r="E78" s="50">
        <v>4</v>
      </c>
      <c r="F78" s="50">
        <v>6</v>
      </c>
      <c r="G78" s="50">
        <v>0</v>
      </c>
      <c r="H78" s="50">
        <v>0</v>
      </c>
      <c r="I78" s="50">
        <v>2</v>
      </c>
      <c r="J78" s="50">
        <v>0</v>
      </c>
      <c r="K78" s="50">
        <v>0</v>
      </c>
      <c r="L78" s="50">
        <v>0</v>
      </c>
      <c r="M78" s="50">
        <v>91</v>
      </c>
      <c r="N78" s="50">
        <v>0</v>
      </c>
      <c r="O78" s="15">
        <f t="shared" si="35"/>
        <v>61</v>
      </c>
      <c r="P78" s="15">
        <f t="shared" si="36"/>
        <v>152</v>
      </c>
      <c r="R78" s="8"/>
      <c r="T78"/>
    </row>
    <row r="79" spans="2:20" ht="23.1" customHeight="1" x14ac:dyDescent="0.25">
      <c r="B79" s="45" t="s">
        <v>119</v>
      </c>
      <c r="C79" s="50">
        <v>40</v>
      </c>
      <c r="D79" s="50">
        <v>2</v>
      </c>
      <c r="E79" s="50">
        <v>3</v>
      </c>
      <c r="F79" s="50">
        <v>4</v>
      </c>
      <c r="G79" s="50">
        <v>0</v>
      </c>
      <c r="H79" s="50">
        <v>0</v>
      </c>
      <c r="I79" s="50">
        <v>0</v>
      </c>
      <c r="J79" s="50">
        <v>0</v>
      </c>
      <c r="K79" s="50">
        <v>1</v>
      </c>
      <c r="L79" s="50">
        <v>0</v>
      </c>
      <c r="M79" s="50">
        <v>54</v>
      </c>
      <c r="N79" s="50">
        <v>0</v>
      </c>
      <c r="O79" s="15">
        <f t="shared" si="35"/>
        <v>50</v>
      </c>
      <c r="P79" s="15">
        <f t="shared" si="36"/>
        <v>104</v>
      </c>
      <c r="R79" s="8"/>
      <c r="T79"/>
    </row>
    <row r="80" spans="2:20" ht="23.1" customHeight="1" x14ac:dyDescent="0.25">
      <c r="B80" s="47" t="s">
        <v>120</v>
      </c>
      <c r="C80" s="50">
        <v>30</v>
      </c>
      <c r="D80" s="50">
        <v>2</v>
      </c>
      <c r="E80" s="50">
        <v>2</v>
      </c>
      <c r="F80" s="50">
        <v>3</v>
      </c>
      <c r="G80" s="50">
        <v>0</v>
      </c>
      <c r="H80" s="50">
        <v>0</v>
      </c>
      <c r="I80" s="50">
        <v>1</v>
      </c>
      <c r="J80" s="50">
        <v>1</v>
      </c>
      <c r="K80" s="50">
        <v>0</v>
      </c>
      <c r="L80" s="50">
        <v>0</v>
      </c>
      <c r="M80" s="50">
        <v>50</v>
      </c>
      <c r="N80" s="50">
        <v>0</v>
      </c>
      <c r="O80" s="15">
        <f t="shared" si="35"/>
        <v>39</v>
      </c>
      <c r="P80" s="15">
        <f t="shared" si="36"/>
        <v>89</v>
      </c>
      <c r="R80" s="8"/>
      <c r="T80"/>
    </row>
    <row r="81" spans="2:20" ht="23.1" customHeight="1" x14ac:dyDescent="0.25">
      <c r="B81" s="45" t="s">
        <v>121</v>
      </c>
      <c r="C81" s="50">
        <v>28</v>
      </c>
      <c r="D81" s="50">
        <v>1</v>
      </c>
      <c r="E81" s="50">
        <v>4</v>
      </c>
      <c r="F81" s="50">
        <v>3</v>
      </c>
      <c r="G81" s="50">
        <v>0</v>
      </c>
      <c r="H81" s="50">
        <v>0</v>
      </c>
      <c r="I81" s="50">
        <v>1</v>
      </c>
      <c r="J81" s="50">
        <v>1</v>
      </c>
      <c r="K81" s="50">
        <v>1</v>
      </c>
      <c r="L81" s="50">
        <v>0</v>
      </c>
      <c r="M81" s="50">
        <v>60</v>
      </c>
      <c r="N81" s="50">
        <v>0</v>
      </c>
      <c r="O81" s="15">
        <f t="shared" si="35"/>
        <v>39</v>
      </c>
      <c r="P81" s="15">
        <f t="shared" si="36"/>
        <v>99</v>
      </c>
      <c r="R81" s="8"/>
      <c r="T81"/>
    </row>
    <row r="82" spans="2:20" ht="23.1" customHeight="1" x14ac:dyDescent="0.25">
      <c r="B82" s="46" t="s">
        <v>122</v>
      </c>
      <c r="C82" s="50">
        <v>15</v>
      </c>
      <c r="D82" s="50">
        <v>3</v>
      </c>
      <c r="E82" s="50">
        <v>2</v>
      </c>
      <c r="F82" s="50">
        <v>3</v>
      </c>
      <c r="G82" s="50">
        <v>0</v>
      </c>
      <c r="H82" s="50">
        <v>0</v>
      </c>
      <c r="I82" s="50">
        <v>2</v>
      </c>
      <c r="J82" s="50">
        <v>0</v>
      </c>
      <c r="K82" s="50">
        <v>0</v>
      </c>
      <c r="L82" s="50">
        <v>0</v>
      </c>
      <c r="M82" s="50">
        <v>35</v>
      </c>
      <c r="N82" s="50">
        <v>0</v>
      </c>
      <c r="O82" s="15">
        <f t="shared" si="35"/>
        <v>25</v>
      </c>
      <c r="P82" s="15">
        <f t="shared" si="36"/>
        <v>60</v>
      </c>
      <c r="R82" s="8"/>
      <c r="T82"/>
    </row>
    <row r="83" spans="2:20" ht="23.1" customHeight="1" x14ac:dyDescent="0.25">
      <c r="B83" s="45" t="s">
        <v>123</v>
      </c>
      <c r="C83" s="50">
        <v>13</v>
      </c>
      <c r="D83" s="50">
        <v>1</v>
      </c>
      <c r="E83" s="50">
        <v>0</v>
      </c>
      <c r="F83" s="50">
        <v>2</v>
      </c>
      <c r="G83" s="50">
        <v>0</v>
      </c>
      <c r="H83" s="50">
        <v>0</v>
      </c>
      <c r="I83" s="50">
        <v>0</v>
      </c>
      <c r="J83" s="50">
        <v>1</v>
      </c>
      <c r="K83" s="50">
        <v>2</v>
      </c>
      <c r="L83" s="50">
        <v>0</v>
      </c>
      <c r="M83" s="50">
        <v>58</v>
      </c>
      <c r="N83" s="50">
        <v>0</v>
      </c>
      <c r="O83" s="15">
        <f t="shared" si="35"/>
        <v>19</v>
      </c>
      <c r="P83" s="15">
        <f t="shared" si="36"/>
        <v>77</v>
      </c>
      <c r="R83" s="8"/>
      <c r="T83"/>
    </row>
    <row r="84" spans="2:20" ht="23.1" customHeight="1" x14ac:dyDescent="0.25">
      <c r="B84" s="47" t="s">
        <v>124</v>
      </c>
      <c r="C84" s="50">
        <v>19</v>
      </c>
      <c r="D84" s="50">
        <v>3</v>
      </c>
      <c r="E84" s="50">
        <v>1</v>
      </c>
      <c r="F84" s="50">
        <v>1</v>
      </c>
      <c r="G84" s="50">
        <v>0</v>
      </c>
      <c r="H84" s="50">
        <v>0</v>
      </c>
      <c r="I84" s="50">
        <v>1</v>
      </c>
      <c r="J84" s="50">
        <v>1</v>
      </c>
      <c r="K84" s="50">
        <v>0</v>
      </c>
      <c r="L84" s="50">
        <v>2</v>
      </c>
      <c r="M84" s="50">
        <v>60</v>
      </c>
      <c r="N84" s="50">
        <v>0</v>
      </c>
      <c r="O84" s="15">
        <f t="shared" si="35"/>
        <v>28</v>
      </c>
      <c r="P84" s="15">
        <f t="shared" si="36"/>
        <v>88</v>
      </c>
      <c r="R84" s="8"/>
      <c r="T84"/>
    </row>
    <row r="85" spans="2:20" ht="23.1" customHeight="1" x14ac:dyDescent="0.25">
      <c r="B85" s="45" t="s">
        <v>125</v>
      </c>
      <c r="C85" s="50">
        <v>10</v>
      </c>
      <c r="D85" s="50">
        <v>0</v>
      </c>
      <c r="E85" s="50">
        <v>0</v>
      </c>
      <c r="F85" s="50">
        <v>2</v>
      </c>
      <c r="G85" s="50">
        <v>0</v>
      </c>
      <c r="H85" s="50">
        <v>0</v>
      </c>
      <c r="I85" s="50">
        <v>0</v>
      </c>
      <c r="J85" s="50">
        <v>2</v>
      </c>
      <c r="K85" s="50">
        <v>0</v>
      </c>
      <c r="L85" s="50">
        <v>0</v>
      </c>
      <c r="M85" s="50">
        <v>40</v>
      </c>
      <c r="N85" s="50">
        <v>0</v>
      </c>
      <c r="O85" s="15">
        <f t="shared" si="35"/>
        <v>14</v>
      </c>
      <c r="P85" s="15">
        <f t="shared" si="36"/>
        <v>54</v>
      </c>
      <c r="R85" s="8"/>
      <c r="T85"/>
    </row>
    <row r="86" spans="2:20" ht="23.1" customHeight="1" x14ac:dyDescent="0.25">
      <c r="B86" s="46" t="s">
        <v>126</v>
      </c>
      <c r="C86" s="50">
        <v>5</v>
      </c>
      <c r="D86" s="50">
        <v>3</v>
      </c>
      <c r="E86" s="50">
        <v>0</v>
      </c>
      <c r="F86" s="50">
        <v>2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12</v>
      </c>
      <c r="N86" s="50">
        <v>0</v>
      </c>
      <c r="O86" s="15">
        <f t="shared" si="35"/>
        <v>10</v>
      </c>
      <c r="P86" s="15">
        <f t="shared" si="36"/>
        <v>22</v>
      </c>
      <c r="R86" s="8"/>
      <c r="T86"/>
    </row>
    <row r="87" spans="2:20" ht="23.1" customHeight="1" x14ac:dyDescent="0.25">
      <c r="B87" s="45" t="s">
        <v>127</v>
      </c>
      <c r="C87" s="50">
        <v>9</v>
      </c>
      <c r="D87" s="50">
        <v>5</v>
      </c>
      <c r="E87" s="50">
        <v>0</v>
      </c>
      <c r="F87" s="50">
        <v>8</v>
      </c>
      <c r="G87" s="50">
        <v>0</v>
      </c>
      <c r="H87" s="50">
        <v>0</v>
      </c>
      <c r="I87" s="50">
        <v>0</v>
      </c>
      <c r="J87" s="50">
        <v>2</v>
      </c>
      <c r="K87" s="50">
        <v>0</v>
      </c>
      <c r="L87" s="50">
        <v>0</v>
      </c>
      <c r="M87" s="50">
        <v>28</v>
      </c>
      <c r="N87" s="50">
        <v>0</v>
      </c>
      <c r="O87" s="15">
        <f t="shared" si="35"/>
        <v>24</v>
      </c>
      <c r="P87" s="15">
        <f t="shared" si="36"/>
        <v>52</v>
      </c>
      <c r="R87" s="8"/>
      <c r="T87"/>
    </row>
    <row r="88" spans="2:20" ht="23.1" customHeight="1" x14ac:dyDescent="0.25">
      <c r="B88" s="47" t="s">
        <v>128</v>
      </c>
      <c r="C88" s="50">
        <v>17</v>
      </c>
      <c r="D88" s="50">
        <v>1</v>
      </c>
      <c r="E88" s="50">
        <v>0</v>
      </c>
      <c r="F88" s="50">
        <v>3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40</v>
      </c>
      <c r="N88" s="50">
        <v>0</v>
      </c>
      <c r="O88" s="15">
        <f t="shared" si="35"/>
        <v>21</v>
      </c>
      <c r="P88" s="15">
        <f t="shared" si="36"/>
        <v>61</v>
      </c>
      <c r="R88" s="8"/>
      <c r="T88"/>
    </row>
    <row r="89" spans="2:20" ht="23.1" customHeight="1" x14ac:dyDescent="0.25">
      <c r="B89" s="45" t="s">
        <v>129</v>
      </c>
      <c r="C89" s="50">
        <v>13</v>
      </c>
      <c r="D89" s="50">
        <v>1</v>
      </c>
      <c r="E89" s="50">
        <v>2</v>
      </c>
      <c r="F89" s="50">
        <v>1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24</v>
      </c>
      <c r="N89" s="50">
        <v>0</v>
      </c>
      <c r="O89" s="15">
        <f t="shared" si="35"/>
        <v>17</v>
      </c>
      <c r="P89" s="15">
        <f t="shared" si="36"/>
        <v>41</v>
      </c>
      <c r="R89" s="8"/>
      <c r="T89"/>
    </row>
    <row r="90" spans="2:20" ht="23.1" customHeight="1" x14ac:dyDescent="0.25">
      <c r="B90" s="46" t="s">
        <v>130</v>
      </c>
      <c r="C90" s="50">
        <v>5</v>
      </c>
      <c r="D90" s="50">
        <v>3</v>
      </c>
      <c r="E90" s="50">
        <v>0</v>
      </c>
      <c r="F90" s="50">
        <v>1</v>
      </c>
      <c r="G90" s="50">
        <v>0</v>
      </c>
      <c r="H90" s="50">
        <v>0</v>
      </c>
      <c r="I90" s="50">
        <v>1</v>
      </c>
      <c r="J90" s="50">
        <v>1</v>
      </c>
      <c r="K90" s="50">
        <v>0</v>
      </c>
      <c r="L90" s="50">
        <v>0</v>
      </c>
      <c r="M90" s="50">
        <v>28</v>
      </c>
      <c r="N90" s="50">
        <v>0</v>
      </c>
      <c r="O90" s="15">
        <f t="shared" si="35"/>
        <v>11</v>
      </c>
      <c r="P90" s="15">
        <f t="shared" si="36"/>
        <v>39</v>
      </c>
      <c r="R90" s="8"/>
      <c r="T90"/>
    </row>
    <row r="91" spans="2:20" ht="23.1" customHeight="1" x14ac:dyDescent="0.25">
      <c r="B91" s="45" t="s">
        <v>131</v>
      </c>
      <c r="C91" s="50">
        <v>10</v>
      </c>
      <c r="D91" s="50">
        <v>0</v>
      </c>
      <c r="E91" s="50">
        <v>0</v>
      </c>
      <c r="F91" s="50">
        <v>4</v>
      </c>
      <c r="G91" s="50">
        <v>0</v>
      </c>
      <c r="H91" s="50">
        <v>0</v>
      </c>
      <c r="I91" s="50">
        <v>1</v>
      </c>
      <c r="J91" s="50">
        <v>0</v>
      </c>
      <c r="K91" s="50">
        <v>0</v>
      </c>
      <c r="L91" s="50">
        <v>0</v>
      </c>
      <c r="M91" s="50">
        <v>37</v>
      </c>
      <c r="N91" s="50">
        <v>0</v>
      </c>
      <c r="O91" s="15">
        <f t="shared" si="35"/>
        <v>15</v>
      </c>
      <c r="P91" s="15">
        <f t="shared" si="36"/>
        <v>52</v>
      </c>
      <c r="R91" s="8"/>
      <c r="T91"/>
    </row>
    <row r="92" spans="2:20" ht="23.1" customHeight="1" x14ac:dyDescent="0.25">
      <c r="B92" s="47" t="s">
        <v>132</v>
      </c>
      <c r="C92" s="50">
        <v>6</v>
      </c>
      <c r="D92" s="50">
        <v>0</v>
      </c>
      <c r="E92" s="50">
        <v>0</v>
      </c>
      <c r="F92" s="50">
        <v>3</v>
      </c>
      <c r="G92" s="50">
        <v>0</v>
      </c>
      <c r="H92" s="50">
        <v>0</v>
      </c>
      <c r="I92" s="50">
        <v>3</v>
      </c>
      <c r="J92" s="50">
        <v>0</v>
      </c>
      <c r="K92" s="50">
        <v>0</v>
      </c>
      <c r="L92" s="50">
        <v>0</v>
      </c>
      <c r="M92" s="50">
        <v>34</v>
      </c>
      <c r="N92" s="50">
        <v>0</v>
      </c>
      <c r="O92" s="15">
        <f t="shared" si="35"/>
        <v>12</v>
      </c>
      <c r="P92" s="15">
        <f t="shared" si="36"/>
        <v>46</v>
      </c>
      <c r="R92" s="8"/>
      <c r="T92"/>
    </row>
    <row r="93" spans="2:20" ht="23.1" customHeight="1" x14ac:dyDescent="0.25">
      <c r="B93" s="45" t="s">
        <v>133</v>
      </c>
      <c r="C93" s="50">
        <v>4</v>
      </c>
      <c r="D93" s="50">
        <v>1</v>
      </c>
      <c r="E93" s="50">
        <v>0</v>
      </c>
      <c r="F93" s="50">
        <v>9</v>
      </c>
      <c r="G93" s="50">
        <v>0</v>
      </c>
      <c r="H93" s="50">
        <v>0</v>
      </c>
      <c r="I93" s="50">
        <v>1</v>
      </c>
      <c r="J93" s="50">
        <v>1</v>
      </c>
      <c r="K93" s="50">
        <v>1</v>
      </c>
      <c r="L93" s="50">
        <v>0</v>
      </c>
      <c r="M93" s="50">
        <v>30</v>
      </c>
      <c r="N93" s="50">
        <v>0</v>
      </c>
      <c r="O93" s="15">
        <f t="shared" si="35"/>
        <v>17</v>
      </c>
      <c r="P93" s="15">
        <f t="shared" si="36"/>
        <v>47</v>
      </c>
      <c r="R93" s="8"/>
      <c r="T93"/>
    </row>
    <row r="94" spans="2:20" ht="23.1" customHeight="1" x14ac:dyDescent="0.25">
      <c r="B94" s="46" t="s">
        <v>134</v>
      </c>
      <c r="C94" s="50">
        <v>5</v>
      </c>
      <c r="D94" s="50">
        <v>0</v>
      </c>
      <c r="E94" s="50">
        <v>1</v>
      </c>
      <c r="F94" s="50">
        <v>8</v>
      </c>
      <c r="G94" s="50">
        <v>0</v>
      </c>
      <c r="H94" s="50">
        <v>0</v>
      </c>
      <c r="I94" s="50">
        <v>1</v>
      </c>
      <c r="J94" s="50">
        <v>2</v>
      </c>
      <c r="K94" s="50">
        <v>0</v>
      </c>
      <c r="L94" s="50">
        <v>0</v>
      </c>
      <c r="M94" s="50">
        <v>15</v>
      </c>
      <c r="N94" s="50">
        <v>0</v>
      </c>
      <c r="O94" s="15">
        <f t="shared" si="35"/>
        <v>17</v>
      </c>
      <c r="P94" s="15">
        <f t="shared" si="36"/>
        <v>32</v>
      </c>
      <c r="R94" s="8"/>
      <c r="T94"/>
    </row>
    <row r="95" spans="2:20" ht="23.1" customHeight="1" x14ac:dyDescent="0.25">
      <c r="B95" s="45" t="s">
        <v>135</v>
      </c>
      <c r="C95" s="50">
        <v>13</v>
      </c>
      <c r="D95" s="50">
        <v>0</v>
      </c>
      <c r="E95" s="50">
        <v>1</v>
      </c>
      <c r="F95" s="50">
        <v>4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31</v>
      </c>
      <c r="N95" s="50">
        <v>0</v>
      </c>
      <c r="O95" s="15">
        <f t="shared" si="35"/>
        <v>18</v>
      </c>
      <c r="P95" s="15">
        <f t="shared" si="36"/>
        <v>49</v>
      </c>
      <c r="R95" s="8"/>
      <c r="T95"/>
    </row>
    <row r="96" spans="2:20" ht="23.1" customHeight="1" x14ac:dyDescent="0.25">
      <c r="B96" s="47" t="s">
        <v>136</v>
      </c>
      <c r="C96" s="50">
        <v>14</v>
      </c>
      <c r="D96" s="50">
        <v>1</v>
      </c>
      <c r="E96" s="50">
        <v>3</v>
      </c>
      <c r="F96" s="50">
        <v>4</v>
      </c>
      <c r="G96" s="50">
        <v>0</v>
      </c>
      <c r="H96" s="50">
        <v>0</v>
      </c>
      <c r="I96" s="50">
        <v>0</v>
      </c>
      <c r="J96" s="50">
        <v>1</v>
      </c>
      <c r="K96" s="50">
        <v>0</v>
      </c>
      <c r="L96" s="50">
        <v>0</v>
      </c>
      <c r="M96" s="50">
        <v>16</v>
      </c>
      <c r="N96" s="50">
        <v>0</v>
      </c>
      <c r="O96" s="15">
        <f t="shared" si="35"/>
        <v>23</v>
      </c>
      <c r="P96" s="15">
        <f t="shared" si="36"/>
        <v>39</v>
      </c>
      <c r="R96" s="8"/>
      <c r="T96"/>
    </row>
    <row r="97" spans="2:20" ht="23.1" customHeight="1" x14ac:dyDescent="0.25">
      <c r="B97" s="45" t="s">
        <v>137</v>
      </c>
      <c r="C97" s="50">
        <v>12</v>
      </c>
      <c r="D97" s="50">
        <v>3</v>
      </c>
      <c r="E97" s="50">
        <v>4</v>
      </c>
      <c r="F97" s="50">
        <v>6</v>
      </c>
      <c r="G97" s="50">
        <v>0</v>
      </c>
      <c r="H97" s="50">
        <v>0</v>
      </c>
      <c r="I97" s="50">
        <v>2</v>
      </c>
      <c r="J97" s="50">
        <v>2</v>
      </c>
      <c r="K97" s="50">
        <v>0</v>
      </c>
      <c r="L97" s="50">
        <v>0</v>
      </c>
      <c r="M97" s="50">
        <v>22</v>
      </c>
      <c r="N97" s="50">
        <v>0</v>
      </c>
      <c r="O97" s="15">
        <f t="shared" si="35"/>
        <v>29</v>
      </c>
      <c r="P97" s="15">
        <f t="shared" si="36"/>
        <v>51</v>
      </c>
      <c r="R97" s="8"/>
      <c r="T97"/>
    </row>
    <row r="98" spans="2:20" ht="23.1" customHeight="1" x14ac:dyDescent="0.25">
      <c r="B98" s="46" t="s">
        <v>138</v>
      </c>
      <c r="C98" s="50">
        <v>4</v>
      </c>
      <c r="D98" s="50">
        <v>0</v>
      </c>
      <c r="E98" s="50">
        <v>0</v>
      </c>
      <c r="F98" s="50">
        <v>7</v>
      </c>
      <c r="G98" s="50">
        <v>0</v>
      </c>
      <c r="H98" s="50">
        <v>0</v>
      </c>
      <c r="I98" s="50">
        <v>0</v>
      </c>
      <c r="J98" s="50">
        <v>1</v>
      </c>
      <c r="K98" s="50">
        <v>0</v>
      </c>
      <c r="L98" s="50">
        <v>1</v>
      </c>
      <c r="M98" s="50">
        <v>11</v>
      </c>
      <c r="N98" s="50">
        <v>0</v>
      </c>
      <c r="O98" s="15">
        <f t="shared" si="35"/>
        <v>13</v>
      </c>
      <c r="P98" s="15">
        <f t="shared" si="36"/>
        <v>24</v>
      </c>
      <c r="R98" s="8"/>
      <c r="T98"/>
    </row>
    <row r="99" spans="2:20" ht="23.1" customHeight="1" x14ac:dyDescent="0.25">
      <c r="B99" s="45" t="s">
        <v>139</v>
      </c>
      <c r="C99" s="50">
        <v>7</v>
      </c>
      <c r="D99" s="50">
        <v>0</v>
      </c>
      <c r="E99" s="50">
        <v>1</v>
      </c>
      <c r="F99" s="50">
        <v>9</v>
      </c>
      <c r="G99" s="50">
        <v>0</v>
      </c>
      <c r="H99" s="50">
        <v>0</v>
      </c>
      <c r="I99" s="50">
        <v>3</v>
      </c>
      <c r="J99" s="50">
        <v>0</v>
      </c>
      <c r="K99" s="50">
        <v>0</v>
      </c>
      <c r="L99" s="50">
        <v>1</v>
      </c>
      <c r="M99" s="50">
        <v>16</v>
      </c>
      <c r="N99" s="50">
        <v>0</v>
      </c>
      <c r="O99" s="15">
        <f t="shared" si="35"/>
        <v>21</v>
      </c>
      <c r="P99" s="15">
        <f t="shared" si="36"/>
        <v>37</v>
      </c>
      <c r="R99" s="8"/>
      <c r="T99"/>
    </row>
    <row r="100" spans="2:20" ht="23.1" customHeight="1" x14ac:dyDescent="0.25">
      <c r="B100" s="47" t="s">
        <v>140</v>
      </c>
      <c r="C100" s="50">
        <v>5</v>
      </c>
      <c r="D100" s="50">
        <v>0</v>
      </c>
      <c r="E100" s="50">
        <v>2</v>
      </c>
      <c r="F100" s="50">
        <v>17</v>
      </c>
      <c r="G100" s="50">
        <v>0</v>
      </c>
      <c r="H100" s="50">
        <v>0</v>
      </c>
      <c r="I100" s="50">
        <v>0</v>
      </c>
      <c r="J100" s="50">
        <v>1</v>
      </c>
      <c r="K100" s="50">
        <v>1</v>
      </c>
      <c r="L100" s="50">
        <v>2</v>
      </c>
      <c r="M100" s="50">
        <v>30</v>
      </c>
      <c r="N100" s="50">
        <v>0</v>
      </c>
      <c r="O100" s="15">
        <f t="shared" si="35"/>
        <v>28</v>
      </c>
      <c r="P100" s="15">
        <f t="shared" si="36"/>
        <v>58</v>
      </c>
      <c r="R100" s="8"/>
      <c r="T100"/>
    </row>
    <row r="101" spans="2:20" ht="23.1" customHeight="1" x14ac:dyDescent="0.25">
      <c r="B101" s="45" t="s">
        <v>141</v>
      </c>
      <c r="C101" s="50">
        <v>7</v>
      </c>
      <c r="D101" s="50">
        <v>3</v>
      </c>
      <c r="E101" s="50">
        <v>1</v>
      </c>
      <c r="F101" s="50">
        <v>16</v>
      </c>
      <c r="G101" s="50">
        <v>0</v>
      </c>
      <c r="H101" s="50">
        <v>0</v>
      </c>
      <c r="I101" s="50">
        <v>0</v>
      </c>
      <c r="J101" s="50">
        <v>0</v>
      </c>
      <c r="K101" s="50">
        <v>2</v>
      </c>
      <c r="L101" s="50">
        <v>0</v>
      </c>
      <c r="M101" s="50">
        <v>36</v>
      </c>
      <c r="N101" s="50">
        <v>0</v>
      </c>
      <c r="O101" s="15">
        <f t="shared" si="35"/>
        <v>29</v>
      </c>
      <c r="P101" s="15">
        <f t="shared" si="36"/>
        <v>65</v>
      </c>
      <c r="R101" s="8"/>
      <c r="T101"/>
    </row>
    <row r="102" spans="2:20" ht="23.1" customHeight="1" x14ac:dyDescent="0.25">
      <c r="B102" s="46" t="s">
        <v>142</v>
      </c>
      <c r="C102" s="50">
        <v>4</v>
      </c>
      <c r="D102" s="50">
        <v>2</v>
      </c>
      <c r="E102" s="50">
        <v>3</v>
      </c>
      <c r="F102" s="50">
        <v>13</v>
      </c>
      <c r="G102" s="50">
        <v>1</v>
      </c>
      <c r="H102" s="50">
        <v>1</v>
      </c>
      <c r="I102" s="50">
        <v>0</v>
      </c>
      <c r="J102" s="50">
        <v>3</v>
      </c>
      <c r="K102" s="50">
        <v>0</v>
      </c>
      <c r="L102" s="50">
        <v>0</v>
      </c>
      <c r="M102" s="50">
        <v>50</v>
      </c>
      <c r="N102" s="50">
        <v>0</v>
      </c>
      <c r="O102" s="15">
        <f t="shared" si="35"/>
        <v>27</v>
      </c>
      <c r="P102" s="15">
        <f t="shared" si="36"/>
        <v>77</v>
      </c>
      <c r="R102" s="8"/>
      <c r="T102"/>
    </row>
    <row r="103" spans="2:20" ht="23.1" customHeight="1" x14ac:dyDescent="0.25">
      <c r="B103" s="45" t="s">
        <v>143</v>
      </c>
      <c r="C103" s="50">
        <v>6</v>
      </c>
      <c r="D103" s="50">
        <v>1</v>
      </c>
      <c r="E103" s="50">
        <v>3</v>
      </c>
      <c r="F103" s="50">
        <v>21</v>
      </c>
      <c r="G103" s="50">
        <v>0</v>
      </c>
      <c r="H103" s="50">
        <v>0</v>
      </c>
      <c r="I103" s="50">
        <v>0</v>
      </c>
      <c r="J103" s="50">
        <v>4</v>
      </c>
      <c r="K103" s="50">
        <v>0</v>
      </c>
      <c r="L103" s="50">
        <v>0</v>
      </c>
      <c r="M103" s="50">
        <v>43</v>
      </c>
      <c r="N103" s="50">
        <v>0</v>
      </c>
      <c r="O103" s="15">
        <f t="shared" si="35"/>
        <v>35</v>
      </c>
      <c r="P103" s="15">
        <f t="shared" si="36"/>
        <v>78</v>
      </c>
      <c r="R103" s="8"/>
      <c r="T103"/>
    </row>
    <row r="104" spans="2:20" ht="23.1" customHeight="1" x14ac:dyDescent="0.25">
      <c r="B104" s="47" t="s">
        <v>144</v>
      </c>
      <c r="C104" s="50">
        <v>4</v>
      </c>
      <c r="D104" s="50">
        <v>0</v>
      </c>
      <c r="E104" s="50">
        <v>1</v>
      </c>
      <c r="F104" s="50">
        <v>14</v>
      </c>
      <c r="G104" s="50">
        <v>0</v>
      </c>
      <c r="H104" s="50">
        <v>1</v>
      </c>
      <c r="I104" s="50">
        <v>2</v>
      </c>
      <c r="J104" s="50">
        <v>0</v>
      </c>
      <c r="K104" s="50">
        <v>0</v>
      </c>
      <c r="L104" s="50">
        <v>0</v>
      </c>
      <c r="M104" s="50">
        <v>44</v>
      </c>
      <c r="N104" s="50">
        <v>0</v>
      </c>
      <c r="O104" s="15">
        <f t="shared" si="35"/>
        <v>22</v>
      </c>
      <c r="P104" s="15">
        <f t="shared" si="36"/>
        <v>66</v>
      </c>
      <c r="R104" s="8"/>
      <c r="T104"/>
    </row>
    <row r="105" spans="2:20" ht="23.1" customHeight="1" x14ac:dyDescent="0.25">
      <c r="B105" s="45" t="s">
        <v>145</v>
      </c>
      <c r="C105" s="50">
        <v>9</v>
      </c>
      <c r="D105" s="50">
        <v>0</v>
      </c>
      <c r="E105" s="50">
        <v>3</v>
      </c>
      <c r="F105" s="50">
        <v>24</v>
      </c>
      <c r="G105" s="50">
        <v>0</v>
      </c>
      <c r="H105" s="50">
        <v>1</v>
      </c>
      <c r="I105" s="50">
        <v>0</v>
      </c>
      <c r="J105" s="50">
        <v>2</v>
      </c>
      <c r="K105" s="50">
        <v>0</v>
      </c>
      <c r="L105" s="50">
        <v>0</v>
      </c>
      <c r="M105" s="51">
        <v>67</v>
      </c>
      <c r="N105" s="50">
        <v>0</v>
      </c>
      <c r="O105" s="15">
        <f t="shared" si="35"/>
        <v>39</v>
      </c>
      <c r="P105" s="15">
        <f t="shared" si="36"/>
        <v>106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4165</v>
      </c>
      <c r="D106" s="16">
        <f t="shared" ref="D106:P106" si="37">SUM(D10:D105)</f>
        <v>557</v>
      </c>
      <c r="E106" s="16">
        <f t="shared" si="37"/>
        <v>460</v>
      </c>
      <c r="F106" s="16">
        <f t="shared" si="37"/>
        <v>1811</v>
      </c>
      <c r="G106" s="16">
        <f t="shared" si="37"/>
        <v>38</v>
      </c>
      <c r="H106" s="16">
        <f t="shared" si="37"/>
        <v>21</v>
      </c>
      <c r="I106" s="16">
        <f t="shared" si="37"/>
        <v>302</v>
      </c>
      <c r="J106" s="16">
        <f t="shared" si="37"/>
        <v>154</v>
      </c>
      <c r="K106" s="16">
        <f t="shared" si="37"/>
        <v>69</v>
      </c>
      <c r="L106" s="16">
        <f t="shared" si="37"/>
        <v>32</v>
      </c>
      <c r="M106" s="16">
        <f t="shared" si="37"/>
        <v>8866</v>
      </c>
      <c r="N106" s="16">
        <f t="shared" si="37"/>
        <v>0</v>
      </c>
      <c r="O106" s="16">
        <f t="shared" si="37"/>
        <v>7609</v>
      </c>
      <c r="P106" s="16">
        <f t="shared" si="37"/>
        <v>16475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0.25280728376327771</v>
      </c>
      <c r="D107" s="43">
        <f t="shared" si="38"/>
        <v>3.3808801213960543E-2</v>
      </c>
      <c r="E107" s="43">
        <f t="shared" si="38"/>
        <v>2.7921092564491653E-2</v>
      </c>
      <c r="F107" s="43">
        <f t="shared" si="38"/>
        <v>0.10992412746585736</v>
      </c>
      <c r="G107" s="43">
        <f t="shared" si="38"/>
        <v>2.3065250379362672E-3</v>
      </c>
      <c r="H107" s="43">
        <f t="shared" si="38"/>
        <v>1.274658573596358E-3</v>
      </c>
      <c r="I107" s="43">
        <f t="shared" si="38"/>
        <v>1.8330804248861913E-2</v>
      </c>
      <c r="J107" s="43">
        <f t="shared" si="38"/>
        <v>9.3474962063732937E-3</v>
      </c>
      <c r="K107" s="43">
        <f t="shared" si="38"/>
        <v>4.1881638846737483E-3</v>
      </c>
      <c r="L107" s="43">
        <f t="shared" si="38"/>
        <v>1.9423368740515933E-3</v>
      </c>
      <c r="M107" s="43">
        <f t="shared" si="38"/>
        <v>0.53814871016691956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0.54737810487580496</v>
      </c>
      <c r="D108" s="44">
        <f t="shared" ref="D108:N108" si="39">D106/$O$106</f>
        <v>7.3202786174267315E-2</v>
      </c>
      <c r="E108" s="44">
        <f t="shared" si="39"/>
        <v>6.0454724668156129E-2</v>
      </c>
      <c r="F108" s="44">
        <f t="shared" si="39"/>
        <v>0.23800762255224076</v>
      </c>
      <c r="G108" s="44">
        <f t="shared" si="39"/>
        <v>4.9940859508476806E-3</v>
      </c>
      <c r="H108" s="44">
        <f t="shared" si="39"/>
        <v>2.7598896044158236E-3</v>
      </c>
      <c r="I108" s="44">
        <f t="shared" si="39"/>
        <v>3.9689840977789458E-2</v>
      </c>
      <c r="J108" s="44">
        <f t="shared" si="39"/>
        <v>2.0239190432382703E-2</v>
      </c>
      <c r="K108" s="44">
        <f t="shared" si="39"/>
        <v>9.0682087002234204E-3</v>
      </c>
      <c r="L108" s="44">
        <f t="shared" si="39"/>
        <v>4.2055460638717309E-3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D1" zoomScale="84" zoomScaleSheetLayoutView="84" workbookViewId="0">
      <selection activeCell="G6" sqref="G6:H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2" t="str">
        <f>'22.07 Kitebi-Kabusu'!C3:G3</f>
        <v>MCC - C1 - STN06-WANKULUKUKU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167</v>
      </c>
      <c r="E5" s="3"/>
      <c r="F5" s="41" t="s">
        <v>1</v>
      </c>
      <c r="G5" s="57" t="str">
        <f>'26.07 Kabusu-Kitebi-24'!G5:H5</f>
        <v>kobil head office</v>
      </c>
      <c r="H5" s="58"/>
      <c r="I5" s="14"/>
      <c r="J5" s="2" t="s">
        <v>5</v>
      </c>
      <c r="K5" s="57" t="s">
        <v>172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tr">
        <f>'22.07 Kitebi-Kabusu'!D6:E6</f>
        <v>Kitebi</v>
      </c>
      <c r="E6" s="58"/>
      <c r="F6" s="2" t="s">
        <v>2</v>
      </c>
      <c r="G6" s="57" t="str">
        <f>'22.07 Kitebi-Kabusu'!G6:H6</f>
        <v>Kabusu</v>
      </c>
      <c r="H6" s="58"/>
      <c r="J6" s="2" t="s">
        <v>21</v>
      </c>
      <c r="K6" s="57" t="str">
        <f>'26.07 Kabusu-Kitebi-24'!K6:L6</f>
        <v>Oloya Felix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85</v>
      </c>
      <c r="D10" s="50">
        <v>2</v>
      </c>
      <c r="E10" s="50">
        <v>3</v>
      </c>
      <c r="F10" s="50">
        <v>7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92</v>
      </c>
      <c r="N10" s="50">
        <v>0</v>
      </c>
      <c r="O10" s="15">
        <f t="shared" ref="O10:O73" si="0">SUM(C10:L10,N10)</f>
        <v>97</v>
      </c>
      <c r="P10" s="15">
        <f t="shared" ref="P10:P73" si="1">SUM(C10:N10)</f>
        <v>189</v>
      </c>
      <c r="R10" s="1" t="s">
        <v>6</v>
      </c>
      <c r="S10" s="17">
        <f t="shared" ref="S10:AF10" si="2">SUM(C10:C13)</f>
        <v>319</v>
      </c>
      <c r="T10" s="17">
        <f t="shared" si="2"/>
        <v>19</v>
      </c>
      <c r="U10" s="17">
        <f t="shared" si="2"/>
        <v>17</v>
      </c>
      <c r="V10" s="17">
        <f t="shared" si="2"/>
        <v>40</v>
      </c>
      <c r="W10" s="17">
        <f t="shared" si="2"/>
        <v>1</v>
      </c>
      <c r="X10" s="17">
        <f t="shared" si="2"/>
        <v>0</v>
      </c>
      <c r="Y10" s="17">
        <f t="shared" si="2"/>
        <v>4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388</v>
      </c>
      <c r="AD10" s="17">
        <f t="shared" si="2"/>
        <v>0</v>
      </c>
      <c r="AE10" s="31">
        <f t="shared" si="2"/>
        <v>402</v>
      </c>
      <c r="AF10" s="31">
        <f t="shared" si="2"/>
        <v>790</v>
      </c>
    </row>
    <row r="11" spans="2:32" s="6" customFormat="1" ht="23.1" customHeight="1" x14ac:dyDescent="0.25">
      <c r="B11" s="45" t="s">
        <v>38</v>
      </c>
      <c r="C11" s="50">
        <v>68</v>
      </c>
      <c r="D11" s="50">
        <v>5</v>
      </c>
      <c r="E11" s="50">
        <v>3</v>
      </c>
      <c r="F11" s="50">
        <v>12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87</v>
      </c>
      <c r="N11" s="50">
        <v>0</v>
      </c>
      <c r="O11" s="15">
        <f t="shared" si="0"/>
        <v>88</v>
      </c>
      <c r="P11" s="15">
        <f t="shared" si="1"/>
        <v>175</v>
      </c>
      <c r="R11" s="1" t="s">
        <v>7</v>
      </c>
      <c r="S11" s="17">
        <f t="shared" ref="S11:AF11" si="3">SUM(C14:C17)</f>
        <v>444</v>
      </c>
      <c r="T11" s="17">
        <f t="shared" si="3"/>
        <v>50</v>
      </c>
      <c r="U11" s="17">
        <f t="shared" si="3"/>
        <v>45</v>
      </c>
      <c r="V11" s="17">
        <f t="shared" si="3"/>
        <v>105</v>
      </c>
      <c r="W11" s="17">
        <f t="shared" si="3"/>
        <v>2</v>
      </c>
      <c r="X11" s="17">
        <f t="shared" si="3"/>
        <v>0</v>
      </c>
      <c r="Y11" s="17">
        <f t="shared" si="3"/>
        <v>26</v>
      </c>
      <c r="Z11" s="17">
        <f t="shared" si="3"/>
        <v>1</v>
      </c>
      <c r="AA11" s="17">
        <f t="shared" si="3"/>
        <v>0</v>
      </c>
      <c r="AB11" s="17">
        <f t="shared" si="3"/>
        <v>1</v>
      </c>
      <c r="AC11" s="17">
        <f t="shared" si="3"/>
        <v>715</v>
      </c>
      <c r="AD11" s="17">
        <f t="shared" si="3"/>
        <v>0</v>
      </c>
      <c r="AE11" s="31">
        <f t="shared" si="3"/>
        <v>674</v>
      </c>
      <c r="AF11" s="31">
        <f t="shared" si="3"/>
        <v>1389</v>
      </c>
    </row>
    <row r="12" spans="2:32" ht="23.1" customHeight="1" x14ac:dyDescent="0.25">
      <c r="B12" s="45" t="s">
        <v>39</v>
      </c>
      <c r="C12" s="50">
        <v>72</v>
      </c>
      <c r="D12" s="50">
        <v>4</v>
      </c>
      <c r="E12" s="50">
        <v>7</v>
      </c>
      <c r="F12" s="50">
        <v>8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101</v>
      </c>
      <c r="N12" s="50">
        <v>0</v>
      </c>
      <c r="O12" s="15">
        <f t="shared" si="0"/>
        <v>92</v>
      </c>
      <c r="P12" s="15">
        <f t="shared" si="1"/>
        <v>193</v>
      </c>
      <c r="R12" s="1" t="s">
        <v>8</v>
      </c>
      <c r="S12" s="17">
        <f t="shared" ref="S12:AF12" si="4">SUM(C18:C21)</f>
        <v>432</v>
      </c>
      <c r="T12" s="17">
        <f t="shared" si="4"/>
        <v>70</v>
      </c>
      <c r="U12" s="17">
        <f t="shared" si="4"/>
        <v>53</v>
      </c>
      <c r="V12" s="17">
        <f t="shared" si="4"/>
        <v>128</v>
      </c>
      <c r="W12" s="17">
        <f t="shared" si="4"/>
        <v>1</v>
      </c>
      <c r="X12" s="17">
        <f t="shared" si="4"/>
        <v>0</v>
      </c>
      <c r="Y12" s="17">
        <f t="shared" si="4"/>
        <v>26</v>
      </c>
      <c r="Z12" s="17">
        <f t="shared" si="4"/>
        <v>5</v>
      </c>
      <c r="AA12" s="17">
        <f t="shared" si="4"/>
        <v>4</v>
      </c>
      <c r="AB12" s="17">
        <f t="shared" si="4"/>
        <v>0</v>
      </c>
      <c r="AC12" s="17">
        <f t="shared" si="4"/>
        <v>900</v>
      </c>
      <c r="AD12" s="17">
        <f t="shared" si="4"/>
        <v>0</v>
      </c>
      <c r="AE12" s="31">
        <f t="shared" si="4"/>
        <v>719</v>
      </c>
      <c r="AF12" s="31">
        <f t="shared" si="4"/>
        <v>1619</v>
      </c>
    </row>
    <row r="13" spans="2:32" ht="23.1" customHeight="1" x14ac:dyDescent="0.25">
      <c r="B13" s="45" t="s">
        <v>40</v>
      </c>
      <c r="C13" s="50">
        <v>94</v>
      </c>
      <c r="D13" s="50">
        <v>8</v>
      </c>
      <c r="E13" s="50">
        <v>4</v>
      </c>
      <c r="F13" s="50">
        <v>13</v>
      </c>
      <c r="G13" s="50">
        <v>1</v>
      </c>
      <c r="H13" s="50">
        <v>0</v>
      </c>
      <c r="I13" s="50">
        <v>3</v>
      </c>
      <c r="J13" s="50">
        <v>2</v>
      </c>
      <c r="K13" s="50">
        <v>0</v>
      </c>
      <c r="L13" s="50">
        <v>0</v>
      </c>
      <c r="M13" s="50">
        <v>108</v>
      </c>
      <c r="N13" s="50">
        <v>0</v>
      </c>
      <c r="O13" s="15">
        <f t="shared" si="0"/>
        <v>125</v>
      </c>
      <c r="P13" s="15">
        <f t="shared" si="1"/>
        <v>233</v>
      </c>
      <c r="R13" s="1" t="s">
        <v>9</v>
      </c>
      <c r="S13" s="17">
        <f t="shared" ref="S13:AF13" si="5">SUM(C22:C25)</f>
        <v>390</v>
      </c>
      <c r="T13" s="17">
        <f t="shared" si="5"/>
        <v>78</v>
      </c>
      <c r="U13" s="17">
        <f t="shared" si="5"/>
        <v>58</v>
      </c>
      <c r="V13" s="17">
        <f t="shared" si="5"/>
        <v>105</v>
      </c>
      <c r="W13" s="17">
        <f t="shared" si="5"/>
        <v>2</v>
      </c>
      <c r="X13" s="17">
        <f t="shared" si="5"/>
        <v>1</v>
      </c>
      <c r="Y13" s="17">
        <f t="shared" si="5"/>
        <v>27</v>
      </c>
      <c r="Z13" s="17">
        <f t="shared" si="5"/>
        <v>4</v>
      </c>
      <c r="AA13" s="17">
        <f t="shared" si="5"/>
        <v>0</v>
      </c>
      <c r="AB13" s="17">
        <f t="shared" si="5"/>
        <v>0</v>
      </c>
      <c r="AC13" s="17">
        <f t="shared" si="5"/>
        <v>550</v>
      </c>
      <c r="AD13" s="17">
        <f t="shared" si="5"/>
        <v>0</v>
      </c>
      <c r="AE13" s="31">
        <f t="shared" si="5"/>
        <v>665</v>
      </c>
      <c r="AF13" s="31">
        <f t="shared" si="5"/>
        <v>1215</v>
      </c>
    </row>
    <row r="14" spans="2:32" ht="23.1" customHeight="1" x14ac:dyDescent="0.25">
      <c r="B14" s="45" t="s">
        <v>41</v>
      </c>
      <c r="C14" s="50">
        <v>115</v>
      </c>
      <c r="D14" s="50">
        <v>4</v>
      </c>
      <c r="E14" s="50">
        <v>2</v>
      </c>
      <c r="F14" s="50">
        <v>10</v>
      </c>
      <c r="G14" s="50">
        <v>1</v>
      </c>
      <c r="H14" s="50">
        <v>0</v>
      </c>
      <c r="I14" s="50">
        <v>5</v>
      </c>
      <c r="J14" s="50">
        <v>0</v>
      </c>
      <c r="K14" s="50">
        <v>0</v>
      </c>
      <c r="L14" s="50">
        <v>0</v>
      </c>
      <c r="M14" s="50">
        <v>134</v>
      </c>
      <c r="N14" s="50">
        <v>0</v>
      </c>
      <c r="O14" s="15">
        <f t="shared" si="0"/>
        <v>137</v>
      </c>
      <c r="P14" s="15">
        <f t="shared" si="1"/>
        <v>271</v>
      </c>
      <c r="R14" s="1" t="s">
        <v>10</v>
      </c>
      <c r="S14" s="17">
        <f t="shared" ref="S14:AF14" si="6">SUM(C26:C29)</f>
        <v>386</v>
      </c>
      <c r="T14" s="17">
        <f t="shared" si="6"/>
        <v>58</v>
      </c>
      <c r="U14" s="17">
        <f t="shared" si="6"/>
        <v>41</v>
      </c>
      <c r="V14" s="17">
        <f t="shared" si="6"/>
        <v>94</v>
      </c>
      <c r="W14" s="17">
        <f t="shared" si="6"/>
        <v>1</v>
      </c>
      <c r="X14" s="17">
        <f t="shared" si="6"/>
        <v>1</v>
      </c>
      <c r="Y14" s="17">
        <f t="shared" si="6"/>
        <v>28</v>
      </c>
      <c r="Z14" s="17">
        <f t="shared" si="6"/>
        <v>7</v>
      </c>
      <c r="AA14" s="17">
        <f t="shared" si="6"/>
        <v>3</v>
      </c>
      <c r="AB14" s="17">
        <f t="shared" si="6"/>
        <v>2</v>
      </c>
      <c r="AC14" s="17">
        <f t="shared" si="6"/>
        <v>690</v>
      </c>
      <c r="AD14" s="17">
        <f t="shared" si="6"/>
        <v>0</v>
      </c>
      <c r="AE14" s="31">
        <f t="shared" si="6"/>
        <v>621</v>
      </c>
      <c r="AF14" s="31">
        <f t="shared" si="6"/>
        <v>1311</v>
      </c>
    </row>
    <row r="15" spans="2:32" ht="23.1" customHeight="1" x14ac:dyDescent="0.25">
      <c r="B15" s="45" t="s">
        <v>42</v>
      </c>
      <c r="C15" s="50">
        <v>113</v>
      </c>
      <c r="D15" s="50">
        <v>10</v>
      </c>
      <c r="E15" s="50">
        <v>9</v>
      </c>
      <c r="F15" s="50">
        <v>31</v>
      </c>
      <c r="G15" s="50">
        <v>1</v>
      </c>
      <c r="H15" s="50">
        <v>0</v>
      </c>
      <c r="I15" s="50">
        <v>9</v>
      </c>
      <c r="J15" s="50">
        <v>0</v>
      </c>
      <c r="K15" s="50">
        <v>0</v>
      </c>
      <c r="L15" s="50">
        <v>0</v>
      </c>
      <c r="M15" s="50">
        <v>160</v>
      </c>
      <c r="N15" s="50">
        <v>0</v>
      </c>
      <c r="O15" s="15">
        <f t="shared" si="0"/>
        <v>173</v>
      </c>
      <c r="P15" s="15">
        <f t="shared" si="1"/>
        <v>333</v>
      </c>
      <c r="R15" s="1" t="s">
        <v>11</v>
      </c>
      <c r="S15" s="17">
        <f t="shared" ref="S15:AF15" si="7">SUM(C30:C33)</f>
        <v>298</v>
      </c>
      <c r="T15" s="17">
        <f t="shared" si="7"/>
        <v>31</v>
      </c>
      <c r="U15" s="17">
        <f t="shared" si="7"/>
        <v>25</v>
      </c>
      <c r="V15" s="17">
        <f t="shared" si="7"/>
        <v>73</v>
      </c>
      <c r="W15" s="17">
        <f t="shared" si="7"/>
        <v>2</v>
      </c>
      <c r="X15" s="17">
        <f t="shared" si="7"/>
        <v>1</v>
      </c>
      <c r="Y15" s="17">
        <f t="shared" si="7"/>
        <v>31</v>
      </c>
      <c r="Z15" s="17">
        <f t="shared" si="7"/>
        <v>7</v>
      </c>
      <c r="AA15" s="17">
        <f t="shared" si="7"/>
        <v>2</v>
      </c>
      <c r="AB15" s="17">
        <f t="shared" si="7"/>
        <v>2</v>
      </c>
      <c r="AC15" s="17">
        <f t="shared" si="7"/>
        <v>679</v>
      </c>
      <c r="AD15" s="17">
        <f t="shared" si="7"/>
        <v>0</v>
      </c>
      <c r="AE15" s="31">
        <f t="shared" si="7"/>
        <v>472</v>
      </c>
      <c r="AF15" s="31">
        <f t="shared" si="7"/>
        <v>1151</v>
      </c>
    </row>
    <row r="16" spans="2:32" ht="23.1" customHeight="1" x14ac:dyDescent="0.25">
      <c r="B16" s="45" t="s">
        <v>43</v>
      </c>
      <c r="C16" s="50">
        <v>96</v>
      </c>
      <c r="D16" s="50">
        <v>20</v>
      </c>
      <c r="E16" s="50">
        <v>17</v>
      </c>
      <c r="F16" s="50">
        <v>38</v>
      </c>
      <c r="G16" s="50">
        <v>0</v>
      </c>
      <c r="H16" s="50">
        <v>0</v>
      </c>
      <c r="I16" s="50">
        <v>7</v>
      </c>
      <c r="J16" s="50">
        <v>1</v>
      </c>
      <c r="K16" s="50">
        <v>0</v>
      </c>
      <c r="L16" s="50">
        <v>0</v>
      </c>
      <c r="M16" s="50">
        <v>198</v>
      </c>
      <c r="N16" s="50">
        <v>0</v>
      </c>
      <c r="O16" s="15">
        <f t="shared" si="0"/>
        <v>179</v>
      </c>
      <c r="P16" s="15">
        <f t="shared" si="1"/>
        <v>377</v>
      </c>
      <c r="R16" s="1" t="s">
        <v>12</v>
      </c>
      <c r="S16" s="17">
        <f t="shared" ref="S16:AF16" si="8">SUM(C34:C37)</f>
        <v>228</v>
      </c>
      <c r="T16" s="17">
        <f t="shared" si="8"/>
        <v>43</v>
      </c>
      <c r="U16" s="17">
        <f t="shared" si="8"/>
        <v>33</v>
      </c>
      <c r="V16" s="17">
        <f t="shared" si="8"/>
        <v>62</v>
      </c>
      <c r="W16" s="17">
        <f t="shared" si="8"/>
        <v>0</v>
      </c>
      <c r="X16" s="17">
        <f t="shared" si="8"/>
        <v>0</v>
      </c>
      <c r="Y16" s="17">
        <f t="shared" si="8"/>
        <v>26</v>
      </c>
      <c r="Z16" s="17">
        <f t="shared" si="8"/>
        <v>2</v>
      </c>
      <c r="AA16" s="17">
        <f t="shared" si="8"/>
        <v>2</v>
      </c>
      <c r="AB16" s="17">
        <f t="shared" si="8"/>
        <v>3</v>
      </c>
      <c r="AC16" s="17">
        <f t="shared" si="8"/>
        <v>612</v>
      </c>
      <c r="AD16" s="17">
        <f t="shared" si="8"/>
        <v>0</v>
      </c>
      <c r="AE16" s="31">
        <f t="shared" si="8"/>
        <v>399</v>
      </c>
      <c r="AF16" s="31">
        <f t="shared" si="8"/>
        <v>1011</v>
      </c>
    </row>
    <row r="17" spans="2:32" ht="23.1" customHeight="1" x14ac:dyDescent="0.25">
      <c r="B17" s="45" t="s">
        <v>44</v>
      </c>
      <c r="C17" s="50">
        <v>120</v>
      </c>
      <c r="D17" s="50">
        <v>16</v>
      </c>
      <c r="E17" s="50">
        <v>17</v>
      </c>
      <c r="F17" s="50">
        <v>26</v>
      </c>
      <c r="G17" s="50">
        <v>0</v>
      </c>
      <c r="H17" s="50">
        <v>0</v>
      </c>
      <c r="I17" s="50">
        <v>5</v>
      </c>
      <c r="J17" s="50">
        <v>0</v>
      </c>
      <c r="K17" s="50">
        <v>0</v>
      </c>
      <c r="L17" s="50">
        <v>1</v>
      </c>
      <c r="M17" s="50">
        <v>223</v>
      </c>
      <c r="N17" s="50">
        <v>0</v>
      </c>
      <c r="O17" s="15">
        <f t="shared" si="0"/>
        <v>185</v>
      </c>
      <c r="P17" s="15">
        <f t="shared" si="1"/>
        <v>408</v>
      </c>
      <c r="R17" s="1" t="s">
        <v>13</v>
      </c>
      <c r="S17" s="17">
        <f t="shared" ref="S17:AF17" si="9">SUM(C38:C41)</f>
        <v>184</v>
      </c>
      <c r="T17" s="17">
        <f t="shared" si="9"/>
        <v>17</v>
      </c>
      <c r="U17" s="17">
        <f t="shared" si="9"/>
        <v>34</v>
      </c>
      <c r="V17" s="17">
        <f t="shared" si="9"/>
        <v>62</v>
      </c>
      <c r="W17" s="17">
        <f t="shared" si="9"/>
        <v>1</v>
      </c>
      <c r="X17" s="17">
        <f t="shared" si="9"/>
        <v>1</v>
      </c>
      <c r="Y17" s="17">
        <f t="shared" si="9"/>
        <v>12</v>
      </c>
      <c r="Z17" s="17">
        <f t="shared" si="9"/>
        <v>8</v>
      </c>
      <c r="AA17" s="17">
        <f t="shared" si="9"/>
        <v>8</v>
      </c>
      <c r="AB17" s="17">
        <f t="shared" si="9"/>
        <v>2</v>
      </c>
      <c r="AC17" s="17">
        <f t="shared" si="9"/>
        <v>522</v>
      </c>
      <c r="AD17" s="17">
        <f t="shared" si="9"/>
        <v>0</v>
      </c>
      <c r="AE17" s="31">
        <f t="shared" si="9"/>
        <v>329</v>
      </c>
      <c r="AF17" s="31">
        <f t="shared" si="9"/>
        <v>851</v>
      </c>
    </row>
    <row r="18" spans="2:32" ht="23.1" customHeight="1" x14ac:dyDescent="0.25">
      <c r="B18" s="45" t="s">
        <v>45</v>
      </c>
      <c r="C18" s="50">
        <v>114</v>
      </c>
      <c r="D18" s="50">
        <v>16</v>
      </c>
      <c r="E18" s="50">
        <v>8</v>
      </c>
      <c r="F18" s="50">
        <v>35</v>
      </c>
      <c r="G18" s="50">
        <v>1</v>
      </c>
      <c r="H18" s="50">
        <v>0</v>
      </c>
      <c r="I18" s="50">
        <v>6</v>
      </c>
      <c r="J18" s="50">
        <v>0</v>
      </c>
      <c r="K18" s="50">
        <v>0</v>
      </c>
      <c r="L18" s="50">
        <v>0</v>
      </c>
      <c r="M18" s="50">
        <v>267</v>
      </c>
      <c r="N18" s="50">
        <v>0</v>
      </c>
      <c r="O18" s="15">
        <f t="shared" si="0"/>
        <v>180</v>
      </c>
      <c r="P18" s="15">
        <f t="shared" si="1"/>
        <v>447</v>
      </c>
      <c r="R18" s="1" t="s">
        <v>14</v>
      </c>
      <c r="S18" s="17">
        <f t="shared" ref="S18:AF18" si="10">SUM(C42:C45)</f>
        <v>193</v>
      </c>
      <c r="T18" s="17">
        <f t="shared" si="10"/>
        <v>12</v>
      </c>
      <c r="U18" s="17">
        <f t="shared" si="10"/>
        <v>29</v>
      </c>
      <c r="V18" s="17">
        <f t="shared" si="10"/>
        <v>54</v>
      </c>
      <c r="W18" s="17">
        <f t="shared" si="10"/>
        <v>0</v>
      </c>
      <c r="X18" s="17">
        <f t="shared" si="10"/>
        <v>3</v>
      </c>
      <c r="Y18" s="17">
        <f t="shared" si="10"/>
        <v>21</v>
      </c>
      <c r="Z18" s="17">
        <f t="shared" si="10"/>
        <v>4</v>
      </c>
      <c r="AA18" s="17">
        <f t="shared" si="10"/>
        <v>2</v>
      </c>
      <c r="AB18" s="17">
        <f t="shared" si="10"/>
        <v>1</v>
      </c>
      <c r="AC18" s="17">
        <f t="shared" si="10"/>
        <v>472</v>
      </c>
      <c r="AD18" s="17">
        <f t="shared" si="10"/>
        <v>0</v>
      </c>
      <c r="AE18" s="31">
        <f t="shared" si="10"/>
        <v>319</v>
      </c>
      <c r="AF18" s="31">
        <f t="shared" si="10"/>
        <v>791</v>
      </c>
    </row>
    <row r="19" spans="2:32" ht="23.1" customHeight="1" x14ac:dyDescent="0.25">
      <c r="B19" s="45" t="s">
        <v>46</v>
      </c>
      <c r="C19" s="50">
        <v>116</v>
      </c>
      <c r="D19" s="50">
        <v>12</v>
      </c>
      <c r="E19" s="50">
        <v>12</v>
      </c>
      <c r="F19" s="50">
        <v>34</v>
      </c>
      <c r="G19" s="50">
        <v>0</v>
      </c>
      <c r="H19" s="50">
        <v>0</v>
      </c>
      <c r="I19" s="50">
        <v>9</v>
      </c>
      <c r="J19" s="50">
        <v>3</v>
      </c>
      <c r="K19" s="50">
        <v>0</v>
      </c>
      <c r="L19" s="50">
        <v>0</v>
      </c>
      <c r="M19" s="50">
        <v>250</v>
      </c>
      <c r="N19" s="50">
        <v>0</v>
      </c>
      <c r="O19" s="15">
        <f t="shared" si="0"/>
        <v>186</v>
      </c>
      <c r="P19" s="15">
        <f t="shared" si="1"/>
        <v>436</v>
      </c>
      <c r="R19" s="1" t="s">
        <v>15</v>
      </c>
      <c r="S19" s="17">
        <f t="shared" ref="S19:AF19" si="11">SUM(C46:C49)</f>
        <v>191</v>
      </c>
      <c r="T19" s="17">
        <f t="shared" si="11"/>
        <v>35</v>
      </c>
      <c r="U19" s="17">
        <f t="shared" si="11"/>
        <v>24</v>
      </c>
      <c r="V19" s="17">
        <f t="shared" si="11"/>
        <v>53</v>
      </c>
      <c r="W19" s="17">
        <f t="shared" si="11"/>
        <v>3</v>
      </c>
      <c r="X19" s="17">
        <f t="shared" si="11"/>
        <v>0</v>
      </c>
      <c r="Y19" s="17">
        <f t="shared" si="11"/>
        <v>20</v>
      </c>
      <c r="Z19" s="17">
        <f t="shared" si="11"/>
        <v>1</v>
      </c>
      <c r="AA19" s="17">
        <f t="shared" si="11"/>
        <v>2</v>
      </c>
      <c r="AB19" s="17">
        <f t="shared" si="11"/>
        <v>3</v>
      </c>
      <c r="AC19" s="17">
        <f t="shared" si="11"/>
        <v>555</v>
      </c>
      <c r="AD19" s="17">
        <f t="shared" si="11"/>
        <v>0</v>
      </c>
      <c r="AE19" s="31">
        <f t="shared" si="11"/>
        <v>332</v>
      </c>
      <c r="AF19" s="31">
        <f t="shared" si="11"/>
        <v>887</v>
      </c>
    </row>
    <row r="20" spans="2:32" ht="23.1" customHeight="1" x14ac:dyDescent="0.25">
      <c r="B20" s="45" t="s">
        <v>47</v>
      </c>
      <c r="C20" s="50">
        <v>87</v>
      </c>
      <c r="D20" s="50">
        <v>20</v>
      </c>
      <c r="E20" s="50">
        <v>20</v>
      </c>
      <c r="F20" s="50">
        <v>30</v>
      </c>
      <c r="G20" s="50">
        <v>0</v>
      </c>
      <c r="H20" s="50">
        <v>0</v>
      </c>
      <c r="I20" s="50">
        <v>6</v>
      </c>
      <c r="J20" s="50">
        <v>2</v>
      </c>
      <c r="K20" s="50">
        <v>2</v>
      </c>
      <c r="L20" s="50">
        <v>0</v>
      </c>
      <c r="M20" s="50">
        <v>200</v>
      </c>
      <c r="N20" s="50">
        <v>0</v>
      </c>
      <c r="O20" s="15">
        <f t="shared" si="0"/>
        <v>167</v>
      </c>
      <c r="P20" s="15">
        <f t="shared" si="1"/>
        <v>367</v>
      </c>
      <c r="R20" s="1" t="s">
        <v>16</v>
      </c>
      <c r="S20" s="17">
        <f t="shared" ref="S20:AF20" si="12">SUM(C50:C53)</f>
        <v>173</v>
      </c>
      <c r="T20" s="17">
        <f t="shared" si="12"/>
        <v>56</v>
      </c>
      <c r="U20" s="17">
        <f t="shared" si="12"/>
        <v>33</v>
      </c>
      <c r="V20" s="17">
        <f t="shared" si="12"/>
        <v>76</v>
      </c>
      <c r="W20" s="17">
        <f t="shared" si="12"/>
        <v>2</v>
      </c>
      <c r="X20" s="17">
        <f t="shared" si="12"/>
        <v>1</v>
      </c>
      <c r="Y20" s="17">
        <f t="shared" si="12"/>
        <v>15</v>
      </c>
      <c r="Z20" s="17">
        <f t="shared" si="12"/>
        <v>5</v>
      </c>
      <c r="AA20" s="17">
        <f t="shared" si="12"/>
        <v>1</v>
      </c>
      <c r="AB20" s="17">
        <f t="shared" si="12"/>
        <v>2</v>
      </c>
      <c r="AC20" s="17">
        <f t="shared" si="12"/>
        <v>694</v>
      </c>
      <c r="AD20" s="17">
        <f t="shared" si="12"/>
        <v>0</v>
      </c>
      <c r="AE20" s="31">
        <f t="shared" si="12"/>
        <v>364</v>
      </c>
      <c r="AF20" s="31">
        <f t="shared" si="12"/>
        <v>1058</v>
      </c>
    </row>
    <row r="21" spans="2:32" ht="23.1" customHeight="1" x14ac:dyDescent="0.25">
      <c r="B21" s="45" t="s">
        <v>48</v>
      </c>
      <c r="C21" s="50">
        <v>115</v>
      </c>
      <c r="D21" s="50">
        <v>22</v>
      </c>
      <c r="E21" s="50">
        <v>13</v>
      </c>
      <c r="F21" s="50">
        <v>29</v>
      </c>
      <c r="G21" s="50">
        <v>0</v>
      </c>
      <c r="H21" s="50">
        <v>0</v>
      </c>
      <c r="I21" s="50">
        <v>5</v>
      </c>
      <c r="J21" s="50">
        <v>0</v>
      </c>
      <c r="K21" s="50">
        <v>2</v>
      </c>
      <c r="L21" s="50">
        <v>0</v>
      </c>
      <c r="M21" s="50">
        <v>183</v>
      </c>
      <c r="N21" s="50">
        <v>0</v>
      </c>
      <c r="O21" s="15">
        <f t="shared" si="0"/>
        <v>186</v>
      </c>
      <c r="P21" s="15">
        <f t="shared" si="1"/>
        <v>369</v>
      </c>
      <c r="R21" s="36" t="s">
        <v>20</v>
      </c>
      <c r="S21" s="34">
        <f t="shared" ref="S21:AF21" si="13">SUM(C54:C57)</f>
        <v>179</v>
      </c>
      <c r="T21" s="17">
        <f t="shared" si="13"/>
        <v>20</v>
      </c>
      <c r="U21" s="17">
        <f t="shared" si="13"/>
        <v>32</v>
      </c>
      <c r="V21" s="17">
        <f t="shared" si="13"/>
        <v>107</v>
      </c>
      <c r="W21" s="17">
        <f t="shared" si="13"/>
        <v>5</v>
      </c>
      <c r="X21" s="17">
        <f t="shared" si="13"/>
        <v>1</v>
      </c>
      <c r="Y21" s="17">
        <f t="shared" si="13"/>
        <v>12</v>
      </c>
      <c r="Z21" s="17">
        <f t="shared" si="13"/>
        <v>4</v>
      </c>
      <c r="AA21" s="17">
        <f t="shared" si="13"/>
        <v>2</v>
      </c>
      <c r="AB21" s="17">
        <f t="shared" si="13"/>
        <v>2</v>
      </c>
      <c r="AC21" s="17">
        <f t="shared" si="13"/>
        <v>723</v>
      </c>
      <c r="AD21" s="17">
        <f t="shared" si="13"/>
        <v>0</v>
      </c>
      <c r="AE21" s="31">
        <f t="shared" si="13"/>
        <v>364</v>
      </c>
      <c r="AF21" s="31">
        <f t="shared" si="13"/>
        <v>1087</v>
      </c>
    </row>
    <row r="22" spans="2:32" ht="23.1" customHeight="1" x14ac:dyDescent="0.25">
      <c r="B22" s="45" t="s">
        <v>49</v>
      </c>
      <c r="C22" s="50">
        <v>90</v>
      </c>
      <c r="D22" s="50">
        <v>21</v>
      </c>
      <c r="E22" s="50">
        <v>17</v>
      </c>
      <c r="F22" s="50">
        <v>28</v>
      </c>
      <c r="G22" s="50">
        <v>1</v>
      </c>
      <c r="H22" s="50">
        <v>0</v>
      </c>
      <c r="I22" s="50">
        <v>6</v>
      </c>
      <c r="J22" s="50">
        <v>1</v>
      </c>
      <c r="K22" s="50">
        <v>0</v>
      </c>
      <c r="L22" s="50">
        <v>0</v>
      </c>
      <c r="M22" s="50">
        <v>160</v>
      </c>
      <c r="N22" s="50">
        <v>0</v>
      </c>
      <c r="O22" s="15">
        <f t="shared" si="0"/>
        <v>164</v>
      </c>
      <c r="P22" s="15">
        <f t="shared" si="1"/>
        <v>324</v>
      </c>
      <c r="R22" s="36" t="s">
        <v>146</v>
      </c>
      <c r="S22" s="34">
        <f>SUM(C58:C61)</f>
        <v>142</v>
      </c>
      <c r="T22" s="34">
        <f t="shared" ref="T22:AF22" si="14">SUM(D58:D61)</f>
        <v>26</v>
      </c>
      <c r="U22" s="34">
        <f t="shared" si="14"/>
        <v>11</v>
      </c>
      <c r="V22" s="34">
        <f t="shared" si="14"/>
        <v>45</v>
      </c>
      <c r="W22" s="34">
        <f t="shared" si="14"/>
        <v>4</v>
      </c>
      <c r="X22" s="34">
        <f t="shared" si="14"/>
        <v>0</v>
      </c>
      <c r="Y22" s="34">
        <f t="shared" si="14"/>
        <v>5</v>
      </c>
      <c r="Z22" s="34">
        <f t="shared" si="14"/>
        <v>2</v>
      </c>
      <c r="AA22" s="34">
        <f t="shared" si="14"/>
        <v>0</v>
      </c>
      <c r="AB22" s="34">
        <f t="shared" si="14"/>
        <v>1</v>
      </c>
      <c r="AC22" s="34">
        <f t="shared" si="14"/>
        <v>627</v>
      </c>
      <c r="AD22" s="34">
        <f t="shared" si="14"/>
        <v>0</v>
      </c>
      <c r="AE22" s="31">
        <f t="shared" si="14"/>
        <v>236</v>
      </c>
      <c r="AF22" s="31">
        <f t="shared" si="14"/>
        <v>863</v>
      </c>
    </row>
    <row r="23" spans="2:32" ht="23.1" customHeight="1" x14ac:dyDescent="0.25">
      <c r="B23" s="45" t="s">
        <v>50</v>
      </c>
      <c r="C23" s="50">
        <v>130</v>
      </c>
      <c r="D23" s="50">
        <v>21</v>
      </c>
      <c r="E23" s="50">
        <v>17</v>
      </c>
      <c r="F23" s="50">
        <v>28</v>
      </c>
      <c r="G23" s="50">
        <v>1</v>
      </c>
      <c r="H23" s="50">
        <v>0</v>
      </c>
      <c r="I23" s="50">
        <v>6</v>
      </c>
      <c r="J23" s="50">
        <v>1</v>
      </c>
      <c r="K23" s="50">
        <v>0</v>
      </c>
      <c r="L23" s="50">
        <v>0</v>
      </c>
      <c r="M23" s="50">
        <v>220</v>
      </c>
      <c r="N23" s="50">
        <v>0</v>
      </c>
      <c r="O23" s="15">
        <f t="shared" si="0"/>
        <v>204</v>
      </c>
      <c r="P23" s="15">
        <f t="shared" si="1"/>
        <v>424</v>
      </c>
      <c r="R23" s="36" t="s">
        <v>147</v>
      </c>
      <c r="S23" s="34">
        <f>SUM(C62:C65)</f>
        <v>157</v>
      </c>
      <c r="T23" s="34">
        <f t="shared" ref="T23:AF23" si="15">SUM(D62:D65)</f>
        <v>60</v>
      </c>
      <c r="U23" s="34">
        <f t="shared" si="15"/>
        <v>10</v>
      </c>
      <c r="V23" s="34">
        <f t="shared" si="15"/>
        <v>46</v>
      </c>
      <c r="W23" s="34">
        <f t="shared" si="15"/>
        <v>6</v>
      </c>
      <c r="X23" s="34">
        <f t="shared" si="15"/>
        <v>1</v>
      </c>
      <c r="Y23" s="34">
        <f t="shared" si="15"/>
        <v>7</v>
      </c>
      <c r="Z23" s="34">
        <f t="shared" si="15"/>
        <v>4</v>
      </c>
      <c r="AA23" s="34">
        <f t="shared" si="15"/>
        <v>1</v>
      </c>
      <c r="AB23" s="34">
        <f t="shared" si="15"/>
        <v>0</v>
      </c>
      <c r="AC23" s="34">
        <f t="shared" si="15"/>
        <v>562</v>
      </c>
      <c r="AD23" s="34">
        <f t="shared" si="15"/>
        <v>0</v>
      </c>
      <c r="AE23" s="31">
        <f t="shared" si="15"/>
        <v>292</v>
      </c>
      <c r="AF23" s="31">
        <f t="shared" si="15"/>
        <v>854</v>
      </c>
    </row>
    <row r="24" spans="2:32" ht="23.1" customHeight="1" x14ac:dyDescent="0.25">
      <c r="B24" s="45" t="s">
        <v>51</v>
      </c>
      <c r="C24" s="50">
        <v>93</v>
      </c>
      <c r="D24" s="50">
        <v>17</v>
      </c>
      <c r="E24" s="50">
        <v>18</v>
      </c>
      <c r="F24" s="50">
        <v>27</v>
      </c>
      <c r="G24" s="50">
        <v>0</v>
      </c>
      <c r="H24" s="50">
        <v>1</v>
      </c>
      <c r="I24" s="50">
        <v>7</v>
      </c>
      <c r="J24" s="50">
        <v>1</v>
      </c>
      <c r="K24" s="50">
        <v>0</v>
      </c>
      <c r="L24" s="50">
        <v>0</v>
      </c>
      <c r="M24" s="50">
        <v>80</v>
      </c>
      <c r="N24" s="50">
        <v>0</v>
      </c>
      <c r="O24" s="15">
        <f t="shared" si="0"/>
        <v>164</v>
      </c>
      <c r="P24" s="15">
        <f t="shared" si="1"/>
        <v>244</v>
      </c>
      <c r="R24" s="36" t="s">
        <v>148</v>
      </c>
      <c r="S24" s="34">
        <f>SUM(C66:C69)</f>
        <v>91</v>
      </c>
      <c r="T24" s="34">
        <f t="shared" ref="T24:AF24" si="16">SUM(D66:D69)</f>
        <v>9</v>
      </c>
      <c r="U24" s="34">
        <f t="shared" si="16"/>
        <v>12</v>
      </c>
      <c r="V24" s="34">
        <f t="shared" si="16"/>
        <v>79</v>
      </c>
      <c r="W24" s="34">
        <f t="shared" si="16"/>
        <v>4</v>
      </c>
      <c r="X24" s="34">
        <f t="shared" si="16"/>
        <v>0</v>
      </c>
      <c r="Y24" s="34">
        <f t="shared" si="16"/>
        <v>7</v>
      </c>
      <c r="Z24" s="34">
        <f t="shared" si="16"/>
        <v>2</v>
      </c>
      <c r="AA24" s="34">
        <f t="shared" si="16"/>
        <v>1</v>
      </c>
      <c r="AB24" s="34">
        <f t="shared" si="16"/>
        <v>0</v>
      </c>
      <c r="AC24" s="34">
        <f t="shared" si="16"/>
        <v>500</v>
      </c>
      <c r="AD24" s="34">
        <f t="shared" si="16"/>
        <v>0</v>
      </c>
      <c r="AE24" s="31">
        <f t="shared" si="16"/>
        <v>205</v>
      </c>
      <c r="AF24" s="31">
        <f t="shared" si="16"/>
        <v>705</v>
      </c>
    </row>
    <row r="25" spans="2:32" ht="23.1" customHeight="1" x14ac:dyDescent="0.25">
      <c r="B25" s="45" t="s">
        <v>52</v>
      </c>
      <c r="C25" s="50">
        <v>77</v>
      </c>
      <c r="D25" s="50">
        <v>19</v>
      </c>
      <c r="E25" s="50">
        <v>6</v>
      </c>
      <c r="F25" s="50">
        <v>22</v>
      </c>
      <c r="G25" s="50">
        <v>0</v>
      </c>
      <c r="H25" s="50">
        <v>0</v>
      </c>
      <c r="I25" s="50">
        <v>8</v>
      </c>
      <c r="J25" s="50">
        <v>1</v>
      </c>
      <c r="K25" s="50">
        <v>0</v>
      </c>
      <c r="L25" s="50">
        <v>0</v>
      </c>
      <c r="M25" s="50">
        <v>90</v>
      </c>
      <c r="N25" s="50">
        <v>0</v>
      </c>
      <c r="O25" s="15">
        <f t="shared" si="0"/>
        <v>133</v>
      </c>
      <c r="P25" s="15">
        <f t="shared" si="1"/>
        <v>223</v>
      </c>
      <c r="R25" s="36" t="s">
        <v>149</v>
      </c>
      <c r="S25" s="34">
        <f>SUM(C70:C73)</f>
        <v>114</v>
      </c>
      <c r="T25" s="34">
        <f t="shared" ref="T25:AF25" si="17">SUM(D70:D73)</f>
        <v>15</v>
      </c>
      <c r="U25" s="34">
        <f t="shared" si="17"/>
        <v>7</v>
      </c>
      <c r="V25" s="34">
        <f t="shared" si="17"/>
        <v>54</v>
      </c>
      <c r="W25" s="34">
        <f t="shared" si="17"/>
        <v>0</v>
      </c>
      <c r="X25" s="34">
        <f t="shared" si="17"/>
        <v>0</v>
      </c>
      <c r="Y25" s="34">
        <f t="shared" si="17"/>
        <v>4</v>
      </c>
      <c r="Z25" s="34">
        <f t="shared" si="17"/>
        <v>1</v>
      </c>
      <c r="AA25" s="34">
        <f t="shared" si="17"/>
        <v>0</v>
      </c>
      <c r="AB25" s="34">
        <f t="shared" si="17"/>
        <v>1</v>
      </c>
      <c r="AC25" s="34">
        <f t="shared" si="17"/>
        <v>370</v>
      </c>
      <c r="AD25" s="34">
        <f t="shared" si="17"/>
        <v>0</v>
      </c>
      <c r="AE25" s="31">
        <f t="shared" si="17"/>
        <v>196</v>
      </c>
      <c r="AF25" s="31">
        <f t="shared" si="17"/>
        <v>566</v>
      </c>
    </row>
    <row r="26" spans="2:32" ht="23.1" customHeight="1" x14ac:dyDescent="0.25">
      <c r="B26" s="45" t="s">
        <v>53</v>
      </c>
      <c r="C26" s="50">
        <v>110</v>
      </c>
      <c r="D26" s="50">
        <v>9</v>
      </c>
      <c r="E26" s="50">
        <v>9</v>
      </c>
      <c r="F26" s="50">
        <v>30</v>
      </c>
      <c r="G26" s="50">
        <v>0</v>
      </c>
      <c r="H26" s="50">
        <v>0</v>
      </c>
      <c r="I26" s="50">
        <v>11</v>
      </c>
      <c r="J26" s="50">
        <v>1</v>
      </c>
      <c r="K26" s="50">
        <v>0</v>
      </c>
      <c r="L26" s="50">
        <v>0</v>
      </c>
      <c r="M26" s="50">
        <v>190</v>
      </c>
      <c r="N26" s="50">
        <v>0</v>
      </c>
      <c r="O26" s="15">
        <f t="shared" si="0"/>
        <v>170</v>
      </c>
      <c r="P26" s="15">
        <f t="shared" si="1"/>
        <v>360</v>
      </c>
      <c r="R26" s="36" t="s">
        <v>150</v>
      </c>
      <c r="S26" s="34">
        <f>SUM(C74:C77)</f>
        <v>63</v>
      </c>
      <c r="T26" s="34">
        <f t="shared" ref="T26:AF26" si="18">SUM(D74:D77)</f>
        <v>10</v>
      </c>
      <c r="U26" s="34">
        <f t="shared" si="18"/>
        <v>10</v>
      </c>
      <c r="V26" s="34">
        <f t="shared" si="18"/>
        <v>42</v>
      </c>
      <c r="W26" s="34">
        <f t="shared" si="18"/>
        <v>0</v>
      </c>
      <c r="X26" s="34">
        <f t="shared" si="18"/>
        <v>0</v>
      </c>
      <c r="Y26" s="34">
        <f t="shared" si="18"/>
        <v>3</v>
      </c>
      <c r="Z26" s="34">
        <f t="shared" si="18"/>
        <v>4</v>
      </c>
      <c r="AA26" s="34">
        <f t="shared" si="18"/>
        <v>0</v>
      </c>
      <c r="AB26" s="34">
        <f t="shared" si="18"/>
        <v>0</v>
      </c>
      <c r="AC26" s="34">
        <f t="shared" si="18"/>
        <v>295</v>
      </c>
      <c r="AD26" s="34">
        <f t="shared" si="18"/>
        <v>0</v>
      </c>
      <c r="AE26" s="31">
        <f t="shared" si="18"/>
        <v>132</v>
      </c>
      <c r="AF26" s="31">
        <f t="shared" si="18"/>
        <v>427</v>
      </c>
    </row>
    <row r="27" spans="2:32" ht="23.1" customHeight="1" x14ac:dyDescent="0.25">
      <c r="B27" s="45" t="s">
        <v>54</v>
      </c>
      <c r="C27" s="50">
        <v>134</v>
      </c>
      <c r="D27" s="50">
        <v>18</v>
      </c>
      <c r="E27" s="50">
        <v>7</v>
      </c>
      <c r="F27" s="50">
        <v>24</v>
      </c>
      <c r="G27" s="50">
        <v>1</v>
      </c>
      <c r="H27" s="50">
        <v>0</v>
      </c>
      <c r="I27" s="50">
        <v>6</v>
      </c>
      <c r="J27" s="50">
        <v>0</v>
      </c>
      <c r="K27" s="50">
        <v>0</v>
      </c>
      <c r="L27" s="50">
        <v>0</v>
      </c>
      <c r="M27" s="50">
        <v>175</v>
      </c>
      <c r="N27" s="50">
        <v>0</v>
      </c>
      <c r="O27" s="15">
        <f t="shared" si="0"/>
        <v>190</v>
      </c>
      <c r="P27" s="15">
        <f t="shared" si="1"/>
        <v>365</v>
      </c>
      <c r="R27" s="36" t="s">
        <v>151</v>
      </c>
      <c r="S27" s="34">
        <f>SUM(C78:C81)</f>
        <v>73</v>
      </c>
      <c r="T27" s="34">
        <f t="shared" ref="T27:AF27" si="19">SUM(D78:D81)</f>
        <v>10</v>
      </c>
      <c r="U27" s="34">
        <f t="shared" si="19"/>
        <v>1</v>
      </c>
      <c r="V27" s="34">
        <f t="shared" si="19"/>
        <v>13</v>
      </c>
      <c r="W27" s="34">
        <f t="shared" si="19"/>
        <v>0</v>
      </c>
      <c r="X27" s="34">
        <f t="shared" si="19"/>
        <v>0</v>
      </c>
      <c r="Y27" s="34">
        <f t="shared" si="19"/>
        <v>3</v>
      </c>
      <c r="Z27" s="34">
        <f t="shared" si="19"/>
        <v>0</v>
      </c>
      <c r="AA27" s="34">
        <f t="shared" si="19"/>
        <v>1</v>
      </c>
      <c r="AB27" s="34">
        <f t="shared" si="19"/>
        <v>0</v>
      </c>
      <c r="AC27" s="34">
        <f t="shared" si="19"/>
        <v>256</v>
      </c>
      <c r="AD27" s="34">
        <f t="shared" si="19"/>
        <v>0</v>
      </c>
      <c r="AE27" s="31">
        <f t="shared" si="19"/>
        <v>101</v>
      </c>
      <c r="AF27" s="31">
        <f t="shared" si="19"/>
        <v>357</v>
      </c>
    </row>
    <row r="28" spans="2:32" ht="23.1" customHeight="1" x14ac:dyDescent="0.25">
      <c r="B28" s="45" t="s">
        <v>55</v>
      </c>
      <c r="C28" s="50">
        <v>66</v>
      </c>
      <c r="D28" s="50">
        <v>12</v>
      </c>
      <c r="E28" s="50">
        <v>9</v>
      </c>
      <c r="F28" s="50">
        <v>20</v>
      </c>
      <c r="G28" s="50">
        <v>0</v>
      </c>
      <c r="H28" s="50">
        <v>0</v>
      </c>
      <c r="I28" s="50">
        <v>8</v>
      </c>
      <c r="J28" s="50">
        <v>4</v>
      </c>
      <c r="K28" s="50">
        <v>3</v>
      </c>
      <c r="L28" s="50">
        <v>1</v>
      </c>
      <c r="M28" s="50">
        <v>160</v>
      </c>
      <c r="N28" s="50">
        <v>0</v>
      </c>
      <c r="O28" s="15">
        <f t="shared" si="0"/>
        <v>123</v>
      </c>
      <c r="P28" s="15">
        <f t="shared" si="1"/>
        <v>283</v>
      </c>
      <c r="R28" s="36" t="s">
        <v>152</v>
      </c>
      <c r="S28" s="34">
        <f>SUM(C82:C85)</f>
        <v>32</v>
      </c>
      <c r="T28" s="34">
        <f t="shared" ref="T28:AF28" si="20">SUM(D82:D85)</f>
        <v>3</v>
      </c>
      <c r="U28" s="34">
        <f t="shared" si="20"/>
        <v>1</v>
      </c>
      <c r="V28" s="34">
        <f t="shared" si="20"/>
        <v>0</v>
      </c>
      <c r="W28" s="34">
        <f t="shared" si="20"/>
        <v>1</v>
      </c>
      <c r="X28" s="34">
        <f t="shared" si="20"/>
        <v>0</v>
      </c>
      <c r="Y28" s="34">
        <f t="shared" si="20"/>
        <v>3</v>
      </c>
      <c r="Z28" s="34">
        <f t="shared" si="20"/>
        <v>0</v>
      </c>
      <c r="AA28" s="34">
        <f t="shared" si="20"/>
        <v>0</v>
      </c>
      <c r="AB28" s="34">
        <f t="shared" si="20"/>
        <v>1</v>
      </c>
      <c r="AC28" s="34">
        <f t="shared" si="20"/>
        <v>166</v>
      </c>
      <c r="AD28" s="34">
        <f t="shared" si="20"/>
        <v>0</v>
      </c>
      <c r="AE28" s="31">
        <f t="shared" si="20"/>
        <v>41</v>
      </c>
      <c r="AF28" s="31">
        <f t="shared" si="20"/>
        <v>207</v>
      </c>
    </row>
    <row r="29" spans="2:32" ht="23.1" customHeight="1" x14ac:dyDescent="0.25">
      <c r="B29" s="45" t="s">
        <v>56</v>
      </c>
      <c r="C29" s="50">
        <v>76</v>
      </c>
      <c r="D29" s="50">
        <v>19</v>
      </c>
      <c r="E29" s="50">
        <v>16</v>
      </c>
      <c r="F29" s="50">
        <v>20</v>
      </c>
      <c r="G29" s="50">
        <v>0</v>
      </c>
      <c r="H29" s="50">
        <v>1</v>
      </c>
      <c r="I29" s="50">
        <v>3</v>
      </c>
      <c r="J29" s="50">
        <v>2</v>
      </c>
      <c r="K29" s="50">
        <v>0</v>
      </c>
      <c r="L29" s="50">
        <v>1</v>
      </c>
      <c r="M29" s="50">
        <v>165</v>
      </c>
      <c r="N29" s="50">
        <v>0</v>
      </c>
      <c r="O29" s="15">
        <f t="shared" si="0"/>
        <v>138</v>
      </c>
      <c r="P29" s="15">
        <f t="shared" si="1"/>
        <v>303</v>
      </c>
      <c r="R29" s="36" t="s">
        <v>153</v>
      </c>
      <c r="S29" s="34">
        <f>SUM(C86:C89)</f>
        <v>26</v>
      </c>
      <c r="T29" s="34">
        <f t="shared" ref="T29:AF29" si="21">SUM(D86:D89)</f>
        <v>5</v>
      </c>
      <c r="U29" s="34">
        <f t="shared" si="21"/>
        <v>1</v>
      </c>
      <c r="V29" s="34">
        <f t="shared" si="21"/>
        <v>7</v>
      </c>
      <c r="W29" s="34">
        <f t="shared" si="21"/>
        <v>2</v>
      </c>
      <c r="X29" s="34">
        <f t="shared" si="21"/>
        <v>0</v>
      </c>
      <c r="Y29" s="34">
        <f t="shared" si="21"/>
        <v>2</v>
      </c>
      <c r="Z29" s="34">
        <f t="shared" si="21"/>
        <v>1</v>
      </c>
      <c r="AA29" s="34">
        <f t="shared" si="21"/>
        <v>1</v>
      </c>
      <c r="AB29" s="34">
        <f t="shared" si="21"/>
        <v>0</v>
      </c>
      <c r="AC29" s="34">
        <f t="shared" si="21"/>
        <v>138</v>
      </c>
      <c r="AD29" s="34">
        <f t="shared" si="21"/>
        <v>0</v>
      </c>
      <c r="AE29" s="31">
        <f t="shared" si="21"/>
        <v>45</v>
      </c>
      <c r="AF29" s="31">
        <f t="shared" si="21"/>
        <v>183</v>
      </c>
    </row>
    <row r="30" spans="2:32" ht="23.1" customHeight="1" x14ac:dyDescent="0.25">
      <c r="B30" s="45" t="s">
        <v>57</v>
      </c>
      <c r="C30" s="50">
        <v>72</v>
      </c>
      <c r="D30" s="50">
        <v>10</v>
      </c>
      <c r="E30" s="50">
        <v>6</v>
      </c>
      <c r="F30" s="50">
        <v>20</v>
      </c>
      <c r="G30" s="50">
        <v>1</v>
      </c>
      <c r="H30" s="50">
        <v>1</v>
      </c>
      <c r="I30" s="50">
        <v>7</v>
      </c>
      <c r="J30" s="50">
        <v>3</v>
      </c>
      <c r="K30" s="50">
        <v>0</v>
      </c>
      <c r="L30" s="50">
        <v>0</v>
      </c>
      <c r="M30" s="50">
        <v>180</v>
      </c>
      <c r="N30" s="50">
        <v>0</v>
      </c>
      <c r="O30" s="15">
        <f t="shared" si="0"/>
        <v>120</v>
      </c>
      <c r="P30" s="15">
        <f t="shared" si="1"/>
        <v>300</v>
      </c>
      <c r="R30" s="36" t="s">
        <v>154</v>
      </c>
      <c r="S30" s="34">
        <f>SUM(C90:C93)</f>
        <v>22</v>
      </c>
      <c r="T30" s="34">
        <f t="shared" ref="T30:AF30" si="22">SUM(D90:D93)</f>
        <v>1</v>
      </c>
      <c r="U30" s="34">
        <f t="shared" si="22"/>
        <v>2</v>
      </c>
      <c r="V30" s="34">
        <f t="shared" si="22"/>
        <v>2</v>
      </c>
      <c r="W30" s="34">
        <f t="shared" si="22"/>
        <v>0</v>
      </c>
      <c r="X30" s="34">
        <f t="shared" si="22"/>
        <v>0</v>
      </c>
      <c r="Y30" s="34">
        <f t="shared" si="22"/>
        <v>4</v>
      </c>
      <c r="Z30" s="34">
        <f t="shared" si="22"/>
        <v>2</v>
      </c>
      <c r="AA30" s="34">
        <f t="shared" si="22"/>
        <v>0</v>
      </c>
      <c r="AB30" s="34">
        <f t="shared" si="22"/>
        <v>0</v>
      </c>
      <c r="AC30" s="34">
        <f t="shared" si="22"/>
        <v>119</v>
      </c>
      <c r="AD30" s="34">
        <f t="shared" si="22"/>
        <v>0</v>
      </c>
      <c r="AE30" s="31">
        <f t="shared" si="22"/>
        <v>33</v>
      </c>
      <c r="AF30" s="31">
        <f t="shared" si="22"/>
        <v>152</v>
      </c>
    </row>
    <row r="31" spans="2:32" ht="23.1" customHeight="1" x14ac:dyDescent="0.25">
      <c r="B31" s="46" t="s">
        <v>58</v>
      </c>
      <c r="C31" s="50">
        <v>76</v>
      </c>
      <c r="D31" s="50">
        <v>4</v>
      </c>
      <c r="E31" s="50">
        <v>6</v>
      </c>
      <c r="F31" s="50">
        <v>16</v>
      </c>
      <c r="G31" s="50">
        <v>1</v>
      </c>
      <c r="H31" s="50">
        <v>0</v>
      </c>
      <c r="I31" s="50">
        <v>7</v>
      </c>
      <c r="J31" s="50">
        <v>2</v>
      </c>
      <c r="K31" s="50">
        <v>0</v>
      </c>
      <c r="L31" s="50">
        <v>0</v>
      </c>
      <c r="M31" s="50">
        <v>172</v>
      </c>
      <c r="N31" s="50">
        <v>0</v>
      </c>
      <c r="O31" s="15">
        <f t="shared" si="0"/>
        <v>112</v>
      </c>
      <c r="P31" s="15">
        <f t="shared" si="1"/>
        <v>284</v>
      </c>
      <c r="R31" s="36" t="s">
        <v>155</v>
      </c>
      <c r="S31" s="34">
        <f>SUM(C94:C97)</f>
        <v>15</v>
      </c>
      <c r="T31" s="34">
        <f t="shared" ref="T31:AF31" si="23">SUM(D94:D97)</f>
        <v>1</v>
      </c>
      <c r="U31" s="34">
        <f t="shared" si="23"/>
        <v>3</v>
      </c>
      <c r="V31" s="34">
        <f t="shared" si="23"/>
        <v>2</v>
      </c>
      <c r="W31" s="34">
        <f t="shared" si="23"/>
        <v>0</v>
      </c>
      <c r="X31" s="34">
        <f t="shared" si="23"/>
        <v>0</v>
      </c>
      <c r="Y31" s="34">
        <f t="shared" si="23"/>
        <v>4</v>
      </c>
      <c r="Z31" s="34">
        <f t="shared" si="23"/>
        <v>1</v>
      </c>
      <c r="AA31" s="34">
        <f t="shared" si="23"/>
        <v>0</v>
      </c>
      <c r="AB31" s="34">
        <f t="shared" si="23"/>
        <v>0</v>
      </c>
      <c r="AC31" s="34">
        <f t="shared" si="23"/>
        <v>129</v>
      </c>
      <c r="AD31" s="34">
        <f t="shared" si="23"/>
        <v>0</v>
      </c>
      <c r="AE31" s="31">
        <f t="shared" si="23"/>
        <v>26</v>
      </c>
      <c r="AF31" s="31">
        <f t="shared" si="23"/>
        <v>155</v>
      </c>
    </row>
    <row r="32" spans="2:32" ht="23.1" customHeight="1" x14ac:dyDescent="0.25">
      <c r="B32" s="46" t="s">
        <v>59</v>
      </c>
      <c r="C32" s="50">
        <v>57</v>
      </c>
      <c r="D32" s="50">
        <v>11</v>
      </c>
      <c r="E32" s="50">
        <v>11</v>
      </c>
      <c r="F32" s="50">
        <v>12</v>
      </c>
      <c r="G32" s="50">
        <v>0</v>
      </c>
      <c r="H32" s="50">
        <v>0</v>
      </c>
      <c r="I32" s="50">
        <v>10</v>
      </c>
      <c r="J32" s="50">
        <v>1</v>
      </c>
      <c r="K32" s="50">
        <v>1</v>
      </c>
      <c r="L32" s="50">
        <v>0</v>
      </c>
      <c r="M32" s="50">
        <v>160</v>
      </c>
      <c r="N32" s="50">
        <v>0</v>
      </c>
      <c r="O32" s="15">
        <f t="shared" si="0"/>
        <v>103</v>
      </c>
      <c r="P32" s="15">
        <f t="shared" si="1"/>
        <v>263</v>
      </c>
      <c r="R32" s="33" t="s">
        <v>156</v>
      </c>
      <c r="S32" s="34">
        <f>SUM(C98:C101)</f>
        <v>125</v>
      </c>
      <c r="T32" s="34">
        <f t="shared" ref="T32:AF32" si="24">SUM(D98:D101)</f>
        <v>11</v>
      </c>
      <c r="U32" s="34">
        <f t="shared" si="24"/>
        <v>9</v>
      </c>
      <c r="V32" s="34">
        <f t="shared" si="24"/>
        <v>32</v>
      </c>
      <c r="W32" s="34">
        <f t="shared" si="24"/>
        <v>0</v>
      </c>
      <c r="X32" s="34">
        <f t="shared" si="24"/>
        <v>0</v>
      </c>
      <c r="Y32" s="34">
        <f t="shared" si="24"/>
        <v>10</v>
      </c>
      <c r="Z32" s="34">
        <f t="shared" si="24"/>
        <v>2</v>
      </c>
      <c r="AA32" s="34">
        <f t="shared" si="24"/>
        <v>2</v>
      </c>
      <c r="AB32" s="34">
        <f t="shared" si="24"/>
        <v>1</v>
      </c>
      <c r="AC32" s="34">
        <f t="shared" si="24"/>
        <v>225</v>
      </c>
      <c r="AD32" s="34">
        <f t="shared" si="24"/>
        <v>0</v>
      </c>
      <c r="AE32" s="31">
        <f t="shared" si="24"/>
        <v>192</v>
      </c>
      <c r="AF32" s="31">
        <f t="shared" si="24"/>
        <v>417</v>
      </c>
    </row>
    <row r="33" spans="2:32" ht="23.1" customHeight="1" x14ac:dyDescent="0.25">
      <c r="B33" s="45" t="s">
        <v>60</v>
      </c>
      <c r="C33" s="50">
        <v>93</v>
      </c>
      <c r="D33" s="50">
        <v>6</v>
      </c>
      <c r="E33" s="50">
        <v>2</v>
      </c>
      <c r="F33" s="50">
        <v>25</v>
      </c>
      <c r="G33" s="50">
        <v>0</v>
      </c>
      <c r="H33" s="50">
        <v>0</v>
      </c>
      <c r="I33" s="50">
        <v>7</v>
      </c>
      <c r="J33" s="50">
        <v>1</v>
      </c>
      <c r="K33" s="50">
        <v>1</v>
      </c>
      <c r="L33" s="50">
        <v>2</v>
      </c>
      <c r="M33" s="50">
        <v>167</v>
      </c>
      <c r="N33" s="50">
        <v>0</v>
      </c>
      <c r="O33" s="15">
        <f t="shared" si="0"/>
        <v>137</v>
      </c>
      <c r="P33" s="15">
        <f t="shared" si="1"/>
        <v>304</v>
      </c>
      <c r="R33" s="33" t="s">
        <v>157</v>
      </c>
      <c r="S33" s="34">
        <f>SUM(C102:C105)</f>
        <v>262</v>
      </c>
      <c r="T33" s="34">
        <f t="shared" ref="T33:AF33" si="25">SUM(D102:D105)</f>
        <v>4</v>
      </c>
      <c r="U33" s="34">
        <f t="shared" si="25"/>
        <v>3</v>
      </c>
      <c r="V33" s="34">
        <f t="shared" si="25"/>
        <v>53</v>
      </c>
      <c r="W33" s="34">
        <f t="shared" si="25"/>
        <v>2</v>
      </c>
      <c r="X33" s="34">
        <f t="shared" si="25"/>
        <v>1</v>
      </c>
      <c r="Y33" s="34">
        <f t="shared" si="25"/>
        <v>10</v>
      </c>
      <c r="Z33" s="34">
        <f t="shared" si="25"/>
        <v>3</v>
      </c>
      <c r="AA33" s="34">
        <f t="shared" si="25"/>
        <v>1</v>
      </c>
      <c r="AB33" s="34">
        <f t="shared" si="25"/>
        <v>1</v>
      </c>
      <c r="AC33" s="34">
        <f t="shared" si="25"/>
        <v>355</v>
      </c>
      <c r="AD33" s="34">
        <f t="shared" si="25"/>
        <v>0</v>
      </c>
      <c r="AE33" s="31">
        <f t="shared" si="25"/>
        <v>340</v>
      </c>
      <c r="AF33" s="31">
        <f t="shared" si="25"/>
        <v>695</v>
      </c>
    </row>
    <row r="34" spans="2:32" ht="23.1" customHeight="1" x14ac:dyDescent="0.25">
      <c r="B34" s="46" t="s">
        <v>61</v>
      </c>
      <c r="C34" s="50">
        <v>74</v>
      </c>
      <c r="D34" s="50">
        <v>12</v>
      </c>
      <c r="E34" s="50">
        <v>7</v>
      </c>
      <c r="F34" s="50">
        <v>15</v>
      </c>
      <c r="G34" s="50">
        <v>0</v>
      </c>
      <c r="H34" s="50">
        <v>0</v>
      </c>
      <c r="I34" s="50">
        <v>11</v>
      </c>
      <c r="J34" s="50">
        <v>0</v>
      </c>
      <c r="K34" s="50">
        <v>0</v>
      </c>
      <c r="L34" s="50">
        <v>1</v>
      </c>
      <c r="M34" s="50">
        <v>175</v>
      </c>
      <c r="N34" s="50">
        <v>0</v>
      </c>
      <c r="O34" s="15">
        <f t="shared" si="0"/>
        <v>120</v>
      </c>
      <c r="P34" s="15">
        <f t="shared" si="1"/>
        <v>295</v>
      </c>
      <c r="R34" s="38" t="s">
        <v>90</v>
      </c>
      <c r="S34" s="39">
        <f t="shared" ref="S34:AF34" si="26">MAX(S10:S12)</f>
        <v>444</v>
      </c>
      <c r="T34" s="39">
        <f t="shared" si="26"/>
        <v>70</v>
      </c>
      <c r="U34" s="39">
        <f t="shared" si="26"/>
        <v>53</v>
      </c>
      <c r="V34" s="39">
        <f t="shared" si="26"/>
        <v>128</v>
      </c>
      <c r="W34" s="39">
        <f t="shared" si="26"/>
        <v>2</v>
      </c>
      <c r="X34" s="39">
        <f t="shared" si="26"/>
        <v>0</v>
      </c>
      <c r="Y34" s="39">
        <f t="shared" si="26"/>
        <v>26</v>
      </c>
      <c r="Z34" s="39">
        <f t="shared" si="26"/>
        <v>5</v>
      </c>
      <c r="AA34" s="39">
        <f t="shared" si="26"/>
        <v>4</v>
      </c>
      <c r="AB34" s="39">
        <f t="shared" si="26"/>
        <v>1</v>
      </c>
      <c r="AC34" s="39">
        <f t="shared" si="26"/>
        <v>900</v>
      </c>
      <c r="AD34" s="39">
        <f t="shared" si="26"/>
        <v>0</v>
      </c>
      <c r="AE34" s="40">
        <f t="shared" si="26"/>
        <v>719</v>
      </c>
      <c r="AF34" s="40">
        <f t="shared" si="26"/>
        <v>1619</v>
      </c>
    </row>
    <row r="35" spans="2:32" ht="23.1" customHeight="1" x14ac:dyDescent="0.25">
      <c r="B35" s="46" t="s">
        <v>62</v>
      </c>
      <c r="C35" s="50">
        <v>57</v>
      </c>
      <c r="D35" s="50">
        <v>12</v>
      </c>
      <c r="E35" s="50">
        <v>8</v>
      </c>
      <c r="F35" s="50">
        <v>17</v>
      </c>
      <c r="G35" s="50">
        <v>0</v>
      </c>
      <c r="H35" s="50">
        <v>0</v>
      </c>
      <c r="I35" s="50">
        <v>3</v>
      </c>
      <c r="J35" s="50">
        <v>1</v>
      </c>
      <c r="K35" s="50">
        <v>0</v>
      </c>
      <c r="L35" s="50">
        <v>1</v>
      </c>
      <c r="M35" s="50">
        <v>130</v>
      </c>
      <c r="N35" s="50">
        <v>0</v>
      </c>
      <c r="O35" s="15">
        <f t="shared" si="0"/>
        <v>99</v>
      </c>
      <c r="P35" s="15">
        <f t="shared" si="1"/>
        <v>229</v>
      </c>
      <c r="R35" s="38" t="s">
        <v>91</v>
      </c>
      <c r="S35" s="39">
        <f t="shared" ref="S35:AF35" si="27">MAX(S13:S18)</f>
        <v>390</v>
      </c>
      <c r="T35" s="39">
        <f t="shared" si="27"/>
        <v>78</v>
      </c>
      <c r="U35" s="39">
        <f t="shared" si="27"/>
        <v>58</v>
      </c>
      <c r="V35" s="39">
        <f t="shared" si="27"/>
        <v>105</v>
      </c>
      <c r="W35" s="39">
        <f t="shared" si="27"/>
        <v>2</v>
      </c>
      <c r="X35" s="39">
        <f t="shared" si="27"/>
        <v>3</v>
      </c>
      <c r="Y35" s="39">
        <f t="shared" si="27"/>
        <v>31</v>
      </c>
      <c r="Z35" s="39">
        <f t="shared" si="27"/>
        <v>8</v>
      </c>
      <c r="AA35" s="39">
        <f t="shared" si="27"/>
        <v>8</v>
      </c>
      <c r="AB35" s="39">
        <f t="shared" si="27"/>
        <v>3</v>
      </c>
      <c r="AC35" s="39">
        <f t="shared" si="27"/>
        <v>690</v>
      </c>
      <c r="AD35" s="39">
        <f t="shared" si="27"/>
        <v>0</v>
      </c>
      <c r="AE35" s="40">
        <f t="shared" si="27"/>
        <v>665</v>
      </c>
      <c r="AF35" s="40">
        <f t="shared" si="27"/>
        <v>1311</v>
      </c>
    </row>
    <row r="36" spans="2:32" ht="23.1" customHeight="1" x14ac:dyDescent="0.25">
      <c r="B36" s="46" t="s">
        <v>63</v>
      </c>
      <c r="C36" s="50">
        <v>40</v>
      </c>
      <c r="D36" s="50">
        <v>15</v>
      </c>
      <c r="E36" s="50">
        <v>11</v>
      </c>
      <c r="F36" s="50">
        <v>14</v>
      </c>
      <c r="G36" s="50">
        <v>0</v>
      </c>
      <c r="H36" s="50">
        <v>0</v>
      </c>
      <c r="I36" s="50">
        <v>7</v>
      </c>
      <c r="J36" s="50">
        <v>1</v>
      </c>
      <c r="K36" s="50">
        <v>0</v>
      </c>
      <c r="L36" s="50">
        <v>1</v>
      </c>
      <c r="M36" s="50">
        <v>172</v>
      </c>
      <c r="N36" s="50">
        <v>0</v>
      </c>
      <c r="O36" s="15">
        <f t="shared" si="0"/>
        <v>89</v>
      </c>
      <c r="P36" s="15">
        <f t="shared" si="1"/>
        <v>261</v>
      </c>
      <c r="R36" s="38" t="s">
        <v>92</v>
      </c>
      <c r="S36" s="39">
        <f t="shared" ref="S36:AF36" si="28">MAX(S19:S21)</f>
        <v>191</v>
      </c>
      <c r="T36" s="39">
        <f t="shared" si="28"/>
        <v>56</v>
      </c>
      <c r="U36" s="39">
        <f t="shared" si="28"/>
        <v>33</v>
      </c>
      <c r="V36" s="39">
        <f t="shared" si="28"/>
        <v>107</v>
      </c>
      <c r="W36" s="39">
        <f t="shared" si="28"/>
        <v>5</v>
      </c>
      <c r="X36" s="39">
        <f t="shared" si="28"/>
        <v>1</v>
      </c>
      <c r="Y36" s="39">
        <f t="shared" si="28"/>
        <v>20</v>
      </c>
      <c r="Z36" s="39">
        <f t="shared" si="28"/>
        <v>5</v>
      </c>
      <c r="AA36" s="39">
        <f t="shared" si="28"/>
        <v>2</v>
      </c>
      <c r="AB36" s="39">
        <f t="shared" si="28"/>
        <v>3</v>
      </c>
      <c r="AC36" s="39">
        <f t="shared" si="28"/>
        <v>723</v>
      </c>
      <c r="AD36" s="39">
        <f t="shared" si="28"/>
        <v>0</v>
      </c>
      <c r="AE36" s="40">
        <f t="shared" si="28"/>
        <v>364</v>
      </c>
      <c r="AF36" s="40">
        <f t="shared" si="28"/>
        <v>1087</v>
      </c>
    </row>
    <row r="37" spans="2:32" ht="23.1" customHeight="1" x14ac:dyDescent="0.25">
      <c r="B37" s="45" t="s">
        <v>64</v>
      </c>
      <c r="C37" s="50">
        <v>57</v>
      </c>
      <c r="D37" s="50">
        <v>4</v>
      </c>
      <c r="E37" s="50">
        <v>7</v>
      </c>
      <c r="F37" s="50">
        <v>16</v>
      </c>
      <c r="G37" s="50">
        <v>0</v>
      </c>
      <c r="H37" s="50">
        <v>0</v>
      </c>
      <c r="I37" s="50">
        <v>5</v>
      </c>
      <c r="J37" s="50">
        <v>0</v>
      </c>
      <c r="K37" s="50">
        <v>2</v>
      </c>
      <c r="L37" s="50">
        <v>0</v>
      </c>
      <c r="M37" s="50">
        <v>135</v>
      </c>
      <c r="N37" s="50">
        <v>0</v>
      </c>
      <c r="O37" s="15">
        <f t="shared" si="0"/>
        <v>91</v>
      </c>
      <c r="P37" s="15">
        <f t="shared" si="1"/>
        <v>226</v>
      </c>
      <c r="R37" s="37" t="s">
        <v>85</v>
      </c>
      <c r="S37" s="35">
        <f t="shared" ref="S37:AF37" si="29">SUM(S10:S12)</f>
        <v>1195</v>
      </c>
      <c r="T37" s="16">
        <f t="shared" si="29"/>
        <v>139</v>
      </c>
      <c r="U37" s="16">
        <f t="shared" si="29"/>
        <v>115</v>
      </c>
      <c r="V37" s="16">
        <f t="shared" si="29"/>
        <v>273</v>
      </c>
      <c r="W37" s="16">
        <f t="shared" si="29"/>
        <v>4</v>
      </c>
      <c r="X37" s="16">
        <f t="shared" si="29"/>
        <v>0</v>
      </c>
      <c r="Y37" s="16">
        <f t="shared" si="29"/>
        <v>56</v>
      </c>
      <c r="Z37" s="16">
        <f t="shared" si="29"/>
        <v>8</v>
      </c>
      <c r="AA37" s="16">
        <f t="shared" si="29"/>
        <v>4</v>
      </c>
      <c r="AB37" s="16">
        <f t="shared" si="29"/>
        <v>1</v>
      </c>
      <c r="AC37" s="16">
        <f t="shared" si="29"/>
        <v>2003</v>
      </c>
      <c r="AD37" s="16">
        <f t="shared" si="29"/>
        <v>0</v>
      </c>
      <c r="AE37" s="32">
        <f t="shared" si="29"/>
        <v>1795</v>
      </c>
      <c r="AF37" s="32">
        <f t="shared" si="29"/>
        <v>3798</v>
      </c>
    </row>
    <row r="38" spans="2:32" ht="23.1" customHeight="1" x14ac:dyDescent="0.25">
      <c r="B38" s="46" t="s">
        <v>65</v>
      </c>
      <c r="C38" s="50">
        <v>70</v>
      </c>
      <c r="D38" s="50">
        <v>5</v>
      </c>
      <c r="E38" s="50">
        <v>13</v>
      </c>
      <c r="F38" s="50">
        <v>20</v>
      </c>
      <c r="G38" s="50">
        <v>0</v>
      </c>
      <c r="H38" s="50">
        <v>0</v>
      </c>
      <c r="I38" s="50">
        <v>3</v>
      </c>
      <c r="J38" s="50">
        <v>0</v>
      </c>
      <c r="K38" s="50">
        <v>1</v>
      </c>
      <c r="L38" s="50">
        <v>0</v>
      </c>
      <c r="M38" s="50">
        <v>150</v>
      </c>
      <c r="N38" s="50">
        <v>0</v>
      </c>
      <c r="O38" s="15">
        <f t="shared" si="0"/>
        <v>112</v>
      </c>
      <c r="P38" s="15">
        <f t="shared" si="1"/>
        <v>262</v>
      </c>
      <c r="R38" s="28" t="s">
        <v>86</v>
      </c>
      <c r="S38" s="16">
        <f t="shared" ref="S38:AF38" si="30">SUM(S13:S18)</f>
        <v>1679</v>
      </c>
      <c r="T38" s="16">
        <f t="shared" si="30"/>
        <v>239</v>
      </c>
      <c r="U38" s="16">
        <f t="shared" si="30"/>
        <v>220</v>
      </c>
      <c r="V38" s="16">
        <f t="shared" si="30"/>
        <v>450</v>
      </c>
      <c r="W38" s="16">
        <f t="shared" si="30"/>
        <v>6</v>
      </c>
      <c r="X38" s="16">
        <f t="shared" si="30"/>
        <v>7</v>
      </c>
      <c r="Y38" s="16">
        <f t="shared" si="30"/>
        <v>145</v>
      </c>
      <c r="Z38" s="16">
        <f t="shared" si="30"/>
        <v>32</v>
      </c>
      <c r="AA38" s="16">
        <f t="shared" si="30"/>
        <v>17</v>
      </c>
      <c r="AB38" s="16">
        <f t="shared" si="30"/>
        <v>10</v>
      </c>
      <c r="AC38" s="16">
        <f t="shared" si="30"/>
        <v>3525</v>
      </c>
      <c r="AD38" s="16">
        <f t="shared" si="30"/>
        <v>0</v>
      </c>
      <c r="AE38" s="32">
        <f t="shared" si="30"/>
        <v>2805</v>
      </c>
      <c r="AF38" s="32">
        <f t="shared" si="30"/>
        <v>6330</v>
      </c>
    </row>
    <row r="39" spans="2:32" ht="23.1" customHeight="1" x14ac:dyDescent="0.25">
      <c r="B39" s="46" t="s">
        <v>66</v>
      </c>
      <c r="C39" s="50">
        <v>42</v>
      </c>
      <c r="D39" s="50">
        <v>8</v>
      </c>
      <c r="E39" s="50">
        <v>11</v>
      </c>
      <c r="F39" s="50">
        <v>17</v>
      </c>
      <c r="G39" s="50">
        <v>0</v>
      </c>
      <c r="H39" s="50">
        <v>0</v>
      </c>
      <c r="I39" s="50">
        <v>3</v>
      </c>
      <c r="J39" s="50">
        <v>1</v>
      </c>
      <c r="K39" s="50">
        <v>1</v>
      </c>
      <c r="L39" s="50">
        <v>0</v>
      </c>
      <c r="M39" s="50">
        <v>145</v>
      </c>
      <c r="N39" s="50">
        <v>0</v>
      </c>
      <c r="O39" s="15">
        <f t="shared" si="0"/>
        <v>83</v>
      </c>
      <c r="P39" s="15">
        <f t="shared" si="1"/>
        <v>228</v>
      </c>
      <c r="R39" s="29" t="s">
        <v>87</v>
      </c>
      <c r="S39" s="16">
        <f t="shared" ref="S39:AF39" si="31">SUM(S19:S21)</f>
        <v>543</v>
      </c>
      <c r="T39" s="16">
        <f t="shared" si="31"/>
        <v>111</v>
      </c>
      <c r="U39" s="16">
        <f t="shared" si="31"/>
        <v>89</v>
      </c>
      <c r="V39" s="16">
        <f t="shared" si="31"/>
        <v>236</v>
      </c>
      <c r="W39" s="16">
        <f t="shared" si="31"/>
        <v>10</v>
      </c>
      <c r="X39" s="16">
        <f t="shared" si="31"/>
        <v>2</v>
      </c>
      <c r="Y39" s="16">
        <f t="shared" si="31"/>
        <v>47</v>
      </c>
      <c r="Z39" s="16">
        <f t="shared" si="31"/>
        <v>10</v>
      </c>
      <c r="AA39" s="16">
        <f t="shared" si="31"/>
        <v>5</v>
      </c>
      <c r="AB39" s="16">
        <f t="shared" si="31"/>
        <v>7</v>
      </c>
      <c r="AC39" s="16">
        <f t="shared" si="31"/>
        <v>1972</v>
      </c>
      <c r="AD39" s="16">
        <f t="shared" si="31"/>
        <v>0</v>
      </c>
      <c r="AE39" s="32">
        <f t="shared" si="31"/>
        <v>1060</v>
      </c>
      <c r="AF39" s="32">
        <f t="shared" si="31"/>
        <v>3032</v>
      </c>
    </row>
    <row r="40" spans="2:32" ht="23.1" customHeight="1" x14ac:dyDescent="0.25">
      <c r="B40" s="46" t="s">
        <v>67</v>
      </c>
      <c r="C40" s="50">
        <v>42</v>
      </c>
      <c r="D40" s="50">
        <v>2</v>
      </c>
      <c r="E40" s="50">
        <v>4</v>
      </c>
      <c r="F40" s="50">
        <v>12</v>
      </c>
      <c r="G40" s="50">
        <v>0</v>
      </c>
      <c r="H40" s="50">
        <v>0</v>
      </c>
      <c r="I40" s="50">
        <v>6</v>
      </c>
      <c r="J40" s="50">
        <v>6</v>
      </c>
      <c r="K40" s="50">
        <v>6</v>
      </c>
      <c r="L40" s="50">
        <v>0</v>
      </c>
      <c r="M40" s="50">
        <v>127</v>
      </c>
      <c r="N40" s="50">
        <v>0</v>
      </c>
      <c r="O40" s="15">
        <f t="shared" si="0"/>
        <v>78</v>
      </c>
      <c r="P40" s="15">
        <f t="shared" si="1"/>
        <v>205</v>
      </c>
      <c r="R40" s="5" t="s">
        <v>17</v>
      </c>
      <c r="S40" s="16">
        <f t="shared" ref="S40:AF40" si="32">SUM(S10:S21)</f>
        <v>3417</v>
      </c>
      <c r="T40" s="16">
        <f t="shared" si="32"/>
        <v>489</v>
      </c>
      <c r="U40" s="16">
        <f t="shared" si="32"/>
        <v>424</v>
      </c>
      <c r="V40" s="16">
        <f t="shared" si="32"/>
        <v>959</v>
      </c>
      <c r="W40" s="16">
        <f t="shared" si="32"/>
        <v>20</v>
      </c>
      <c r="X40" s="16">
        <f t="shared" si="32"/>
        <v>9</v>
      </c>
      <c r="Y40" s="16">
        <f t="shared" si="32"/>
        <v>248</v>
      </c>
      <c r="Z40" s="16">
        <f t="shared" si="32"/>
        <v>50</v>
      </c>
      <c r="AA40" s="16">
        <f t="shared" si="32"/>
        <v>26</v>
      </c>
      <c r="AB40" s="16">
        <f t="shared" si="32"/>
        <v>18</v>
      </c>
      <c r="AC40" s="16">
        <f t="shared" si="32"/>
        <v>7500</v>
      </c>
      <c r="AD40" s="16">
        <f t="shared" si="32"/>
        <v>0</v>
      </c>
      <c r="AE40" s="32">
        <f t="shared" si="32"/>
        <v>5660</v>
      </c>
      <c r="AF40" s="32">
        <f t="shared" si="32"/>
        <v>13160</v>
      </c>
    </row>
    <row r="41" spans="2:32" ht="23.1" customHeight="1" x14ac:dyDescent="0.25">
      <c r="B41" s="45" t="s">
        <v>68</v>
      </c>
      <c r="C41" s="50">
        <v>30</v>
      </c>
      <c r="D41" s="50">
        <v>2</v>
      </c>
      <c r="E41" s="50">
        <v>6</v>
      </c>
      <c r="F41" s="50">
        <v>13</v>
      </c>
      <c r="G41" s="50">
        <v>1</v>
      </c>
      <c r="H41" s="50">
        <v>1</v>
      </c>
      <c r="I41" s="50">
        <v>0</v>
      </c>
      <c r="J41" s="50">
        <v>1</v>
      </c>
      <c r="K41" s="50">
        <v>0</v>
      </c>
      <c r="L41" s="50">
        <v>2</v>
      </c>
      <c r="M41" s="50">
        <v>100</v>
      </c>
      <c r="N41" s="50">
        <v>0</v>
      </c>
      <c r="O41" s="15">
        <f t="shared" si="0"/>
        <v>56</v>
      </c>
      <c r="P41" s="15">
        <f t="shared" si="1"/>
        <v>156</v>
      </c>
      <c r="R41" s="5" t="s">
        <v>159</v>
      </c>
      <c r="S41" s="16">
        <f>SUM(S10:S33)</f>
        <v>4539</v>
      </c>
      <c r="T41" s="16">
        <f t="shared" ref="T41:AF41" si="33">SUM(T10:T33)</f>
        <v>644</v>
      </c>
      <c r="U41" s="16">
        <f t="shared" si="33"/>
        <v>494</v>
      </c>
      <c r="V41" s="16">
        <f t="shared" si="33"/>
        <v>1334</v>
      </c>
      <c r="W41" s="16">
        <f t="shared" si="33"/>
        <v>39</v>
      </c>
      <c r="X41" s="16">
        <f t="shared" si="33"/>
        <v>11</v>
      </c>
      <c r="Y41" s="16">
        <f t="shared" si="33"/>
        <v>310</v>
      </c>
      <c r="Z41" s="16">
        <f t="shared" si="33"/>
        <v>72</v>
      </c>
      <c r="AA41" s="16">
        <f t="shared" si="33"/>
        <v>33</v>
      </c>
      <c r="AB41" s="16">
        <f t="shared" si="33"/>
        <v>23</v>
      </c>
      <c r="AC41" s="16">
        <f t="shared" si="33"/>
        <v>11242</v>
      </c>
      <c r="AD41" s="16">
        <f t="shared" si="33"/>
        <v>0</v>
      </c>
      <c r="AE41" s="32">
        <f t="shared" si="33"/>
        <v>7499</v>
      </c>
      <c r="AF41" s="32">
        <f t="shared" si="33"/>
        <v>18741</v>
      </c>
    </row>
    <row r="42" spans="2:32" ht="23.1" customHeight="1" x14ac:dyDescent="0.25">
      <c r="B42" s="46" t="s">
        <v>69</v>
      </c>
      <c r="C42" s="50">
        <v>48</v>
      </c>
      <c r="D42" s="50">
        <v>3</v>
      </c>
      <c r="E42" s="50">
        <v>7</v>
      </c>
      <c r="F42" s="50">
        <v>12</v>
      </c>
      <c r="G42" s="50">
        <v>0</v>
      </c>
      <c r="H42" s="50">
        <v>1</v>
      </c>
      <c r="I42" s="50">
        <v>5</v>
      </c>
      <c r="J42" s="50">
        <v>0</v>
      </c>
      <c r="K42" s="50">
        <v>1</v>
      </c>
      <c r="L42" s="50">
        <v>0</v>
      </c>
      <c r="M42" s="50">
        <v>130</v>
      </c>
      <c r="N42" s="50">
        <v>0</v>
      </c>
      <c r="O42" s="15">
        <f t="shared" si="0"/>
        <v>77</v>
      </c>
      <c r="P42" s="15">
        <f t="shared" si="1"/>
        <v>207</v>
      </c>
      <c r="R42" s="5" t="s">
        <v>160</v>
      </c>
      <c r="S42" s="48">
        <f>S41/S40</f>
        <v>1.3283582089552239</v>
      </c>
      <c r="T42" s="48">
        <f t="shared" ref="T42:AF42" si="34">T41/T40</f>
        <v>1.3169734151329244</v>
      </c>
      <c r="U42" s="48">
        <f t="shared" si="34"/>
        <v>1.1650943396226414</v>
      </c>
      <c r="V42" s="48">
        <f t="shared" si="34"/>
        <v>1.3910323253388948</v>
      </c>
      <c r="W42" s="48">
        <f t="shared" si="34"/>
        <v>1.95</v>
      </c>
      <c r="X42" s="48">
        <f t="shared" si="34"/>
        <v>1.2222222222222223</v>
      </c>
      <c r="Y42" s="48">
        <f t="shared" si="34"/>
        <v>1.25</v>
      </c>
      <c r="Z42" s="48">
        <f t="shared" si="34"/>
        <v>1.44</v>
      </c>
      <c r="AA42" s="48">
        <f t="shared" si="34"/>
        <v>1.2692307692307692</v>
      </c>
      <c r="AB42" s="48">
        <f t="shared" si="34"/>
        <v>1.2777777777777777</v>
      </c>
      <c r="AC42" s="48">
        <f t="shared" si="34"/>
        <v>1.4989333333333332</v>
      </c>
      <c r="AD42" s="48" t="e">
        <f t="shared" si="34"/>
        <v>#DIV/0!</v>
      </c>
      <c r="AE42" s="48">
        <f t="shared" si="34"/>
        <v>1.3249116607773852</v>
      </c>
      <c r="AF42" s="48">
        <f t="shared" si="34"/>
        <v>1.4240881458966566</v>
      </c>
    </row>
    <row r="43" spans="2:32" ht="23.1" customHeight="1" x14ac:dyDescent="0.25">
      <c r="B43" s="45" t="s">
        <v>70</v>
      </c>
      <c r="C43" s="50">
        <v>50</v>
      </c>
      <c r="D43" s="50">
        <v>2</v>
      </c>
      <c r="E43" s="50">
        <v>5</v>
      </c>
      <c r="F43" s="50">
        <v>13</v>
      </c>
      <c r="G43" s="50">
        <v>0</v>
      </c>
      <c r="H43" s="50">
        <v>0</v>
      </c>
      <c r="I43" s="50">
        <v>6</v>
      </c>
      <c r="J43" s="50">
        <v>0</v>
      </c>
      <c r="K43" s="50">
        <v>0</v>
      </c>
      <c r="L43" s="50">
        <v>0</v>
      </c>
      <c r="M43" s="50">
        <v>124</v>
      </c>
      <c r="N43" s="50">
        <v>0</v>
      </c>
      <c r="O43" s="15">
        <f t="shared" si="0"/>
        <v>76</v>
      </c>
      <c r="P43" s="15">
        <f t="shared" si="1"/>
        <v>200</v>
      </c>
    </row>
    <row r="44" spans="2:32" ht="23.1" customHeight="1" x14ac:dyDescent="0.25">
      <c r="B44" s="47" t="s">
        <v>71</v>
      </c>
      <c r="C44" s="50">
        <v>57</v>
      </c>
      <c r="D44" s="50">
        <v>4</v>
      </c>
      <c r="E44" s="50">
        <v>12</v>
      </c>
      <c r="F44" s="50">
        <v>15</v>
      </c>
      <c r="G44" s="50">
        <v>0</v>
      </c>
      <c r="H44" s="50">
        <v>2</v>
      </c>
      <c r="I44" s="50">
        <v>5</v>
      </c>
      <c r="J44" s="50">
        <v>2</v>
      </c>
      <c r="K44" s="50">
        <v>1</v>
      </c>
      <c r="L44" s="50">
        <v>0</v>
      </c>
      <c r="M44" s="50">
        <v>123</v>
      </c>
      <c r="N44" s="50">
        <v>0</v>
      </c>
      <c r="O44" s="15">
        <f t="shared" si="0"/>
        <v>98</v>
      </c>
      <c r="P44" s="15">
        <f t="shared" si="1"/>
        <v>221</v>
      </c>
    </row>
    <row r="45" spans="2:32" ht="23.1" customHeight="1" x14ac:dyDescent="0.25">
      <c r="B45" s="45" t="s">
        <v>72</v>
      </c>
      <c r="C45" s="50">
        <v>38</v>
      </c>
      <c r="D45" s="50">
        <v>3</v>
      </c>
      <c r="E45" s="50">
        <v>5</v>
      </c>
      <c r="F45" s="50">
        <v>14</v>
      </c>
      <c r="G45" s="50">
        <v>0</v>
      </c>
      <c r="H45" s="50">
        <v>0</v>
      </c>
      <c r="I45" s="50">
        <v>5</v>
      </c>
      <c r="J45" s="50">
        <v>2</v>
      </c>
      <c r="K45" s="50">
        <v>0</v>
      </c>
      <c r="L45" s="50">
        <v>1</v>
      </c>
      <c r="M45" s="50">
        <v>95</v>
      </c>
      <c r="N45" s="50">
        <v>0</v>
      </c>
      <c r="O45" s="15">
        <f t="shared" si="0"/>
        <v>68</v>
      </c>
      <c r="P45" s="15">
        <f t="shared" si="1"/>
        <v>163</v>
      </c>
    </row>
    <row r="46" spans="2:32" ht="23.1" customHeight="1" x14ac:dyDescent="0.25">
      <c r="B46" s="46" t="s">
        <v>73</v>
      </c>
      <c r="C46" s="50">
        <v>51</v>
      </c>
      <c r="D46" s="50">
        <v>7</v>
      </c>
      <c r="E46" s="50">
        <v>6</v>
      </c>
      <c r="F46" s="50">
        <v>20</v>
      </c>
      <c r="G46" s="50">
        <v>0</v>
      </c>
      <c r="H46" s="50">
        <v>0</v>
      </c>
      <c r="I46" s="50">
        <v>5</v>
      </c>
      <c r="J46" s="50">
        <v>0</v>
      </c>
      <c r="K46" s="50">
        <v>0</v>
      </c>
      <c r="L46" s="50">
        <v>1</v>
      </c>
      <c r="M46" s="50">
        <v>137</v>
      </c>
      <c r="N46" s="50">
        <v>0</v>
      </c>
      <c r="O46" s="15">
        <f t="shared" si="0"/>
        <v>90</v>
      </c>
      <c r="P46" s="15">
        <f t="shared" si="1"/>
        <v>227</v>
      </c>
      <c r="R46" s="8"/>
      <c r="T46"/>
    </row>
    <row r="47" spans="2:32" ht="23.1" customHeight="1" x14ac:dyDescent="0.25">
      <c r="B47" s="46" t="s">
        <v>74</v>
      </c>
      <c r="C47" s="50">
        <v>36</v>
      </c>
      <c r="D47" s="50">
        <v>10</v>
      </c>
      <c r="E47" s="50">
        <v>1</v>
      </c>
      <c r="F47" s="50">
        <v>16</v>
      </c>
      <c r="G47" s="50">
        <v>2</v>
      </c>
      <c r="H47" s="50">
        <v>0</v>
      </c>
      <c r="I47" s="50">
        <v>2</v>
      </c>
      <c r="J47" s="50">
        <v>0</v>
      </c>
      <c r="K47" s="50">
        <v>2</v>
      </c>
      <c r="L47" s="50">
        <v>0</v>
      </c>
      <c r="M47" s="50">
        <v>145</v>
      </c>
      <c r="N47" s="50">
        <v>0</v>
      </c>
      <c r="O47" s="15">
        <f t="shared" si="0"/>
        <v>69</v>
      </c>
      <c r="P47" s="15">
        <f t="shared" si="1"/>
        <v>214</v>
      </c>
      <c r="R47" s="8"/>
      <c r="T47"/>
    </row>
    <row r="48" spans="2:32" ht="23.1" customHeight="1" x14ac:dyDescent="0.25">
      <c r="B48" s="46" t="s">
        <v>75</v>
      </c>
      <c r="C48" s="50">
        <v>64</v>
      </c>
      <c r="D48" s="50">
        <v>11</v>
      </c>
      <c r="E48" s="50">
        <v>9</v>
      </c>
      <c r="F48" s="50">
        <v>15</v>
      </c>
      <c r="G48" s="50">
        <v>1</v>
      </c>
      <c r="H48" s="50">
        <v>0</v>
      </c>
      <c r="I48" s="50">
        <v>6</v>
      </c>
      <c r="J48" s="50">
        <v>1</v>
      </c>
      <c r="K48" s="50">
        <v>0</v>
      </c>
      <c r="L48" s="50">
        <v>2</v>
      </c>
      <c r="M48" s="50">
        <v>128</v>
      </c>
      <c r="N48" s="50">
        <v>0</v>
      </c>
      <c r="O48" s="15">
        <f t="shared" si="0"/>
        <v>109</v>
      </c>
      <c r="P48" s="15">
        <f t="shared" si="1"/>
        <v>237</v>
      </c>
      <c r="R48" s="8"/>
      <c r="T48"/>
    </row>
    <row r="49" spans="2:20" ht="23.1" customHeight="1" x14ac:dyDescent="0.25">
      <c r="B49" s="45" t="s">
        <v>76</v>
      </c>
      <c r="C49" s="50">
        <v>40</v>
      </c>
      <c r="D49" s="50">
        <v>7</v>
      </c>
      <c r="E49" s="50">
        <v>8</v>
      </c>
      <c r="F49" s="50">
        <v>2</v>
      </c>
      <c r="G49" s="50">
        <v>0</v>
      </c>
      <c r="H49" s="50">
        <v>0</v>
      </c>
      <c r="I49" s="50">
        <v>7</v>
      </c>
      <c r="J49" s="50">
        <v>0</v>
      </c>
      <c r="K49" s="50">
        <v>0</v>
      </c>
      <c r="L49" s="50">
        <v>0</v>
      </c>
      <c r="M49" s="50">
        <v>145</v>
      </c>
      <c r="N49" s="50">
        <v>0</v>
      </c>
      <c r="O49" s="15">
        <f t="shared" si="0"/>
        <v>64</v>
      </c>
      <c r="P49" s="15">
        <f t="shared" si="1"/>
        <v>209</v>
      </c>
      <c r="R49" s="8"/>
      <c r="T49"/>
    </row>
    <row r="50" spans="2:20" ht="23.1" customHeight="1" x14ac:dyDescent="0.25">
      <c r="B50" s="46" t="s">
        <v>77</v>
      </c>
      <c r="C50" s="50">
        <v>45</v>
      </c>
      <c r="D50" s="50">
        <v>6</v>
      </c>
      <c r="E50" s="50">
        <v>8</v>
      </c>
      <c r="F50" s="50">
        <v>16</v>
      </c>
      <c r="G50" s="50">
        <v>0</v>
      </c>
      <c r="H50" s="50">
        <v>1</v>
      </c>
      <c r="I50" s="50">
        <v>5</v>
      </c>
      <c r="J50" s="50">
        <v>2</v>
      </c>
      <c r="K50" s="50">
        <v>0</v>
      </c>
      <c r="L50" s="50">
        <v>2</v>
      </c>
      <c r="M50" s="50">
        <v>189</v>
      </c>
      <c r="N50" s="50">
        <v>0</v>
      </c>
      <c r="O50" s="15">
        <f t="shared" si="0"/>
        <v>85</v>
      </c>
      <c r="P50" s="15">
        <f t="shared" si="1"/>
        <v>274</v>
      </c>
      <c r="R50" s="8"/>
      <c r="T50"/>
    </row>
    <row r="51" spans="2:20" ht="23.1" customHeight="1" x14ac:dyDescent="0.25">
      <c r="B51" s="46" t="s">
        <v>78</v>
      </c>
      <c r="C51" s="50">
        <v>43</v>
      </c>
      <c r="D51" s="50">
        <v>11</v>
      </c>
      <c r="E51" s="50">
        <v>9</v>
      </c>
      <c r="F51" s="50">
        <v>20</v>
      </c>
      <c r="G51" s="50">
        <v>1</v>
      </c>
      <c r="H51" s="50">
        <v>0</v>
      </c>
      <c r="I51" s="50">
        <v>5</v>
      </c>
      <c r="J51" s="50">
        <v>2</v>
      </c>
      <c r="K51" s="50">
        <v>0</v>
      </c>
      <c r="L51" s="50">
        <v>0</v>
      </c>
      <c r="M51" s="50">
        <v>175</v>
      </c>
      <c r="N51" s="50">
        <v>0</v>
      </c>
      <c r="O51" s="15">
        <f t="shared" si="0"/>
        <v>91</v>
      </c>
      <c r="P51" s="15">
        <f t="shared" si="1"/>
        <v>266</v>
      </c>
      <c r="R51" s="8"/>
      <c r="T51"/>
    </row>
    <row r="52" spans="2:20" ht="23.1" customHeight="1" x14ac:dyDescent="0.25">
      <c r="B52" s="46" t="s">
        <v>79</v>
      </c>
      <c r="C52" s="50">
        <v>41</v>
      </c>
      <c r="D52" s="50">
        <v>34</v>
      </c>
      <c r="E52" s="50">
        <v>8</v>
      </c>
      <c r="F52" s="50">
        <v>22</v>
      </c>
      <c r="G52" s="50">
        <v>1</v>
      </c>
      <c r="H52" s="50">
        <v>0</v>
      </c>
      <c r="I52" s="50">
        <v>4</v>
      </c>
      <c r="J52" s="50">
        <v>0</v>
      </c>
      <c r="K52" s="50">
        <v>1</v>
      </c>
      <c r="L52" s="50">
        <v>0</v>
      </c>
      <c r="M52" s="50">
        <v>150</v>
      </c>
      <c r="N52" s="50">
        <v>0</v>
      </c>
      <c r="O52" s="15">
        <f t="shared" si="0"/>
        <v>111</v>
      </c>
      <c r="P52" s="15">
        <f t="shared" si="1"/>
        <v>261</v>
      </c>
      <c r="R52" s="8"/>
      <c r="T52"/>
    </row>
    <row r="53" spans="2:20" ht="23.1" customHeight="1" x14ac:dyDescent="0.25">
      <c r="B53" s="45" t="s">
        <v>80</v>
      </c>
      <c r="C53" s="50">
        <v>44</v>
      </c>
      <c r="D53" s="50">
        <v>5</v>
      </c>
      <c r="E53" s="50">
        <v>8</v>
      </c>
      <c r="F53" s="50">
        <v>18</v>
      </c>
      <c r="G53" s="50">
        <v>0</v>
      </c>
      <c r="H53" s="50">
        <v>0</v>
      </c>
      <c r="I53" s="50">
        <v>1</v>
      </c>
      <c r="J53" s="50">
        <v>1</v>
      </c>
      <c r="K53" s="50">
        <v>0</v>
      </c>
      <c r="L53" s="50">
        <v>0</v>
      </c>
      <c r="M53" s="50">
        <v>180</v>
      </c>
      <c r="N53" s="50">
        <v>0</v>
      </c>
      <c r="O53" s="15">
        <f t="shared" si="0"/>
        <v>77</v>
      </c>
      <c r="P53" s="15">
        <f t="shared" si="1"/>
        <v>257</v>
      </c>
      <c r="R53" s="8"/>
      <c r="T53"/>
    </row>
    <row r="54" spans="2:20" ht="23.1" customHeight="1" x14ac:dyDescent="0.25">
      <c r="B54" s="45" t="s">
        <v>81</v>
      </c>
      <c r="C54" s="50">
        <v>48</v>
      </c>
      <c r="D54" s="50">
        <v>5</v>
      </c>
      <c r="E54" s="50">
        <v>6</v>
      </c>
      <c r="F54" s="50">
        <v>28</v>
      </c>
      <c r="G54" s="50">
        <v>2</v>
      </c>
      <c r="H54" s="50">
        <v>0</v>
      </c>
      <c r="I54" s="50">
        <v>1</v>
      </c>
      <c r="J54" s="50">
        <v>2</v>
      </c>
      <c r="K54" s="50">
        <v>0</v>
      </c>
      <c r="L54" s="50">
        <v>0</v>
      </c>
      <c r="M54" s="50">
        <v>183</v>
      </c>
      <c r="N54" s="50">
        <v>0</v>
      </c>
      <c r="O54" s="15">
        <f t="shared" si="0"/>
        <v>92</v>
      </c>
      <c r="P54" s="15">
        <f t="shared" si="1"/>
        <v>275</v>
      </c>
      <c r="R54" s="8"/>
      <c r="T54"/>
    </row>
    <row r="55" spans="2:20" ht="23.1" customHeight="1" x14ac:dyDescent="0.25">
      <c r="B55" s="45" t="s">
        <v>82</v>
      </c>
      <c r="C55" s="50">
        <v>52</v>
      </c>
      <c r="D55" s="50">
        <v>5</v>
      </c>
      <c r="E55" s="50">
        <v>8</v>
      </c>
      <c r="F55" s="50">
        <v>23</v>
      </c>
      <c r="G55" s="50">
        <v>1</v>
      </c>
      <c r="H55" s="50">
        <v>1</v>
      </c>
      <c r="I55" s="50">
        <v>3</v>
      </c>
      <c r="J55" s="50">
        <v>2</v>
      </c>
      <c r="K55" s="50">
        <v>0</v>
      </c>
      <c r="L55" s="50">
        <v>1</v>
      </c>
      <c r="M55" s="50">
        <v>179</v>
      </c>
      <c r="N55" s="50">
        <v>0</v>
      </c>
      <c r="O55" s="15">
        <f t="shared" si="0"/>
        <v>96</v>
      </c>
      <c r="P55" s="15">
        <f t="shared" si="1"/>
        <v>275</v>
      </c>
      <c r="R55" s="8"/>
      <c r="T55"/>
    </row>
    <row r="56" spans="2:20" ht="23.1" customHeight="1" x14ac:dyDescent="0.25">
      <c r="B56" s="45" t="s">
        <v>83</v>
      </c>
      <c r="C56" s="50">
        <v>44</v>
      </c>
      <c r="D56" s="50">
        <v>4</v>
      </c>
      <c r="E56" s="50">
        <v>11</v>
      </c>
      <c r="F56" s="50">
        <v>26</v>
      </c>
      <c r="G56" s="50">
        <v>1</v>
      </c>
      <c r="H56" s="50">
        <v>0</v>
      </c>
      <c r="I56" s="50">
        <v>3</v>
      </c>
      <c r="J56" s="50">
        <v>0</v>
      </c>
      <c r="K56" s="50">
        <v>0</v>
      </c>
      <c r="L56" s="50">
        <v>1</v>
      </c>
      <c r="M56" s="50">
        <v>180</v>
      </c>
      <c r="N56" s="50">
        <v>0</v>
      </c>
      <c r="O56" s="15">
        <f t="shared" si="0"/>
        <v>90</v>
      </c>
      <c r="P56" s="15">
        <f t="shared" si="1"/>
        <v>270</v>
      </c>
      <c r="R56" s="8"/>
      <c r="T56"/>
    </row>
    <row r="57" spans="2:20" ht="23.1" customHeight="1" x14ac:dyDescent="0.25">
      <c r="B57" s="45" t="s">
        <v>84</v>
      </c>
      <c r="C57" s="50">
        <v>35</v>
      </c>
      <c r="D57" s="50">
        <v>6</v>
      </c>
      <c r="E57" s="50">
        <v>7</v>
      </c>
      <c r="F57" s="50">
        <v>30</v>
      </c>
      <c r="G57" s="50">
        <v>1</v>
      </c>
      <c r="H57" s="50">
        <v>0</v>
      </c>
      <c r="I57" s="50">
        <v>5</v>
      </c>
      <c r="J57" s="50">
        <v>0</v>
      </c>
      <c r="K57" s="50">
        <v>2</v>
      </c>
      <c r="L57" s="50">
        <v>0</v>
      </c>
      <c r="M57" s="50">
        <v>181</v>
      </c>
      <c r="N57" s="50">
        <v>0</v>
      </c>
      <c r="O57" s="15">
        <f t="shared" si="0"/>
        <v>86</v>
      </c>
      <c r="P57" s="15">
        <f t="shared" si="1"/>
        <v>267</v>
      </c>
      <c r="R57" s="8"/>
      <c r="T57"/>
    </row>
    <row r="58" spans="2:20" ht="23.1" customHeight="1" x14ac:dyDescent="0.25">
      <c r="B58" s="45" t="s">
        <v>99</v>
      </c>
      <c r="C58" s="50">
        <v>41</v>
      </c>
      <c r="D58" s="50">
        <v>5</v>
      </c>
      <c r="E58" s="50">
        <v>3</v>
      </c>
      <c r="F58" s="50">
        <v>20</v>
      </c>
      <c r="G58" s="50">
        <v>1</v>
      </c>
      <c r="H58" s="50">
        <v>0</v>
      </c>
      <c r="I58" s="50">
        <v>2</v>
      </c>
      <c r="J58" s="50">
        <v>0</v>
      </c>
      <c r="K58" s="50">
        <v>0</v>
      </c>
      <c r="L58" s="50">
        <v>0</v>
      </c>
      <c r="M58" s="50">
        <v>175</v>
      </c>
      <c r="N58" s="50">
        <v>0</v>
      </c>
      <c r="O58" s="15">
        <f t="shared" si="0"/>
        <v>72</v>
      </c>
      <c r="P58" s="15">
        <f t="shared" si="1"/>
        <v>247</v>
      </c>
      <c r="R58" s="8"/>
      <c r="T58"/>
    </row>
    <row r="59" spans="2:20" ht="23.1" customHeight="1" x14ac:dyDescent="0.25">
      <c r="B59" s="45" t="s">
        <v>100</v>
      </c>
      <c r="C59" s="50">
        <v>37</v>
      </c>
      <c r="D59" s="50">
        <v>4</v>
      </c>
      <c r="E59" s="50">
        <v>1</v>
      </c>
      <c r="F59" s="50">
        <v>25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153</v>
      </c>
      <c r="N59" s="50">
        <v>0</v>
      </c>
      <c r="O59" s="15">
        <f t="shared" si="0"/>
        <v>67</v>
      </c>
      <c r="P59" s="15">
        <f t="shared" si="1"/>
        <v>220</v>
      </c>
      <c r="R59" s="8"/>
      <c r="T59"/>
    </row>
    <row r="60" spans="2:20" ht="23.1" customHeight="1" x14ac:dyDescent="0.25">
      <c r="B60" s="45" t="s">
        <v>101</v>
      </c>
      <c r="C60" s="50">
        <v>35</v>
      </c>
      <c r="D60" s="50">
        <v>7</v>
      </c>
      <c r="E60" s="50">
        <v>5</v>
      </c>
      <c r="F60" s="50">
        <v>0</v>
      </c>
      <c r="G60" s="50">
        <v>3</v>
      </c>
      <c r="H60" s="50">
        <v>0</v>
      </c>
      <c r="I60" s="50">
        <v>3</v>
      </c>
      <c r="J60" s="50">
        <v>0</v>
      </c>
      <c r="K60" s="50">
        <v>0</v>
      </c>
      <c r="L60" s="50">
        <v>0</v>
      </c>
      <c r="M60" s="50">
        <v>149</v>
      </c>
      <c r="N60" s="50">
        <v>0</v>
      </c>
      <c r="O60" s="15">
        <f t="shared" si="0"/>
        <v>53</v>
      </c>
      <c r="P60" s="15">
        <f t="shared" si="1"/>
        <v>202</v>
      </c>
      <c r="R60" s="8"/>
      <c r="T60"/>
    </row>
    <row r="61" spans="2:20" ht="23.1" customHeight="1" x14ac:dyDescent="0.25">
      <c r="B61" s="45" t="s">
        <v>102</v>
      </c>
      <c r="C61" s="50">
        <v>29</v>
      </c>
      <c r="D61" s="50">
        <v>10</v>
      </c>
      <c r="E61" s="50">
        <v>2</v>
      </c>
      <c r="F61" s="50">
        <v>0</v>
      </c>
      <c r="G61" s="50">
        <v>0</v>
      </c>
      <c r="H61" s="50">
        <v>0</v>
      </c>
      <c r="I61" s="50">
        <v>0</v>
      </c>
      <c r="J61" s="50">
        <v>2</v>
      </c>
      <c r="K61" s="50">
        <v>0</v>
      </c>
      <c r="L61" s="50">
        <v>1</v>
      </c>
      <c r="M61" s="50">
        <v>150</v>
      </c>
      <c r="N61" s="50">
        <v>0</v>
      </c>
      <c r="O61" s="15">
        <f t="shared" si="0"/>
        <v>44</v>
      </c>
      <c r="P61" s="15">
        <f t="shared" si="1"/>
        <v>194</v>
      </c>
      <c r="R61" s="8"/>
      <c r="T61"/>
    </row>
    <row r="62" spans="2:20" ht="23.1" customHeight="1" x14ac:dyDescent="0.25">
      <c r="B62" s="45" t="s">
        <v>107</v>
      </c>
      <c r="C62" s="50">
        <v>39</v>
      </c>
      <c r="D62" s="50">
        <v>8</v>
      </c>
      <c r="E62" s="50">
        <v>4</v>
      </c>
      <c r="F62" s="50">
        <v>12</v>
      </c>
      <c r="G62" s="50">
        <v>2</v>
      </c>
      <c r="H62" s="50">
        <v>0</v>
      </c>
      <c r="I62" s="50">
        <v>2</v>
      </c>
      <c r="J62" s="50">
        <v>0</v>
      </c>
      <c r="K62" s="50">
        <v>0</v>
      </c>
      <c r="L62" s="50">
        <v>0</v>
      </c>
      <c r="M62" s="50">
        <v>147</v>
      </c>
      <c r="N62" s="50">
        <v>0</v>
      </c>
      <c r="O62" s="15">
        <f t="shared" si="0"/>
        <v>67</v>
      </c>
      <c r="P62" s="15">
        <f t="shared" si="1"/>
        <v>214</v>
      </c>
      <c r="R62" s="8"/>
      <c r="T62"/>
    </row>
    <row r="63" spans="2:20" ht="23.1" customHeight="1" x14ac:dyDescent="0.25">
      <c r="B63" s="45" t="s">
        <v>108</v>
      </c>
      <c r="C63" s="50">
        <v>42</v>
      </c>
      <c r="D63" s="50">
        <v>3</v>
      </c>
      <c r="E63" s="50">
        <v>2</v>
      </c>
      <c r="F63" s="50">
        <v>10</v>
      </c>
      <c r="G63" s="50">
        <v>1</v>
      </c>
      <c r="H63" s="50">
        <v>1</v>
      </c>
      <c r="I63" s="50">
        <v>1</v>
      </c>
      <c r="J63" s="50">
        <v>2</v>
      </c>
      <c r="K63" s="50">
        <v>1</v>
      </c>
      <c r="L63" s="50">
        <v>0</v>
      </c>
      <c r="M63" s="50">
        <v>152</v>
      </c>
      <c r="N63" s="50">
        <v>0</v>
      </c>
      <c r="O63" s="15">
        <f t="shared" si="0"/>
        <v>63</v>
      </c>
      <c r="P63" s="15">
        <f t="shared" si="1"/>
        <v>215</v>
      </c>
      <c r="R63" s="8"/>
      <c r="T63"/>
    </row>
    <row r="64" spans="2:20" ht="23.1" customHeight="1" x14ac:dyDescent="0.25">
      <c r="B64" s="45" t="s">
        <v>109</v>
      </c>
      <c r="C64" s="50">
        <v>40</v>
      </c>
      <c r="D64" s="50">
        <v>45</v>
      </c>
      <c r="E64" s="50">
        <v>1</v>
      </c>
      <c r="F64" s="50">
        <v>7</v>
      </c>
      <c r="G64" s="50">
        <v>0</v>
      </c>
      <c r="H64" s="50">
        <v>0</v>
      </c>
      <c r="I64" s="50">
        <v>3</v>
      </c>
      <c r="J64" s="50">
        <v>0</v>
      </c>
      <c r="K64" s="50">
        <v>0</v>
      </c>
      <c r="L64" s="50">
        <v>0</v>
      </c>
      <c r="M64" s="50">
        <v>135</v>
      </c>
      <c r="N64" s="50">
        <v>0</v>
      </c>
      <c r="O64" s="15">
        <f t="shared" si="0"/>
        <v>96</v>
      </c>
      <c r="P64" s="15">
        <f t="shared" si="1"/>
        <v>231</v>
      </c>
      <c r="R64" s="8"/>
      <c r="T64"/>
    </row>
    <row r="65" spans="2:20" ht="23.1" customHeight="1" x14ac:dyDescent="0.25">
      <c r="B65" s="45" t="s">
        <v>158</v>
      </c>
      <c r="C65" s="50">
        <v>36</v>
      </c>
      <c r="D65" s="50">
        <v>4</v>
      </c>
      <c r="E65" s="50">
        <v>3</v>
      </c>
      <c r="F65" s="50">
        <v>17</v>
      </c>
      <c r="G65" s="50">
        <v>3</v>
      </c>
      <c r="H65" s="50">
        <v>0</v>
      </c>
      <c r="I65" s="50">
        <v>1</v>
      </c>
      <c r="J65" s="50">
        <v>2</v>
      </c>
      <c r="K65" s="50">
        <v>0</v>
      </c>
      <c r="L65" s="50">
        <v>0</v>
      </c>
      <c r="M65" s="50">
        <v>128</v>
      </c>
      <c r="N65" s="50">
        <v>0</v>
      </c>
      <c r="O65" s="15">
        <f t="shared" si="0"/>
        <v>66</v>
      </c>
      <c r="P65" s="15">
        <f t="shared" si="1"/>
        <v>194</v>
      </c>
      <c r="R65" s="8"/>
      <c r="T65"/>
    </row>
    <row r="66" spans="2:20" ht="23.1" customHeight="1" x14ac:dyDescent="0.25">
      <c r="B66" s="45" t="s">
        <v>103</v>
      </c>
      <c r="C66" s="50">
        <v>32</v>
      </c>
      <c r="D66" s="50">
        <v>5</v>
      </c>
      <c r="E66" s="50">
        <v>7</v>
      </c>
      <c r="F66" s="50">
        <v>18</v>
      </c>
      <c r="G66" s="50">
        <v>0</v>
      </c>
      <c r="H66" s="50">
        <v>0</v>
      </c>
      <c r="I66" s="50">
        <v>3</v>
      </c>
      <c r="J66" s="50">
        <v>0</v>
      </c>
      <c r="K66" s="50">
        <v>0</v>
      </c>
      <c r="L66" s="50">
        <v>0</v>
      </c>
      <c r="M66" s="50">
        <v>130</v>
      </c>
      <c r="N66" s="50">
        <v>0</v>
      </c>
      <c r="O66" s="15">
        <f t="shared" si="0"/>
        <v>65</v>
      </c>
      <c r="P66" s="15">
        <f t="shared" si="1"/>
        <v>195</v>
      </c>
      <c r="R66" s="8"/>
      <c r="T66"/>
    </row>
    <row r="67" spans="2:20" ht="23.1" customHeight="1" x14ac:dyDescent="0.25">
      <c r="B67" s="45" t="s">
        <v>104</v>
      </c>
      <c r="C67" s="50">
        <v>28</v>
      </c>
      <c r="D67" s="50">
        <v>3</v>
      </c>
      <c r="E67" s="50">
        <v>2</v>
      </c>
      <c r="F67" s="50">
        <v>15</v>
      </c>
      <c r="G67" s="50">
        <v>3</v>
      </c>
      <c r="H67" s="50">
        <v>0</v>
      </c>
      <c r="I67" s="50">
        <v>1</v>
      </c>
      <c r="J67" s="50">
        <v>2</v>
      </c>
      <c r="K67" s="50">
        <v>0</v>
      </c>
      <c r="L67" s="50">
        <v>0</v>
      </c>
      <c r="M67" s="50">
        <v>132</v>
      </c>
      <c r="N67" s="50">
        <v>0</v>
      </c>
      <c r="O67" s="15">
        <f t="shared" si="0"/>
        <v>54</v>
      </c>
      <c r="P67" s="15">
        <f t="shared" si="1"/>
        <v>186</v>
      </c>
      <c r="R67" s="8"/>
      <c r="T67"/>
    </row>
    <row r="68" spans="2:20" ht="23.1" customHeight="1" x14ac:dyDescent="0.25">
      <c r="B68" s="45" t="s">
        <v>105</v>
      </c>
      <c r="C68" s="50">
        <v>11</v>
      </c>
      <c r="D68" s="50">
        <v>1</v>
      </c>
      <c r="E68" s="50">
        <v>0</v>
      </c>
      <c r="F68" s="50">
        <v>5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118</v>
      </c>
      <c r="N68" s="50">
        <v>0</v>
      </c>
      <c r="O68" s="15">
        <f t="shared" si="0"/>
        <v>17</v>
      </c>
      <c r="P68" s="15">
        <f t="shared" si="1"/>
        <v>135</v>
      </c>
      <c r="R68" s="8"/>
      <c r="T68"/>
    </row>
    <row r="69" spans="2:20" ht="23.1" customHeight="1" x14ac:dyDescent="0.25">
      <c r="B69" s="45" t="s">
        <v>106</v>
      </c>
      <c r="C69" s="50">
        <v>20</v>
      </c>
      <c r="D69" s="50">
        <v>0</v>
      </c>
      <c r="E69" s="50">
        <v>3</v>
      </c>
      <c r="F69" s="50">
        <v>41</v>
      </c>
      <c r="G69" s="50">
        <v>1</v>
      </c>
      <c r="H69" s="50">
        <v>0</v>
      </c>
      <c r="I69" s="50">
        <v>3</v>
      </c>
      <c r="J69" s="50">
        <v>0</v>
      </c>
      <c r="K69" s="50">
        <v>1</v>
      </c>
      <c r="L69" s="50">
        <v>0</v>
      </c>
      <c r="M69" s="50">
        <v>120</v>
      </c>
      <c r="N69" s="50">
        <v>0</v>
      </c>
      <c r="O69" s="15">
        <f t="shared" si="0"/>
        <v>69</v>
      </c>
      <c r="P69" s="15">
        <f t="shared" si="1"/>
        <v>189</v>
      </c>
      <c r="R69" s="8"/>
      <c r="T69"/>
    </row>
    <row r="70" spans="2:20" ht="23.1" customHeight="1" x14ac:dyDescent="0.25">
      <c r="B70" s="45" t="s">
        <v>110</v>
      </c>
      <c r="C70" s="50">
        <v>27</v>
      </c>
      <c r="D70" s="50">
        <v>5</v>
      </c>
      <c r="E70" s="50">
        <v>2</v>
      </c>
      <c r="F70" s="50">
        <v>14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105</v>
      </c>
      <c r="N70" s="50">
        <v>0</v>
      </c>
      <c r="O70" s="15">
        <f t="shared" si="0"/>
        <v>48</v>
      </c>
      <c r="P70" s="15">
        <f t="shared" si="1"/>
        <v>153</v>
      </c>
      <c r="R70" s="8"/>
      <c r="T70"/>
    </row>
    <row r="71" spans="2:20" ht="23.1" customHeight="1" x14ac:dyDescent="0.25">
      <c r="B71" s="45" t="s">
        <v>111</v>
      </c>
      <c r="C71" s="50">
        <v>29</v>
      </c>
      <c r="D71" s="50">
        <v>6</v>
      </c>
      <c r="E71" s="50">
        <v>0</v>
      </c>
      <c r="F71" s="50">
        <v>9</v>
      </c>
      <c r="G71" s="50">
        <v>0</v>
      </c>
      <c r="H71" s="50">
        <v>0</v>
      </c>
      <c r="I71" s="50">
        <v>1</v>
      </c>
      <c r="J71" s="50">
        <v>0</v>
      </c>
      <c r="K71" s="50">
        <v>0</v>
      </c>
      <c r="L71" s="50">
        <v>1</v>
      </c>
      <c r="M71" s="50">
        <v>85</v>
      </c>
      <c r="N71" s="50">
        <v>0</v>
      </c>
      <c r="O71" s="15">
        <f t="shared" si="0"/>
        <v>46</v>
      </c>
      <c r="P71" s="15">
        <f t="shared" si="1"/>
        <v>131</v>
      </c>
      <c r="R71" s="8"/>
      <c r="T71"/>
    </row>
    <row r="72" spans="2:20" ht="23.1" customHeight="1" x14ac:dyDescent="0.25">
      <c r="B72" s="45" t="s">
        <v>112</v>
      </c>
      <c r="C72" s="50">
        <v>24</v>
      </c>
      <c r="D72" s="50">
        <v>1</v>
      </c>
      <c r="E72" s="50">
        <v>3</v>
      </c>
      <c r="F72" s="50">
        <v>18</v>
      </c>
      <c r="G72" s="50">
        <v>0</v>
      </c>
      <c r="H72" s="50">
        <v>0</v>
      </c>
      <c r="I72" s="50">
        <v>3</v>
      </c>
      <c r="J72" s="50">
        <v>0</v>
      </c>
      <c r="K72" s="50">
        <v>0</v>
      </c>
      <c r="L72" s="50">
        <v>0</v>
      </c>
      <c r="M72" s="50">
        <v>92</v>
      </c>
      <c r="N72" s="50">
        <v>0</v>
      </c>
      <c r="O72" s="15">
        <f t="shared" si="0"/>
        <v>49</v>
      </c>
      <c r="P72" s="15">
        <f t="shared" si="1"/>
        <v>141</v>
      </c>
      <c r="R72" s="8"/>
      <c r="T72"/>
    </row>
    <row r="73" spans="2:20" ht="23.1" customHeight="1" x14ac:dyDescent="0.25">
      <c r="B73" s="45" t="s">
        <v>113</v>
      </c>
      <c r="C73" s="50">
        <v>34</v>
      </c>
      <c r="D73" s="50">
        <v>3</v>
      </c>
      <c r="E73" s="50">
        <v>2</v>
      </c>
      <c r="F73" s="50">
        <v>13</v>
      </c>
      <c r="G73" s="50">
        <v>0</v>
      </c>
      <c r="H73" s="50">
        <v>0</v>
      </c>
      <c r="I73" s="50">
        <v>0</v>
      </c>
      <c r="J73" s="50">
        <v>1</v>
      </c>
      <c r="K73" s="50">
        <v>0</v>
      </c>
      <c r="L73" s="50">
        <v>0</v>
      </c>
      <c r="M73" s="50">
        <v>88</v>
      </c>
      <c r="N73" s="50">
        <v>0</v>
      </c>
      <c r="O73" s="15">
        <f t="shared" si="0"/>
        <v>53</v>
      </c>
      <c r="P73" s="15">
        <f t="shared" si="1"/>
        <v>141</v>
      </c>
      <c r="R73" s="8"/>
      <c r="T73"/>
    </row>
    <row r="74" spans="2:20" ht="23.1" customHeight="1" x14ac:dyDescent="0.25">
      <c r="B74" s="45" t="s">
        <v>114</v>
      </c>
      <c r="C74" s="50">
        <v>32</v>
      </c>
      <c r="D74" s="50">
        <v>2</v>
      </c>
      <c r="E74" s="50">
        <v>2</v>
      </c>
      <c r="F74" s="50">
        <v>12</v>
      </c>
      <c r="G74" s="50">
        <v>0</v>
      </c>
      <c r="H74" s="50">
        <v>0</v>
      </c>
      <c r="I74" s="50">
        <v>2</v>
      </c>
      <c r="J74" s="50">
        <v>1</v>
      </c>
      <c r="K74" s="50">
        <v>0</v>
      </c>
      <c r="L74" s="50">
        <v>0</v>
      </c>
      <c r="M74" s="50">
        <v>90</v>
      </c>
      <c r="N74" s="50">
        <v>0</v>
      </c>
      <c r="O74" s="15">
        <f t="shared" ref="O74:O105" si="35">SUM(C74:L74,N74)</f>
        <v>51</v>
      </c>
      <c r="P74" s="15">
        <f t="shared" ref="P74:P105" si="36">SUM(C74:N74)</f>
        <v>141</v>
      </c>
      <c r="R74" s="8"/>
      <c r="T74"/>
    </row>
    <row r="75" spans="2:20" ht="23.1" customHeight="1" x14ac:dyDescent="0.25">
      <c r="B75" s="45" t="s">
        <v>115</v>
      </c>
      <c r="C75" s="50">
        <v>10</v>
      </c>
      <c r="D75" s="50">
        <v>3</v>
      </c>
      <c r="E75" s="50">
        <v>0</v>
      </c>
      <c r="F75" s="50">
        <v>8</v>
      </c>
      <c r="G75" s="50">
        <v>0</v>
      </c>
      <c r="H75" s="50">
        <v>0</v>
      </c>
      <c r="I75" s="50">
        <v>1</v>
      </c>
      <c r="J75" s="50">
        <v>0</v>
      </c>
      <c r="K75" s="50">
        <v>0</v>
      </c>
      <c r="L75" s="50">
        <v>0</v>
      </c>
      <c r="M75" s="50">
        <v>83</v>
      </c>
      <c r="N75" s="50">
        <v>0</v>
      </c>
      <c r="O75" s="15">
        <f t="shared" si="35"/>
        <v>22</v>
      </c>
      <c r="P75" s="15">
        <f t="shared" si="36"/>
        <v>105</v>
      </c>
      <c r="R75" s="8"/>
      <c r="T75"/>
    </row>
    <row r="76" spans="2:20" ht="23.1" customHeight="1" x14ac:dyDescent="0.25">
      <c r="B76" s="45" t="s">
        <v>116</v>
      </c>
      <c r="C76" s="50">
        <v>6</v>
      </c>
      <c r="D76" s="50">
        <v>1</v>
      </c>
      <c r="E76" s="50">
        <v>5</v>
      </c>
      <c r="F76" s="50">
        <v>10</v>
      </c>
      <c r="G76" s="50">
        <v>0</v>
      </c>
      <c r="H76" s="50">
        <v>0</v>
      </c>
      <c r="I76" s="50">
        <v>0</v>
      </c>
      <c r="J76" s="50">
        <v>3</v>
      </c>
      <c r="K76" s="50">
        <v>0</v>
      </c>
      <c r="L76" s="50">
        <v>0</v>
      </c>
      <c r="M76" s="50">
        <v>60</v>
      </c>
      <c r="N76" s="50">
        <v>0</v>
      </c>
      <c r="O76" s="15">
        <f t="shared" si="35"/>
        <v>25</v>
      </c>
      <c r="P76" s="15">
        <f t="shared" si="36"/>
        <v>85</v>
      </c>
      <c r="R76" s="8"/>
      <c r="T76"/>
    </row>
    <row r="77" spans="2:20" ht="23.1" customHeight="1" x14ac:dyDescent="0.25">
      <c r="B77" s="45" t="s">
        <v>117</v>
      </c>
      <c r="C77" s="50">
        <v>15</v>
      </c>
      <c r="D77" s="50">
        <v>4</v>
      </c>
      <c r="E77" s="50">
        <v>3</v>
      </c>
      <c r="F77" s="50">
        <v>12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62</v>
      </c>
      <c r="N77" s="50">
        <v>0</v>
      </c>
      <c r="O77" s="15">
        <f t="shared" si="35"/>
        <v>34</v>
      </c>
      <c r="P77" s="15">
        <f t="shared" si="36"/>
        <v>96</v>
      </c>
      <c r="R77" s="8"/>
      <c r="T77"/>
    </row>
    <row r="78" spans="2:20" ht="23.1" customHeight="1" x14ac:dyDescent="0.25">
      <c r="B78" s="46" t="s">
        <v>118</v>
      </c>
      <c r="C78" s="50">
        <v>14</v>
      </c>
      <c r="D78" s="50">
        <v>4</v>
      </c>
      <c r="E78" s="50">
        <v>1</v>
      </c>
      <c r="F78" s="50">
        <v>2</v>
      </c>
      <c r="G78" s="50">
        <v>0</v>
      </c>
      <c r="H78" s="50">
        <v>0</v>
      </c>
      <c r="I78" s="50">
        <v>2</v>
      </c>
      <c r="J78" s="50">
        <v>0</v>
      </c>
      <c r="K78" s="50">
        <v>1</v>
      </c>
      <c r="L78" s="50">
        <v>0</v>
      </c>
      <c r="M78" s="50">
        <v>65</v>
      </c>
      <c r="N78" s="50">
        <v>0</v>
      </c>
      <c r="O78" s="15">
        <f t="shared" si="35"/>
        <v>24</v>
      </c>
      <c r="P78" s="15">
        <f t="shared" si="36"/>
        <v>89</v>
      </c>
      <c r="R78" s="8"/>
      <c r="T78"/>
    </row>
    <row r="79" spans="2:20" ht="23.1" customHeight="1" x14ac:dyDescent="0.25">
      <c r="B79" s="45" t="s">
        <v>119</v>
      </c>
      <c r="C79" s="50">
        <v>22</v>
      </c>
      <c r="D79" s="50">
        <v>2</v>
      </c>
      <c r="E79" s="50">
        <v>0</v>
      </c>
      <c r="F79" s="50">
        <v>5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67</v>
      </c>
      <c r="N79" s="50">
        <v>0</v>
      </c>
      <c r="O79" s="15">
        <f t="shared" si="35"/>
        <v>29</v>
      </c>
      <c r="P79" s="15">
        <f t="shared" si="36"/>
        <v>96</v>
      </c>
      <c r="R79" s="8"/>
      <c r="T79"/>
    </row>
    <row r="80" spans="2:20" ht="23.1" customHeight="1" x14ac:dyDescent="0.25">
      <c r="B80" s="47" t="s">
        <v>120</v>
      </c>
      <c r="C80" s="50">
        <v>19</v>
      </c>
      <c r="D80" s="50">
        <v>3</v>
      </c>
      <c r="E80" s="50">
        <v>0</v>
      </c>
      <c r="F80" s="50">
        <v>3</v>
      </c>
      <c r="G80" s="50">
        <v>0</v>
      </c>
      <c r="H80" s="50">
        <v>0</v>
      </c>
      <c r="I80" s="50">
        <v>1</v>
      </c>
      <c r="J80" s="50">
        <v>0</v>
      </c>
      <c r="K80" s="50">
        <v>0</v>
      </c>
      <c r="L80" s="50">
        <v>0</v>
      </c>
      <c r="M80" s="50">
        <v>63</v>
      </c>
      <c r="N80" s="50">
        <v>0</v>
      </c>
      <c r="O80" s="15">
        <f t="shared" si="35"/>
        <v>26</v>
      </c>
      <c r="P80" s="15">
        <f t="shared" si="36"/>
        <v>89</v>
      </c>
      <c r="R80" s="8"/>
      <c r="T80"/>
    </row>
    <row r="81" spans="2:20" ht="23.1" customHeight="1" x14ac:dyDescent="0.25">
      <c r="B81" s="45" t="s">
        <v>121</v>
      </c>
      <c r="C81" s="50">
        <v>18</v>
      </c>
      <c r="D81" s="50">
        <v>1</v>
      </c>
      <c r="E81" s="50">
        <v>0</v>
      </c>
      <c r="F81" s="50">
        <v>3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61</v>
      </c>
      <c r="N81" s="50">
        <v>0</v>
      </c>
      <c r="O81" s="15">
        <f t="shared" si="35"/>
        <v>22</v>
      </c>
      <c r="P81" s="15">
        <f t="shared" si="36"/>
        <v>83</v>
      </c>
      <c r="R81" s="8"/>
      <c r="T81"/>
    </row>
    <row r="82" spans="2:20" ht="23.1" customHeight="1" x14ac:dyDescent="0.25">
      <c r="B82" s="46" t="s">
        <v>122</v>
      </c>
      <c r="C82" s="50">
        <v>10</v>
      </c>
      <c r="D82" s="50">
        <v>1</v>
      </c>
      <c r="E82" s="50">
        <v>0</v>
      </c>
      <c r="F82" s="50">
        <v>0</v>
      </c>
      <c r="G82" s="50">
        <v>1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57</v>
      </c>
      <c r="N82" s="50">
        <v>0</v>
      </c>
      <c r="O82" s="15">
        <f t="shared" si="35"/>
        <v>12</v>
      </c>
      <c r="P82" s="15">
        <f t="shared" si="36"/>
        <v>69</v>
      </c>
      <c r="R82" s="8"/>
      <c r="T82"/>
    </row>
    <row r="83" spans="2:20" ht="23.1" customHeight="1" x14ac:dyDescent="0.25">
      <c r="B83" s="45" t="s">
        <v>123</v>
      </c>
      <c r="C83" s="50">
        <v>12</v>
      </c>
      <c r="D83" s="50">
        <v>0</v>
      </c>
      <c r="E83" s="50">
        <v>1</v>
      </c>
      <c r="F83" s="50">
        <v>0</v>
      </c>
      <c r="G83" s="50">
        <v>0</v>
      </c>
      <c r="H83" s="50">
        <v>0</v>
      </c>
      <c r="I83" s="50">
        <v>1</v>
      </c>
      <c r="J83" s="50">
        <v>0</v>
      </c>
      <c r="K83" s="50">
        <v>0</v>
      </c>
      <c r="L83" s="50">
        <v>1</v>
      </c>
      <c r="M83" s="50">
        <v>32</v>
      </c>
      <c r="N83" s="50">
        <v>0</v>
      </c>
      <c r="O83" s="15">
        <f t="shared" si="35"/>
        <v>15</v>
      </c>
      <c r="P83" s="15">
        <f t="shared" si="36"/>
        <v>47</v>
      </c>
      <c r="R83" s="8"/>
      <c r="T83"/>
    </row>
    <row r="84" spans="2:20" ht="23.1" customHeight="1" x14ac:dyDescent="0.25">
      <c r="B84" s="47" t="s">
        <v>124</v>
      </c>
      <c r="C84" s="50">
        <v>7</v>
      </c>
      <c r="D84" s="50">
        <v>2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40</v>
      </c>
      <c r="N84" s="50">
        <v>0</v>
      </c>
      <c r="O84" s="15">
        <f t="shared" si="35"/>
        <v>9</v>
      </c>
      <c r="P84" s="15">
        <f t="shared" si="36"/>
        <v>49</v>
      </c>
      <c r="R84" s="8"/>
      <c r="T84"/>
    </row>
    <row r="85" spans="2:20" ht="23.1" customHeight="1" x14ac:dyDescent="0.25">
      <c r="B85" s="45" t="s">
        <v>125</v>
      </c>
      <c r="C85" s="50">
        <v>3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2</v>
      </c>
      <c r="J85" s="50">
        <v>0</v>
      </c>
      <c r="K85" s="50">
        <v>0</v>
      </c>
      <c r="L85" s="50">
        <v>0</v>
      </c>
      <c r="M85" s="50">
        <v>37</v>
      </c>
      <c r="N85" s="50">
        <v>0</v>
      </c>
      <c r="O85" s="15">
        <f t="shared" si="35"/>
        <v>5</v>
      </c>
      <c r="P85" s="15">
        <f t="shared" si="36"/>
        <v>42</v>
      </c>
      <c r="R85" s="8"/>
      <c r="T85"/>
    </row>
    <row r="86" spans="2:20" ht="23.1" customHeight="1" x14ac:dyDescent="0.25">
      <c r="B86" s="46" t="s">
        <v>126</v>
      </c>
      <c r="C86" s="50">
        <v>5</v>
      </c>
      <c r="D86" s="50">
        <v>1</v>
      </c>
      <c r="E86" s="50">
        <v>1</v>
      </c>
      <c r="F86" s="50">
        <v>2</v>
      </c>
      <c r="G86" s="50">
        <v>2</v>
      </c>
      <c r="H86" s="50">
        <v>0</v>
      </c>
      <c r="I86" s="50">
        <v>0</v>
      </c>
      <c r="J86" s="50">
        <v>0</v>
      </c>
      <c r="K86" s="50">
        <v>1</v>
      </c>
      <c r="L86" s="50">
        <v>0</v>
      </c>
      <c r="M86" s="50">
        <v>27</v>
      </c>
      <c r="N86" s="50">
        <v>0</v>
      </c>
      <c r="O86" s="15">
        <f t="shared" si="35"/>
        <v>12</v>
      </c>
      <c r="P86" s="15">
        <f t="shared" si="36"/>
        <v>39</v>
      </c>
      <c r="R86" s="8"/>
      <c r="T86"/>
    </row>
    <row r="87" spans="2:20" ht="23.1" customHeight="1" x14ac:dyDescent="0.25">
      <c r="B87" s="45" t="s">
        <v>127</v>
      </c>
      <c r="C87" s="50">
        <v>4</v>
      </c>
      <c r="D87" s="50">
        <v>2</v>
      </c>
      <c r="E87" s="50">
        <v>0</v>
      </c>
      <c r="F87" s="50">
        <v>1</v>
      </c>
      <c r="G87" s="50">
        <v>0</v>
      </c>
      <c r="H87" s="50">
        <v>0</v>
      </c>
      <c r="I87" s="50">
        <v>1</v>
      </c>
      <c r="J87" s="50">
        <v>0</v>
      </c>
      <c r="K87" s="50">
        <v>0</v>
      </c>
      <c r="L87" s="50">
        <v>0</v>
      </c>
      <c r="M87" s="50">
        <v>36</v>
      </c>
      <c r="N87" s="50">
        <v>0</v>
      </c>
      <c r="O87" s="15">
        <f t="shared" si="35"/>
        <v>8</v>
      </c>
      <c r="P87" s="15">
        <f t="shared" si="36"/>
        <v>44</v>
      </c>
      <c r="R87" s="8"/>
      <c r="T87"/>
    </row>
    <row r="88" spans="2:20" ht="23.1" customHeight="1" x14ac:dyDescent="0.25">
      <c r="B88" s="47" t="s">
        <v>128</v>
      </c>
      <c r="C88" s="50">
        <v>10</v>
      </c>
      <c r="D88" s="50">
        <v>2</v>
      </c>
      <c r="E88" s="50">
        <v>0</v>
      </c>
      <c r="F88" s="50">
        <v>4</v>
      </c>
      <c r="G88" s="50">
        <v>0</v>
      </c>
      <c r="H88" s="50">
        <v>0</v>
      </c>
      <c r="I88" s="50">
        <v>1</v>
      </c>
      <c r="J88" s="50">
        <v>1</v>
      </c>
      <c r="K88" s="50">
        <v>0</v>
      </c>
      <c r="L88" s="50">
        <v>0</v>
      </c>
      <c r="M88" s="50">
        <v>35</v>
      </c>
      <c r="N88" s="50">
        <v>0</v>
      </c>
      <c r="O88" s="15">
        <f t="shared" si="35"/>
        <v>18</v>
      </c>
      <c r="P88" s="15">
        <f t="shared" si="36"/>
        <v>53</v>
      </c>
      <c r="R88" s="8"/>
      <c r="T88"/>
    </row>
    <row r="89" spans="2:20" ht="23.1" customHeight="1" x14ac:dyDescent="0.25">
      <c r="B89" s="45" t="s">
        <v>129</v>
      </c>
      <c r="C89" s="50">
        <v>7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40</v>
      </c>
      <c r="N89" s="50">
        <v>0</v>
      </c>
      <c r="O89" s="15">
        <f t="shared" si="35"/>
        <v>7</v>
      </c>
      <c r="P89" s="15">
        <f t="shared" si="36"/>
        <v>47</v>
      </c>
      <c r="R89" s="8"/>
      <c r="T89"/>
    </row>
    <row r="90" spans="2:20" ht="23.1" customHeight="1" x14ac:dyDescent="0.25">
      <c r="B90" s="46" t="s">
        <v>130</v>
      </c>
      <c r="C90" s="50">
        <v>4</v>
      </c>
      <c r="D90" s="50">
        <v>1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1</v>
      </c>
      <c r="K90" s="50">
        <v>0</v>
      </c>
      <c r="L90" s="50">
        <v>0</v>
      </c>
      <c r="M90" s="50">
        <v>29</v>
      </c>
      <c r="N90" s="50">
        <v>0</v>
      </c>
      <c r="O90" s="15">
        <f t="shared" si="35"/>
        <v>6</v>
      </c>
      <c r="P90" s="15">
        <f t="shared" si="36"/>
        <v>35</v>
      </c>
      <c r="R90" s="8"/>
      <c r="T90"/>
    </row>
    <row r="91" spans="2:20" ht="23.1" customHeight="1" x14ac:dyDescent="0.25">
      <c r="B91" s="45" t="s">
        <v>131</v>
      </c>
      <c r="C91" s="50">
        <v>5</v>
      </c>
      <c r="D91" s="50">
        <v>0</v>
      </c>
      <c r="E91" s="50">
        <v>0</v>
      </c>
      <c r="F91" s="50">
        <v>1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31</v>
      </c>
      <c r="N91" s="50">
        <v>0</v>
      </c>
      <c r="O91" s="15">
        <f t="shared" si="35"/>
        <v>6</v>
      </c>
      <c r="P91" s="15">
        <f t="shared" si="36"/>
        <v>37</v>
      </c>
      <c r="R91" s="8"/>
      <c r="T91"/>
    </row>
    <row r="92" spans="2:20" ht="23.1" customHeight="1" x14ac:dyDescent="0.25">
      <c r="B92" s="47" t="s">
        <v>132</v>
      </c>
      <c r="C92" s="50">
        <v>9</v>
      </c>
      <c r="D92" s="50">
        <v>0</v>
      </c>
      <c r="E92" s="50">
        <v>1</v>
      </c>
      <c r="F92" s="50">
        <v>0</v>
      </c>
      <c r="G92" s="50">
        <v>0</v>
      </c>
      <c r="H92" s="50">
        <v>0</v>
      </c>
      <c r="I92" s="50">
        <v>2</v>
      </c>
      <c r="J92" s="50">
        <v>0</v>
      </c>
      <c r="K92" s="50">
        <v>0</v>
      </c>
      <c r="L92" s="50">
        <v>0</v>
      </c>
      <c r="M92" s="50">
        <v>23</v>
      </c>
      <c r="N92" s="50">
        <v>0</v>
      </c>
      <c r="O92" s="15">
        <f t="shared" si="35"/>
        <v>12</v>
      </c>
      <c r="P92" s="15">
        <f t="shared" si="36"/>
        <v>35</v>
      </c>
      <c r="R92" s="8"/>
      <c r="T92"/>
    </row>
    <row r="93" spans="2:20" ht="23.1" customHeight="1" x14ac:dyDescent="0.25">
      <c r="B93" s="45" t="s">
        <v>133</v>
      </c>
      <c r="C93" s="50">
        <v>4</v>
      </c>
      <c r="D93" s="50">
        <v>0</v>
      </c>
      <c r="E93" s="50">
        <v>1</v>
      </c>
      <c r="F93" s="50">
        <v>1</v>
      </c>
      <c r="G93" s="50">
        <v>0</v>
      </c>
      <c r="H93" s="50">
        <v>0</v>
      </c>
      <c r="I93" s="50">
        <v>2</v>
      </c>
      <c r="J93" s="50">
        <v>1</v>
      </c>
      <c r="K93" s="50">
        <v>0</v>
      </c>
      <c r="L93" s="50">
        <v>0</v>
      </c>
      <c r="M93" s="50">
        <v>36</v>
      </c>
      <c r="N93" s="50">
        <v>0</v>
      </c>
      <c r="O93" s="15">
        <f t="shared" si="35"/>
        <v>9</v>
      </c>
      <c r="P93" s="15">
        <f t="shared" si="36"/>
        <v>45</v>
      </c>
      <c r="R93" s="8"/>
      <c r="T93"/>
    </row>
    <row r="94" spans="2:20" ht="23.1" customHeight="1" x14ac:dyDescent="0.25">
      <c r="B94" s="46" t="s">
        <v>134</v>
      </c>
      <c r="C94" s="50">
        <v>5</v>
      </c>
      <c r="D94" s="50">
        <v>1</v>
      </c>
      <c r="E94" s="50">
        <v>1</v>
      </c>
      <c r="F94" s="50">
        <v>1</v>
      </c>
      <c r="G94" s="50">
        <v>0</v>
      </c>
      <c r="H94" s="50">
        <v>0</v>
      </c>
      <c r="I94" s="50">
        <v>1</v>
      </c>
      <c r="J94" s="50">
        <v>0</v>
      </c>
      <c r="K94" s="50">
        <v>0</v>
      </c>
      <c r="L94" s="50">
        <v>0</v>
      </c>
      <c r="M94" s="50">
        <v>26</v>
      </c>
      <c r="N94" s="50">
        <v>0</v>
      </c>
      <c r="O94" s="15">
        <f t="shared" si="35"/>
        <v>9</v>
      </c>
      <c r="P94" s="15">
        <f t="shared" si="36"/>
        <v>35</v>
      </c>
      <c r="R94" s="8"/>
      <c r="T94"/>
    </row>
    <row r="95" spans="2:20" ht="23.1" customHeight="1" x14ac:dyDescent="0.25">
      <c r="B95" s="45" t="s">
        <v>135</v>
      </c>
      <c r="C95" s="50">
        <v>6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1</v>
      </c>
      <c r="J95" s="50">
        <v>0</v>
      </c>
      <c r="K95" s="50">
        <v>0</v>
      </c>
      <c r="L95" s="50">
        <v>0</v>
      </c>
      <c r="M95" s="50">
        <v>29</v>
      </c>
      <c r="N95" s="50">
        <v>0</v>
      </c>
      <c r="O95" s="15">
        <f t="shared" si="35"/>
        <v>7</v>
      </c>
      <c r="P95" s="15">
        <f t="shared" si="36"/>
        <v>36</v>
      </c>
      <c r="R95" s="8"/>
      <c r="T95"/>
    </row>
    <row r="96" spans="2:20" ht="23.1" customHeight="1" x14ac:dyDescent="0.25">
      <c r="B96" s="47" t="s">
        <v>136</v>
      </c>
      <c r="C96" s="50">
        <v>1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1</v>
      </c>
      <c r="J96" s="50">
        <v>0</v>
      </c>
      <c r="K96" s="50">
        <v>0</v>
      </c>
      <c r="L96" s="50">
        <v>0</v>
      </c>
      <c r="M96" s="50">
        <v>33</v>
      </c>
      <c r="N96" s="50">
        <v>0</v>
      </c>
      <c r="O96" s="15">
        <f t="shared" si="35"/>
        <v>2</v>
      </c>
      <c r="P96" s="15">
        <f t="shared" si="36"/>
        <v>35</v>
      </c>
      <c r="R96" s="8"/>
      <c r="T96"/>
    </row>
    <row r="97" spans="2:20" ht="23.1" customHeight="1" x14ac:dyDescent="0.25">
      <c r="B97" s="45" t="s">
        <v>137</v>
      </c>
      <c r="C97" s="50">
        <v>3</v>
      </c>
      <c r="D97" s="50">
        <v>0</v>
      </c>
      <c r="E97" s="50">
        <v>2</v>
      </c>
      <c r="F97" s="50">
        <v>1</v>
      </c>
      <c r="G97" s="50">
        <v>0</v>
      </c>
      <c r="H97" s="50">
        <v>0</v>
      </c>
      <c r="I97" s="50">
        <v>1</v>
      </c>
      <c r="J97" s="50">
        <v>1</v>
      </c>
      <c r="K97" s="50">
        <v>0</v>
      </c>
      <c r="L97" s="50">
        <v>0</v>
      </c>
      <c r="M97" s="50">
        <v>41</v>
      </c>
      <c r="N97" s="50">
        <v>0</v>
      </c>
      <c r="O97" s="15">
        <f t="shared" si="35"/>
        <v>8</v>
      </c>
      <c r="P97" s="15">
        <f t="shared" si="36"/>
        <v>49</v>
      </c>
      <c r="R97" s="8"/>
      <c r="T97"/>
    </row>
    <row r="98" spans="2:20" ht="23.1" customHeight="1" x14ac:dyDescent="0.25">
      <c r="B98" s="46" t="s">
        <v>138</v>
      </c>
      <c r="C98" s="50">
        <v>4</v>
      </c>
      <c r="D98" s="50">
        <v>0</v>
      </c>
      <c r="E98" s="50">
        <v>1</v>
      </c>
      <c r="F98" s="50">
        <v>2</v>
      </c>
      <c r="G98" s="50">
        <v>0</v>
      </c>
      <c r="H98" s="50">
        <v>0</v>
      </c>
      <c r="I98" s="50">
        <v>1</v>
      </c>
      <c r="J98" s="50">
        <v>0</v>
      </c>
      <c r="K98" s="50">
        <v>0</v>
      </c>
      <c r="L98" s="50">
        <v>0</v>
      </c>
      <c r="M98" s="50">
        <v>48</v>
      </c>
      <c r="N98" s="50">
        <v>0</v>
      </c>
      <c r="O98" s="15">
        <f t="shared" si="35"/>
        <v>8</v>
      </c>
      <c r="P98" s="15">
        <f t="shared" si="36"/>
        <v>56</v>
      </c>
      <c r="R98" s="8"/>
      <c r="T98"/>
    </row>
    <row r="99" spans="2:20" ht="23.1" customHeight="1" x14ac:dyDescent="0.25">
      <c r="B99" s="45" t="s">
        <v>139</v>
      </c>
      <c r="C99" s="50">
        <v>20</v>
      </c>
      <c r="D99" s="50">
        <v>2</v>
      </c>
      <c r="E99" s="50">
        <v>2</v>
      </c>
      <c r="F99" s="50">
        <v>5</v>
      </c>
      <c r="G99" s="50">
        <v>0</v>
      </c>
      <c r="H99" s="50">
        <v>0</v>
      </c>
      <c r="I99" s="50">
        <v>3</v>
      </c>
      <c r="J99" s="50">
        <v>1</v>
      </c>
      <c r="K99" s="50">
        <v>0</v>
      </c>
      <c r="L99" s="50">
        <v>0</v>
      </c>
      <c r="M99" s="50">
        <v>59</v>
      </c>
      <c r="N99" s="50">
        <v>0</v>
      </c>
      <c r="O99" s="15">
        <f t="shared" si="35"/>
        <v>33</v>
      </c>
      <c r="P99" s="15">
        <f t="shared" si="36"/>
        <v>92</v>
      </c>
      <c r="R99" s="8"/>
      <c r="T99"/>
    </row>
    <row r="100" spans="2:20" ht="23.1" customHeight="1" x14ac:dyDescent="0.25">
      <c r="B100" s="47" t="s">
        <v>140</v>
      </c>
      <c r="C100" s="50">
        <v>55</v>
      </c>
      <c r="D100" s="50">
        <v>4</v>
      </c>
      <c r="E100" s="50">
        <v>2</v>
      </c>
      <c r="F100" s="50">
        <v>10</v>
      </c>
      <c r="G100" s="50">
        <v>0</v>
      </c>
      <c r="H100" s="50">
        <v>0</v>
      </c>
      <c r="I100" s="50">
        <v>1</v>
      </c>
      <c r="J100" s="50">
        <v>1</v>
      </c>
      <c r="K100" s="50">
        <v>0</v>
      </c>
      <c r="L100" s="50">
        <v>0</v>
      </c>
      <c r="M100" s="50">
        <v>58</v>
      </c>
      <c r="N100" s="50">
        <v>0</v>
      </c>
      <c r="O100" s="15">
        <f t="shared" si="35"/>
        <v>73</v>
      </c>
      <c r="P100" s="15">
        <f t="shared" si="36"/>
        <v>131</v>
      </c>
      <c r="R100" s="8"/>
      <c r="T100"/>
    </row>
    <row r="101" spans="2:20" ht="23.1" customHeight="1" x14ac:dyDescent="0.25">
      <c r="B101" s="45" t="s">
        <v>141</v>
      </c>
      <c r="C101" s="50">
        <v>46</v>
      </c>
      <c r="D101" s="50">
        <v>5</v>
      </c>
      <c r="E101" s="50">
        <v>4</v>
      </c>
      <c r="F101" s="50">
        <v>15</v>
      </c>
      <c r="G101" s="50">
        <v>0</v>
      </c>
      <c r="H101" s="50">
        <v>0</v>
      </c>
      <c r="I101" s="50">
        <v>5</v>
      </c>
      <c r="J101" s="50">
        <v>0</v>
      </c>
      <c r="K101" s="50">
        <v>2</v>
      </c>
      <c r="L101" s="50">
        <v>1</v>
      </c>
      <c r="M101" s="50">
        <v>60</v>
      </c>
      <c r="N101" s="50">
        <v>0</v>
      </c>
      <c r="O101" s="15">
        <f t="shared" si="35"/>
        <v>78</v>
      </c>
      <c r="P101" s="15">
        <f t="shared" si="36"/>
        <v>138</v>
      </c>
      <c r="R101" s="8"/>
      <c r="T101"/>
    </row>
    <row r="102" spans="2:20" ht="23.1" customHeight="1" x14ac:dyDescent="0.25">
      <c r="B102" s="46" t="s">
        <v>142</v>
      </c>
      <c r="C102" s="50">
        <v>60</v>
      </c>
      <c r="D102" s="50">
        <v>0</v>
      </c>
      <c r="E102" s="50">
        <v>1</v>
      </c>
      <c r="F102" s="50">
        <v>10</v>
      </c>
      <c r="G102" s="50">
        <v>0</v>
      </c>
      <c r="H102" s="50">
        <v>0</v>
      </c>
      <c r="I102" s="50">
        <v>4</v>
      </c>
      <c r="J102" s="50">
        <v>0</v>
      </c>
      <c r="K102" s="50">
        <v>0</v>
      </c>
      <c r="L102" s="50">
        <v>0</v>
      </c>
      <c r="M102" s="50">
        <v>75</v>
      </c>
      <c r="N102" s="50">
        <v>0</v>
      </c>
      <c r="O102" s="15">
        <f t="shared" si="35"/>
        <v>75</v>
      </c>
      <c r="P102" s="15">
        <f t="shared" si="36"/>
        <v>150</v>
      </c>
      <c r="R102" s="8"/>
      <c r="T102"/>
    </row>
    <row r="103" spans="2:20" ht="23.1" customHeight="1" x14ac:dyDescent="0.25">
      <c r="B103" s="45" t="s">
        <v>143</v>
      </c>
      <c r="C103" s="50">
        <v>60</v>
      </c>
      <c r="D103" s="50">
        <v>1</v>
      </c>
      <c r="E103" s="50">
        <v>0</v>
      </c>
      <c r="F103" s="50">
        <v>9</v>
      </c>
      <c r="G103" s="50">
        <v>0</v>
      </c>
      <c r="H103" s="50">
        <v>1</v>
      </c>
      <c r="I103" s="50">
        <v>3</v>
      </c>
      <c r="J103" s="50">
        <v>2</v>
      </c>
      <c r="K103" s="50">
        <v>1</v>
      </c>
      <c r="L103" s="50">
        <v>0</v>
      </c>
      <c r="M103" s="50">
        <v>83</v>
      </c>
      <c r="N103" s="50">
        <v>0</v>
      </c>
      <c r="O103" s="15">
        <f t="shared" si="35"/>
        <v>77</v>
      </c>
      <c r="P103" s="15">
        <f t="shared" si="36"/>
        <v>160</v>
      </c>
      <c r="R103" s="8"/>
      <c r="T103"/>
    </row>
    <row r="104" spans="2:20" ht="23.1" customHeight="1" x14ac:dyDescent="0.25">
      <c r="B104" s="47" t="s">
        <v>144</v>
      </c>
      <c r="C104" s="50">
        <v>65</v>
      </c>
      <c r="D104" s="50">
        <v>0</v>
      </c>
      <c r="E104" s="50">
        <v>0</v>
      </c>
      <c r="F104" s="50">
        <v>15</v>
      </c>
      <c r="G104" s="50">
        <v>2</v>
      </c>
      <c r="H104" s="50">
        <v>0</v>
      </c>
      <c r="I104" s="50">
        <v>1</v>
      </c>
      <c r="J104" s="50">
        <v>0</v>
      </c>
      <c r="K104" s="50">
        <v>0</v>
      </c>
      <c r="L104" s="50">
        <v>1</v>
      </c>
      <c r="M104" s="50">
        <v>92</v>
      </c>
      <c r="N104" s="50">
        <v>0</v>
      </c>
      <c r="O104" s="15">
        <f t="shared" si="35"/>
        <v>84</v>
      </c>
      <c r="P104" s="15">
        <f t="shared" si="36"/>
        <v>176</v>
      </c>
      <c r="R104" s="8"/>
      <c r="T104"/>
    </row>
    <row r="105" spans="2:20" ht="23.1" customHeight="1" x14ac:dyDescent="0.25">
      <c r="B105" s="45" t="s">
        <v>145</v>
      </c>
      <c r="C105" s="50">
        <v>77</v>
      </c>
      <c r="D105" s="50">
        <v>3</v>
      </c>
      <c r="E105" s="50">
        <v>2</v>
      </c>
      <c r="F105" s="50">
        <v>19</v>
      </c>
      <c r="G105" s="50">
        <v>0</v>
      </c>
      <c r="H105" s="50">
        <v>0</v>
      </c>
      <c r="I105" s="50">
        <v>2</v>
      </c>
      <c r="J105" s="50">
        <v>1</v>
      </c>
      <c r="K105" s="50">
        <v>0</v>
      </c>
      <c r="L105" s="50">
        <v>0</v>
      </c>
      <c r="M105" s="51">
        <v>105</v>
      </c>
      <c r="N105" s="50">
        <v>0</v>
      </c>
      <c r="O105" s="15">
        <f t="shared" si="35"/>
        <v>104</v>
      </c>
      <c r="P105" s="15">
        <f t="shared" si="36"/>
        <v>209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4539</v>
      </c>
      <c r="D106" s="16">
        <f t="shared" ref="D106:P106" si="37">SUM(D10:D105)</f>
        <v>644</v>
      </c>
      <c r="E106" s="16">
        <f t="shared" si="37"/>
        <v>494</v>
      </c>
      <c r="F106" s="16">
        <f t="shared" si="37"/>
        <v>1334</v>
      </c>
      <c r="G106" s="16">
        <f t="shared" si="37"/>
        <v>39</v>
      </c>
      <c r="H106" s="16">
        <f t="shared" si="37"/>
        <v>11</v>
      </c>
      <c r="I106" s="16">
        <f t="shared" si="37"/>
        <v>310</v>
      </c>
      <c r="J106" s="16">
        <f t="shared" si="37"/>
        <v>72</v>
      </c>
      <c r="K106" s="16">
        <f t="shared" si="37"/>
        <v>33</v>
      </c>
      <c r="L106" s="16">
        <f t="shared" si="37"/>
        <v>23</v>
      </c>
      <c r="M106" s="16">
        <f t="shared" si="37"/>
        <v>11242</v>
      </c>
      <c r="N106" s="16">
        <f t="shared" si="37"/>
        <v>0</v>
      </c>
      <c r="O106" s="16">
        <f t="shared" si="37"/>
        <v>7499</v>
      </c>
      <c r="P106" s="16">
        <f t="shared" si="37"/>
        <v>18741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0.24219625420201696</v>
      </c>
      <c r="D107" s="43">
        <f t="shared" si="38"/>
        <v>3.4363160983938955E-2</v>
      </c>
      <c r="E107" s="43">
        <f t="shared" si="38"/>
        <v>2.6359319139853798E-2</v>
      </c>
      <c r="F107" s="43">
        <f t="shared" si="38"/>
        <v>7.1180833466730695E-2</v>
      </c>
      <c r="G107" s="43">
        <f t="shared" si="38"/>
        <v>2.0809988794621417E-3</v>
      </c>
      <c r="H107" s="43">
        <f t="shared" si="38"/>
        <v>5.8694840189957851E-4</v>
      </c>
      <c r="I107" s="43">
        <f t="shared" si="38"/>
        <v>1.6541273144442665E-2</v>
      </c>
      <c r="J107" s="43">
        <f t="shared" si="38"/>
        <v>3.8418440851608771E-3</v>
      </c>
      <c r="K107" s="43">
        <f t="shared" si="38"/>
        <v>1.7608452056987354E-3</v>
      </c>
      <c r="L107" s="43">
        <f t="shared" si="38"/>
        <v>1.2272557494263914E-3</v>
      </c>
      <c r="M107" s="43">
        <f t="shared" si="38"/>
        <v>0.59986126674136919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0.60528070409387913</v>
      </c>
      <c r="D108" s="44">
        <f t="shared" ref="D108:N108" si="39">D106/$O$106</f>
        <v>8.5878117082277633E-2</v>
      </c>
      <c r="E108" s="44">
        <f t="shared" si="39"/>
        <v>6.5875450060008001E-2</v>
      </c>
      <c r="F108" s="44">
        <f t="shared" si="39"/>
        <v>0.17789038538471796</v>
      </c>
      <c r="G108" s="44">
        <f t="shared" si="39"/>
        <v>5.2006934257901056E-3</v>
      </c>
      <c r="H108" s="44">
        <f t="shared" si="39"/>
        <v>1.4668622482997733E-3</v>
      </c>
      <c r="I108" s="44">
        <f t="shared" si="39"/>
        <v>4.133884517935725E-2</v>
      </c>
      <c r="J108" s="44">
        <f t="shared" si="39"/>
        <v>9.6012801706894246E-3</v>
      </c>
      <c r="K108" s="44">
        <f t="shared" si="39"/>
        <v>4.4005867448993199E-3</v>
      </c>
      <c r="L108" s="44">
        <f t="shared" si="39"/>
        <v>3.0670756100813442E-3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D1" zoomScale="84" zoomScaleSheetLayoutView="84" workbookViewId="0">
      <selection activeCell="G6" sqref="G6:H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2" t="str">
        <f>'22.07 Kitebi-Kabusu'!C3:G3</f>
        <v>MCC - C1 - STN06-WANKULUKUKU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'27.07 Kitebi-Kabusu-24h'!D5</f>
        <v>27.07.19</v>
      </c>
      <c r="E5" s="3"/>
      <c r="F5" s="41" t="s">
        <v>1</v>
      </c>
      <c r="G5" s="57" t="str">
        <f>'27.07 Kitebi-Kabusu-24h'!G5:H5</f>
        <v>kobil head office</v>
      </c>
      <c r="H5" s="58"/>
      <c r="I5" s="14"/>
      <c r="J5" s="2" t="s">
        <v>5</v>
      </c>
      <c r="K5" s="57" t="s">
        <v>174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tr">
        <f>'22.07 Kabusu-Kitebi'!D6:E6</f>
        <v>Kabusu</v>
      </c>
      <c r="E6" s="58"/>
      <c r="F6" s="2" t="s">
        <v>2</v>
      </c>
      <c r="G6" s="57" t="str">
        <f>'22.07 Kabusu-Kitebi'!G6:H6</f>
        <v>Kitebi</v>
      </c>
      <c r="H6" s="58"/>
      <c r="J6" s="2" t="s">
        <v>21</v>
      </c>
      <c r="K6" s="57" t="str">
        <f>'27.07 Kitebi-Kabusu-24h'!K6:L6</f>
        <v>Oloya Felix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4</v>
      </c>
      <c r="D10" s="50">
        <v>2</v>
      </c>
      <c r="E10" s="50">
        <v>1</v>
      </c>
      <c r="F10" s="50">
        <v>5</v>
      </c>
      <c r="G10" s="50">
        <v>0</v>
      </c>
      <c r="H10" s="50">
        <v>0</v>
      </c>
      <c r="I10" s="50">
        <v>0</v>
      </c>
      <c r="J10" s="50">
        <v>1</v>
      </c>
      <c r="K10" s="50">
        <v>0</v>
      </c>
      <c r="L10" s="50">
        <v>0</v>
      </c>
      <c r="M10" s="50">
        <v>50</v>
      </c>
      <c r="N10" s="50">
        <v>0</v>
      </c>
      <c r="O10" s="15">
        <f t="shared" ref="O10:O73" si="0">SUM(C10:L10,N10)</f>
        <v>13</v>
      </c>
      <c r="P10" s="15">
        <f t="shared" ref="P10:P73" si="1">SUM(C10:N10)</f>
        <v>63</v>
      </c>
      <c r="R10" s="1" t="s">
        <v>6</v>
      </c>
      <c r="S10" s="17">
        <f t="shared" ref="S10:AF10" si="2">SUM(C10:C13)</f>
        <v>24</v>
      </c>
      <c r="T10" s="17">
        <f t="shared" si="2"/>
        <v>6</v>
      </c>
      <c r="U10" s="17">
        <f t="shared" si="2"/>
        <v>5</v>
      </c>
      <c r="V10" s="17">
        <f t="shared" si="2"/>
        <v>27</v>
      </c>
      <c r="W10" s="17">
        <f t="shared" si="2"/>
        <v>1</v>
      </c>
      <c r="X10" s="17">
        <f t="shared" si="2"/>
        <v>2</v>
      </c>
      <c r="Y10" s="17">
        <f t="shared" si="2"/>
        <v>1</v>
      </c>
      <c r="Z10" s="17">
        <f t="shared" si="2"/>
        <v>1</v>
      </c>
      <c r="AA10" s="17">
        <f t="shared" si="2"/>
        <v>2</v>
      </c>
      <c r="AB10" s="17">
        <f t="shared" si="2"/>
        <v>1</v>
      </c>
      <c r="AC10" s="17">
        <f t="shared" si="2"/>
        <v>220</v>
      </c>
      <c r="AD10" s="17">
        <f t="shared" si="2"/>
        <v>0</v>
      </c>
      <c r="AE10" s="31">
        <f t="shared" si="2"/>
        <v>70</v>
      </c>
      <c r="AF10" s="31">
        <f t="shared" si="2"/>
        <v>290</v>
      </c>
    </row>
    <row r="11" spans="2:32" s="6" customFormat="1" ht="23.1" customHeight="1" x14ac:dyDescent="0.25">
      <c r="B11" s="45" t="s">
        <v>38</v>
      </c>
      <c r="C11" s="50">
        <v>7</v>
      </c>
      <c r="D11" s="50">
        <v>0</v>
      </c>
      <c r="E11" s="50">
        <v>3</v>
      </c>
      <c r="F11" s="50">
        <v>6</v>
      </c>
      <c r="G11" s="50">
        <v>0</v>
      </c>
      <c r="H11" s="50">
        <v>1</v>
      </c>
      <c r="I11" s="50">
        <v>0</v>
      </c>
      <c r="J11" s="50">
        <v>0</v>
      </c>
      <c r="K11" s="50">
        <v>0</v>
      </c>
      <c r="L11" s="50">
        <v>0</v>
      </c>
      <c r="M11" s="50">
        <v>45</v>
      </c>
      <c r="N11" s="50">
        <v>0</v>
      </c>
      <c r="O11" s="15">
        <f t="shared" si="0"/>
        <v>17</v>
      </c>
      <c r="P11" s="15">
        <f t="shared" si="1"/>
        <v>62</v>
      </c>
      <c r="R11" s="1" t="s">
        <v>7</v>
      </c>
      <c r="S11" s="17">
        <f t="shared" ref="S11:AF11" si="3">SUM(C14:C17)</f>
        <v>49</v>
      </c>
      <c r="T11" s="17">
        <f t="shared" si="3"/>
        <v>12</v>
      </c>
      <c r="U11" s="17">
        <f t="shared" si="3"/>
        <v>7</v>
      </c>
      <c r="V11" s="17">
        <f t="shared" si="3"/>
        <v>55</v>
      </c>
      <c r="W11" s="17">
        <f t="shared" si="3"/>
        <v>3</v>
      </c>
      <c r="X11" s="17">
        <f t="shared" si="3"/>
        <v>7</v>
      </c>
      <c r="Y11" s="17">
        <f t="shared" si="3"/>
        <v>2</v>
      </c>
      <c r="Z11" s="17">
        <f t="shared" si="3"/>
        <v>5</v>
      </c>
      <c r="AA11" s="17">
        <f t="shared" si="3"/>
        <v>0</v>
      </c>
      <c r="AB11" s="17">
        <f t="shared" si="3"/>
        <v>3</v>
      </c>
      <c r="AC11" s="17">
        <f t="shared" si="3"/>
        <v>305</v>
      </c>
      <c r="AD11" s="17">
        <f t="shared" si="3"/>
        <v>0</v>
      </c>
      <c r="AE11" s="31">
        <f t="shared" si="3"/>
        <v>143</v>
      </c>
      <c r="AF11" s="31">
        <f t="shared" si="3"/>
        <v>448</v>
      </c>
    </row>
    <row r="12" spans="2:32" ht="23.1" customHeight="1" x14ac:dyDescent="0.25">
      <c r="B12" s="45" t="s">
        <v>39</v>
      </c>
      <c r="C12" s="50">
        <v>5</v>
      </c>
      <c r="D12" s="50">
        <v>1</v>
      </c>
      <c r="E12" s="50">
        <v>0</v>
      </c>
      <c r="F12" s="50">
        <v>11</v>
      </c>
      <c r="G12" s="50">
        <v>1</v>
      </c>
      <c r="H12" s="50">
        <v>0</v>
      </c>
      <c r="I12" s="50">
        <v>0</v>
      </c>
      <c r="J12" s="50">
        <v>0</v>
      </c>
      <c r="K12" s="50">
        <v>2</v>
      </c>
      <c r="L12" s="50">
        <v>1</v>
      </c>
      <c r="M12" s="50">
        <v>65</v>
      </c>
      <c r="N12" s="50">
        <v>0</v>
      </c>
      <c r="O12" s="15">
        <f t="shared" si="0"/>
        <v>21</v>
      </c>
      <c r="P12" s="15">
        <f t="shared" si="1"/>
        <v>86</v>
      </c>
      <c r="R12" s="1" t="s">
        <v>8</v>
      </c>
      <c r="S12" s="17">
        <f t="shared" ref="S12:AF12" si="4">SUM(C18:C21)</f>
        <v>67</v>
      </c>
      <c r="T12" s="17">
        <f t="shared" si="4"/>
        <v>13</v>
      </c>
      <c r="U12" s="17">
        <f t="shared" si="4"/>
        <v>13</v>
      </c>
      <c r="V12" s="17">
        <f t="shared" si="4"/>
        <v>78</v>
      </c>
      <c r="W12" s="17">
        <f t="shared" si="4"/>
        <v>3</v>
      </c>
      <c r="X12" s="17">
        <f t="shared" si="4"/>
        <v>2</v>
      </c>
      <c r="Y12" s="17">
        <f t="shared" si="4"/>
        <v>11</v>
      </c>
      <c r="Z12" s="17">
        <f t="shared" si="4"/>
        <v>9</v>
      </c>
      <c r="AA12" s="17">
        <f t="shared" si="4"/>
        <v>3</v>
      </c>
      <c r="AB12" s="17">
        <f t="shared" si="4"/>
        <v>4</v>
      </c>
      <c r="AC12" s="17">
        <f t="shared" si="4"/>
        <v>380</v>
      </c>
      <c r="AD12" s="17">
        <f t="shared" si="4"/>
        <v>0</v>
      </c>
      <c r="AE12" s="31">
        <f t="shared" si="4"/>
        <v>203</v>
      </c>
      <c r="AF12" s="31">
        <f t="shared" si="4"/>
        <v>583</v>
      </c>
    </row>
    <row r="13" spans="2:32" ht="23.1" customHeight="1" x14ac:dyDescent="0.25">
      <c r="B13" s="45" t="s">
        <v>40</v>
      </c>
      <c r="C13" s="50">
        <v>8</v>
      </c>
      <c r="D13" s="50">
        <v>3</v>
      </c>
      <c r="E13" s="50">
        <v>1</v>
      </c>
      <c r="F13" s="50">
        <v>5</v>
      </c>
      <c r="G13" s="50">
        <v>0</v>
      </c>
      <c r="H13" s="50">
        <v>1</v>
      </c>
      <c r="I13" s="50">
        <v>1</v>
      </c>
      <c r="J13" s="50">
        <v>0</v>
      </c>
      <c r="K13" s="50">
        <v>0</v>
      </c>
      <c r="L13" s="50">
        <v>0</v>
      </c>
      <c r="M13" s="50">
        <v>60</v>
      </c>
      <c r="N13" s="50">
        <v>0</v>
      </c>
      <c r="O13" s="15">
        <f t="shared" si="0"/>
        <v>19</v>
      </c>
      <c r="P13" s="15">
        <f t="shared" si="1"/>
        <v>79</v>
      </c>
      <c r="R13" s="1" t="s">
        <v>9</v>
      </c>
      <c r="S13" s="17">
        <f t="shared" ref="S13:AF13" si="5">SUM(C22:C25)</f>
        <v>124</v>
      </c>
      <c r="T13" s="17">
        <f t="shared" si="5"/>
        <v>26</v>
      </c>
      <c r="U13" s="17">
        <f t="shared" si="5"/>
        <v>20</v>
      </c>
      <c r="V13" s="17">
        <f t="shared" si="5"/>
        <v>67</v>
      </c>
      <c r="W13" s="17">
        <f t="shared" si="5"/>
        <v>1</v>
      </c>
      <c r="X13" s="17">
        <f t="shared" si="5"/>
        <v>1</v>
      </c>
      <c r="Y13" s="17">
        <f t="shared" si="5"/>
        <v>10</v>
      </c>
      <c r="Z13" s="17">
        <f t="shared" si="5"/>
        <v>10</v>
      </c>
      <c r="AA13" s="17">
        <f t="shared" si="5"/>
        <v>4</v>
      </c>
      <c r="AB13" s="17">
        <f t="shared" si="5"/>
        <v>3</v>
      </c>
      <c r="AC13" s="17">
        <f t="shared" si="5"/>
        <v>460</v>
      </c>
      <c r="AD13" s="17">
        <f t="shared" si="5"/>
        <v>0</v>
      </c>
      <c r="AE13" s="31">
        <f t="shared" si="5"/>
        <v>266</v>
      </c>
      <c r="AF13" s="31">
        <f t="shared" si="5"/>
        <v>726</v>
      </c>
    </row>
    <row r="14" spans="2:32" ht="23.1" customHeight="1" x14ac:dyDescent="0.25">
      <c r="B14" s="45" t="s">
        <v>41</v>
      </c>
      <c r="C14" s="50">
        <v>4</v>
      </c>
      <c r="D14" s="50">
        <v>1</v>
      </c>
      <c r="E14" s="50">
        <v>0</v>
      </c>
      <c r="F14" s="50">
        <v>3</v>
      </c>
      <c r="G14" s="50">
        <v>0</v>
      </c>
      <c r="H14" s="50">
        <v>1</v>
      </c>
      <c r="I14" s="50">
        <v>0</v>
      </c>
      <c r="J14" s="50">
        <v>0</v>
      </c>
      <c r="K14" s="50">
        <v>0</v>
      </c>
      <c r="L14" s="50">
        <v>1</v>
      </c>
      <c r="M14" s="50">
        <v>80</v>
      </c>
      <c r="N14" s="50">
        <v>0</v>
      </c>
      <c r="O14" s="15">
        <f t="shared" si="0"/>
        <v>10</v>
      </c>
      <c r="P14" s="15">
        <f t="shared" si="1"/>
        <v>90</v>
      </c>
      <c r="R14" s="1" t="s">
        <v>10</v>
      </c>
      <c r="S14" s="17">
        <f t="shared" ref="S14:AF14" si="6">SUM(C26:C29)</f>
        <v>79</v>
      </c>
      <c r="T14" s="17">
        <f t="shared" si="6"/>
        <v>28</v>
      </c>
      <c r="U14" s="17">
        <f t="shared" si="6"/>
        <v>20</v>
      </c>
      <c r="V14" s="17">
        <f t="shared" si="6"/>
        <v>57</v>
      </c>
      <c r="W14" s="17">
        <f t="shared" si="6"/>
        <v>3</v>
      </c>
      <c r="X14" s="17">
        <f t="shared" si="6"/>
        <v>1</v>
      </c>
      <c r="Y14" s="17">
        <f t="shared" si="6"/>
        <v>11</v>
      </c>
      <c r="Z14" s="17">
        <f t="shared" si="6"/>
        <v>8</v>
      </c>
      <c r="AA14" s="17">
        <f t="shared" si="6"/>
        <v>11</v>
      </c>
      <c r="AB14" s="17">
        <f t="shared" si="6"/>
        <v>1</v>
      </c>
      <c r="AC14" s="17">
        <f t="shared" si="6"/>
        <v>360</v>
      </c>
      <c r="AD14" s="17">
        <f t="shared" si="6"/>
        <v>0</v>
      </c>
      <c r="AE14" s="31">
        <f t="shared" si="6"/>
        <v>219</v>
      </c>
      <c r="AF14" s="31">
        <f t="shared" si="6"/>
        <v>579</v>
      </c>
    </row>
    <row r="15" spans="2:32" ht="23.1" customHeight="1" x14ac:dyDescent="0.25">
      <c r="B15" s="45" t="s">
        <v>42</v>
      </c>
      <c r="C15" s="50">
        <v>12</v>
      </c>
      <c r="D15" s="50">
        <v>5</v>
      </c>
      <c r="E15" s="50">
        <v>2</v>
      </c>
      <c r="F15" s="50">
        <v>13</v>
      </c>
      <c r="G15" s="50">
        <v>2</v>
      </c>
      <c r="H15" s="50">
        <v>0</v>
      </c>
      <c r="I15" s="50">
        <v>1</v>
      </c>
      <c r="J15" s="50">
        <v>2</v>
      </c>
      <c r="K15" s="50">
        <v>0</v>
      </c>
      <c r="L15" s="50">
        <v>1</v>
      </c>
      <c r="M15" s="50">
        <v>65</v>
      </c>
      <c r="N15" s="50">
        <v>0</v>
      </c>
      <c r="O15" s="15">
        <f t="shared" si="0"/>
        <v>38</v>
      </c>
      <c r="P15" s="15">
        <f t="shared" si="1"/>
        <v>103</v>
      </c>
      <c r="R15" s="1" t="s">
        <v>11</v>
      </c>
      <c r="S15" s="17">
        <f t="shared" ref="S15:AF15" si="7">SUM(C30:C33)</f>
        <v>71</v>
      </c>
      <c r="T15" s="17">
        <f t="shared" si="7"/>
        <v>26</v>
      </c>
      <c r="U15" s="17">
        <f t="shared" si="7"/>
        <v>18</v>
      </c>
      <c r="V15" s="17">
        <f t="shared" si="7"/>
        <v>71</v>
      </c>
      <c r="W15" s="17">
        <f t="shared" si="7"/>
        <v>3</v>
      </c>
      <c r="X15" s="17">
        <f t="shared" si="7"/>
        <v>1</v>
      </c>
      <c r="Y15" s="17">
        <f t="shared" si="7"/>
        <v>13</v>
      </c>
      <c r="Z15" s="17">
        <f t="shared" si="7"/>
        <v>5</v>
      </c>
      <c r="AA15" s="17">
        <f t="shared" si="7"/>
        <v>1</v>
      </c>
      <c r="AB15" s="17">
        <f t="shared" si="7"/>
        <v>3</v>
      </c>
      <c r="AC15" s="17">
        <f t="shared" si="7"/>
        <v>254</v>
      </c>
      <c r="AD15" s="17">
        <f t="shared" si="7"/>
        <v>0</v>
      </c>
      <c r="AE15" s="31">
        <f t="shared" si="7"/>
        <v>212</v>
      </c>
      <c r="AF15" s="31">
        <f t="shared" si="7"/>
        <v>466</v>
      </c>
    </row>
    <row r="16" spans="2:32" ht="23.1" customHeight="1" x14ac:dyDescent="0.25">
      <c r="B16" s="45" t="s">
        <v>43</v>
      </c>
      <c r="C16" s="50">
        <v>17</v>
      </c>
      <c r="D16" s="50">
        <v>1</v>
      </c>
      <c r="E16" s="50">
        <v>3</v>
      </c>
      <c r="F16" s="50">
        <v>25</v>
      </c>
      <c r="G16" s="50">
        <v>1</v>
      </c>
      <c r="H16" s="50">
        <v>0</v>
      </c>
      <c r="I16" s="50">
        <v>1</v>
      </c>
      <c r="J16" s="50">
        <v>2</v>
      </c>
      <c r="K16" s="50">
        <v>0</v>
      </c>
      <c r="L16" s="50">
        <v>0</v>
      </c>
      <c r="M16" s="50">
        <v>95</v>
      </c>
      <c r="N16" s="50">
        <v>0</v>
      </c>
      <c r="O16" s="15">
        <f t="shared" si="0"/>
        <v>50</v>
      </c>
      <c r="P16" s="15">
        <f t="shared" si="1"/>
        <v>145</v>
      </c>
      <c r="R16" s="1" t="s">
        <v>12</v>
      </c>
      <c r="S16" s="17">
        <f t="shared" ref="S16:AF16" si="8">SUM(C34:C37)</f>
        <v>134</v>
      </c>
      <c r="T16" s="17">
        <f t="shared" si="8"/>
        <v>27</v>
      </c>
      <c r="U16" s="17">
        <f t="shared" si="8"/>
        <v>22</v>
      </c>
      <c r="V16" s="17">
        <f t="shared" si="8"/>
        <v>105</v>
      </c>
      <c r="W16" s="17">
        <f t="shared" si="8"/>
        <v>2</v>
      </c>
      <c r="X16" s="17">
        <f t="shared" si="8"/>
        <v>1</v>
      </c>
      <c r="Y16" s="17">
        <f t="shared" si="8"/>
        <v>8</v>
      </c>
      <c r="Z16" s="17">
        <f t="shared" si="8"/>
        <v>17</v>
      </c>
      <c r="AA16" s="17">
        <f t="shared" si="8"/>
        <v>8</v>
      </c>
      <c r="AB16" s="17">
        <f t="shared" si="8"/>
        <v>8</v>
      </c>
      <c r="AC16" s="17">
        <f t="shared" si="8"/>
        <v>440</v>
      </c>
      <c r="AD16" s="17">
        <f t="shared" si="8"/>
        <v>0</v>
      </c>
      <c r="AE16" s="31">
        <f t="shared" si="8"/>
        <v>332</v>
      </c>
      <c r="AF16" s="31">
        <f t="shared" si="8"/>
        <v>772</v>
      </c>
    </row>
    <row r="17" spans="2:32" ht="23.1" customHeight="1" x14ac:dyDescent="0.25">
      <c r="B17" s="45" t="s">
        <v>44</v>
      </c>
      <c r="C17" s="50">
        <v>16</v>
      </c>
      <c r="D17" s="50">
        <v>5</v>
      </c>
      <c r="E17" s="50">
        <v>2</v>
      </c>
      <c r="F17" s="50">
        <v>14</v>
      </c>
      <c r="G17" s="50">
        <v>0</v>
      </c>
      <c r="H17" s="50">
        <v>6</v>
      </c>
      <c r="I17" s="50">
        <v>0</v>
      </c>
      <c r="J17" s="50">
        <v>1</v>
      </c>
      <c r="K17" s="50">
        <v>0</v>
      </c>
      <c r="L17" s="50">
        <v>1</v>
      </c>
      <c r="M17" s="50">
        <v>65</v>
      </c>
      <c r="N17" s="50">
        <v>0</v>
      </c>
      <c r="O17" s="15">
        <f t="shared" si="0"/>
        <v>45</v>
      </c>
      <c r="P17" s="15">
        <f t="shared" si="1"/>
        <v>110</v>
      </c>
      <c r="R17" s="1" t="s">
        <v>13</v>
      </c>
      <c r="S17" s="17">
        <f t="shared" ref="S17:AF17" si="9">SUM(C38:C41)</f>
        <v>305</v>
      </c>
      <c r="T17" s="17">
        <f t="shared" si="9"/>
        <v>43</v>
      </c>
      <c r="U17" s="17">
        <f t="shared" si="9"/>
        <v>24</v>
      </c>
      <c r="V17" s="17">
        <f t="shared" si="9"/>
        <v>97</v>
      </c>
      <c r="W17" s="17">
        <f t="shared" si="9"/>
        <v>2</v>
      </c>
      <c r="X17" s="17">
        <f t="shared" si="9"/>
        <v>0</v>
      </c>
      <c r="Y17" s="17">
        <f t="shared" si="9"/>
        <v>9</v>
      </c>
      <c r="Z17" s="17">
        <f t="shared" si="9"/>
        <v>12</v>
      </c>
      <c r="AA17" s="17">
        <f t="shared" si="9"/>
        <v>7</v>
      </c>
      <c r="AB17" s="17">
        <f t="shared" si="9"/>
        <v>2</v>
      </c>
      <c r="AC17" s="17">
        <f t="shared" si="9"/>
        <v>378</v>
      </c>
      <c r="AD17" s="17">
        <f t="shared" si="9"/>
        <v>0</v>
      </c>
      <c r="AE17" s="31">
        <f t="shared" si="9"/>
        <v>501</v>
      </c>
      <c r="AF17" s="31">
        <f t="shared" si="9"/>
        <v>879</v>
      </c>
    </row>
    <row r="18" spans="2:32" ht="23.1" customHeight="1" x14ac:dyDescent="0.25">
      <c r="B18" s="45" t="s">
        <v>45</v>
      </c>
      <c r="C18" s="50">
        <v>8</v>
      </c>
      <c r="D18" s="50">
        <v>2</v>
      </c>
      <c r="E18" s="50">
        <v>2</v>
      </c>
      <c r="F18" s="50">
        <v>18</v>
      </c>
      <c r="G18" s="50">
        <v>1</v>
      </c>
      <c r="H18" s="50">
        <v>1</v>
      </c>
      <c r="I18" s="50">
        <v>3</v>
      </c>
      <c r="J18" s="50">
        <v>5</v>
      </c>
      <c r="K18" s="50">
        <v>2</v>
      </c>
      <c r="L18" s="50">
        <v>3</v>
      </c>
      <c r="M18" s="50">
        <v>75</v>
      </c>
      <c r="N18" s="50">
        <v>0</v>
      </c>
      <c r="O18" s="15">
        <f t="shared" si="0"/>
        <v>45</v>
      </c>
      <c r="P18" s="15">
        <f t="shared" si="1"/>
        <v>120</v>
      </c>
      <c r="R18" s="1" t="s">
        <v>14</v>
      </c>
      <c r="S18" s="17">
        <f t="shared" ref="S18:AF18" si="10">SUM(C42:C45)</f>
        <v>155</v>
      </c>
      <c r="T18" s="17">
        <f t="shared" si="10"/>
        <v>43</v>
      </c>
      <c r="U18" s="17">
        <f t="shared" si="10"/>
        <v>28</v>
      </c>
      <c r="V18" s="17">
        <f t="shared" si="10"/>
        <v>62</v>
      </c>
      <c r="W18" s="17">
        <f t="shared" si="10"/>
        <v>0</v>
      </c>
      <c r="X18" s="17">
        <f t="shared" si="10"/>
        <v>0</v>
      </c>
      <c r="Y18" s="17">
        <f t="shared" si="10"/>
        <v>10</v>
      </c>
      <c r="Z18" s="17">
        <f t="shared" si="10"/>
        <v>8</v>
      </c>
      <c r="AA18" s="17">
        <f t="shared" si="10"/>
        <v>1</v>
      </c>
      <c r="AB18" s="17">
        <f t="shared" si="10"/>
        <v>2</v>
      </c>
      <c r="AC18" s="17">
        <f t="shared" si="10"/>
        <v>335</v>
      </c>
      <c r="AD18" s="17">
        <f t="shared" si="10"/>
        <v>0</v>
      </c>
      <c r="AE18" s="31">
        <f t="shared" si="10"/>
        <v>309</v>
      </c>
      <c r="AF18" s="31">
        <f t="shared" si="10"/>
        <v>644</v>
      </c>
    </row>
    <row r="19" spans="2:32" ht="23.1" customHeight="1" x14ac:dyDescent="0.25">
      <c r="B19" s="45" t="s">
        <v>46</v>
      </c>
      <c r="C19" s="50">
        <v>17</v>
      </c>
      <c r="D19" s="50">
        <v>5</v>
      </c>
      <c r="E19" s="50">
        <v>4</v>
      </c>
      <c r="F19" s="50">
        <v>30</v>
      </c>
      <c r="G19" s="50">
        <v>2</v>
      </c>
      <c r="H19" s="50">
        <v>0</v>
      </c>
      <c r="I19" s="50">
        <v>2</v>
      </c>
      <c r="J19" s="50">
        <v>0</v>
      </c>
      <c r="K19" s="50">
        <v>1</v>
      </c>
      <c r="L19" s="50">
        <v>0</v>
      </c>
      <c r="M19" s="50">
        <v>110</v>
      </c>
      <c r="N19" s="50">
        <v>0</v>
      </c>
      <c r="O19" s="15">
        <f t="shared" si="0"/>
        <v>61</v>
      </c>
      <c r="P19" s="15">
        <f t="shared" si="1"/>
        <v>171</v>
      </c>
      <c r="R19" s="1" t="s">
        <v>15</v>
      </c>
      <c r="S19" s="17">
        <f t="shared" ref="S19:AF19" si="11">SUM(C46:C49)</f>
        <v>266</v>
      </c>
      <c r="T19" s="17">
        <f t="shared" si="11"/>
        <v>35</v>
      </c>
      <c r="U19" s="17">
        <f t="shared" si="11"/>
        <v>35</v>
      </c>
      <c r="V19" s="17">
        <f t="shared" si="11"/>
        <v>53</v>
      </c>
      <c r="W19" s="17">
        <f t="shared" si="11"/>
        <v>2</v>
      </c>
      <c r="X19" s="17">
        <f t="shared" si="11"/>
        <v>0</v>
      </c>
      <c r="Y19" s="17">
        <f t="shared" si="11"/>
        <v>13</v>
      </c>
      <c r="Z19" s="17">
        <f t="shared" si="11"/>
        <v>11</v>
      </c>
      <c r="AA19" s="17">
        <f t="shared" si="11"/>
        <v>5</v>
      </c>
      <c r="AB19" s="17">
        <f t="shared" si="11"/>
        <v>2</v>
      </c>
      <c r="AC19" s="17">
        <f t="shared" si="11"/>
        <v>380</v>
      </c>
      <c r="AD19" s="17">
        <f t="shared" si="11"/>
        <v>0</v>
      </c>
      <c r="AE19" s="31">
        <f t="shared" si="11"/>
        <v>422</v>
      </c>
      <c r="AF19" s="31">
        <f t="shared" si="11"/>
        <v>802</v>
      </c>
    </row>
    <row r="20" spans="2:32" ht="23.1" customHeight="1" x14ac:dyDescent="0.25">
      <c r="B20" s="45" t="s">
        <v>47</v>
      </c>
      <c r="C20" s="50">
        <v>22</v>
      </c>
      <c r="D20" s="50">
        <v>3</v>
      </c>
      <c r="E20" s="50">
        <v>3</v>
      </c>
      <c r="F20" s="50">
        <v>11</v>
      </c>
      <c r="G20" s="50">
        <v>0</v>
      </c>
      <c r="H20" s="50">
        <v>1</v>
      </c>
      <c r="I20" s="50">
        <v>3</v>
      </c>
      <c r="J20" s="50">
        <v>1</v>
      </c>
      <c r="K20" s="50">
        <v>0</v>
      </c>
      <c r="L20" s="50">
        <v>1</v>
      </c>
      <c r="M20" s="50">
        <v>85</v>
      </c>
      <c r="N20" s="50">
        <v>0</v>
      </c>
      <c r="O20" s="15">
        <f t="shared" si="0"/>
        <v>45</v>
      </c>
      <c r="P20" s="15">
        <f t="shared" si="1"/>
        <v>130</v>
      </c>
      <c r="R20" s="1" t="s">
        <v>16</v>
      </c>
      <c r="S20" s="17">
        <f t="shared" ref="S20:AF20" si="12">SUM(C50:C53)</f>
        <v>310</v>
      </c>
      <c r="T20" s="17">
        <f t="shared" si="12"/>
        <v>40</v>
      </c>
      <c r="U20" s="17">
        <f t="shared" si="12"/>
        <v>23</v>
      </c>
      <c r="V20" s="17">
        <f t="shared" si="12"/>
        <v>73</v>
      </c>
      <c r="W20" s="17">
        <f t="shared" si="12"/>
        <v>1</v>
      </c>
      <c r="X20" s="17">
        <f t="shared" si="12"/>
        <v>0</v>
      </c>
      <c r="Y20" s="17">
        <f t="shared" si="12"/>
        <v>21</v>
      </c>
      <c r="Z20" s="17">
        <f t="shared" si="12"/>
        <v>12</v>
      </c>
      <c r="AA20" s="17">
        <f t="shared" si="12"/>
        <v>3</v>
      </c>
      <c r="AB20" s="17">
        <f t="shared" si="12"/>
        <v>5</v>
      </c>
      <c r="AC20" s="17">
        <f t="shared" si="12"/>
        <v>455</v>
      </c>
      <c r="AD20" s="17">
        <f t="shared" si="12"/>
        <v>0</v>
      </c>
      <c r="AE20" s="31">
        <f t="shared" si="12"/>
        <v>488</v>
      </c>
      <c r="AF20" s="31">
        <f t="shared" si="12"/>
        <v>943</v>
      </c>
    </row>
    <row r="21" spans="2:32" ht="23.1" customHeight="1" x14ac:dyDescent="0.25">
      <c r="B21" s="45" t="s">
        <v>48</v>
      </c>
      <c r="C21" s="50">
        <v>20</v>
      </c>
      <c r="D21" s="50">
        <v>3</v>
      </c>
      <c r="E21" s="50">
        <v>4</v>
      </c>
      <c r="F21" s="50">
        <v>19</v>
      </c>
      <c r="G21" s="50">
        <v>0</v>
      </c>
      <c r="H21" s="50">
        <v>0</v>
      </c>
      <c r="I21" s="50">
        <v>3</v>
      </c>
      <c r="J21" s="50">
        <v>3</v>
      </c>
      <c r="K21" s="50">
        <v>0</v>
      </c>
      <c r="L21" s="50">
        <v>0</v>
      </c>
      <c r="M21" s="50">
        <v>110</v>
      </c>
      <c r="N21" s="50">
        <v>0</v>
      </c>
      <c r="O21" s="15">
        <f t="shared" si="0"/>
        <v>52</v>
      </c>
      <c r="P21" s="15">
        <f t="shared" si="1"/>
        <v>162</v>
      </c>
      <c r="R21" s="36" t="s">
        <v>20</v>
      </c>
      <c r="S21" s="34">
        <f t="shared" ref="S21:AF21" si="13">SUM(C54:C57)</f>
        <v>340</v>
      </c>
      <c r="T21" s="17">
        <f t="shared" si="13"/>
        <v>34</v>
      </c>
      <c r="U21" s="17">
        <f t="shared" si="13"/>
        <v>27</v>
      </c>
      <c r="V21" s="17">
        <f t="shared" si="13"/>
        <v>80</v>
      </c>
      <c r="W21" s="17">
        <f t="shared" si="13"/>
        <v>2</v>
      </c>
      <c r="X21" s="17">
        <f t="shared" si="13"/>
        <v>0</v>
      </c>
      <c r="Y21" s="17">
        <f t="shared" si="13"/>
        <v>16</v>
      </c>
      <c r="Z21" s="17">
        <f t="shared" si="13"/>
        <v>12</v>
      </c>
      <c r="AA21" s="17">
        <f t="shared" si="13"/>
        <v>1</v>
      </c>
      <c r="AB21" s="17">
        <f t="shared" si="13"/>
        <v>9</v>
      </c>
      <c r="AC21" s="17">
        <f t="shared" si="13"/>
        <v>380</v>
      </c>
      <c r="AD21" s="17">
        <f t="shared" si="13"/>
        <v>0</v>
      </c>
      <c r="AE21" s="31">
        <f t="shared" si="13"/>
        <v>521</v>
      </c>
      <c r="AF21" s="31">
        <f t="shared" si="13"/>
        <v>901</v>
      </c>
    </row>
    <row r="22" spans="2:32" ht="23.1" customHeight="1" x14ac:dyDescent="0.25">
      <c r="B22" s="45" t="s">
        <v>49</v>
      </c>
      <c r="C22" s="50">
        <v>32</v>
      </c>
      <c r="D22" s="50">
        <v>7</v>
      </c>
      <c r="E22" s="50">
        <v>3</v>
      </c>
      <c r="F22" s="50">
        <v>21</v>
      </c>
      <c r="G22" s="50">
        <v>1</v>
      </c>
      <c r="H22" s="50">
        <v>0</v>
      </c>
      <c r="I22" s="50">
        <v>1</v>
      </c>
      <c r="J22" s="50">
        <v>3</v>
      </c>
      <c r="K22" s="50">
        <v>0</v>
      </c>
      <c r="L22" s="50">
        <v>0</v>
      </c>
      <c r="M22" s="50">
        <v>130</v>
      </c>
      <c r="N22" s="50">
        <v>0</v>
      </c>
      <c r="O22" s="15">
        <f t="shared" si="0"/>
        <v>68</v>
      </c>
      <c r="P22" s="15">
        <f t="shared" si="1"/>
        <v>198</v>
      </c>
      <c r="R22" s="36" t="s">
        <v>146</v>
      </c>
      <c r="S22" s="34">
        <f>SUM(C58:C61)</f>
        <v>176</v>
      </c>
      <c r="T22" s="34">
        <f t="shared" ref="T22:AF22" si="14">SUM(D58:D61)</f>
        <v>30</v>
      </c>
      <c r="U22" s="34">
        <f t="shared" si="14"/>
        <v>21</v>
      </c>
      <c r="V22" s="34">
        <f t="shared" si="14"/>
        <v>58</v>
      </c>
      <c r="W22" s="34">
        <f t="shared" si="14"/>
        <v>15</v>
      </c>
      <c r="X22" s="34">
        <f t="shared" si="14"/>
        <v>1</v>
      </c>
      <c r="Y22" s="34">
        <f t="shared" si="14"/>
        <v>11</v>
      </c>
      <c r="Z22" s="34">
        <f t="shared" si="14"/>
        <v>4</v>
      </c>
      <c r="AA22" s="34">
        <f t="shared" si="14"/>
        <v>0</v>
      </c>
      <c r="AB22" s="34">
        <f t="shared" si="14"/>
        <v>1</v>
      </c>
      <c r="AC22" s="34">
        <f t="shared" si="14"/>
        <v>328</v>
      </c>
      <c r="AD22" s="34">
        <f t="shared" si="14"/>
        <v>0</v>
      </c>
      <c r="AE22" s="31">
        <f t="shared" si="14"/>
        <v>317</v>
      </c>
      <c r="AF22" s="31">
        <f t="shared" si="14"/>
        <v>645</v>
      </c>
    </row>
    <row r="23" spans="2:32" ht="23.1" customHeight="1" x14ac:dyDescent="0.25">
      <c r="B23" s="45" t="s">
        <v>50</v>
      </c>
      <c r="C23" s="50">
        <v>30</v>
      </c>
      <c r="D23" s="50">
        <v>6</v>
      </c>
      <c r="E23" s="50">
        <v>5</v>
      </c>
      <c r="F23" s="50">
        <v>18</v>
      </c>
      <c r="G23" s="50">
        <v>0</v>
      </c>
      <c r="H23" s="50">
        <v>0</v>
      </c>
      <c r="I23" s="50">
        <v>3</v>
      </c>
      <c r="J23" s="50">
        <v>3</v>
      </c>
      <c r="K23" s="50">
        <v>1</v>
      </c>
      <c r="L23" s="50">
        <v>0</v>
      </c>
      <c r="M23" s="50">
        <v>115</v>
      </c>
      <c r="N23" s="50">
        <v>0</v>
      </c>
      <c r="O23" s="15">
        <f t="shared" si="0"/>
        <v>66</v>
      </c>
      <c r="P23" s="15">
        <f t="shared" si="1"/>
        <v>181</v>
      </c>
      <c r="R23" s="36" t="s">
        <v>147</v>
      </c>
      <c r="S23" s="34">
        <f>SUM(C62:C65)</f>
        <v>249</v>
      </c>
      <c r="T23" s="34">
        <f t="shared" ref="T23:AF23" si="15">SUM(D62:D65)</f>
        <v>29</v>
      </c>
      <c r="U23" s="34">
        <f t="shared" si="15"/>
        <v>21</v>
      </c>
      <c r="V23" s="34">
        <f t="shared" si="15"/>
        <v>86</v>
      </c>
      <c r="W23" s="34">
        <f t="shared" si="15"/>
        <v>3</v>
      </c>
      <c r="X23" s="34">
        <f t="shared" si="15"/>
        <v>0</v>
      </c>
      <c r="Y23" s="34">
        <f t="shared" si="15"/>
        <v>13</v>
      </c>
      <c r="Z23" s="34">
        <f t="shared" si="15"/>
        <v>11</v>
      </c>
      <c r="AA23" s="34">
        <f t="shared" si="15"/>
        <v>3</v>
      </c>
      <c r="AB23" s="34">
        <f t="shared" si="15"/>
        <v>0</v>
      </c>
      <c r="AC23" s="34">
        <f t="shared" si="15"/>
        <v>326</v>
      </c>
      <c r="AD23" s="34">
        <f t="shared" si="15"/>
        <v>0</v>
      </c>
      <c r="AE23" s="31">
        <f t="shared" si="15"/>
        <v>415</v>
      </c>
      <c r="AF23" s="31">
        <f t="shared" si="15"/>
        <v>741</v>
      </c>
    </row>
    <row r="24" spans="2:32" ht="23.1" customHeight="1" x14ac:dyDescent="0.25">
      <c r="B24" s="45" t="s">
        <v>51</v>
      </c>
      <c r="C24" s="50">
        <v>32</v>
      </c>
      <c r="D24" s="50">
        <v>8</v>
      </c>
      <c r="E24" s="50">
        <v>7</v>
      </c>
      <c r="F24" s="50">
        <v>15</v>
      </c>
      <c r="G24" s="50">
        <v>0</v>
      </c>
      <c r="H24" s="50">
        <v>1</v>
      </c>
      <c r="I24" s="50">
        <v>5</v>
      </c>
      <c r="J24" s="50">
        <v>2</v>
      </c>
      <c r="K24" s="50">
        <v>1</v>
      </c>
      <c r="L24" s="50">
        <v>1</v>
      </c>
      <c r="M24" s="50">
        <v>105</v>
      </c>
      <c r="N24" s="50">
        <v>0</v>
      </c>
      <c r="O24" s="15">
        <f t="shared" si="0"/>
        <v>72</v>
      </c>
      <c r="P24" s="15">
        <f t="shared" si="1"/>
        <v>177</v>
      </c>
      <c r="R24" s="36" t="s">
        <v>148</v>
      </c>
      <c r="S24" s="34">
        <f>SUM(C66:C69)</f>
        <v>255</v>
      </c>
      <c r="T24" s="34">
        <f t="shared" ref="T24:AF24" si="16">SUM(D66:D69)</f>
        <v>29</v>
      </c>
      <c r="U24" s="34">
        <f t="shared" si="16"/>
        <v>22</v>
      </c>
      <c r="V24" s="34">
        <f t="shared" si="16"/>
        <v>80</v>
      </c>
      <c r="W24" s="34">
        <f t="shared" si="16"/>
        <v>1</v>
      </c>
      <c r="X24" s="34">
        <f t="shared" si="16"/>
        <v>0</v>
      </c>
      <c r="Y24" s="34">
        <f t="shared" si="16"/>
        <v>20</v>
      </c>
      <c r="Z24" s="34">
        <f t="shared" si="16"/>
        <v>0</v>
      </c>
      <c r="AA24" s="34">
        <f t="shared" si="16"/>
        <v>2</v>
      </c>
      <c r="AB24" s="34">
        <f t="shared" si="16"/>
        <v>1</v>
      </c>
      <c r="AC24" s="34">
        <f t="shared" si="16"/>
        <v>278</v>
      </c>
      <c r="AD24" s="34">
        <f t="shared" si="16"/>
        <v>0</v>
      </c>
      <c r="AE24" s="31">
        <f t="shared" si="16"/>
        <v>410</v>
      </c>
      <c r="AF24" s="31">
        <f t="shared" si="16"/>
        <v>688</v>
      </c>
    </row>
    <row r="25" spans="2:32" ht="23.1" customHeight="1" x14ac:dyDescent="0.25">
      <c r="B25" s="45" t="s">
        <v>52</v>
      </c>
      <c r="C25" s="50">
        <v>30</v>
      </c>
      <c r="D25" s="50">
        <v>5</v>
      </c>
      <c r="E25" s="50">
        <v>5</v>
      </c>
      <c r="F25" s="50">
        <v>13</v>
      </c>
      <c r="G25" s="50">
        <v>0</v>
      </c>
      <c r="H25" s="50">
        <v>0</v>
      </c>
      <c r="I25" s="50">
        <v>1</v>
      </c>
      <c r="J25" s="50">
        <v>2</v>
      </c>
      <c r="K25" s="50">
        <v>2</v>
      </c>
      <c r="L25" s="50">
        <v>2</v>
      </c>
      <c r="M25" s="50">
        <v>110</v>
      </c>
      <c r="N25" s="50">
        <v>0</v>
      </c>
      <c r="O25" s="15">
        <f t="shared" si="0"/>
        <v>60</v>
      </c>
      <c r="P25" s="15">
        <f t="shared" si="1"/>
        <v>170</v>
      </c>
      <c r="R25" s="36" t="s">
        <v>149</v>
      </c>
      <c r="S25" s="34">
        <f>SUM(C70:C73)</f>
        <v>248</v>
      </c>
      <c r="T25" s="34">
        <f t="shared" ref="T25:AF25" si="17">SUM(D70:D73)</f>
        <v>29</v>
      </c>
      <c r="U25" s="34">
        <f t="shared" si="17"/>
        <v>35</v>
      </c>
      <c r="V25" s="34">
        <f t="shared" si="17"/>
        <v>64</v>
      </c>
      <c r="W25" s="34">
        <f t="shared" si="17"/>
        <v>2</v>
      </c>
      <c r="X25" s="34">
        <f t="shared" si="17"/>
        <v>0</v>
      </c>
      <c r="Y25" s="34">
        <f t="shared" si="17"/>
        <v>20</v>
      </c>
      <c r="Z25" s="34">
        <f t="shared" si="17"/>
        <v>3</v>
      </c>
      <c r="AA25" s="34">
        <f t="shared" si="17"/>
        <v>0</v>
      </c>
      <c r="AB25" s="34">
        <f t="shared" si="17"/>
        <v>0</v>
      </c>
      <c r="AC25" s="34">
        <f t="shared" si="17"/>
        <v>193</v>
      </c>
      <c r="AD25" s="34">
        <f t="shared" si="17"/>
        <v>0</v>
      </c>
      <c r="AE25" s="31">
        <f t="shared" si="17"/>
        <v>401</v>
      </c>
      <c r="AF25" s="31">
        <f t="shared" si="17"/>
        <v>594</v>
      </c>
    </row>
    <row r="26" spans="2:32" ht="23.1" customHeight="1" x14ac:dyDescent="0.25">
      <c r="B26" s="45" t="s">
        <v>53</v>
      </c>
      <c r="C26" s="50">
        <v>20</v>
      </c>
      <c r="D26" s="50">
        <v>6</v>
      </c>
      <c r="E26" s="50">
        <v>5</v>
      </c>
      <c r="F26" s="50">
        <v>12</v>
      </c>
      <c r="G26" s="50">
        <v>1</v>
      </c>
      <c r="H26" s="50">
        <v>0</v>
      </c>
      <c r="I26" s="50">
        <v>0</v>
      </c>
      <c r="J26" s="50">
        <v>2</v>
      </c>
      <c r="K26" s="50">
        <v>0</v>
      </c>
      <c r="L26" s="50">
        <v>0</v>
      </c>
      <c r="M26" s="50">
        <v>135</v>
      </c>
      <c r="N26" s="50">
        <v>0</v>
      </c>
      <c r="O26" s="15">
        <f t="shared" si="0"/>
        <v>46</v>
      </c>
      <c r="P26" s="15">
        <f t="shared" si="1"/>
        <v>181</v>
      </c>
      <c r="R26" s="36" t="s">
        <v>150</v>
      </c>
      <c r="S26" s="34">
        <f>SUM(C74:C77)</f>
        <v>142</v>
      </c>
      <c r="T26" s="34">
        <f t="shared" ref="T26:AF26" si="18">SUM(D74:D77)</f>
        <v>23</v>
      </c>
      <c r="U26" s="34">
        <f t="shared" si="18"/>
        <v>10</v>
      </c>
      <c r="V26" s="34">
        <f t="shared" si="18"/>
        <v>33</v>
      </c>
      <c r="W26" s="34">
        <f t="shared" si="18"/>
        <v>3</v>
      </c>
      <c r="X26" s="34">
        <f t="shared" si="18"/>
        <v>1</v>
      </c>
      <c r="Y26" s="34">
        <f t="shared" si="18"/>
        <v>5</v>
      </c>
      <c r="Z26" s="34">
        <f t="shared" si="18"/>
        <v>1</v>
      </c>
      <c r="AA26" s="34">
        <f t="shared" si="18"/>
        <v>1</v>
      </c>
      <c r="AB26" s="34">
        <f t="shared" si="18"/>
        <v>0</v>
      </c>
      <c r="AC26" s="34">
        <f t="shared" si="18"/>
        <v>231</v>
      </c>
      <c r="AD26" s="34">
        <f t="shared" si="18"/>
        <v>0</v>
      </c>
      <c r="AE26" s="31">
        <f t="shared" si="18"/>
        <v>219</v>
      </c>
      <c r="AF26" s="31">
        <f t="shared" si="18"/>
        <v>450</v>
      </c>
    </row>
    <row r="27" spans="2:32" ht="23.1" customHeight="1" x14ac:dyDescent="0.25">
      <c r="B27" s="45" t="s">
        <v>54</v>
      </c>
      <c r="C27" s="50">
        <v>19</v>
      </c>
      <c r="D27" s="50">
        <v>4</v>
      </c>
      <c r="E27" s="50">
        <v>6</v>
      </c>
      <c r="F27" s="50">
        <v>15</v>
      </c>
      <c r="G27" s="50">
        <v>1</v>
      </c>
      <c r="H27" s="50">
        <v>1</v>
      </c>
      <c r="I27" s="50">
        <v>4</v>
      </c>
      <c r="J27" s="50">
        <v>3</v>
      </c>
      <c r="K27" s="50">
        <v>0</v>
      </c>
      <c r="L27" s="50">
        <v>0</v>
      </c>
      <c r="M27" s="50">
        <v>100</v>
      </c>
      <c r="N27" s="50">
        <v>0</v>
      </c>
      <c r="O27" s="15">
        <f t="shared" si="0"/>
        <v>53</v>
      </c>
      <c r="P27" s="15">
        <f t="shared" si="1"/>
        <v>153</v>
      </c>
      <c r="R27" s="36" t="s">
        <v>151</v>
      </c>
      <c r="S27" s="34">
        <f>SUM(C78:C81)</f>
        <v>10</v>
      </c>
      <c r="T27" s="34">
        <f t="shared" ref="T27:AF27" si="19">SUM(D78:D81)</f>
        <v>4</v>
      </c>
      <c r="U27" s="34">
        <f t="shared" si="19"/>
        <v>4</v>
      </c>
      <c r="V27" s="34">
        <f t="shared" si="19"/>
        <v>2</v>
      </c>
      <c r="W27" s="34">
        <f t="shared" si="19"/>
        <v>0</v>
      </c>
      <c r="X27" s="34">
        <f t="shared" si="19"/>
        <v>0</v>
      </c>
      <c r="Y27" s="34">
        <f t="shared" si="19"/>
        <v>1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54</v>
      </c>
      <c r="AD27" s="34">
        <f t="shared" si="19"/>
        <v>0</v>
      </c>
      <c r="AE27" s="31">
        <f t="shared" si="19"/>
        <v>21</v>
      </c>
      <c r="AF27" s="31">
        <f t="shared" si="19"/>
        <v>75</v>
      </c>
    </row>
    <row r="28" spans="2:32" ht="23.1" customHeight="1" x14ac:dyDescent="0.25">
      <c r="B28" s="45" t="s">
        <v>55</v>
      </c>
      <c r="C28" s="50">
        <v>28</v>
      </c>
      <c r="D28" s="50">
        <v>10</v>
      </c>
      <c r="E28" s="50">
        <v>4</v>
      </c>
      <c r="F28" s="50">
        <v>17</v>
      </c>
      <c r="G28" s="50">
        <v>0</v>
      </c>
      <c r="H28" s="50">
        <v>0</v>
      </c>
      <c r="I28" s="50">
        <v>3</v>
      </c>
      <c r="J28" s="50">
        <v>2</v>
      </c>
      <c r="K28" s="50">
        <v>7</v>
      </c>
      <c r="L28" s="50">
        <v>0</v>
      </c>
      <c r="M28" s="50">
        <v>70</v>
      </c>
      <c r="N28" s="50">
        <v>0</v>
      </c>
      <c r="O28" s="15">
        <f t="shared" si="0"/>
        <v>71</v>
      </c>
      <c r="P28" s="15">
        <f t="shared" si="1"/>
        <v>141</v>
      </c>
      <c r="R28" s="36" t="s">
        <v>152</v>
      </c>
      <c r="S28" s="34">
        <f>SUM(C82:C85)</f>
        <v>14</v>
      </c>
      <c r="T28" s="34">
        <f t="shared" ref="T28:AF28" si="20">SUM(D82:D85)</f>
        <v>3</v>
      </c>
      <c r="U28" s="34">
        <f t="shared" si="20"/>
        <v>2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1</v>
      </c>
      <c r="Z28" s="34">
        <f t="shared" si="20"/>
        <v>1</v>
      </c>
      <c r="AA28" s="34">
        <f t="shared" si="20"/>
        <v>0</v>
      </c>
      <c r="AB28" s="34">
        <f t="shared" si="20"/>
        <v>0</v>
      </c>
      <c r="AC28" s="34">
        <f t="shared" si="20"/>
        <v>24</v>
      </c>
      <c r="AD28" s="34">
        <f t="shared" si="20"/>
        <v>0</v>
      </c>
      <c r="AE28" s="31">
        <f t="shared" si="20"/>
        <v>22</v>
      </c>
      <c r="AF28" s="31">
        <f t="shared" si="20"/>
        <v>46</v>
      </c>
    </row>
    <row r="29" spans="2:32" ht="23.1" customHeight="1" x14ac:dyDescent="0.25">
      <c r="B29" s="45" t="s">
        <v>56</v>
      </c>
      <c r="C29" s="50">
        <v>12</v>
      </c>
      <c r="D29" s="50">
        <v>8</v>
      </c>
      <c r="E29" s="50">
        <v>5</v>
      </c>
      <c r="F29" s="50">
        <v>13</v>
      </c>
      <c r="G29" s="50">
        <v>1</v>
      </c>
      <c r="H29" s="50">
        <v>0</v>
      </c>
      <c r="I29" s="50">
        <v>4</v>
      </c>
      <c r="J29" s="50">
        <v>1</v>
      </c>
      <c r="K29" s="50">
        <v>4</v>
      </c>
      <c r="L29" s="50">
        <v>1</v>
      </c>
      <c r="M29" s="50">
        <v>55</v>
      </c>
      <c r="N29" s="50">
        <v>0</v>
      </c>
      <c r="O29" s="15">
        <f t="shared" si="0"/>
        <v>49</v>
      </c>
      <c r="P29" s="15">
        <f t="shared" si="1"/>
        <v>104</v>
      </c>
      <c r="R29" s="36" t="s">
        <v>153</v>
      </c>
      <c r="S29" s="34">
        <f>SUM(C86:C89)</f>
        <v>10</v>
      </c>
      <c r="T29" s="34">
        <f t="shared" ref="T29:AF29" si="21">SUM(D86:D89)</f>
        <v>7</v>
      </c>
      <c r="U29" s="34">
        <f t="shared" si="21"/>
        <v>3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25</v>
      </c>
      <c r="AD29" s="34">
        <f t="shared" si="21"/>
        <v>0</v>
      </c>
      <c r="AE29" s="31">
        <f t="shared" si="21"/>
        <v>21</v>
      </c>
      <c r="AF29" s="31">
        <f t="shared" si="21"/>
        <v>46</v>
      </c>
    </row>
    <row r="30" spans="2:32" ht="23.1" customHeight="1" x14ac:dyDescent="0.25">
      <c r="B30" s="45" t="s">
        <v>57</v>
      </c>
      <c r="C30" s="50">
        <v>13</v>
      </c>
      <c r="D30" s="50">
        <v>4</v>
      </c>
      <c r="E30" s="50">
        <v>3</v>
      </c>
      <c r="F30" s="50">
        <v>16</v>
      </c>
      <c r="G30" s="50">
        <v>0</v>
      </c>
      <c r="H30" s="50">
        <v>1</v>
      </c>
      <c r="I30" s="50">
        <v>3</v>
      </c>
      <c r="J30" s="50">
        <v>0</v>
      </c>
      <c r="K30" s="50">
        <v>0</v>
      </c>
      <c r="L30" s="50">
        <v>0</v>
      </c>
      <c r="M30" s="50">
        <v>67</v>
      </c>
      <c r="N30" s="50">
        <v>0</v>
      </c>
      <c r="O30" s="15">
        <f t="shared" si="0"/>
        <v>40</v>
      </c>
      <c r="P30" s="15">
        <f t="shared" si="1"/>
        <v>107</v>
      </c>
      <c r="R30" s="36" t="s">
        <v>154</v>
      </c>
      <c r="S30" s="34">
        <f>SUM(C90:C93)</f>
        <v>36</v>
      </c>
      <c r="T30" s="34">
        <f t="shared" ref="T30:AF30" si="22">SUM(D90:D93)</f>
        <v>4</v>
      </c>
      <c r="U30" s="34">
        <f t="shared" si="22"/>
        <v>2</v>
      </c>
      <c r="V30" s="34">
        <f t="shared" si="22"/>
        <v>4</v>
      </c>
      <c r="W30" s="34">
        <f t="shared" si="22"/>
        <v>0</v>
      </c>
      <c r="X30" s="34">
        <f t="shared" si="22"/>
        <v>0</v>
      </c>
      <c r="Y30" s="34">
        <f t="shared" si="22"/>
        <v>3</v>
      </c>
      <c r="Z30" s="34">
        <f t="shared" si="22"/>
        <v>2</v>
      </c>
      <c r="AA30" s="34">
        <f t="shared" si="22"/>
        <v>2</v>
      </c>
      <c r="AB30" s="34">
        <f t="shared" si="22"/>
        <v>1</v>
      </c>
      <c r="AC30" s="34">
        <f t="shared" si="22"/>
        <v>134</v>
      </c>
      <c r="AD30" s="34">
        <f t="shared" si="22"/>
        <v>0</v>
      </c>
      <c r="AE30" s="31">
        <f t="shared" si="22"/>
        <v>54</v>
      </c>
      <c r="AF30" s="31">
        <f t="shared" si="22"/>
        <v>188</v>
      </c>
    </row>
    <row r="31" spans="2:32" ht="23.1" customHeight="1" x14ac:dyDescent="0.25">
      <c r="B31" s="46" t="s">
        <v>58</v>
      </c>
      <c r="C31" s="50">
        <v>18</v>
      </c>
      <c r="D31" s="50">
        <v>7</v>
      </c>
      <c r="E31" s="50">
        <v>6</v>
      </c>
      <c r="F31" s="50">
        <v>12</v>
      </c>
      <c r="G31" s="50">
        <v>1</v>
      </c>
      <c r="H31" s="50">
        <v>0</v>
      </c>
      <c r="I31" s="50">
        <v>2</v>
      </c>
      <c r="J31" s="50">
        <v>2</v>
      </c>
      <c r="K31" s="50">
        <v>0</v>
      </c>
      <c r="L31" s="50">
        <v>1</v>
      </c>
      <c r="M31" s="50">
        <v>55</v>
      </c>
      <c r="N31" s="50">
        <v>0</v>
      </c>
      <c r="O31" s="15">
        <f t="shared" si="0"/>
        <v>49</v>
      </c>
      <c r="P31" s="15">
        <f t="shared" si="1"/>
        <v>104</v>
      </c>
      <c r="R31" s="36" t="s">
        <v>155</v>
      </c>
      <c r="S31" s="34">
        <f>SUM(C94:C97)</f>
        <v>41</v>
      </c>
      <c r="T31" s="34">
        <f t="shared" ref="T31:AF31" si="23">SUM(D94:D97)</f>
        <v>2</v>
      </c>
      <c r="U31" s="34">
        <f t="shared" si="23"/>
        <v>3</v>
      </c>
      <c r="V31" s="34">
        <f t="shared" si="23"/>
        <v>1</v>
      </c>
      <c r="W31" s="34">
        <f t="shared" si="23"/>
        <v>0</v>
      </c>
      <c r="X31" s="34">
        <f t="shared" si="23"/>
        <v>0</v>
      </c>
      <c r="Y31" s="34">
        <f t="shared" si="23"/>
        <v>7</v>
      </c>
      <c r="Z31" s="34">
        <f t="shared" si="23"/>
        <v>2</v>
      </c>
      <c r="AA31" s="34">
        <f t="shared" si="23"/>
        <v>0</v>
      </c>
      <c r="AB31" s="34">
        <f t="shared" si="23"/>
        <v>0</v>
      </c>
      <c r="AC31" s="34">
        <f t="shared" si="23"/>
        <v>128</v>
      </c>
      <c r="AD31" s="34">
        <f t="shared" si="23"/>
        <v>0</v>
      </c>
      <c r="AE31" s="31">
        <f t="shared" si="23"/>
        <v>56</v>
      </c>
      <c r="AF31" s="31">
        <f t="shared" si="23"/>
        <v>184</v>
      </c>
    </row>
    <row r="32" spans="2:32" ht="23.1" customHeight="1" x14ac:dyDescent="0.25">
      <c r="B32" s="46" t="s">
        <v>59</v>
      </c>
      <c r="C32" s="50">
        <v>15</v>
      </c>
      <c r="D32" s="50">
        <v>6</v>
      </c>
      <c r="E32" s="50">
        <v>4</v>
      </c>
      <c r="F32" s="50">
        <v>19</v>
      </c>
      <c r="G32" s="50">
        <v>0</v>
      </c>
      <c r="H32" s="50">
        <v>0</v>
      </c>
      <c r="I32" s="50">
        <v>5</v>
      </c>
      <c r="J32" s="50">
        <v>2</v>
      </c>
      <c r="K32" s="50">
        <v>0</v>
      </c>
      <c r="L32" s="50">
        <v>1</v>
      </c>
      <c r="M32" s="50">
        <v>65</v>
      </c>
      <c r="N32" s="50">
        <v>0</v>
      </c>
      <c r="O32" s="15">
        <f t="shared" si="0"/>
        <v>52</v>
      </c>
      <c r="P32" s="15">
        <f t="shared" si="1"/>
        <v>117</v>
      </c>
      <c r="R32" s="33" t="s">
        <v>156</v>
      </c>
      <c r="S32" s="34">
        <f>SUM(C98:C101)</f>
        <v>19</v>
      </c>
      <c r="T32" s="34">
        <f t="shared" ref="T32:AF32" si="24">SUM(D98:D101)</f>
        <v>4</v>
      </c>
      <c r="U32" s="34">
        <f t="shared" si="24"/>
        <v>35</v>
      </c>
      <c r="V32" s="34">
        <f t="shared" si="24"/>
        <v>3</v>
      </c>
      <c r="W32" s="34">
        <f t="shared" si="24"/>
        <v>0</v>
      </c>
      <c r="X32" s="34">
        <f t="shared" si="24"/>
        <v>2</v>
      </c>
      <c r="Y32" s="34">
        <f t="shared" si="24"/>
        <v>2</v>
      </c>
      <c r="Z32" s="34">
        <f t="shared" si="24"/>
        <v>2</v>
      </c>
      <c r="AA32" s="34">
        <f t="shared" si="24"/>
        <v>1</v>
      </c>
      <c r="AB32" s="34">
        <f t="shared" si="24"/>
        <v>0</v>
      </c>
      <c r="AC32" s="34">
        <f t="shared" si="24"/>
        <v>163</v>
      </c>
      <c r="AD32" s="34">
        <f t="shared" si="24"/>
        <v>0</v>
      </c>
      <c r="AE32" s="31">
        <f t="shared" si="24"/>
        <v>68</v>
      </c>
      <c r="AF32" s="31">
        <f t="shared" si="24"/>
        <v>231</v>
      </c>
    </row>
    <row r="33" spans="2:32" ht="23.1" customHeight="1" x14ac:dyDescent="0.25">
      <c r="B33" s="45" t="s">
        <v>60</v>
      </c>
      <c r="C33" s="50">
        <v>25</v>
      </c>
      <c r="D33" s="50">
        <v>9</v>
      </c>
      <c r="E33" s="50">
        <v>5</v>
      </c>
      <c r="F33" s="50">
        <v>24</v>
      </c>
      <c r="G33" s="50">
        <v>2</v>
      </c>
      <c r="H33" s="50">
        <v>0</v>
      </c>
      <c r="I33" s="50">
        <v>3</v>
      </c>
      <c r="J33" s="50">
        <v>1</v>
      </c>
      <c r="K33" s="50">
        <v>1</v>
      </c>
      <c r="L33" s="50">
        <v>1</v>
      </c>
      <c r="M33" s="50">
        <v>67</v>
      </c>
      <c r="N33" s="50">
        <v>0</v>
      </c>
      <c r="O33" s="15">
        <f t="shared" si="0"/>
        <v>71</v>
      </c>
      <c r="P33" s="15">
        <f t="shared" si="1"/>
        <v>138</v>
      </c>
      <c r="R33" s="33" t="s">
        <v>157</v>
      </c>
      <c r="S33" s="34">
        <f>SUM(C102:C105)</f>
        <v>30</v>
      </c>
      <c r="T33" s="34">
        <f t="shared" ref="T33:AF33" si="25">SUM(D102:D105)</f>
        <v>4</v>
      </c>
      <c r="U33" s="34">
        <f t="shared" si="25"/>
        <v>4</v>
      </c>
      <c r="V33" s="34">
        <f t="shared" si="25"/>
        <v>12</v>
      </c>
      <c r="W33" s="34">
        <f t="shared" si="25"/>
        <v>0</v>
      </c>
      <c r="X33" s="34">
        <f t="shared" si="25"/>
        <v>4</v>
      </c>
      <c r="Y33" s="34">
        <f t="shared" si="25"/>
        <v>6</v>
      </c>
      <c r="Z33" s="34">
        <f t="shared" si="25"/>
        <v>6</v>
      </c>
      <c r="AA33" s="34">
        <f t="shared" si="25"/>
        <v>2</v>
      </c>
      <c r="AB33" s="34">
        <f t="shared" si="25"/>
        <v>0</v>
      </c>
      <c r="AC33" s="34">
        <f t="shared" si="25"/>
        <v>215</v>
      </c>
      <c r="AD33" s="34">
        <f t="shared" si="25"/>
        <v>0</v>
      </c>
      <c r="AE33" s="31">
        <f t="shared" si="25"/>
        <v>68</v>
      </c>
      <c r="AF33" s="31">
        <f t="shared" si="25"/>
        <v>283</v>
      </c>
    </row>
    <row r="34" spans="2:32" ht="23.1" customHeight="1" x14ac:dyDescent="0.25">
      <c r="B34" s="46" t="s">
        <v>61</v>
      </c>
      <c r="C34" s="50">
        <v>28</v>
      </c>
      <c r="D34" s="50">
        <v>7</v>
      </c>
      <c r="E34" s="50">
        <v>5</v>
      </c>
      <c r="F34" s="50">
        <v>21</v>
      </c>
      <c r="G34" s="50">
        <v>0</v>
      </c>
      <c r="H34" s="50">
        <v>1</v>
      </c>
      <c r="I34" s="50">
        <v>3</v>
      </c>
      <c r="J34" s="50">
        <v>4</v>
      </c>
      <c r="K34" s="50">
        <v>3</v>
      </c>
      <c r="L34" s="50">
        <v>3</v>
      </c>
      <c r="M34" s="50">
        <v>105</v>
      </c>
      <c r="N34" s="50">
        <v>0</v>
      </c>
      <c r="O34" s="15">
        <f t="shared" si="0"/>
        <v>75</v>
      </c>
      <c r="P34" s="15">
        <f t="shared" si="1"/>
        <v>180</v>
      </c>
      <c r="R34" s="38" t="s">
        <v>90</v>
      </c>
      <c r="S34" s="39">
        <f t="shared" ref="S34:AF34" si="26">MAX(S10:S12)</f>
        <v>67</v>
      </c>
      <c r="T34" s="39">
        <f t="shared" si="26"/>
        <v>13</v>
      </c>
      <c r="U34" s="39">
        <f t="shared" si="26"/>
        <v>13</v>
      </c>
      <c r="V34" s="39">
        <f t="shared" si="26"/>
        <v>78</v>
      </c>
      <c r="W34" s="39">
        <f t="shared" si="26"/>
        <v>3</v>
      </c>
      <c r="X34" s="39">
        <f t="shared" si="26"/>
        <v>7</v>
      </c>
      <c r="Y34" s="39">
        <f t="shared" si="26"/>
        <v>11</v>
      </c>
      <c r="Z34" s="39">
        <f t="shared" si="26"/>
        <v>9</v>
      </c>
      <c r="AA34" s="39">
        <f t="shared" si="26"/>
        <v>3</v>
      </c>
      <c r="AB34" s="39">
        <f t="shared" si="26"/>
        <v>4</v>
      </c>
      <c r="AC34" s="39">
        <f t="shared" si="26"/>
        <v>380</v>
      </c>
      <c r="AD34" s="39">
        <f t="shared" si="26"/>
        <v>0</v>
      </c>
      <c r="AE34" s="40">
        <f t="shared" si="26"/>
        <v>203</v>
      </c>
      <c r="AF34" s="40">
        <f t="shared" si="26"/>
        <v>583</v>
      </c>
    </row>
    <row r="35" spans="2:32" ht="23.1" customHeight="1" x14ac:dyDescent="0.25">
      <c r="B35" s="46" t="s">
        <v>62</v>
      </c>
      <c r="C35" s="50">
        <v>34</v>
      </c>
      <c r="D35" s="50">
        <v>5</v>
      </c>
      <c r="E35" s="50">
        <v>6</v>
      </c>
      <c r="F35" s="50">
        <v>33</v>
      </c>
      <c r="G35" s="50">
        <v>2</v>
      </c>
      <c r="H35" s="50">
        <v>0</v>
      </c>
      <c r="I35" s="50">
        <v>2</v>
      </c>
      <c r="J35" s="50">
        <v>3</v>
      </c>
      <c r="K35" s="50">
        <v>4</v>
      </c>
      <c r="L35" s="50">
        <v>2</v>
      </c>
      <c r="M35" s="50">
        <v>115</v>
      </c>
      <c r="N35" s="50">
        <v>0</v>
      </c>
      <c r="O35" s="15">
        <f t="shared" si="0"/>
        <v>91</v>
      </c>
      <c r="P35" s="15">
        <f t="shared" si="1"/>
        <v>206</v>
      </c>
      <c r="R35" s="38" t="s">
        <v>91</v>
      </c>
      <c r="S35" s="39">
        <f t="shared" ref="S35:AF35" si="27">MAX(S13:S18)</f>
        <v>305</v>
      </c>
      <c r="T35" s="39">
        <f t="shared" si="27"/>
        <v>43</v>
      </c>
      <c r="U35" s="39">
        <f t="shared" si="27"/>
        <v>28</v>
      </c>
      <c r="V35" s="39">
        <f t="shared" si="27"/>
        <v>105</v>
      </c>
      <c r="W35" s="39">
        <f t="shared" si="27"/>
        <v>3</v>
      </c>
      <c r="X35" s="39">
        <f t="shared" si="27"/>
        <v>1</v>
      </c>
      <c r="Y35" s="39">
        <f t="shared" si="27"/>
        <v>13</v>
      </c>
      <c r="Z35" s="39">
        <f t="shared" si="27"/>
        <v>17</v>
      </c>
      <c r="AA35" s="39">
        <f t="shared" si="27"/>
        <v>11</v>
      </c>
      <c r="AB35" s="39">
        <f t="shared" si="27"/>
        <v>8</v>
      </c>
      <c r="AC35" s="39">
        <f t="shared" si="27"/>
        <v>460</v>
      </c>
      <c r="AD35" s="39">
        <f t="shared" si="27"/>
        <v>0</v>
      </c>
      <c r="AE35" s="40">
        <f t="shared" si="27"/>
        <v>501</v>
      </c>
      <c r="AF35" s="40">
        <f t="shared" si="27"/>
        <v>879</v>
      </c>
    </row>
    <row r="36" spans="2:32" ht="23.1" customHeight="1" x14ac:dyDescent="0.25">
      <c r="B36" s="46" t="s">
        <v>63</v>
      </c>
      <c r="C36" s="50">
        <v>43</v>
      </c>
      <c r="D36" s="50">
        <v>6</v>
      </c>
      <c r="E36" s="50">
        <v>2</v>
      </c>
      <c r="F36" s="50">
        <v>23</v>
      </c>
      <c r="G36" s="50">
        <v>0</v>
      </c>
      <c r="H36" s="50">
        <v>0</v>
      </c>
      <c r="I36" s="50">
        <v>1</v>
      </c>
      <c r="J36" s="50">
        <v>6</v>
      </c>
      <c r="K36" s="50">
        <v>1</v>
      </c>
      <c r="L36" s="50">
        <v>0</v>
      </c>
      <c r="M36" s="50">
        <v>120</v>
      </c>
      <c r="N36" s="50">
        <v>0</v>
      </c>
      <c r="O36" s="15">
        <f t="shared" si="0"/>
        <v>82</v>
      </c>
      <c r="P36" s="15">
        <f t="shared" si="1"/>
        <v>202</v>
      </c>
      <c r="R36" s="38" t="s">
        <v>92</v>
      </c>
      <c r="S36" s="39">
        <f t="shared" ref="S36:AF36" si="28">MAX(S19:S21)</f>
        <v>340</v>
      </c>
      <c r="T36" s="39">
        <f t="shared" si="28"/>
        <v>40</v>
      </c>
      <c r="U36" s="39">
        <f t="shared" si="28"/>
        <v>35</v>
      </c>
      <c r="V36" s="39">
        <f t="shared" si="28"/>
        <v>80</v>
      </c>
      <c r="W36" s="39">
        <f t="shared" si="28"/>
        <v>2</v>
      </c>
      <c r="X36" s="39">
        <f t="shared" si="28"/>
        <v>0</v>
      </c>
      <c r="Y36" s="39">
        <f t="shared" si="28"/>
        <v>21</v>
      </c>
      <c r="Z36" s="39">
        <f t="shared" si="28"/>
        <v>12</v>
      </c>
      <c r="AA36" s="39">
        <f t="shared" si="28"/>
        <v>5</v>
      </c>
      <c r="AB36" s="39">
        <f t="shared" si="28"/>
        <v>9</v>
      </c>
      <c r="AC36" s="39">
        <f t="shared" si="28"/>
        <v>455</v>
      </c>
      <c r="AD36" s="39">
        <f t="shared" si="28"/>
        <v>0</v>
      </c>
      <c r="AE36" s="40">
        <f t="shared" si="28"/>
        <v>521</v>
      </c>
      <c r="AF36" s="40">
        <f t="shared" si="28"/>
        <v>943</v>
      </c>
    </row>
    <row r="37" spans="2:32" ht="23.1" customHeight="1" x14ac:dyDescent="0.25">
      <c r="B37" s="45" t="s">
        <v>64</v>
      </c>
      <c r="C37" s="50">
        <v>29</v>
      </c>
      <c r="D37" s="50">
        <v>9</v>
      </c>
      <c r="E37" s="50">
        <v>9</v>
      </c>
      <c r="F37" s="50">
        <v>28</v>
      </c>
      <c r="G37" s="50">
        <v>0</v>
      </c>
      <c r="H37" s="50">
        <v>0</v>
      </c>
      <c r="I37" s="50">
        <v>2</v>
      </c>
      <c r="J37" s="50">
        <v>4</v>
      </c>
      <c r="K37" s="50">
        <v>0</v>
      </c>
      <c r="L37" s="50">
        <v>3</v>
      </c>
      <c r="M37" s="50">
        <v>100</v>
      </c>
      <c r="N37" s="50">
        <v>0</v>
      </c>
      <c r="O37" s="15">
        <f t="shared" si="0"/>
        <v>84</v>
      </c>
      <c r="P37" s="15">
        <f t="shared" si="1"/>
        <v>184</v>
      </c>
      <c r="R37" s="37" t="s">
        <v>85</v>
      </c>
      <c r="S37" s="35">
        <f t="shared" ref="S37:AF37" si="29">SUM(S10:S12)</f>
        <v>140</v>
      </c>
      <c r="T37" s="16">
        <f t="shared" si="29"/>
        <v>31</v>
      </c>
      <c r="U37" s="16">
        <f t="shared" si="29"/>
        <v>25</v>
      </c>
      <c r="V37" s="16">
        <f t="shared" si="29"/>
        <v>160</v>
      </c>
      <c r="W37" s="16">
        <f t="shared" si="29"/>
        <v>7</v>
      </c>
      <c r="X37" s="16">
        <f t="shared" si="29"/>
        <v>11</v>
      </c>
      <c r="Y37" s="16">
        <f t="shared" si="29"/>
        <v>14</v>
      </c>
      <c r="Z37" s="16">
        <f t="shared" si="29"/>
        <v>15</v>
      </c>
      <c r="AA37" s="16">
        <f t="shared" si="29"/>
        <v>5</v>
      </c>
      <c r="AB37" s="16">
        <f t="shared" si="29"/>
        <v>8</v>
      </c>
      <c r="AC37" s="16">
        <f t="shared" si="29"/>
        <v>905</v>
      </c>
      <c r="AD37" s="16">
        <f t="shared" si="29"/>
        <v>0</v>
      </c>
      <c r="AE37" s="32">
        <f t="shared" si="29"/>
        <v>416</v>
      </c>
      <c r="AF37" s="32">
        <f t="shared" si="29"/>
        <v>1321</v>
      </c>
    </row>
    <row r="38" spans="2:32" ht="23.1" customHeight="1" x14ac:dyDescent="0.25">
      <c r="B38" s="46" t="s">
        <v>65</v>
      </c>
      <c r="C38" s="50">
        <v>60</v>
      </c>
      <c r="D38" s="50">
        <v>10</v>
      </c>
      <c r="E38" s="50">
        <v>3</v>
      </c>
      <c r="F38" s="50">
        <v>28</v>
      </c>
      <c r="G38" s="50">
        <v>0</v>
      </c>
      <c r="H38" s="50">
        <v>0</v>
      </c>
      <c r="I38" s="50">
        <v>1</v>
      </c>
      <c r="J38" s="50">
        <v>3</v>
      </c>
      <c r="K38" s="50">
        <v>3</v>
      </c>
      <c r="L38" s="50">
        <v>0</v>
      </c>
      <c r="M38" s="50">
        <v>130</v>
      </c>
      <c r="N38" s="50">
        <v>0</v>
      </c>
      <c r="O38" s="15">
        <f t="shared" si="0"/>
        <v>108</v>
      </c>
      <c r="P38" s="15">
        <f t="shared" si="1"/>
        <v>238</v>
      </c>
      <c r="R38" s="28" t="s">
        <v>86</v>
      </c>
      <c r="S38" s="16">
        <f t="shared" ref="S38:AF38" si="30">SUM(S13:S18)</f>
        <v>868</v>
      </c>
      <c r="T38" s="16">
        <f t="shared" si="30"/>
        <v>193</v>
      </c>
      <c r="U38" s="16">
        <f t="shared" si="30"/>
        <v>132</v>
      </c>
      <c r="V38" s="16">
        <f t="shared" si="30"/>
        <v>459</v>
      </c>
      <c r="W38" s="16">
        <f t="shared" si="30"/>
        <v>11</v>
      </c>
      <c r="X38" s="16">
        <f t="shared" si="30"/>
        <v>4</v>
      </c>
      <c r="Y38" s="16">
        <f t="shared" si="30"/>
        <v>61</v>
      </c>
      <c r="Z38" s="16">
        <f t="shared" si="30"/>
        <v>60</v>
      </c>
      <c r="AA38" s="16">
        <f t="shared" si="30"/>
        <v>32</v>
      </c>
      <c r="AB38" s="16">
        <f t="shared" si="30"/>
        <v>19</v>
      </c>
      <c r="AC38" s="16">
        <f t="shared" si="30"/>
        <v>2227</v>
      </c>
      <c r="AD38" s="16">
        <f t="shared" si="30"/>
        <v>0</v>
      </c>
      <c r="AE38" s="32">
        <f t="shared" si="30"/>
        <v>1839</v>
      </c>
      <c r="AF38" s="32">
        <f t="shared" si="30"/>
        <v>4066</v>
      </c>
    </row>
    <row r="39" spans="2:32" ht="23.1" customHeight="1" x14ac:dyDescent="0.25">
      <c r="B39" s="46" t="s">
        <v>66</v>
      </c>
      <c r="C39" s="50">
        <v>90</v>
      </c>
      <c r="D39" s="50">
        <v>12</v>
      </c>
      <c r="E39" s="50">
        <v>8</v>
      </c>
      <c r="F39" s="50">
        <v>20</v>
      </c>
      <c r="G39" s="50">
        <v>1</v>
      </c>
      <c r="H39" s="50">
        <v>0</v>
      </c>
      <c r="I39" s="50">
        <v>2</v>
      </c>
      <c r="J39" s="50">
        <v>2</v>
      </c>
      <c r="K39" s="50">
        <v>0</v>
      </c>
      <c r="L39" s="50">
        <v>1</v>
      </c>
      <c r="M39" s="50">
        <v>83</v>
      </c>
      <c r="N39" s="50">
        <v>0</v>
      </c>
      <c r="O39" s="15">
        <f t="shared" si="0"/>
        <v>136</v>
      </c>
      <c r="P39" s="15">
        <f t="shared" si="1"/>
        <v>219</v>
      </c>
      <c r="R39" s="29" t="s">
        <v>87</v>
      </c>
      <c r="S39" s="16">
        <f t="shared" ref="S39:AF39" si="31">SUM(S19:S21)</f>
        <v>916</v>
      </c>
      <c r="T39" s="16">
        <f t="shared" si="31"/>
        <v>109</v>
      </c>
      <c r="U39" s="16">
        <f t="shared" si="31"/>
        <v>85</v>
      </c>
      <c r="V39" s="16">
        <f t="shared" si="31"/>
        <v>206</v>
      </c>
      <c r="W39" s="16">
        <f t="shared" si="31"/>
        <v>5</v>
      </c>
      <c r="X39" s="16">
        <f t="shared" si="31"/>
        <v>0</v>
      </c>
      <c r="Y39" s="16">
        <f t="shared" si="31"/>
        <v>50</v>
      </c>
      <c r="Z39" s="16">
        <f t="shared" si="31"/>
        <v>35</v>
      </c>
      <c r="AA39" s="16">
        <f t="shared" si="31"/>
        <v>9</v>
      </c>
      <c r="AB39" s="16">
        <f t="shared" si="31"/>
        <v>16</v>
      </c>
      <c r="AC39" s="16">
        <f t="shared" si="31"/>
        <v>1215</v>
      </c>
      <c r="AD39" s="16">
        <f t="shared" si="31"/>
        <v>0</v>
      </c>
      <c r="AE39" s="32">
        <f t="shared" si="31"/>
        <v>1431</v>
      </c>
      <c r="AF39" s="32">
        <f t="shared" si="31"/>
        <v>2646</v>
      </c>
    </row>
    <row r="40" spans="2:32" ht="23.1" customHeight="1" x14ac:dyDescent="0.25">
      <c r="B40" s="46" t="s">
        <v>67</v>
      </c>
      <c r="C40" s="50">
        <v>70</v>
      </c>
      <c r="D40" s="50">
        <v>11</v>
      </c>
      <c r="E40" s="50">
        <v>6</v>
      </c>
      <c r="F40" s="50">
        <v>19</v>
      </c>
      <c r="G40" s="50">
        <v>0</v>
      </c>
      <c r="H40" s="50">
        <v>0</v>
      </c>
      <c r="I40" s="50">
        <v>4</v>
      </c>
      <c r="J40" s="50">
        <v>4</v>
      </c>
      <c r="K40" s="50">
        <v>1</v>
      </c>
      <c r="L40" s="50">
        <v>0</v>
      </c>
      <c r="M40" s="50">
        <v>90</v>
      </c>
      <c r="N40" s="50">
        <v>0</v>
      </c>
      <c r="O40" s="15">
        <f t="shared" si="0"/>
        <v>115</v>
      </c>
      <c r="P40" s="15">
        <f t="shared" si="1"/>
        <v>205</v>
      </c>
      <c r="R40" s="5" t="s">
        <v>17</v>
      </c>
      <c r="S40" s="16">
        <f t="shared" ref="S40:AF40" si="32">SUM(S10:S21)</f>
        <v>1924</v>
      </c>
      <c r="T40" s="16">
        <f t="shared" si="32"/>
        <v>333</v>
      </c>
      <c r="U40" s="16">
        <f t="shared" si="32"/>
        <v>242</v>
      </c>
      <c r="V40" s="16">
        <f t="shared" si="32"/>
        <v>825</v>
      </c>
      <c r="W40" s="16">
        <f t="shared" si="32"/>
        <v>23</v>
      </c>
      <c r="X40" s="16">
        <f t="shared" si="32"/>
        <v>15</v>
      </c>
      <c r="Y40" s="16">
        <f t="shared" si="32"/>
        <v>125</v>
      </c>
      <c r="Z40" s="16">
        <f t="shared" si="32"/>
        <v>110</v>
      </c>
      <c r="AA40" s="16">
        <f t="shared" si="32"/>
        <v>46</v>
      </c>
      <c r="AB40" s="16">
        <f t="shared" si="32"/>
        <v>43</v>
      </c>
      <c r="AC40" s="16">
        <f t="shared" si="32"/>
        <v>4347</v>
      </c>
      <c r="AD40" s="16">
        <f t="shared" si="32"/>
        <v>0</v>
      </c>
      <c r="AE40" s="32">
        <f t="shared" si="32"/>
        <v>3686</v>
      </c>
      <c r="AF40" s="32">
        <f t="shared" si="32"/>
        <v>8033</v>
      </c>
    </row>
    <row r="41" spans="2:32" ht="23.1" customHeight="1" x14ac:dyDescent="0.25">
      <c r="B41" s="45" t="s">
        <v>68</v>
      </c>
      <c r="C41" s="50">
        <v>85</v>
      </c>
      <c r="D41" s="50">
        <v>10</v>
      </c>
      <c r="E41" s="50">
        <v>7</v>
      </c>
      <c r="F41" s="50">
        <v>30</v>
      </c>
      <c r="G41" s="50">
        <v>1</v>
      </c>
      <c r="H41" s="50">
        <v>0</v>
      </c>
      <c r="I41" s="50">
        <v>2</v>
      </c>
      <c r="J41" s="50">
        <v>3</v>
      </c>
      <c r="K41" s="50">
        <v>3</v>
      </c>
      <c r="L41" s="50">
        <v>1</v>
      </c>
      <c r="M41" s="50">
        <v>75</v>
      </c>
      <c r="N41" s="50">
        <v>0</v>
      </c>
      <c r="O41" s="15">
        <f t="shared" si="0"/>
        <v>142</v>
      </c>
      <c r="P41" s="15">
        <f t="shared" si="1"/>
        <v>217</v>
      </c>
      <c r="R41" s="5" t="s">
        <v>159</v>
      </c>
      <c r="S41" s="16">
        <f>SUM(S10:S33)</f>
        <v>3154</v>
      </c>
      <c r="T41" s="16">
        <f t="shared" ref="T41:AF41" si="33">SUM(T10:T33)</f>
        <v>501</v>
      </c>
      <c r="U41" s="16">
        <f t="shared" si="33"/>
        <v>404</v>
      </c>
      <c r="V41" s="16">
        <f t="shared" si="33"/>
        <v>1170</v>
      </c>
      <c r="W41" s="16">
        <f t="shared" si="33"/>
        <v>47</v>
      </c>
      <c r="X41" s="16">
        <f t="shared" si="33"/>
        <v>23</v>
      </c>
      <c r="Y41" s="16">
        <f t="shared" si="33"/>
        <v>214</v>
      </c>
      <c r="Z41" s="16">
        <f t="shared" si="33"/>
        <v>142</v>
      </c>
      <c r="AA41" s="16">
        <f t="shared" si="33"/>
        <v>57</v>
      </c>
      <c r="AB41" s="16">
        <f t="shared" si="33"/>
        <v>46</v>
      </c>
      <c r="AC41" s="16">
        <f t="shared" si="33"/>
        <v>6446</v>
      </c>
      <c r="AD41" s="16">
        <f t="shared" si="33"/>
        <v>0</v>
      </c>
      <c r="AE41" s="32">
        <f t="shared" si="33"/>
        <v>5758</v>
      </c>
      <c r="AF41" s="32">
        <f t="shared" si="33"/>
        <v>12204</v>
      </c>
    </row>
    <row r="42" spans="2:32" ht="23.1" customHeight="1" x14ac:dyDescent="0.25">
      <c r="B42" s="46" t="s">
        <v>69</v>
      </c>
      <c r="C42" s="50">
        <v>28</v>
      </c>
      <c r="D42" s="50">
        <v>8</v>
      </c>
      <c r="E42" s="50">
        <v>7</v>
      </c>
      <c r="F42" s="50">
        <v>10</v>
      </c>
      <c r="G42" s="50">
        <v>0</v>
      </c>
      <c r="H42" s="50">
        <v>0</v>
      </c>
      <c r="I42" s="50">
        <v>2</v>
      </c>
      <c r="J42" s="50">
        <v>2</v>
      </c>
      <c r="K42" s="50">
        <v>0</v>
      </c>
      <c r="L42" s="50">
        <v>1</v>
      </c>
      <c r="M42" s="50">
        <v>170</v>
      </c>
      <c r="N42" s="50">
        <v>0</v>
      </c>
      <c r="O42" s="15">
        <f t="shared" si="0"/>
        <v>58</v>
      </c>
      <c r="P42" s="15">
        <f t="shared" si="1"/>
        <v>228</v>
      </c>
      <c r="R42" s="5" t="s">
        <v>160</v>
      </c>
      <c r="S42" s="48">
        <f>S41/S40</f>
        <v>1.6392931392931394</v>
      </c>
      <c r="T42" s="48">
        <f t="shared" ref="T42:AF42" si="34">T41/T40</f>
        <v>1.5045045045045045</v>
      </c>
      <c r="U42" s="48">
        <f t="shared" si="34"/>
        <v>1.6694214876033058</v>
      </c>
      <c r="V42" s="48">
        <f t="shared" si="34"/>
        <v>1.4181818181818182</v>
      </c>
      <c r="W42" s="48">
        <f t="shared" si="34"/>
        <v>2.0434782608695654</v>
      </c>
      <c r="X42" s="48">
        <f t="shared" si="34"/>
        <v>1.5333333333333334</v>
      </c>
      <c r="Y42" s="48">
        <f t="shared" si="34"/>
        <v>1.712</v>
      </c>
      <c r="Z42" s="48">
        <f t="shared" si="34"/>
        <v>1.290909090909091</v>
      </c>
      <c r="AA42" s="48">
        <f t="shared" si="34"/>
        <v>1.2391304347826086</v>
      </c>
      <c r="AB42" s="48">
        <f t="shared" si="34"/>
        <v>1.069767441860465</v>
      </c>
      <c r="AC42" s="48">
        <f t="shared" si="34"/>
        <v>1.482861743731309</v>
      </c>
      <c r="AD42" s="48" t="e">
        <f t="shared" si="34"/>
        <v>#DIV/0!</v>
      </c>
      <c r="AE42" s="48">
        <f t="shared" si="34"/>
        <v>1.5621269669017905</v>
      </c>
      <c r="AF42" s="48">
        <f t="shared" si="34"/>
        <v>1.5192331632017926</v>
      </c>
    </row>
    <row r="43" spans="2:32" ht="23.1" customHeight="1" x14ac:dyDescent="0.25">
      <c r="B43" s="45" t="s">
        <v>70</v>
      </c>
      <c r="C43" s="50">
        <v>51</v>
      </c>
      <c r="D43" s="50">
        <v>13</v>
      </c>
      <c r="E43" s="50">
        <v>8</v>
      </c>
      <c r="F43" s="50">
        <v>20</v>
      </c>
      <c r="G43" s="50">
        <v>0</v>
      </c>
      <c r="H43" s="50">
        <v>0</v>
      </c>
      <c r="I43" s="50">
        <v>1</v>
      </c>
      <c r="J43" s="50">
        <v>4</v>
      </c>
      <c r="K43" s="50">
        <v>0</v>
      </c>
      <c r="L43" s="50">
        <v>0</v>
      </c>
      <c r="M43" s="50">
        <v>60</v>
      </c>
      <c r="N43" s="50">
        <v>0</v>
      </c>
      <c r="O43" s="15">
        <f t="shared" si="0"/>
        <v>97</v>
      </c>
      <c r="P43" s="15">
        <f t="shared" si="1"/>
        <v>157</v>
      </c>
    </row>
    <row r="44" spans="2:32" ht="23.1" customHeight="1" x14ac:dyDescent="0.25">
      <c r="B44" s="47" t="s">
        <v>71</v>
      </c>
      <c r="C44" s="50">
        <v>53</v>
      </c>
      <c r="D44" s="50">
        <v>13</v>
      </c>
      <c r="E44" s="50">
        <v>9</v>
      </c>
      <c r="F44" s="50">
        <v>14</v>
      </c>
      <c r="G44" s="50">
        <v>0</v>
      </c>
      <c r="H44" s="50">
        <v>0</v>
      </c>
      <c r="I44" s="50">
        <v>3</v>
      </c>
      <c r="J44" s="50">
        <v>1</v>
      </c>
      <c r="K44" s="50">
        <v>1</v>
      </c>
      <c r="L44" s="50">
        <v>1</v>
      </c>
      <c r="M44" s="50">
        <v>50</v>
      </c>
      <c r="N44" s="50">
        <v>0</v>
      </c>
      <c r="O44" s="15">
        <f t="shared" si="0"/>
        <v>95</v>
      </c>
      <c r="P44" s="15">
        <f t="shared" si="1"/>
        <v>145</v>
      </c>
    </row>
    <row r="45" spans="2:32" ht="23.1" customHeight="1" x14ac:dyDescent="0.25">
      <c r="B45" s="45" t="s">
        <v>72</v>
      </c>
      <c r="C45" s="50">
        <v>23</v>
      </c>
      <c r="D45" s="50">
        <v>9</v>
      </c>
      <c r="E45" s="50">
        <v>4</v>
      </c>
      <c r="F45" s="50">
        <v>18</v>
      </c>
      <c r="G45" s="50">
        <v>0</v>
      </c>
      <c r="H45" s="50">
        <v>0</v>
      </c>
      <c r="I45" s="50">
        <v>4</v>
      </c>
      <c r="J45" s="50">
        <v>1</v>
      </c>
      <c r="K45" s="50">
        <v>0</v>
      </c>
      <c r="L45" s="50">
        <v>0</v>
      </c>
      <c r="M45" s="50">
        <v>55</v>
      </c>
      <c r="N45" s="50">
        <v>0</v>
      </c>
      <c r="O45" s="15">
        <f t="shared" si="0"/>
        <v>59</v>
      </c>
      <c r="P45" s="15">
        <f t="shared" si="1"/>
        <v>114</v>
      </c>
    </row>
    <row r="46" spans="2:32" ht="23.1" customHeight="1" x14ac:dyDescent="0.25">
      <c r="B46" s="46" t="s">
        <v>73</v>
      </c>
      <c r="C46" s="50">
        <v>60</v>
      </c>
      <c r="D46" s="50">
        <v>8</v>
      </c>
      <c r="E46" s="50">
        <v>4</v>
      </c>
      <c r="F46" s="50">
        <v>16</v>
      </c>
      <c r="G46" s="50">
        <v>0</v>
      </c>
      <c r="H46" s="50">
        <v>0</v>
      </c>
      <c r="I46" s="50">
        <v>7</v>
      </c>
      <c r="J46" s="50">
        <v>0</v>
      </c>
      <c r="K46" s="50">
        <v>0</v>
      </c>
      <c r="L46" s="50">
        <v>1</v>
      </c>
      <c r="M46" s="50">
        <v>60</v>
      </c>
      <c r="N46" s="50">
        <v>0</v>
      </c>
      <c r="O46" s="15">
        <f t="shared" si="0"/>
        <v>96</v>
      </c>
      <c r="P46" s="15">
        <f t="shared" si="1"/>
        <v>156</v>
      </c>
      <c r="R46" s="8"/>
      <c r="T46"/>
    </row>
    <row r="47" spans="2:32" ht="23.1" customHeight="1" x14ac:dyDescent="0.25">
      <c r="B47" s="46" t="s">
        <v>74</v>
      </c>
      <c r="C47" s="50">
        <v>70</v>
      </c>
      <c r="D47" s="50">
        <v>8</v>
      </c>
      <c r="E47" s="50">
        <v>17</v>
      </c>
      <c r="F47" s="50">
        <v>10</v>
      </c>
      <c r="G47" s="50">
        <v>0</v>
      </c>
      <c r="H47" s="50">
        <v>0</v>
      </c>
      <c r="I47" s="50">
        <v>1</v>
      </c>
      <c r="J47" s="50">
        <v>8</v>
      </c>
      <c r="K47" s="50">
        <v>4</v>
      </c>
      <c r="L47" s="50">
        <v>1</v>
      </c>
      <c r="M47" s="50">
        <v>105</v>
      </c>
      <c r="N47" s="50">
        <v>0</v>
      </c>
      <c r="O47" s="15">
        <f t="shared" si="0"/>
        <v>119</v>
      </c>
      <c r="P47" s="15">
        <f t="shared" si="1"/>
        <v>224</v>
      </c>
      <c r="R47" s="8"/>
      <c r="T47"/>
    </row>
    <row r="48" spans="2:32" ht="23.1" customHeight="1" x14ac:dyDescent="0.25">
      <c r="B48" s="46" t="s">
        <v>75</v>
      </c>
      <c r="C48" s="50">
        <v>57</v>
      </c>
      <c r="D48" s="50">
        <v>7</v>
      </c>
      <c r="E48" s="50">
        <v>8</v>
      </c>
      <c r="F48" s="50">
        <v>14</v>
      </c>
      <c r="G48" s="50">
        <v>2</v>
      </c>
      <c r="H48" s="50">
        <v>0</v>
      </c>
      <c r="I48" s="50">
        <v>1</v>
      </c>
      <c r="J48" s="50">
        <v>1</v>
      </c>
      <c r="K48" s="50">
        <v>1</v>
      </c>
      <c r="L48" s="50">
        <v>0</v>
      </c>
      <c r="M48" s="50">
        <v>110</v>
      </c>
      <c r="N48" s="50">
        <v>0</v>
      </c>
      <c r="O48" s="15">
        <f t="shared" si="0"/>
        <v>91</v>
      </c>
      <c r="P48" s="15">
        <f t="shared" si="1"/>
        <v>201</v>
      </c>
      <c r="R48" s="8"/>
      <c r="T48"/>
    </row>
    <row r="49" spans="2:20" ht="23.1" customHeight="1" x14ac:dyDescent="0.25">
      <c r="B49" s="45" t="s">
        <v>76</v>
      </c>
      <c r="C49" s="50">
        <v>79</v>
      </c>
      <c r="D49" s="50">
        <v>12</v>
      </c>
      <c r="E49" s="50">
        <v>6</v>
      </c>
      <c r="F49" s="50">
        <v>13</v>
      </c>
      <c r="G49" s="50">
        <v>0</v>
      </c>
      <c r="H49" s="50">
        <v>0</v>
      </c>
      <c r="I49" s="50">
        <v>4</v>
      </c>
      <c r="J49" s="50">
        <v>2</v>
      </c>
      <c r="K49" s="50">
        <v>0</v>
      </c>
      <c r="L49" s="50">
        <v>0</v>
      </c>
      <c r="M49" s="50">
        <v>105</v>
      </c>
      <c r="N49" s="50">
        <v>0</v>
      </c>
      <c r="O49" s="15">
        <f t="shared" si="0"/>
        <v>116</v>
      </c>
      <c r="P49" s="15">
        <f t="shared" si="1"/>
        <v>221</v>
      </c>
      <c r="R49" s="8"/>
      <c r="T49"/>
    </row>
    <row r="50" spans="2:20" ht="23.1" customHeight="1" x14ac:dyDescent="0.25">
      <c r="B50" s="46" t="s">
        <v>77</v>
      </c>
      <c r="C50" s="50">
        <v>59</v>
      </c>
      <c r="D50" s="50">
        <v>11</v>
      </c>
      <c r="E50" s="50">
        <v>5</v>
      </c>
      <c r="F50" s="50">
        <v>16</v>
      </c>
      <c r="G50" s="50">
        <v>1</v>
      </c>
      <c r="H50" s="50">
        <v>0</v>
      </c>
      <c r="I50" s="50">
        <v>3</v>
      </c>
      <c r="J50" s="50">
        <v>4</v>
      </c>
      <c r="K50" s="50">
        <v>1</v>
      </c>
      <c r="L50" s="50">
        <v>0</v>
      </c>
      <c r="M50" s="50">
        <v>120</v>
      </c>
      <c r="N50" s="50">
        <v>0</v>
      </c>
      <c r="O50" s="15">
        <f t="shared" si="0"/>
        <v>100</v>
      </c>
      <c r="P50" s="15">
        <f t="shared" si="1"/>
        <v>220</v>
      </c>
      <c r="R50" s="8"/>
      <c r="T50"/>
    </row>
    <row r="51" spans="2:20" ht="23.1" customHeight="1" x14ac:dyDescent="0.25">
      <c r="B51" s="46" t="s">
        <v>78</v>
      </c>
      <c r="C51" s="50">
        <v>93</v>
      </c>
      <c r="D51" s="50">
        <v>5</v>
      </c>
      <c r="E51" s="50">
        <v>8</v>
      </c>
      <c r="F51" s="50">
        <v>24</v>
      </c>
      <c r="G51" s="50">
        <v>0</v>
      </c>
      <c r="H51" s="50">
        <v>0</v>
      </c>
      <c r="I51" s="50">
        <v>6</v>
      </c>
      <c r="J51" s="50">
        <v>2</v>
      </c>
      <c r="K51" s="50">
        <v>1</v>
      </c>
      <c r="L51" s="50">
        <v>3</v>
      </c>
      <c r="M51" s="50">
        <v>170</v>
      </c>
      <c r="N51" s="50">
        <v>0</v>
      </c>
      <c r="O51" s="15">
        <f t="shared" si="0"/>
        <v>142</v>
      </c>
      <c r="P51" s="15">
        <f t="shared" si="1"/>
        <v>312</v>
      </c>
      <c r="R51" s="8"/>
      <c r="T51"/>
    </row>
    <row r="52" spans="2:20" ht="23.1" customHeight="1" x14ac:dyDescent="0.25">
      <c r="B52" s="46" t="s">
        <v>79</v>
      </c>
      <c r="C52" s="50">
        <v>77</v>
      </c>
      <c r="D52" s="50">
        <v>16</v>
      </c>
      <c r="E52" s="50">
        <v>3</v>
      </c>
      <c r="F52" s="50">
        <v>11</v>
      </c>
      <c r="G52" s="50">
        <v>0</v>
      </c>
      <c r="H52" s="50">
        <v>0</v>
      </c>
      <c r="I52" s="50">
        <v>2</v>
      </c>
      <c r="J52" s="50">
        <v>6</v>
      </c>
      <c r="K52" s="50">
        <v>1</v>
      </c>
      <c r="L52" s="50">
        <v>2</v>
      </c>
      <c r="M52" s="50">
        <v>65</v>
      </c>
      <c r="N52" s="50">
        <v>0</v>
      </c>
      <c r="O52" s="15">
        <f t="shared" si="0"/>
        <v>118</v>
      </c>
      <c r="P52" s="15">
        <f t="shared" si="1"/>
        <v>183</v>
      </c>
      <c r="R52" s="8"/>
      <c r="T52"/>
    </row>
    <row r="53" spans="2:20" ht="23.1" customHeight="1" x14ac:dyDescent="0.25">
      <c r="B53" s="45" t="s">
        <v>80</v>
      </c>
      <c r="C53" s="50">
        <v>81</v>
      </c>
      <c r="D53" s="50">
        <v>8</v>
      </c>
      <c r="E53" s="50">
        <v>7</v>
      </c>
      <c r="F53" s="50">
        <v>22</v>
      </c>
      <c r="G53" s="50">
        <v>0</v>
      </c>
      <c r="H53" s="50">
        <v>0</v>
      </c>
      <c r="I53" s="50">
        <v>10</v>
      </c>
      <c r="J53" s="50">
        <v>0</v>
      </c>
      <c r="K53" s="50">
        <v>0</v>
      </c>
      <c r="L53" s="50">
        <v>0</v>
      </c>
      <c r="M53" s="50">
        <v>100</v>
      </c>
      <c r="N53" s="50">
        <v>0</v>
      </c>
      <c r="O53" s="15">
        <f t="shared" si="0"/>
        <v>128</v>
      </c>
      <c r="P53" s="15">
        <f t="shared" si="1"/>
        <v>228</v>
      </c>
      <c r="R53" s="8"/>
      <c r="T53"/>
    </row>
    <row r="54" spans="2:20" ht="23.1" customHeight="1" x14ac:dyDescent="0.25">
      <c r="B54" s="45" t="s">
        <v>81</v>
      </c>
      <c r="C54" s="50">
        <v>75</v>
      </c>
      <c r="D54" s="50">
        <v>12</v>
      </c>
      <c r="E54" s="50">
        <v>5</v>
      </c>
      <c r="F54" s="50">
        <v>18</v>
      </c>
      <c r="G54" s="50">
        <v>2</v>
      </c>
      <c r="H54" s="50">
        <v>0</v>
      </c>
      <c r="I54" s="50">
        <v>6</v>
      </c>
      <c r="J54" s="50">
        <v>2</v>
      </c>
      <c r="K54" s="50">
        <v>0</v>
      </c>
      <c r="L54" s="50">
        <v>1</v>
      </c>
      <c r="M54" s="50">
        <v>110</v>
      </c>
      <c r="N54" s="50">
        <v>0</v>
      </c>
      <c r="O54" s="15">
        <f t="shared" si="0"/>
        <v>121</v>
      </c>
      <c r="P54" s="15">
        <f t="shared" si="1"/>
        <v>231</v>
      </c>
      <c r="R54" s="8"/>
      <c r="T54"/>
    </row>
    <row r="55" spans="2:20" ht="23.1" customHeight="1" x14ac:dyDescent="0.25">
      <c r="B55" s="45" t="s">
        <v>82</v>
      </c>
      <c r="C55" s="50">
        <v>72</v>
      </c>
      <c r="D55" s="50">
        <v>6</v>
      </c>
      <c r="E55" s="50">
        <v>9</v>
      </c>
      <c r="F55" s="50">
        <v>21</v>
      </c>
      <c r="G55" s="50">
        <v>0</v>
      </c>
      <c r="H55" s="50">
        <v>0</v>
      </c>
      <c r="I55" s="50">
        <v>5</v>
      </c>
      <c r="J55" s="50">
        <v>0</v>
      </c>
      <c r="K55" s="50">
        <v>1</v>
      </c>
      <c r="L55" s="50">
        <v>4</v>
      </c>
      <c r="M55" s="50">
        <v>85</v>
      </c>
      <c r="N55" s="50">
        <v>0</v>
      </c>
      <c r="O55" s="15">
        <f t="shared" si="0"/>
        <v>118</v>
      </c>
      <c r="P55" s="15">
        <f t="shared" si="1"/>
        <v>203</v>
      </c>
      <c r="R55" s="8"/>
      <c r="T55"/>
    </row>
    <row r="56" spans="2:20" ht="23.1" customHeight="1" x14ac:dyDescent="0.25">
      <c r="B56" s="45" t="s">
        <v>83</v>
      </c>
      <c r="C56" s="50">
        <v>73</v>
      </c>
      <c r="D56" s="50">
        <v>7</v>
      </c>
      <c r="E56" s="50">
        <v>7</v>
      </c>
      <c r="F56" s="50">
        <v>19</v>
      </c>
      <c r="G56" s="50">
        <v>0</v>
      </c>
      <c r="H56" s="50">
        <v>0</v>
      </c>
      <c r="I56" s="50">
        <v>3</v>
      </c>
      <c r="J56" s="50">
        <v>4</v>
      </c>
      <c r="K56" s="50">
        <v>0</v>
      </c>
      <c r="L56" s="50">
        <v>3</v>
      </c>
      <c r="M56" s="50">
        <v>110</v>
      </c>
      <c r="N56" s="50">
        <v>0</v>
      </c>
      <c r="O56" s="15">
        <f t="shared" si="0"/>
        <v>116</v>
      </c>
      <c r="P56" s="15">
        <f t="shared" si="1"/>
        <v>226</v>
      </c>
      <c r="R56" s="8"/>
      <c r="T56"/>
    </row>
    <row r="57" spans="2:20" ht="23.1" customHeight="1" x14ac:dyDescent="0.25">
      <c r="B57" s="45" t="s">
        <v>84</v>
      </c>
      <c r="C57" s="50">
        <v>120</v>
      </c>
      <c r="D57" s="50">
        <v>9</v>
      </c>
      <c r="E57" s="50">
        <v>6</v>
      </c>
      <c r="F57" s="50">
        <v>22</v>
      </c>
      <c r="G57" s="50">
        <v>0</v>
      </c>
      <c r="H57" s="50">
        <v>0</v>
      </c>
      <c r="I57" s="50">
        <v>2</v>
      </c>
      <c r="J57" s="50">
        <v>6</v>
      </c>
      <c r="K57" s="50">
        <v>0</v>
      </c>
      <c r="L57" s="50">
        <v>1</v>
      </c>
      <c r="M57" s="50">
        <v>75</v>
      </c>
      <c r="N57" s="50">
        <v>0</v>
      </c>
      <c r="O57" s="15">
        <f t="shared" si="0"/>
        <v>166</v>
      </c>
      <c r="P57" s="15">
        <f t="shared" si="1"/>
        <v>241</v>
      </c>
      <c r="R57" s="8"/>
      <c r="T57"/>
    </row>
    <row r="58" spans="2:20" ht="23.1" customHeight="1" x14ac:dyDescent="0.25">
      <c r="B58" s="45" t="s">
        <v>99</v>
      </c>
      <c r="C58" s="50">
        <v>50</v>
      </c>
      <c r="D58" s="50">
        <v>5</v>
      </c>
      <c r="E58" s="50">
        <v>3</v>
      </c>
      <c r="F58" s="50">
        <v>3</v>
      </c>
      <c r="G58" s="50">
        <v>14</v>
      </c>
      <c r="H58" s="50">
        <v>0</v>
      </c>
      <c r="I58" s="50">
        <v>2</v>
      </c>
      <c r="J58" s="50">
        <v>2</v>
      </c>
      <c r="K58" s="50">
        <v>0</v>
      </c>
      <c r="L58" s="50">
        <v>1</v>
      </c>
      <c r="M58" s="50">
        <v>60</v>
      </c>
      <c r="N58" s="50">
        <v>0</v>
      </c>
      <c r="O58" s="15">
        <f t="shared" si="0"/>
        <v>80</v>
      </c>
      <c r="P58" s="15">
        <f t="shared" si="1"/>
        <v>140</v>
      </c>
      <c r="R58" s="8"/>
      <c r="T58"/>
    </row>
    <row r="59" spans="2:20" ht="23.1" customHeight="1" x14ac:dyDescent="0.25">
      <c r="B59" s="45" t="s">
        <v>100</v>
      </c>
      <c r="C59" s="50">
        <v>45</v>
      </c>
      <c r="D59" s="50">
        <v>12</v>
      </c>
      <c r="E59" s="50">
        <v>6</v>
      </c>
      <c r="F59" s="50">
        <v>15</v>
      </c>
      <c r="G59" s="50">
        <v>0</v>
      </c>
      <c r="H59" s="50">
        <v>1</v>
      </c>
      <c r="I59" s="50">
        <v>4</v>
      </c>
      <c r="J59" s="50">
        <v>0</v>
      </c>
      <c r="K59" s="50">
        <v>0</v>
      </c>
      <c r="L59" s="50">
        <v>0</v>
      </c>
      <c r="M59" s="50">
        <v>78</v>
      </c>
      <c r="N59" s="50">
        <v>0</v>
      </c>
      <c r="O59" s="15">
        <f t="shared" si="0"/>
        <v>83</v>
      </c>
      <c r="P59" s="15">
        <f t="shared" si="1"/>
        <v>161</v>
      </c>
      <c r="R59" s="8"/>
      <c r="T59"/>
    </row>
    <row r="60" spans="2:20" ht="23.1" customHeight="1" x14ac:dyDescent="0.25">
      <c r="B60" s="45" t="s">
        <v>101</v>
      </c>
      <c r="C60" s="50">
        <v>27</v>
      </c>
      <c r="D60" s="50">
        <v>8</v>
      </c>
      <c r="E60" s="50">
        <v>5</v>
      </c>
      <c r="F60" s="50">
        <v>16</v>
      </c>
      <c r="G60" s="50">
        <v>1</v>
      </c>
      <c r="H60" s="50">
        <v>0</v>
      </c>
      <c r="I60" s="50">
        <v>1</v>
      </c>
      <c r="J60" s="50">
        <v>0</v>
      </c>
      <c r="K60" s="50">
        <v>0</v>
      </c>
      <c r="L60" s="50">
        <v>0</v>
      </c>
      <c r="M60" s="50">
        <v>90</v>
      </c>
      <c r="N60" s="50">
        <v>0</v>
      </c>
      <c r="O60" s="15">
        <f t="shared" si="0"/>
        <v>58</v>
      </c>
      <c r="P60" s="15">
        <f t="shared" si="1"/>
        <v>148</v>
      </c>
      <c r="R60" s="8"/>
      <c r="T60"/>
    </row>
    <row r="61" spans="2:20" ht="23.1" customHeight="1" x14ac:dyDescent="0.25">
      <c r="B61" s="45" t="s">
        <v>102</v>
      </c>
      <c r="C61" s="50">
        <v>54</v>
      </c>
      <c r="D61" s="50">
        <v>5</v>
      </c>
      <c r="E61" s="50">
        <v>7</v>
      </c>
      <c r="F61" s="50">
        <v>24</v>
      </c>
      <c r="G61" s="50">
        <v>0</v>
      </c>
      <c r="H61" s="50">
        <v>0</v>
      </c>
      <c r="I61" s="50">
        <v>4</v>
      </c>
      <c r="J61" s="50">
        <v>2</v>
      </c>
      <c r="K61" s="50">
        <v>0</v>
      </c>
      <c r="L61" s="50">
        <v>0</v>
      </c>
      <c r="M61" s="50">
        <v>100</v>
      </c>
      <c r="N61" s="50">
        <v>0</v>
      </c>
      <c r="O61" s="15">
        <f t="shared" si="0"/>
        <v>96</v>
      </c>
      <c r="P61" s="15">
        <f t="shared" si="1"/>
        <v>196</v>
      </c>
      <c r="R61" s="8"/>
      <c r="T61"/>
    </row>
    <row r="62" spans="2:20" ht="23.1" customHeight="1" x14ac:dyDescent="0.25">
      <c r="B62" s="45" t="s">
        <v>107</v>
      </c>
      <c r="C62" s="50">
        <v>66</v>
      </c>
      <c r="D62" s="50">
        <v>10</v>
      </c>
      <c r="E62" s="50">
        <v>5</v>
      </c>
      <c r="F62" s="50">
        <v>19</v>
      </c>
      <c r="G62" s="50">
        <v>1</v>
      </c>
      <c r="H62" s="50">
        <v>0</v>
      </c>
      <c r="I62" s="50">
        <v>5</v>
      </c>
      <c r="J62" s="50">
        <v>2</v>
      </c>
      <c r="K62" s="50">
        <v>0</v>
      </c>
      <c r="L62" s="50">
        <v>0</v>
      </c>
      <c r="M62" s="50">
        <v>80</v>
      </c>
      <c r="N62" s="50">
        <v>0</v>
      </c>
      <c r="O62" s="15">
        <f t="shared" si="0"/>
        <v>108</v>
      </c>
      <c r="P62" s="15">
        <f t="shared" si="1"/>
        <v>188</v>
      </c>
      <c r="R62" s="8"/>
      <c r="T62"/>
    </row>
    <row r="63" spans="2:20" ht="23.1" customHeight="1" x14ac:dyDescent="0.25">
      <c r="B63" s="45" t="s">
        <v>108</v>
      </c>
      <c r="C63" s="50">
        <v>50</v>
      </c>
      <c r="D63" s="50">
        <v>6</v>
      </c>
      <c r="E63" s="50">
        <v>2</v>
      </c>
      <c r="F63" s="50">
        <v>24</v>
      </c>
      <c r="G63" s="50">
        <v>0</v>
      </c>
      <c r="H63" s="50">
        <v>0</v>
      </c>
      <c r="I63" s="50">
        <v>3</v>
      </c>
      <c r="J63" s="50">
        <v>4</v>
      </c>
      <c r="K63" s="50">
        <v>0</v>
      </c>
      <c r="L63" s="50">
        <v>0</v>
      </c>
      <c r="M63" s="50">
        <v>70</v>
      </c>
      <c r="N63" s="50">
        <v>0</v>
      </c>
      <c r="O63" s="15">
        <f t="shared" si="0"/>
        <v>89</v>
      </c>
      <c r="P63" s="15">
        <f t="shared" si="1"/>
        <v>159</v>
      </c>
      <c r="R63" s="8"/>
      <c r="T63"/>
    </row>
    <row r="64" spans="2:20" ht="23.1" customHeight="1" x14ac:dyDescent="0.25">
      <c r="B64" s="45" t="s">
        <v>109</v>
      </c>
      <c r="C64" s="50">
        <v>63</v>
      </c>
      <c r="D64" s="50">
        <v>4</v>
      </c>
      <c r="E64" s="50">
        <v>8</v>
      </c>
      <c r="F64" s="50">
        <v>20</v>
      </c>
      <c r="G64" s="50">
        <v>0</v>
      </c>
      <c r="H64" s="50">
        <v>0</v>
      </c>
      <c r="I64" s="50">
        <v>5</v>
      </c>
      <c r="J64" s="50">
        <v>1</v>
      </c>
      <c r="K64" s="50">
        <v>3</v>
      </c>
      <c r="L64" s="50">
        <v>0</v>
      </c>
      <c r="M64" s="50">
        <v>90</v>
      </c>
      <c r="N64" s="50">
        <v>0</v>
      </c>
      <c r="O64" s="15">
        <f t="shared" si="0"/>
        <v>104</v>
      </c>
      <c r="P64" s="15">
        <f t="shared" si="1"/>
        <v>194</v>
      </c>
      <c r="R64" s="8"/>
      <c r="T64"/>
    </row>
    <row r="65" spans="2:20" ht="23.1" customHeight="1" x14ac:dyDescent="0.25">
      <c r="B65" s="45" t="s">
        <v>158</v>
      </c>
      <c r="C65" s="50">
        <v>70</v>
      </c>
      <c r="D65" s="50">
        <v>9</v>
      </c>
      <c r="E65" s="50">
        <v>6</v>
      </c>
      <c r="F65" s="50">
        <v>23</v>
      </c>
      <c r="G65" s="50">
        <v>2</v>
      </c>
      <c r="H65" s="50">
        <v>0</v>
      </c>
      <c r="I65" s="50">
        <v>0</v>
      </c>
      <c r="J65" s="50">
        <v>4</v>
      </c>
      <c r="K65" s="50">
        <v>0</v>
      </c>
      <c r="L65" s="50">
        <v>0</v>
      </c>
      <c r="M65" s="50">
        <v>86</v>
      </c>
      <c r="N65" s="50">
        <v>0</v>
      </c>
      <c r="O65" s="15">
        <f t="shared" si="0"/>
        <v>114</v>
      </c>
      <c r="P65" s="15">
        <f t="shared" si="1"/>
        <v>200</v>
      </c>
      <c r="R65" s="8"/>
      <c r="T65"/>
    </row>
    <row r="66" spans="2:20" ht="23.1" customHeight="1" x14ac:dyDescent="0.25">
      <c r="B66" s="45" t="s">
        <v>103</v>
      </c>
      <c r="C66" s="50">
        <v>64</v>
      </c>
      <c r="D66" s="50">
        <v>5</v>
      </c>
      <c r="E66" s="50">
        <v>2</v>
      </c>
      <c r="F66" s="50">
        <v>23</v>
      </c>
      <c r="G66" s="50">
        <v>1</v>
      </c>
      <c r="H66" s="50">
        <v>0</v>
      </c>
      <c r="I66" s="50">
        <v>7</v>
      </c>
      <c r="J66" s="50">
        <v>0</v>
      </c>
      <c r="K66" s="50">
        <v>0</v>
      </c>
      <c r="L66" s="50">
        <v>0</v>
      </c>
      <c r="M66" s="50">
        <v>75</v>
      </c>
      <c r="N66" s="50">
        <v>0</v>
      </c>
      <c r="O66" s="15">
        <f t="shared" si="0"/>
        <v>102</v>
      </c>
      <c r="P66" s="15">
        <f t="shared" si="1"/>
        <v>177</v>
      </c>
      <c r="R66" s="8"/>
      <c r="T66"/>
    </row>
    <row r="67" spans="2:20" ht="23.1" customHeight="1" x14ac:dyDescent="0.25">
      <c r="B67" s="45" t="s">
        <v>104</v>
      </c>
      <c r="C67" s="50">
        <v>62</v>
      </c>
      <c r="D67" s="50">
        <v>9</v>
      </c>
      <c r="E67" s="50">
        <v>7</v>
      </c>
      <c r="F67" s="50">
        <v>18</v>
      </c>
      <c r="G67" s="50">
        <v>0</v>
      </c>
      <c r="H67" s="50">
        <v>0</v>
      </c>
      <c r="I67" s="50">
        <v>5</v>
      </c>
      <c r="J67" s="50">
        <v>0</v>
      </c>
      <c r="K67" s="50">
        <v>0</v>
      </c>
      <c r="L67" s="50">
        <v>0</v>
      </c>
      <c r="M67" s="50">
        <v>73</v>
      </c>
      <c r="N67" s="50">
        <v>0</v>
      </c>
      <c r="O67" s="15">
        <f t="shared" si="0"/>
        <v>101</v>
      </c>
      <c r="P67" s="15">
        <f t="shared" si="1"/>
        <v>174</v>
      </c>
      <c r="R67" s="8"/>
      <c r="T67"/>
    </row>
    <row r="68" spans="2:20" ht="23.1" customHeight="1" x14ac:dyDescent="0.25">
      <c r="B68" s="45" t="s">
        <v>105</v>
      </c>
      <c r="C68" s="50">
        <v>76</v>
      </c>
      <c r="D68" s="50">
        <v>6</v>
      </c>
      <c r="E68" s="50">
        <v>8</v>
      </c>
      <c r="F68" s="50">
        <v>22</v>
      </c>
      <c r="G68" s="50">
        <v>0</v>
      </c>
      <c r="H68" s="50">
        <v>0</v>
      </c>
      <c r="I68" s="50">
        <v>3</v>
      </c>
      <c r="J68" s="50">
        <v>0</v>
      </c>
      <c r="K68" s="50">
        <v>0</v>
      </c>
      <c r="L68" s="50">
        <v>1</v>
      </c>
      <c r="M68" s="50">
        <v>70</v>
      </c>
      <c r="N68" s="50">
        <v>0</v>
      </c>
      <c r="O68" s="15">
        <f t="shared" si="0"/>
        <v>116</v>
      </c>
      <c r="P68" s="15">
        <f t="shared" si="1"/>
        <v>186</v>
      </c>
      <c r="R68" s="8"/>
      <c r="T68"/>
    </row>
    <row r="69" spans="2:20" ht="23.1" customHeight="1" x14ac:dyDescent="0.25">
      <c r="B69" s="45" t="s">
        <v>106</v>
      </c>
      <c r="C69" s="50">
        <v>53</v>
      </c>
      <c r="D69" s="50">
        <v>9</v>
      </c>
      <c r="E69" s="50">
        <v>5</v>
      </c>
      <c r="F69" s="50">
        <v>17</v>
      </c>
      <c r="G69" s="50">
        <v>0</v>
      </c>
      <c r="H69" s="50">
        <v>0</v>
      </c>
      <c r="I69" s="50">
        <v>5</v>
      </c>
      <c r="J69" s="50">
        <v>0</v>
      </c>
      <c r="K69" s="50">
        <v>2</v>
      </c>
      <c r="L69" s="50">
        <v>0</v>
      </c>
      <c r="M69" s="50">
        <v>60</v>
      </c>
      <c r="N69" s="50">
        <v>0</v>
      </c>
      <c r="O69" s="15">
        <f t="shared" si="0"/>
        <v>91</v>
      </c>
      <c r="P69" s="15">
        <f t="shared" si="1"/>
        <v>151</v>
      </c>
      <c r="R69" s="8"/>
      <c r="T69"/>
    </row>
    <row r="70" spans="2:20" ht="23.1" customHeight="1" x14ac:dyDescent="0.25">
      <c r="B70" s="45" t="s">
        <v>110</v>
      </c>
      <c r="C70" s="50">
        <v>68</v>
      </c>
      <c r="D70" s="50">
        <v>12</v>
      </c>
      <c r="E70" s="50">
        <v>12</v>
      </c>
      <c r="F70" s="50">
        <v>17</v>
      </c>
      <c r="G70" s="50">
        <v>2</v>
      </c>
      <c r="H70" s="50">
        <v>0</v>
      </c>
      <c r="I70" s="50">
        <v>4</v>
      </c>
      <c r="J70" s="50">
        <v>3</v>
      </c>
      <c r="K70" s="50">
        <v>0</v>
      </c>
      <c r="L70" s="50">
        <v>0</v>
      </c>
      <c r="M70" s="50">
        <v>50</v>
      </c>
      <c r="N70" s="50">
        <v>0</v>
      </c>
      <c r="O70" s="15">
        <f t="shared" si="0"/>
        <v>118</v>
      </c>
      <c r="P70" s="15">
        <f t="shared" si="1"/>
        <v>168</v>
      </c>
      <c r="R70" s="8"/>
      <c r="T70"/>
    </row>
    <row r="71" spans="2:20" ht="23.1" customHeight="1" x14ac:dyDescent="0.25">
      <c r="B71" s="45" t="s">
        <v>111</v>
      </c>
      <c r="C71" s="50">
        <v>63</v>
      </c>
      <c r="D71" s="50">
        <v>9</v>
      </c>
      <c r="E71" s="50">
        <v>8</v>
      </c>
      <c r="F71" s="50">
        <v>23</v>
      </c>
      <c r="G71" s="50">
        <v>0</v>
      </c>
      <c r="H71" s="50">
        <v>0</v>
      </c>
      <c r="I71" s="50">
        <v>10</v>
      </c>
      <c r="J71" s="50">
        <v>0</v>
      </c>
      <c r="K71" s="50">
        <v>0</v>
      </c>
      <c r="L71" s="50">
        <v>0</v>
      </c>
      <c r="M71" s="50">
        <v>45</v>
      </c>
      <c r="N71" s="50">
        <v>0</v>
      </c>
      <c r="O71" s="15">
        <f t="shared" si="0"/>
        <v>113</v>
      </c>
      <c r="P71" s="15">
        <f t="shared" si="1"/>
        <v>158</v>
      </c>
      <c r="R71" s="8"/>
      <c r="T71"/>
    </row>
    <row r="72" spans="2:20" ht="23.1" customHeight="1" x14ac:dyDescent="0.25">
      <c r="B72" s="45" t="s">
        <v>112</v>
      </c>
      <c r="C72" s="50">
        <v>62</v>
      </c>
      <c r="D72" s="50">
        <v>5</v>
      </c>
      <c r="E72" s="50">
        <v>6</v>
      </c>
      <c r="F72" s="50">
        <v>12</v>
      </c>
      <c r="G72" s="50">
        <v>0</v>
      </c>
      <c r="H72" s="50">
        <v>0</v>
      </c>
      <c r="I72" s="50">
        <v>2</v>
      </c>
      <c r="J72" s="50">
        <v>0</v>
      </c>
      <c r="K72" s="50">
        <v>0</v>
      </c>
      <c r="L72" s="50">
        <v>0</v>
      </c>
      <c r="M72" s="50">
        <v>53</v>
      </c>
      <c r="N72" s="50">
        <v>0</v>
      </c>
      <c r="O72" s="15">
        <f t="shared" si="0"/>
        <v>87</v>
      </c>
      <c r="P72" s="15">
        <f t="shared" si="1"/>
        <v>140</v>
      </c>
      <c r="R72" s="8"/>
      <c r="T72"/>
    </row>
    <row r="73" spans="2:20" ht="23.1" customHeight="1" x14ac:dyDescent="0.25">
      <c r="B73" s="45" t="s">
        <v>113</v>
      </c>
      <c r="C73" s="50">
        <v>55</v>
      </c>
      <c r="D73" s="50">
        <v>3</v>
      </c>
      <c r="E73" s="50">
        <v>9</v>
      </c>
      <c r="F73" s="50">
        <v>12</v>
      </c>
      <c r="G73" s="50">
        <v>0</v>
      </c>
      <c r="H73" s="50">
        <v>0</v>
      </c>
      <c r="I73" s="50">
        <v>4</v>
      </c>
      <c r="J73" s="50">
        <v>0</v>
      </c>
      <c r="K73" s="50">
        <v>0</v>
      </c>
      <c r="L73" s="50">
        <v>0</v>
      </c>
      <c r="M73" s="50">
        <v>45</v>
      </c>
      <c r="N73" s="50">
        <v>0</v>
      </c>
      <c r="O73" s="15">
        <f t="shared" si="0"/>
        <v>83</v>
      </c>
      <c r="P73" s="15">
        <f t="shared" si="1"/>
        <v>128</v>
      </c>
      <c r="R73" s="8"/>
      <c r="T73"/>
    </row>
    <row r="74" spans="2:20" ht="23.1" customHeight="1" x14ac:dyDescent="0.25">
      <c r="B74" s="45" t="s">
        <v>114</v>
      </c>
      <c r="C74" s="50">
        <v>41</v>
      </c>
      <c r="D74" s="50">
        <v>2</v>
      </c>
      <c r="E74" s="50">
        <v>1</v>
      </c>
      <c r="F74" s="50">
        <v>7</v>
      </c>
      <c r="G74" s="50">
        <v>0</v>
      </c>
      <c r="H74" s="50">
        <v>1</v>
      </c>
      <c r="I74" s="50">
        <v>0</v>
      </c>
      <c r="J74" s="50">
        <v>0</v>
      </c>
      <c r="K74" s="50">
        <v>0</v>
      </c>
      <c r="L74" s="50">
        <v>0</v>
      </c>
      <c r="M74" s="50">
        <v>66</v>
      </c>
      <c r="N74" s="50">
        <v>0</v>
      </c>
      <c r="O74" s="15">
        <f t="shared" ref="O74:O105" si="35">SUM(C74:L74,N74)</f>
        <v>52</v>
      </c>
      <c r="P74" s="15">
        <f t="shared" ref="P74:P105" si="36">SUM(C74:N74)</f>
        <v>118</v>
      </c>
      <c r="R74" s="8"/>
      <c r="T74"/>
    </row>
    <row r="75" spans="2:20" ht="23.1" customHeight="1" x14ac:dyDescent="0.25">
      <c r="B75" s="45" t="s">
        <v>115</v>
      </c>
      <c r="C75" s="50">
        <v>48</v>
      </c>
      <c r="D75" s="50">
        <v>8</v>
      </c>
      <c r="E75" s="50">
        <v>1</v>
      </c>
      <c r="F75" s="50">
        <v>18</v>
      </c>
      <c r="G75" s="50">
        <v>2</v>
      </c>
      <c r="H75" s="50">
        <v>0</v>
      </c>
      <c r="I75" s="50">
        <v>4</v>
      </c>
      <c r="J75" s="50">
        <v>0</v>
      </c>
      <c r="K75" s="50">
        <v>1</v>
      </c>
      <c r="L75" s="50">
        <v>0</v>
      </c>
      <c r="M75" s="50">
        <v>70</v>
      </c>
      <c r="N75" s="50">
        <v>0</v>
      </c>
      <c r="O75" s="15">
        <f t="shared" si="35"/>
        <v>82</v>
      </c>
      <c r="P75" s="15">
        <f t="shared" si="36"/>
        <v>152</v>
      </c>
      <c r="R75" s="8"/>
      <c r="T75"/>
    </row>
    <row r="76" spans="2:20" ht="23.1" customHeight="1" x14ac:dyDescent="0.25">
      <c r="B76" s="45" t="s">
        <v>116</v>
      </c>
      <c r="C76" s="50">
        <v>34</v>
      </c>
      <c r="D76" s="50">
        <v>12</v>
      </c>
      <c r="E76" s="50">
        <v>6</v>
      </c>
      <c r="F76" s="50">
        <v>5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50</v>
      </c>
      <c r="N76" s="50">
        <v>0</v>
      </c>
      <c r="O76" s="15">
        <f t="shared" si="35"/>
        <v>57</v>
      </c>
      <c r="P76" s="15">
        <f t="shared" si="36"/>
        <v>107</v>
      </c>
      <c r="R76" s="8"/>
      <c r="T76"/>
    </row>
    <row r="77" spans="2:20" ht="23.1" customHeight="1" x14ac:dyDescent="0.25">
      <c r="B77" s="45" t="s">
        <v>117</v>
      </c>
      <c r="C77" s="50">
        <v>19</v>
      </c>
      <c r="D77" s="50">
        <v>1</v>
      </c>
      <c r="E77" s="50">
        <v>2</v>
      </c>
      <c r="F77" s="50">
        <v>3</v>
      </c>
      <c r="G77" s="50">
        <v>1</v>
      </c>
      <c r="H77" s="50">
        <v>0</v>
      </c>
      <c r="I77" s="50">
        <v>1</v>
      </c>
      <c r="J77" s="50">
        <v>1</v>
      </c>
      <c r="K77" s="50">
        <v>0</v>
      </c>
      <c r="L77" s="50">
        <v>0</v>
      </c>
      <c r="M77" s="50">
        <v>45</v>
      </c>
      <c r="N77" s="50">
        <v>0</v>
      </c>
      <c r="O77" s="15">
        <f t="shared" si="35"/>
        <v>28</v>
      </c>
      <c r="P77" s="15">
        <f t="shared" si="36"/>
        <v>73</v>
      </c>
      <c r="R77" s="8"/>
      <c r="T77"/>
    </row>
    <row r="78" spans="2:20" ht="23.1" customHeight="1" x14ac:dyDescent="0.25">
      <c r="B78" s="46" t="s">
        <v>118</v>
      </c>
      <c r="C78" s="50">
        <v>3</v>
      </c>
      <c r="D78" s="50">
        <v>2</v>
      </c>
      <c r="E78" s="50">
        <v>1</v>
      </c>
      <c r="F78" s="50">
        <v>1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15</v>
      </c>
      <c r="N78" s="50">
        <v>0</v>
      </c>
      <c r="O78" s="15">
        <f t="shared" si="35"/>
        <v>7</v>
      </c>
      <c r="P78" s="15">
        <f t="shared" si="36"/>
        <v>22</v>
      </c>
      <c r="R78" s="8"/>
      <c r="T78"/>
    </row>
    <row r="79" spans="2:20" ht="23.1" customHeight="1" x14ac:dyDescent="0.25">
      <c r="B79" s="45" t="s">
        <v>119</v>
      </c>
      <c r="C79" s="50">
        <v>3</v>
      </c>
      <c r="D79" s="50">
        <v>0</v>
      </c>
      <c r="E79" s="50">
        <v>2</v>
      </c>
      <c r="F79" s="50">
        <v>1</v>
      </c>
      <c r="G79" s="50">
        <v>0</v>
      </c>
      <c r="H79" s="50">
        <v>0</v>
      </c>
      <c r="I79" s="50">
        <v>1</v>
      </c>
      <c r="J79" s="50">
        <v>0</v>
      </c>
      <c r="K79" s="50">
        <v>0</v>
      </c>
      <c r="L79" s="50">
        <v>0</v>
      </c>
      <c r="M79" s="50">
        <v>20</v>
      </c>
      <c r="N79" s="50">
        <v>0</v>
      </c>
      <c r="O79" s="15">
        <f t="shared" si="35"/>
        <v>7</v>
      </c>
      <c r="P79" s="15">
        <f t="shared" si="36"/>
        <v>27</v>
      </c>
      <c r="R79" s="8"/>
      <c r="T79"/>
    </row>
    <row r="80" spans="2:20" ht="23.1" customHeight="1" x14ac:dyDescent="0.25">
      <c r="B80" s="47" t="s">
        <v>120</v>
      </c>
      <c r="C80" s="50">
        <v>4</v>
      </c>
      <c r="D80" s="50">
        <v>1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7</v>
      </c>
      <c r="N80" s="50">
        <v>0</v>
      </c>
      <c r="O80" s="15">
        <f t="shared" si="35"/>
        <v>5</v>
      </c>
      <c r="P80" s="15">
        <f t="shared" si="36"/>
        <v>12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1</v>
      </c>
      <c r="E81" s="50">
        <v>1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12</v>
      </c>
      <c r="N81" s="50">
        <v>0</v>
      </c>
      <c r="O81" s="15">
        <f t="shared" si="35"/>
        <v>2</v>
      </c>
      <c r="P81" s="15">
        <f t="shared" si="36"/>
        <v>14</v>
      </c>
      <c r="R81" s="8"/>
      <c r="T81"/>
    </row>
    <row r="82" spans="2:20" ht="23.1" customHeight="1" x14ac:dyDescent="0.25">
      <c r="B82" s="46" t="s">
        <v>122</v>
      </c>
      <c r="C82" s="50">
        <v>5</v>
      </c>
      <c r="D82" s="50">
        <v>1</v>
      </c>
      <c r="E82" s="50">
        <v>0</v>
      </c>
      <c r="F82" s="50">
        <v>1</v>
      </c>
      <c r="G82" s="50">
        <v>0</v>
      </c>
      <c r="H82" s="50">
        <v>0</v>
      </c>
      <c r="I82" s="50">
        <v>1</v>
      </c>
      <c r="J82" s="50">
        <v>0</v>
      </c>
      <c r="K82" s="50">
        <v>0</v>
      </c>
      <c r="L82" s="50">
        <v>0</v>
      </c>
      <c r="M82" s="50">
        <v>3</v>
      </c>
      <c r="N82" s="50">
        <v>0</v>
      </c>
      <c r="O82" s="15">
        <f t="shared" si="35"/>
        <v>8</v>
      </c>
      <c r="P82" s="15">
        <f t="shared" si="36"/>
        <v>11</v>
      </c>
      <c r="R82" s="8"/>
      <c r="T82"/>
    </row>
    <row r="83" spans="2:20" ht="23.1" customHeight="1" x14ac:dyDescent="0.25">
      <c r="B83" s="45" t="s">
        <v>123</v>
      </c>
      <c r="C83" s="50">
        <v>2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5</v>
      </c>
      <c r="N83" s="50">
        <v>0</v>
      </c>
      <c r="O83" s="15">
        <f t="shared" si="35"/>
        <v>2</v>
      </c>
      <c r="P83" s="15">
        <f t="shared" si="36"/>
        <v>7</v>
      </c>
      <c r="R83" s="8"/>
      <c r="T83"/>
    </row>
    <row r="84" spans="2:20" ht="23.1" customHeight="1" x14ac:dyDescent="0.25">
      <c r="B84" s="47" t="s">
        <v>124</v>
      </c>
      <c r="C84" s="50">
        <v>3</v>
      </c>
      <c r="D84" s="50">
        <v>2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6</v>
      </c>
      <c r="N84" s="50">
        <v>0</v>
      </c>
      <c r="O84" s="15">
        <f t="shared" si="35"/>
        <v>5</v>
      </c>
      <c r="P84" s="15">
        <f t="shared" si="36"/>
        <v>11</v>
      </c>
      <c r="R84" s="8"/>
      <c r="T84"/>
    </row>
    <row r="85" spans="2:20" ht="23.1" customHeight="1" x14ac:dyDescent="0.25">
      <c r="B85" s="45" t="s">
        <v>125</v>
      </c>
      <c r="C85" s="50">
        <v>4</v>
      </c>
      <c r="D85" s="50">
        <v>0</v>
      </c>
      <c r="E85" s="50">
        <v>2</v>
      </c>
      <c r="F85" s="50">
        <v>0</v>
      </c>
      <c r="G85" s="50">
        <v>0</v>
      </c>
      <c r="H85" s="50">
        <v>0</v>
      </c>
      <c r="I85" s="50">
        <v>0</v>
      </c>
      <c r="J85" s="50">
        <v>1</v>
      </c>
      <c r="K85" s="50">
        <v>0</v>
      </c>
      <c r="L85" s="50">
        <v>0</v>
      </c>
      <c r="M85" s="50">
        <v>10</v>
      </c>
      <c r="N85" s="50">
        <v>0</v>
      </c>
      <c r="O85" s="15">
        <f t="shared" si="35"/>
        <v>7</v>
      </c>
      <c r="P85" s="15">
        <f t="shared" si="36"/>
        <v>17</v>
      </c>
      <c r="R85" s="8"/>
      <c r="T85"/>
    </row>
    <row r="86" spans="2:20" ht="23.1" customHeight="1" x14ac:dyDescent="0.25">
      <c r="B86" s="46" t="s">
        <v>126</v>
      </c>
      <c r="C86" s="50">
        <v>2</v>
      </c>
      <c r="D86" s="50">
        <v>3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7</v>
      </c>
      <c r="N86" s="50">
        <v>0</v>
      </c>
      <c r="O86" s="15">
        <f t="shared" si="35"/>
        <v>5</v>
      </c>
      <c r="P86" s="15">
        <f t="shared" si="36"/>
        <v>12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0</v>
      </c>
      <c r="E87" s="50">
        <v>2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6</v>
      </c>
      <c r="N87" s="50">
        <v>0</v>
      </c>
      <c r="O87" s="15">
        <f t="shared" si="35"/>
        <v>3</v>
      </c>
      <c r="P87" s="15">
        <f t="shared" si="36"/>
        <v>9</v>
      </c>
      <c r="R87" s="8"/>
      <c r="T87"/>
    </row>
    <row r="88" spans="2:20" ht="23.1" customHeight="1" x14ac:dyDescent="0.25">
      <c r="B88" s="47" t="s">
        <v>128</v>
      </c>
      <c r="C88" s="50">
        <v>3</v>
      </c>
      <c r="D88" s="50">
        <v>3</v>
      </c>
      <c r="E88" s="50">
        <v>1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8</v>
      </c>
      <c r="N88" s="50">
        <v>0</v>
      </c>
      <c r="O88" s="15">
        <f t="shared" si="35"/>
        <v>7</v>
      </c>
      <c r="P88" s="15">
        <f t="shared" si="36"/>
        <v>15</v>
      </c>
      <c r="R88" s="8"/>
      <c r="T88"/>
    </row>
    <row r="89" spans="2:20" ht="23.1" customHeight="1" x14ac:dyDescent="0.25">
      <c r="B89" s="45" t="s">
        <v>129</v>
      </c>
      <c r="C89" s="50">
        <v>4</v>
      </c>
      <c r="D89" s="50">
        <v>1</v>
      </c>
      <c r="E89" s="50">
        <v>0</v>
      </c>
      <c r="F89" s="50">
        <v>1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4</v>
      </c>
      <c r="N89" s="50">
        <v>0</v>
      </c>
      <c r="O89" s="15">
        <f t="shared" si="35"/>
        <v>6</v>
      </c>
      <c r="P89" s="15">
        <f t="shared" si="36"/>
        <v>10</v>
      </c>
      <c r="R89" s="8"/>
      <c r="T89"/>
    </row>
    <row r="90" spans="2:20" ht="23.1" customHeight="1" x14ac:dyDescent="0.25">
      <c r="B90" s="46" t="s">
        <v>130</v>
      </c>
      <c r="C90" s="50">
        <v>9</v>
      </c>
      <c r="D90" s="50">
        <v>1</v>
      </c>
      <c r="E90" s="50">
        <v>0</v>
      </c>
      <c r="F90" s="50">
        <v>0</v>
      </c>
      <c r="G90" s="50">
        <v>0</v>
      </c>
      <c r="H90" s="50">
        <v>0</v>
      </c>
      <c r="I90" s="50">
        <v>1</v>
      </c>
      <c r="J90" s="50">
        <v>0</v>
      </c>
      <c r="K90" s="50">
        <v>0</v>
      </c>
      <c r="L90" s="50">
        <v>0</v>
      </c>
      <c r="M90" s="50">
        <v>20</v>
      </c>
      <c r="N90" s="50">
        <v>0</v>
      </c>
      <c r="O90" s="15">
        <f t="shared" si="35"/>
        <v>11</v>
      </c>
      <c r="P90" s="15">
        <f t="shared" si="36"/>
        <v>31</v>
      </c>
      <c r="R90" s="8"/>
      <c r="T90"/>
    </row>
    <row r="91" spans="2:20" ht="23.1" customHeight="1" x14ac:dyDescent="0.25">
      <c r="B91" s="45" t="s">
        <v>131</v>
      </c>
      <c r="C91" s="50">
        <v>11</v>
      </c>
      <c r="D91" s="50">
        <v>0</v>
      </c>
      <c r="E91" s="50">
        <v>1</v>
      </c>
      <c r="F91" s="50">
        <v>3</v>
      </c>
      <c r="G91" s="50">
        <v>0</v>
      </c>
      <c r="H91" s="50">
        <v>0</v>
      </c>
      <c r="I91" s="50">
        <v>0</v>
      </c>
      <c r="J91" s="50">
        <v>1</v>
      </c>
      <c r="K91" s="50">
        <v>1</v>
      </c>
      <c r="L91" s="50">
        <v>1</v>
      </c>
      <c r="M91" s="50">
        <v>42</v>
      </c>
      <c r="N91" s="50">
        <v>0</v>
      </c>
      <c r="O91" s="15">
        <f t="shared" si="35"/>
        <v>18</v>
      </c>
      <c r="P91" s="15">
        <f t="shared" si="36"/>
        <v>60</v>
      </c>
      <c r="R91" s="8"/>
      <c r="T91"/>
    </row>
    <row r="92" spans="2:20" ht="23.1" customHeight="1" x14ac:dyDescent="0.25">
      <c r="B92" s="47" t="s">
        <v>132</v>
      </c>
      <c r="C92" s="50">
        <v>6</v>
      </c>
      <c r="D92" s="50">
        <v>1</v>
      </c>
      <c r="E92" s="50">
        <v>1</v>
      </c>
      <c r="F92" s="50">
        <v>1</v>
      </c>
      <c r="G92" s="50">
        <v>0</v>
      </c>
      <c r="H92" s="50">
        <v>0</v>
      </c>
      <c r="I92" s="50">
        <v>2</v>
      </c>
      <c r="J92" s="50">
        <v>1</v>
      </c>
      <c r="K92" s="50">
        <v>1</v>
      </c>
      <c r="L92" s="50">
        <v>0</v>
      </c>
      <c r="M92" s="50">
        <v>31</v>
      </c>
      <c r="N92" s="50">
        <v>0</v>
      </c>
      <c r="O92" s="15">
        <f t="shared" si="35"/>
        <v>13</v>
      </c>
      <c r="P92" s="15">
        <f t="shared" si="36"/>
        <v>44</v>
      </c>
      <c r="R92" s="8"/>
      <c r="T92"/>
    </row>
    <row r="93" spans="2:20" ht="23.1" customHeight="1" x14ac:dyDescent="0.25">
      <c r="B93" s="45" t="s">
        <v>133</v>
      </c>
      <c r="C93" s="50">
        <v>10</v>
      </c>
      <c r="D93" s="50">
        <v>2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41</v>
      </c>
      <c r="N93" s="50">
        <v>0</v>
      </c>
      <c r="O93" s="15">
        <f t="shared" si="35"/>
        <v>12</v>
      </c>
      <c r="P93" s="15">
        <f t="shared" si="36"/>
        <v>53</v>
      </c>
      <c r="R93" s="8"/>
      <c r="T93"/>
    </row>
    <row r="94" spans="2:20" ht="23.1" customHeight="1" x14ac:dyDescent="0.25">
      <c r="B94" s="46" t="s">
        <v>134</v>
      </c>
      <c r="C94" s="50">
        <v>13</v>
      </c>
      <c r="D94" s="50">
        <v>0</v>
      </c>
      <c r="E94" s="50">
        <v>1</v>
      </c>
      <c r="F94" s="50">
        <v>0</v>
      </c>
      <c r="G94" s="50">
        <v>0</v>
      </c>
      <c r="H94" s="50">
        <v>0</v>
      </c>
      <c r="I94" s="50">
        <v>2</v>
      </c>
      <c r="J94" s="50">
        <v>0</v>
      </c>
      <c r="K94" s="50">
        <v>0</v>
      </c>
      <c r="L94" s="50">
        <v>0</v>
      </c>
      <c r="M94" s="50">
        <v>25</v>
      </c>
      <c r="N94" s="50">
        <v>0</v>
      </c>
      <c r="O94" s="15">
        <f t="shared" si="35"/>
        <v>16</v>
      </c>
      <c r="P94" s="15">
        <f t="shared" si="36"/>
        <v>41</v>
      </c>
      <c r="R94" s="8"/>
      <c r="T94"/>
    </row>
    <row r="95" spans="2:20" ht="23.1" customHeight="1" x14ac:dyDescent="0.25">
      <c r="B95" s="45" t="s">
        <v>135</v>
      </c>
      <c r="C95" s="50">
        <v>13</v>
      </c>
      <c r="D95" s="50">
        <v>1</v>
      </c>
      <c r="E95" s="50">
        <v>1</v>
      </c>
      <c r="F95" s="50">
        <v>0</v>
      </c>
      <c r="G95" s="50">
        <v>0</v>
      </c>
      <c r="H95" s="50">
        <v>0</v>
      </c>
      <c r="I95" s="50">
        <v>2</v>
      </c>
      <c r="J95" s="50">
        <v>0</v>
      </c>
      <c r="K95" s="50">
        <v>0</v>
      </c>
      <c r="L95" s="50">
        <v>0</v>
      </c>
      <c r="M95" s="50">
        <v>42</v>
      </c>
      <c r="N95" s="50">
        <v>0</v>
      </c>
      <c r="O95" s="15">
        <f t="shared" si="35"/>
        <v>17</v>
      </c>
      <c r="P95" s="15">
        <f t="shared" si="36"/>
        <v>59</v>
      </c>
      <c r="R95" s="8"/>
      <c r="T95"/>
    </row>
    <row r="96" spans="2:20" ht="23.1" customHeight="1" x14ac:dyDescent="0.25">
      <c r="B96" s="47" t="s">
        <v>136</v>
      </c>
      <c r="C96" s="50">
        <v>5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1</v>
      </c>
      <c r="J96" s="50">
        <v>2</v>
      </c>
      <c r="K96" s="50">
        <v>0</v>
      </c>
      <c r="L96" s="50">
        <v>0</v>
      </c>
      <c r="M96" s="50">
        <v>31</v>
      </c>
      <c r="N96" s="50">
        <v>0</v>
      </c>
      <c r="O96" s="15">
        <f t="shared" si="35"/>
        <v>8</v>
      </c>
      <c r="P96" s="15">
        <f t="shared" si="36"/>
        <v>39</v>
      </c>
      <c r="R96" s="8"/>
      <c r="T96"/>
    </row>
    <row r="97" spans="2:20" ht="23.1" customHeight="1" x14ac:dyDescent="0.25">
      <c r="B97" s="45" t="s">
        <v>137</v>
      </c>
      <c r="C97" s="50">
        <v>10</v>
      </c>
      <c r="D97" s="50">
        <v>1</v>
      </c>
      <c r="E97" s="50">
        <v>1</v>
      </c>
      <c r="F97" s="50">
        <v>1</v>
      </c>
      <c r="G97" s="50">
        <v>0</v>
      </c>
      <c r="H97" s="50">
        <v>0</v>
      </c>
      <c r="I97" s="50">
        <v>2</v>
      </c>
      <c r="J97" s="50">
        <v>0</v>
      </c>
      <c r="K97" s="50">
        <v>0</v>
      </c>
      <c r="L97" s="50">
        <v>0</v>
      </c>
      <c r="M97" s="50">
        <v>30</v>
      </c>
      <c r="N97" s="50">
        <v>0</v>
      </c>
      <c r="O97" s="15">
        <f t="shared" si="35"/>
        <v>15</v>
      </c>
      <c r="P97" s="15">
        <f t="shared" si="36"/>
        <v>45</v>
      </c>
      <c r="R97" s="8"/>
      <c r="T97"/>
    </row>
    <row r="98" spans="2:20" ht="23.1" customHeight="1" x14ac:dyDescent="0.25">
      <c r="B98" s="46" t="s">
        <v>138</v>
      </c>
      <c r="C98" s="50">
        <v>5</v>
      </c>
      <c r="D98" s="50">
        <v>0</v>
      </c>
      <c r="E98" s="50">
        <v>0</v>
      </c>
      <c r="F98" s="50">
        <v>2</v>
      </c>
      <c r="G98" s="50">
        <v>0</v>
      </c>
      <c r="H98" s="50">
        <v>0</v>
      </c>
      <c r="I98" s="50">
        <v>1</v>
      </c>
      <c r="J98" s="50">
        <v>0</v>
      </c>
      <c r="K98" s="50">
        <v>0</v>
      </c>
      <c r="L98" s="50">
        <v>0</v>
      </c>
      <c r="M98" s="50">
        <v>34</v>
      </c>
      <c r="N98" s="50">
        <v>0</v>
      </c>
      <c r="O98" s="15">
        <f t="shared" si="35"/>
        <v>8</v>
      </c>
      <c r="P98" s="15">
        <f t="shared" si="36"/>
        <v>42</v>
      </c>
      <c r="R98" s="8"/>
      <c r="T98"/>
    </row>
    <row r="99" spans="2:20" ht="23.1" customHeight="1" x14ac:dyDescent="0.25">
      <c r="B99" s="45" t="s">
        <v>139</v>
      </c>
      <c r="C99" s="50">
        <v>6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1</v>
      </c>
      <c r="J99" s="50">
        <v>1</v>
      </c>
      <c r="K99" s="50">
        <v>0</v>
      </c>
      <c r="L99" s="50">
        <v>0</v>
      </c>
      <c r="M99" s="50">
        <v>39</v>
      </c>
      <c r="N99" s="50">
        <v>0</v>
      </c>
      <c r="O99" s="15">
        <f t="shared" si="35"/>
        <v>8</v>
      </c>
      <c r="P99" s="15">
        <f t="shared" si="36"/>
        <v>47</v>
      </c>
      <c r="R99" s="8"/>
      <c r="T99"/>
    </row>
    <row r="100" spans="2:20" ht="23.1" customHeight="1" x14ac:dyDescent="0.25">
      <c r="B100" s="47" t="s">
        <v>140</v>
      </c>
      <c r="C100" s="50">
        <v>6</v>
      </c>
      <c r="D100" s="50">
        <v>2</v>
      </c>
      <c r="E100" s="50">
        <v>34</v>
      </c>
      <c r="F100" s="50">
        <v>0</v>
      </c>
      <c r="G100" s="50">
        <v>0</v>
      </c>
      <c r="H100" s="50">
        <v>2</v>
      </c>
      <c r="I100" s="50">
        <v>0</v>
      </c>
      <c r="J100" s="50">
        <v>0</v>
      </c>
      <c r="K100" s="50">
        <v>0</v>
      </c>
      <c r="L100" s="50">
        <v>0</v>
      </c>
      <c r="M100" s="50">
        <v>70</v>
      </c>
      <c r="N100" s="50">
        <v>0</v>
      </c>
      <c r="O100" s="15">
        <f t="shared" si="35"/>
        <v>44</v>
      </c>
      <c r="P100" s="15">
        <f t="shared" si="36"/>
        <v>114</v>
      </c>
      <c r="R100" s="8"/>
      <c r="T100"/>
    </row>
    <row r="101" spans="2:20" ht="23.1" customHeight="1" x14ac:dyDescent="0.25">
      <c r="B101" s="45" t="s">
        <v>141</v>
      </c>
      <c r="C101" s="50">
        <v>2</v>
      </c>
      <c r="D101" s="50">
        <v>2</v>
      </c>
      <c r="E101" s="50">
        <v>1</v>
      </c>
      <c r="F101" s="50">
        <v>1</v>
      </c>
      <c r="G101" s="50">
        <v>0</v>
      </c>
      <c r="H101" s="50">
        <v>0</v>
      </c>
      <c r="I101" s="50">
        <v>0</v>
      </c>
      <c r="J101" s="50">
        <v>1</v>
      </c>
      <c r="K101" s="50">
        <v>1</v>
      </c>
      <c r="L101" s="50">
        <v>0</v>
      </c>
      <c r="M101" s="50">
        <v>20</v>
      </c>
      <c r="N101" s="50">
        <v>0</v>
      </c>
      <c r="O101" s="15">
        <f t="shared" si="35"/>
        <v>8</v>
      </c>
      <c r="P101" s="15">
        <f t="shared" si="36"/>
        <v>28</v>
      </c>
      <c r="R101" s="8"/>
      <c r="T101"/>
    </row>
    <row r="102" spans="2:20" ht="23.1" customHeight="1" x14ac:dyDescent="0.25">
      <c r="B102" s="46" t="s">
        <v>142</v>
      </c>
      <c r="C102" s="50">
        <v>4</v>
      </c>
      <c r="D102" s="50">
        <v>1</v>
      </c>
      <c r="E102" s="50">
        <v>0</v>
      </c>
      <c r="F102" s="50">
        <v>1</v>
      </c>
      <c r="G102" s="50">
        <v>0</v>
      </c>
      <c r="H102" s="50">
        <v>2</v>
      </c>
      <c r="I102" s="50">
        <v>2</v>
      </c>
      <c r="J102" s="50">
        <v>2</v>
      </c>
      <c r="K102" s="50">
        <v>2</v>
      </c>
      <c r="L102" s="50">
        <v>0</v>
      </c>
      <c r="M102" s="50">
        <v>42</v>
      </c>
      <c r="N102" s="50">
        <v>0</v>
      </c>
      <c r="O102" s="15">
        <f t="shared" si="35"/>
        <v>14</v>
      </c>
      <c r="P102" s="15">
        <f t="shared" si="36"/>
        <v>56</v>
      </c>
      <c r="R102" s="8"/>
      <c r="T102"/>
    </row>
    <row r="103" spans="2:20" ht="23.1" customHeight="1" x14ac:dyDescent="0.25">
      <c r="B103" s="45" t="s">
        <v>143</v>
      </c>
      <c r="C103" s="50">
        <v>6</v>
      </c>
      <c r="D103" s="50">
        <v>1</v>
      </c>
      <c r="E103" s="50">
        <v>1</v>
      </c>
      <c r="F103" s="50">
        <v>2</v>
      </c>
      <c r="G103" s="50">
        <v>0</v>
      </c>
      <c r="H103" s="50">
        <v>0</v>
      </c>
      <c r="I103" s="50">
        <v>0</v>
      </c>
      <c r="J103" s="50">
        <v>2</v>
      </c>
      <c r="K103" s="50">
        <v>0</v>
      </c>
      <c r="L103" s="50">
        <v>0</v>
      </c>
      <c r="M103" s="50">
        <v>68</v>
      </c>
      <c r="N103" s="50">
        <v>0</v>
      </c>
      <c r="O103" s="15">
        <f t="shared" si="35"/>
        <v>12</v>
      </c>
      <c r="P103" s="15">
        <f t="shared" si="36"/>
        <v>80</v>
      </c>
      <c r="R103" s="8"/>
      <c r="T103"/>
    </row>
    <row r="104" spans="2:20" ht="23.1" customHeight="1" x14ac:dyDescent="0.25">
      <c r="B104" s="47" t="s">
        <v>144</v>
      </c>
      <c r="C104" s="50">
        <v>9</v>
      </c>
      <c r="D104" s="50">
        <v>1</v>
      </c>
      <c r="E104" s="50">
        <v>3</v>
      </c>
      <c r="F104" s="50">
        <v>5</v>
      </c>
      <c r="G104" s="50">
        <v>0</v>
      </c>
      <c r="H104" s="50">
        <v>0</v>
      </c>
      <c r="I104" s="50">
        <v>2</v>
      </c>
      <c r="J104" s="50">
        <v>0</v>
      </c>
      <c r="K104" s="50">
        <v>0</v>
      </c>
      <c r="L104" s="50">
        <v>0</v>
      </c>
      <c r="M104" s="50">
        <v>55</v>
      </c>
      <c r="N104" s="50">
        <v>0</v>
      </c>
      <c r="O104" s="15">
        <f t="shared" si="35"/>
        <v>20</v>
      </c>
      <c r="P104" s="15">
        <f t="shared" si="36"/>
        <v>75</v>
      </c>
      <c r="R104" s="8"/>
      <c r="T104"/>
    </row>
    <row r="105" spans="2:20" ht="23.1" customHeight="1" x14ac:dyDescent="0.25">
      <c r="B105" s="45" t="s">
        <v>145</v>
      </c>
      <c r="C105" s="50">
        <v>11</v>
      </c>
      <c r="D105" s="50">
        <v>1</v>
      </c>
      <c r="E105" s="50">
        <v>0</v>
      </c>
      <c r="F105" s="50">
        <v>4</v>
      </c>
      <c r="G105" s="50">
        <v>0</v>
      </c>
      <c r="H105" s="50">
        <v>2</v>
      </c>
      <c r="I105" s="50">
        <v>2</v>
      </c>
      <c r="J105" s="50">
        <v>2</v>
      </c>
      <c r="K105" s="50">
        <v>0</v>
      </c>
      <c r="L105" s="50">
        <v>0</v>
      </c>
      <c r="M105" s="51">
        <v>50</v>
      </c>
      <c r="N105" s="50">
        <v>0</v>
      </c>
      <c r="O105" s="15">
        <f t="shared" si="35"/>
        <v>22</v>
      </c>
      <c r="P105" s="15">
        <f t="shared" si="36"/>
        <v>72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3154</v>
      </c>
      <c r="D106" s="16">
        <f t="shared" ref="D106:P106" si="37">SUM(D10:D105)</f>
        <v>501</v>
      </c>
      <c r="E106" s="16">
        <f t="shared" si="37"/>
        <v>404</v>
      </c>
      <c r="F106" s="16">
        <f t="shared" si="37"/>
        <v>1170</v>
      </c>
      <c r="G106" s="16">
        <f t="shared" si="37"/>
        <v>47</v>
      </c>
      <c r="H106" s="16">
        <f t="shared" si="37"/>
        <v>23</v>
      </c>
      <c r="I106" s="16">
        <f t="shared" si="37"/>
        <v>214</v>
      </c>
      <c r="J106" s="16">
        <f t="shared" si="37"/>
        <v>142</v>
      </c>
      <c r="K106" s="16">
        <f t="shared" si="37"/>
        <v>57</v>
      </c>
      <c r="L106" s="16">
        <f t="shared" si="37"/>
        <v>46</v>
      </c>
      <c r="M106" s="16">
        <f t="shared" si="37"/>
        <v>6446</v>
      </c>
      <c r="N106" s="16">
        <f t="shared" si="37"/>
        <v>0</v>
      </c>
      <c r="O106" s="16">
        <f t="shared" si="37"/>
        <v>5758</v>
      </c>
      <c r="P106" s="16">
        <f t="shared" si="37"/>
        <v>12204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0.25843985578498851</v>
      </c>
      <c r="D107" s="43">
        <f t="shared" si="38"/>
        <v>4.1052114060963617E-2</v>
      </c>
      <c r="E107" s="43">
        <f t="shared" si="38"/>
        <v>3.3103900360537529E-2</v>
      </c>
      <c r="F107" s="43">
        <f t="shared" si="38"/>
        <v>9.5870206489675522E-2</v>
      </c>
      <c r="G107" s="43">
        <f t="shared" si="38"/>
        <v>3.8511963290724354E-3</v>
      </c>
      <c r="H107" s="43">
        <f t="shared" si="38"/>
        <v>1.8846279908226811E-3</v>
      </c>
      <c r="I107" s="43">
        <f t="shared" si="38"/>
        <v>1.7535234349393643E-2</v>
      </c>
      <c r="J107" s="43">
        <f t="shared" si="38"/>
        <v>1.1635529334644379E-2</v>
      </c>
      <c r="K107" s="43">
        <f t="shared" si="38"/>
        <v>4.6705998033431664E-3</v>
      </c>
      <c r="L107" s="43">
        <f t="shared" si="38"/>
        <v>3.7692559816453622E-3</v>
      </c>
      <c r="M107" s="43">
        <f t="shared" si="38"/>
        <v>0.52818747951491318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0.54775963876345957</v>
      </c>
      <c r="D108" s="44">
        <f t="shared" ref="D108:N108" si="39">D106/$O$106</f>
        <v>8.7009378256339004E-2</v>
      </c>
      <c r="E108" s="44">
        <f t="shared" si="39"/>
        <v>7.0163251128864193E-2</v>
      </c>
      <c r="F108" s="44">
        <f t="shared" si="39"/>
        <v>0.20319555401180966</v>
      </c>
      <c r="G108" s="44">
        <f t="shared" si="39"/>
        <v>8.1625564432094479E-3</v>
      </c>
      <c r="H108" s="44">
        <f t="shared" si="39"/>
        <v>3.9944425147620697E-3</v>
      </c>
      <c r="I108" s="44">
        <f t="shared" si="39"/>
        <v>3.7165682528655784E-2</v>
      </c>
      <c r="J108" s="44">
        <f t="shared" si="39"/>
        <v>2.4661340743313651E-2</v>
      </c>
      <c r="K108" s="44">
        <f t="shared" si="39"/>
        <v>9.8992705800625223E-3</v>
      </c>
      <c r="L108" s="44">
        <f t="shared" si="39"/>
        <v>7.9888850295241395E-3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D1" zoomScale="84" zoomScaleSheetLayoutView="84" workbookViewId="0">
      <selection activeCell="G6" sqref="G6:H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2" t="str">
        <f>'22.07 Kitebi-Kabusu'!C3:G3</f>
        <v>MCC - C1 - STN06-WANKULUKUKU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168</v>
      </c>
      <c r="E5" s="3"/>
      <c r="F5" s="41" t="s">
        <v>1</v>
      </c>
      <c r="G5" s="57" t="str">
        <f>'27.07 Kabusu-Kitebi-24h'!G5:H5</f>
        <v>kobil head office</v>
      </c>
      <c r="H5" s="58"/>
      <c r="I5" s="14"/>
      <c r="J5" s="2" t="s">
        <v>5</v>
      </c>
      <c r="K5" s="57" t="s">
        <v>172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tr">
        <f>'22.07 Kitebi-Kabusu'!D6:E6</f>
        <v>Kitebi</v>
      </c>
      <c r="E6" s="58"/>
      <c r="F6" s="2" t="s">
        <v>2</v>
      </c>
      <c r="G6" s="57" t="str">
        <f>'22.07 Kitebi-Kabusu'!G6:H6</f>
        <v>Kabusu</v>
      </c>
      <c r="H6" s="58"/>
      <c r="J6" s="2" t="s">
        <v>21</v>
      </c>
      <c r="K6" s="57" t="str">
        <f>'27.07 Kabusu-Kitebi-24h'!K6:L6</f>
        <v>Oloya Felix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26</v>
      </c>
      <c r="D10" s="50">
        <v>1</v>
      </c>
      <c r="E10" s="50">
        <v>5</v>
      </c>
      <c r="F10" s="50">
        <v>23</v>
      </c>
      <c r="G10" s="50">
        <v>1</v>
      </c>
      <c r="H10" s="50">
        <v>0</v>
      </c>
      <c r="I10" s="50">
        <v>1</v>
      </c>
      <c r="J10" s="50">
        <v>0</v>
      </c>
      <c r="K10" s="50">
        <v>1</v>
      </c>
      <c r="L10" s="50">
        <v>1</v>
      </c>
      <c r="M10" s="50">
        <v>121</v>
      </c>
      <c r="N10" s="50">
        <v>0</v>
      </c>
      <c r="O10" s="15">
        <f t="shared" ref="O10:O57" si="0">SUM(C10:L10,N10)</f>
        <v>59</v>
      </c>
      <c r="P10" s="15">
        <f t="shared" ref="P10:P57" si="1">SUM(C10:N10)</f>
        <v>180</v>
      </c>
      <c r="R10" s="1" t="s">
        <v>6</v>
      </c>
      <c r="S10" s="17">
        <f t="shared" ref="S10:AF10" si="2">SUM(C10:C13)</f>
        <v>127</v>
      </c>
      <c r="T10" s="17">
        <f t="shared" si="2"/>
        <v>12</v>
      </c>
      <c r="U10" s="17">
        <f t="shared" si="2"/>
        <v>24</v>
      </c>
      <c r="V10" s="17">
        <f t="shared" si="2"/>
        <v>89</v>
      </c>
      <c r="W10" s="17">
        <f t="shared" si="2"/>
        <v>2</v>
      </c>
      <c r="X10" s="17">
        <f t="shared" si="2"/>
        <v>0</v>
      </c>
      <c r="Y10" s="17">
        <f t="shared" si="2"/>
        <v>10</v>
      </c>
      <c r="Z10" s="17">
        <f t="shared" si="2"/>
        <v>0</v>
      </c>
      <c r="AA10" s="17">
        <f t="shared" si="2"/>
        <v>1</v>
      </c>
      <c r="AB10" s="17">
        <f t="shared" si="2"/>
        <v>1</v>
      </c>
      <c r="AC10" s="17">
        <f t="shared" si="2"/>
        <v>586</v>
      </c>
      <c r="AD10" s="17">
        <f t="shared" si="2"/>
        <v>0</v>
      </c>
      <c r="AE10" s="31">
        <f t="shared" si="2"/>
        <v>266</v>
      </c>
      <c r="AF10" s="31">
        <f t="shared" si="2"/>
        <v>852</v>
      </c>
    </row>
    <row r="11" spans="2:32" s="6" customFormat="1" ht="23.1" customHeight="1" x14ac:dyDescent="0.25">
      <c r="B11" s="23" t="s">
        <v>38</v>
      </c>
      <c r="C11" s="50">
        <v>27</v>
      </c>
      <c r="D11" s="50">
        <v>1</v>
      </c>
      <c r="E11" s="50">
        <v>8</v>
      </c>
      <c r="F11" s="50">
        <v>21</v>
      </c>
      <c r="G11" s="50">
        <v>1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135</v>
      </c>
      <c r="N11" s="50">
        <v>0</v>
      </c>
      <c r="O11" s="15">
        <f t="shared" si="0"/>
        <v>59</v>
      </c>
      <c r="P11" s="15">
        <f t="shared" si="1"/>
        <v>194</v>
      </c>
      <c r="R11" s="1" t="s">
        <v>7</v>
      </c>
      <c r="S11" s="17">
        <f t="shared" ref="S11:AF11" si="3">SUM(C14:C17)</f>
        <v>198</v>
      </c>
      <c r="T11" s="17">
        <f t="shared" si="3"/>
        <v>23</v>
      </c>
      <c r="U11" s="17">
        <f t="shared" si="3"/>
        <v>23</v>
      </c>
      <c r="V11" s="17">
        <f t="shared" si="3"/>
        <v>107</v>
      </c>
      <c r="W11" s="17">
        <f t="shared" si="3"/>
        <v>2</v>
      </c>
      <c r="X11" s="17">
        <f t="shared" si="3"/>
        <v>1</v>
      </c>
      <c r="Y11" s="17">
        <f t="shared" si="3"/>
        <v>13</v>
      </c>
      <c r="Z11" s="17">
        <f t="shared" si="3"/>
        <v>2</v>
      </c>
      <c r="AA11" s="17">
        <f t="shared" si="3"/>
        <v>0</v>
      </c>
      <c r="AB11" s="17">
        <f t="shared" si="3"/>
        <v>1</v>
      </c>
      <c r="AC11" s="17">
        <f t="shared" si="3"/>
        <v>825</v>
      </c>
      <c r="AD11" s="17">
        <f t="shared" si="3"/>
        <v>0</v>
      </c>
      <c r="AE11" s="31">
        <f t="shared" si="3"/>
        <v>370</v>
      </c>
      <c r="AF11" s="31">
        <f t="shared" si="3"/>
        <v>1195</v>
      </c>
    </row>
    <row r="12" spans="2:32" ht="23.1" customHeight="1" x14ac:dyDescent="0.25">
      <c r="B12" s="23" t="s">
        <v>39</v>
      </c>
      <c r="C12" s="50">
        <v>29</v>
      </c>
      <c r="D12" s="50">
        <v>4</v>
      </c>
      <c r="E12" s="50">
        <v>5</v>
      </c>
      <c r="F12" s="50">
        <v>23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167</v>
      </c>
      <c r="N12" s="50">
        <v>0</v>
      </c>
      <c r="O12" s="15">
        <f t="shared" si="0"/>
        <v>62</v>
      </c>
      <c r="P12" s="15">
        <f t="shared" si="1"/>
        <v>229</v>
      </c>
      <c r="R12" s="1" t="s">
        <v>8</v>
      </c>
      <c r="S12" s="17">
        <f t="shared" ref="S12:AF12" si="4">SUM(C18:C21)</f>
        <v>262</v>
      </c>
      <c r="T12" s="17">
        <f t="shared" si="4"/>
        <v>49</v>
      </c>
      <c r="U12" s="17">
        <f t="shared" si="4"/>
        <v>45</v>
      </c>
      <c r="V12" s="17">
        <f t="shared" si="4"/>
        <v>100</v>
      </c>
      <c r="W12" s="17">
        <f t="shared" si="4"/>
        <v>1</v>
      </c>
      <c r="X12" s="17">
        <f t="shared" si="4"/>
        <v>1</v>
      </c>
      <c r="Y12" s="17">
        <f t="shared" si="4"/>
        <v>20</v>
      </c>
      <c r="Z12" s="17">
        <f t="shared" si="4"/>
        <v>0</v>
      </c>
      <c r="AA12" s="17">
        <f t="shared" si="4"/>
        <v>1</v>
      </c>
      <c r="AB12" s="17">
        <f t="shared" si="4"/>
        <v>2</v>
      </c>
      <c r="AC12" s="17">
        <f t="shared" si="4"/>
        <v>865</v>
      </c>
      <c r="AD12" s="17">
        <f t="shared" si="4"/>
        <v>0</v>
      </c>
      <c r="AE12" s="31">
        <f t="shared" si="4"/>
        <v>481</v>
      </c>
      <c r="AF12" s="31">
        <f t="shared" si="4"/>
        <v>1346</v>
      </c>
    </row>
    <row r="13" spans="2:32" ht="23.1" customHeight="1" x14ac:dyDescent="0.25">
      <c r="B13" s="23" t="s">
        <v>40</v>
      </c>
      <c r="C13" s="50">
        <v>45</v>
      </c>
      <c r="D13" s="50">
        <v>6</v>
      </c>
      <c r="E13" s="50">
        <v>6</v>
      </c>
      <c r="F13" s="50">
        <v>22</v>
      </c>
      <c r="G13" s="50">
        <v>0</v>
      </c>
      <c r="H13" s="50">
        <v>0</v>
      </c>
      <c r="I13" s="50">
        <v>7</v>
      </c>
      <c r="J13" s="50">
        <v>0</v>
      </c>
      <c r="K13" s="50">
        <v>0</v>
      </c>
      <c r="L13" s="50">
        <v>0</v>
      </c>
      <c r="M13" s="50">
        <v>163</v>
      </c>
      <c r="N13" s="50">
        <v>0</v>
      </c>
      <c r="O13" s="15">
        <f t="shared" si="0"/>
        <v>86</v>
      </c>
      <c r="P13" s="15">
        <f t="shared" si="1"/>
        <v>249</v>
      </c>
      <c r="R13" s="1" t="s">
        <v>9</v>
      </c>
      <c r="S13" s="17">
        <f t="shared" ref="S13:AF13" si="5">SUM(C22:C25)</f>
        <v>331</v>
      </c>
      <c r="T13" s="17">
        <f t="shared" si="5"/>
        <v>33</v>
      </c>
      <c r="U13" s="17">
        <f t="shared" si="5"/>
        <v>21</v>
      </c>
      <c r="V13" s="17">
        <f t="shared" si="5"/>
        <v>94</v>
      </c>
      <c r="W13" s="17">
        <f t="shared" si="5"/>
        <v>1</v>
      </c>
      <c r="X13" s="17">
        <f t="shared" si="5"/>
        <v>0</v>
      </c>
      <c r="Y13" s="17">
        <f t="shared" si="5"/>
        <v>24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735</v>
      </c>
      <c r="AD13" s="17">
        <f t="shared" si="5"/>
        <v>0</v>
      </c>
      <c r="AE13" s="31">
        <f t="shared" si="5"/>
        <v>506</v>
      </c>
      <c r="AF13" s="31">
        <f t="shared" si="5"/>
        <v>1241</v>
      </c>
    </row>
    <row r="14" spans="2:32" ht="23.1" customHeight="1" x14ac:dyDescent="0.25">
      <c r="B14" s="23" t="s">
        <v>41</v>
      </c>
      <c r="C14" s="50">
        <v>42</v>
      </c>
      <c r="D14" s="50">
        <v>6</v>
      </c>
      <c r="E14" s="50">
        <v>5</v>
      </c>
      <c r="F14" s="50">
        <v>26</v>
      </c>
      <c r="G14" s="50">
        <v>0</v>
      </c>
      <c r="H14" s="50">
        <v>0</v>
      </c>
      <c r="I14" s="50">
        <v>3</v>
      </c>
      <c r="J14" s="50">
        <v>0</v>
      </c>
      <c r="K14" s="50">
        <v>0</v>
      </c>
      <c r="L14" s="50">
        <v>0</v>
      </c>
      <c r="M14" s="50">
        <v>180</v>
      </c>
      <c r="N14" s="50">
        <v>0</v>
      </c>
      <c r="O14" s="15">
        <f t="shared" si="0"/>
        <v>82</v>
      </c>
      <c r="P14" s="15">
        <f t="shared" si="1"/>
        <v>262</v>
      </c>
      <c r="R14" s="1" t="s">
        <v>10</v>
      </c>
      <c r="S14" s="17">
        <f t="shared" ref="S14:AF14" si="6">SUM(C26:C29)</f>
        <v>335</v>
      </c>
      <c r="T14" s="17">
        <f t="shared" si="6"/>
        <v>43</v>
      </c>
      <c r="U14" s="17">
        <f t="shared" si="6"/>
        <v>26</v>
      </c>
      <c r="V14" s="17">
        <f t="shared" si="6"/>
        <v>141</v>
      </c>
      <c r="W14" s="17">
        <f t="shared" si="6"/>
        <v>0</v>
      </c>
      <c r="X14" s="17">
        <f t="shared" si="6"/>
        <v>2</v>
      </c>
      <c r="Y14" s="17">
        <f t="shared" si="6"/>
        <v>15</v>
      </c>
      <c r="Z14" s="17">
        <f t="shared" si="6"/>
        <v>2</v>
      </c>
      <c r="AA14" s="17">
        <f t="shared" si="6"/>
        <v>0</v>
      </c>
      <c r="AB14" s="17">
        <f t="shared" si="6"/>
        <v>1</v>
      </c>
      <c r="AC14" s="17">
        <f t="shared" si="6"/>
        <v>575</v>
      </c>
      <c r="AD14" s="17">
        <f t="shared" si="6"/>
        <v>0</v>
      </c>
      <c r="AE14" s="31">
        <f t="shared" si="6"/>
        <v>565</v>
      </c>
      <c r="AF14" s="31">
        <f t="shared" si="6"/>
        <v>1140</v>
      </c>
    </row>
    <row r="15" spans="2:32" ht="23.1" customHeight="1" x14ac:dyDescent="0.25">
      <c r="B15" s="23" t="s">
        <v>42</v>
      </c>
      <c r="C15" s="50">
        <v>56</v>
      </c>
      <c r="D15" s="50">
        <v>2</v>
      </c>
      <c r="E15" s="50">
        <v>4</v>
      </c>
      <c r="F15" s="50">
        <v>26</v>
      </c>
      <c r="G15" s="50">
        <v>2</v>
      </c>
      <c r="H15" s="50">
        <v>0</v>
      </c>
      <c r="I15" s="50">
        <v>5</v>
      </c>
      <c r="J15" s="50">
        <v>1</v>
      </c>
      <c r="K15" s="50">
        <v>0</v>
      </c>
      <c r="L15" s="50">
        <v>0</v>
      </c>
      <c r="M15" s="50">
        <v>234</v>
      </c>
      <c r="N15" s="50">
        <v>0</v>
      </c>
      <c r="O15" s="15">
        <f t="shared" si="0"/>
        <v>96</v>
      </c>
      <c r="P15" s="15">
        <f t="shared" si="1"/>
        <v>330</v>
      </c>
      <c r="R15" s="1" t="s">
        <v>11</v>
      </c>
      <c r="S15" s="17">
        <f t="shared" ref="S15:AF15" si="7">SUM(C30:C33)</f>
        <v>246</v>
      </c>
      <c r="T15" s="17">
        <f t="shared" si="7"/>
        <v>31</v>
      </c>
      <c r="U15" s="17">
        <f t="shared" si="7"/>
        <v>34</v>
      </c>
      <c r="V15" s="17">
        <f t="shared" si="7"/>
        <v>109</v>
      </c>
      <c r="W15" s="17">
        <f t="shared" si="7"/>
        <v>0</v>
      </c>
      <c r="X15" s="17">
        <f t="shared" si="7"/>
        <v>0</v>
      </c>
      <c r="Y15" s="17">
        <f t="shared" si="7"/>
        <v>10</v>
      </c>
      <c r="Z15" s="17">
        <f t="shared" si="7"/>
        <v>0</v>
      </c>
      <c r="AA15" s="17">
        <f t="shared" si="7"/>
        <v>1</v>
      </c>
      <c r="AB15" s="17">
        <f t="shared" si="7"/>
        <v>0</v>
      </c>
      <c r="AC15" s="17">
        <f t="shared" si="7"/>
        <v>452</v>
      </c>
      <c r="AD15" s="17">
        <f t="shared" si="7"/>
        <v>0</v>
      </c>
      <c r="AE15" s="31">
        <f t="shared" si="7"/>
        <v>431</v>
      </c>
      <c r="AF15" s="31">
        <f t="shared" si="7"/>
        <v>883</v>
      </c>
    </row>
    <row r="16" spans="2:32" ht="23.1" customHeight="1" x14ac:dyDescent="0.25">
      <c r="B16" s="23" t="s">
        <v>43</v>
      </c>
      <c r="C16" s="50">
        <v>54</v>
      </c>
      <c r="D16" s="50">
        <v>9</v>
      </c>
      <c r="E16" s="50">
        <v>8</v>
      </c>
      <c r="F16" s="50">
        <v>35</v>
      </c>
      <c r="G16" s="50">
        <v>0</v>
      </c>
      <c r="H16" s="50">
        <v>0</v>
      </c>
      <c r="I16" s="50">
        <v>3</v>
      </c>
      <c r="J16" s="50">
        <v>1</v>
      </c>
      <c r="K16" s="50">
        <v>0</v>
      </c>
      <c r="L16" s="50">
        <v>0</v>
      </c>
      <c r="M16" s="50">
        <v>190</v>
      </c>
      <c r="N16" s="50">
        <v>0</v>
      </c>
      <c r="O16" s="15">
        <f t="shared" si="0"/>
        <v>110</v>
      </c>
      <c r="P16" s="15">
        <f t="shared" si="1"/>
        <v>300</v>
      </c>
      <c r="R16" s="1" t="s">
        <v>12</v>
      </c>
      <c r="S16" s="17">
        <f t="shared" ref="S16:AF16" si="8">SUM(C34:C37)</f>
        <v>239</v>
      </c>
      <c r="T16" s="17">
        <f t="shared" si="8"/>
        <v>28</v>
      </c>
      <c r="U16" s="17">
        <f t="shared" si="8"/>
        <v>18</v>
      </c>
      <c r="V16" s="17">
        <f t="shared" si="8"/>
        <v>72</v>
      </c>
      <c r="W16" s="17">
        <f t="shared" si="8"/>
        <v>0</v>
      </c>
      <c r="X16" s="17">
        <f t="shared" si="8"/>
        <v>1</v>
      </c>
      <c r="Y16" s="17">
        <f t="shared" si="8"/>
        <v>14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501</v>
      </c>
      <c r="AD16" s="17">
        <f t="shared" si="8"/>
        <v>0</v>
      </c>
      <c r="AE16" s="31">
        <f t="shared" si="8"/>
        <v>372</v>
      </c>
      <c r="AF16" s="31">
        <f t="shared" si="8"/>
        <v>873</v>
      </c>
    </row>
    <row r="17" spans="2:32" ht="23.1" customHeight="1" x14ac:dyDescent="0.25">
      <c r="B17" s="23" t="s">
        <v>44</v>
      </c>
      <c r="C17" s="50">
        <v>46</v>
      </c>
      <c r="D17" s="50">
        <v>6</v>
      </c>
      <c r="E17" s="50">
        <v>6</v>
      </c>
      <c r="F17" s="50">
        <v>20</v>
      </c>
      <c r="G17" s="50">
        <v>0</v>
      </c>
      <c r="H17" s="50">
        <v>1</v>
      </c>
      <c r="I17" s="50">
        <v>2</v>
      </c>
      <c r="J17" s="50">
        <v>0</v>
      </c>
      <c r="K17" s="50">
        <v>0</v>
      </c>
      <c r="L17" s="50">
        <v>1</v>
      </c>
      <c r="M17" s="50">
        <v>221</v>
      </c>
      <c r="N17" s="50">
        <v>0</v>
      </c>
      <c r="O17" s="15">
        <f t="shared" si="0"/>
        <v>82</v>
      </c>
      <c r="P17" s="15">
        <f t="shared" si="1"/>
        <v>303</v>
      </c>
      <c r="R17" s="1" t="s">
        <v>13</v>
      </c>
      <c r="S17" s="17">
        <f t="shared" ref="S17:AF17" si="9">SUM(C38:C41)</f>
        <v>207</v>
      </c>
      <c r="T17" s="17">
        <f t="shared" si="9"/>
        <v>42</v>
      </c>
      <c r="U17" s="17">
        <f t="shared" si="9"/>
        <v>24</v>
      </c>
      <c r="V17" s="17">
        <f t="shared" si="9"/>
        <v>67</v>
      </c>
      <c r="W17" s="17">
        <f t="shared" si="9"/>
        <v>1</v>
      </c>
      <c r="X17" s="17">
        <f t="shared" si="9"/>
        <v>0</v>
      </c>
      <c r="Y17" s="17">
        <f t="shared" si="9"/>
        <v>9</v>
      </c>
      <c r="Z17" s="17">
        <f t="shared" si="9"/>
        <v>3</v>
      </c>
      <c r="AA17" s="17">
        <f t="shared" si="9"/>
        <v>3</v>
      </c>
      <c r="AB17" s="17">
        <f t="shared" si="9"/>
        <v>2</v>
      </c>
      <c r="AC17" s="17">
        <f t="shared" si="9"/>
        <v>622</v>
      </c>
      <c r="AD17" s="17">
        <f t="shared" si="9"/>
        <v>0</v>
      </c>
      <c r="AE17" s="31">
        <f t="shared" si="9"/>
        <v>358</v>
      </c>
      <c r="AF17" s="31">
        <f t="shared" si="9"/>
        <v>980</v>
      </c>
    </row>
    <row r="18" spans="2:32" ht="23.1" customHeight="1" x14ac:dyDescent="0.25">
      <c r="B18" s="23" t="s">
        <v>45</v>
      </c>
      <c r="C18" s="50">
        <v>65</v>
      </c>
      <c r="D18" s="50">
        <v>10</v>
      </c>
      <c r="E18" s="50">
        <v>9</v>
      </c>
      <c r="F18" s="50">
        <v>22</v>
      </c>
      <c r="G18" s="50">
        <v>0</v>
      </c>
      <c r="H18" s="50">
        <v>0</v>
      </c>
      <c r="I18" s="50">
        <v>7</v>
      </c>
      <c r="J18" s="50">
        <v>0</v>
      </c>
      <c r="K18" s="50">
        <v>0</v>
      </c>
      <c r="L18" s="50">
        <v>1</v>
      </c>
      <c r="M18" s="50">
        <v>246</v>
      </c>
      <c r="N18" s="50">
        <v>0</v>
      </c>
      <c r="O18" s="15">
        <f t="shared" si="0"/>
        <v>114</v>
      </c>
      <c r="P18" s="15">
        <f t="shared" si="1"/>
        <v>360</v>
      </c>
      <c r="R18" s="1" t="s">
        <v>14</v>
      </c>
      <c r="S18" s="17">
        <f t="shared" ref="S18:AF18" si="10">SUM(C42:C45)</f>
        <v>203</v>
      </c>
      <c r="T18" s="17">
        <f t="shared" si="10"/>
        <v>39</v>
      </c>
      <c r="U18" s="17">
        <f t="shared" si="10"/>
        <v>21</v>
      </c>
      <c r="V18" s="17">
        <f t="shared" si="10"/>
        <v>86</v>
      </c>
      <c r="W18" s="17">
        <f t="shared" si="10"/>
        <v>5</v>
      </c>
      <c r="X18" s="17">
        <f t="shared" si="10"/>
        <v>1</v>
      </c>
      <c r="Y18" s="17">
        <f t="shared" si="10"/>
        <v>10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662</v>
      </c>
      <c r="AD18" s="17">
        <f t="shared" si="10"/>
        <v>0</v>
      </c>
      <c r="AE18" s="31">
        <f t="shared" si="10"/>
        <v>367</v>
      </c>
      <c r="AF18" s="31">
        <f t="shared" si="10"/>
        <v>1029</v>
      </c>
    </row>
    <row r="19" spans="2:32" ht="23.1" customHeight="1" x14ac:dyDescent="0.25">
      <c r="B19" s="23" t="s">
        <v>46</v>
      </c>
      <c r="C19" s="50">
        <v>67</v>
      </c>
      <c r="D19" s="50">
        <v>5</v>
      </c>
      <c r="E19" s="50">
        <v>10</v>
      </c>
      <c r="F19" s="50">
        <v>26</v>
      </c>
      <c r="G19" s="50">
        <v>1</v>
      </c>
      <c r="H19" s="50">
        <v>0</v>
      </c>
      <c r="I19" s="50">
        <v>5</v>
      </c>
      <c r="J19" s="50">
        <v>0</v>
      </c>
      <c r="K19" s="50">
        <v>0</v>
      </c>
      <c r="L19" s="50">
        <v>0</v>
      </c>
      <c r="M19" s="50">
        <v>225</v>
      </c>
      <c r="N19" s="50">
        <v>0</v>
      </c>
      <c r="O19" s="15">
        <f t="shared" si="0"/>
        <v>114</v>
      </c>
      <c r="P19" s="15">
        <f t="shared" si="1"/>
        <v>339</v>
      </c>
      <c r="R19" s="1" t="s">
        <v>15</v>
      </c>
      <c r="S19" s="17">
        <f t="shared" ref="S19:AF19" si="11">SUM(C46:C49)</f>
        <v>153</v>
      </c>
      <c r="T19" s="17">
        <f t="shared" si="11"/>
        <v>16</v>
      </c>
      <c r="U19" s="17">
        <f t="shared" si="11"/>
        <v>23</v>
      </c>
      <c r="V19" s="17">
        <f t="shared" si="11"/>
        <v>61</v>
      </c>
      <c r="W19" s="17">
        <f t="shared" si="11"/>
        <v>1</v>
      </c>
      <c r="X19" s="17">
        <f t="shared" si="11"/>
        <v>0</v>
      </c>
      <c r="Y19" s="17">
        <f t="shared" si="11"/>
        <v>9</v>
      </c>
      <c r="Z19" s="17">
        <f t="shared" si="11"/>
        <v>2</v>
      </c>
      <c r="AA19" s="17">
        <f t="shared" si="11"/>
        <v>1</v>
      </c>
      <c r="AB19" s="17">
        <f t="shared" si="11"/>
        <v>4</v>
      </c>
      <c r="AC19" s="17">
        <f t="shared" si="11"/>
        <v>415</v>
      </c>
      <c r="AD19" s="17">
        <f t="shared" si="11"/>
        <v>0</v>
      </c>
      <c r="AE19" s="31">
        <f t="shared" si="11"/>
        <v>270</v>
      </c>
      <c r="AF19" s="31">
        <f t="shared" si="11"/>
        <v>685</v>
      </c>
    </row>
    <row r="20" spans="2:32" ht="23.1" customHeight="1" x14ac:dyDescent="0.25">
      <c r="B20" s="23" t="s">
        <v>47</v>
      </c>
      <c r="C20" s="50">
        <v>70</v>
      </c>
      <c r="D20" s="50">
        <v>14</v>
      </c>
      <c r="E20" s="50">
        <v>15</v>
      </c>
      <c r="F20" s="50">
        <v>22</v>
      </c>
      <c r="G20" s="50">
        <v>0</v>
      </c>
      <c r="H20" s="50">
        <v>1</v>
      </c>
      <c r="I20" s="50">
        <v>6</v>
      </c>
      <c r="J20" s="50">
        <v>0</v>
      </c>
      <c r="K20" s="50">
        <v>1</v>
      </c>
      <c r="L20" s="50">
        <v>0</v>
      </c>
      <c r="M20" s="50">
        <v>224</v>
      </c>
      <c r="N20" s="50">
        <v>0</v>
      </c>
      <c r="O20" s="15">
        <f t="shared" si="0"/>
        <v>129</v>
      </c>
      <c r="P20" s="15">
        <f t="shared" si="1"/>
        <v>353</v>
      </c>
      <c r="R20" s="1" t="s">
        <v>16</v>
      </c>
      <c r="S20" s="17">
        <f t="shared" ref="S20:AF20" si="12">SUM(C50:C53)</f>
        <v>173</v>
      </c>
      <c r="T20" s="17">
        <f t="shared" si="12"/>
        <v>29</v>
      </c>
      <c r="U20" s="17">
        <f t="shared" si="12"/>
        <v>21</v>
      </c>
      <c r="V20" s="17">
        <f t="shared" si="12"/>
        <v>65</v>
      </c>
      <c r="W20" s="17">
        <f t="shared" si="12"/>
        <v>2</v>
      </c>
      <c r="X20" s="17">
        <f t="shared" si="12"/>
        <v>0</v>
      </c>
      <c r="Y20" s="17">
        <f t="shared" si="12"/>
        <v>19</v>
      </c>
      <c r="Z20" s="17">
        <f t="shared" si="12"/>
        <v>1</v>
      </c>
      <c r="AA20" s="17">
        <f t="shared" si="12"/>
        <v>1</v>
      </c>
      <c r="AB20" s="17">
        <f t="shared" si="12"/>
        <v>0</v>
      </c>
      <c r="AC20" s="17">
        <f t="shared" si="12"/>
        <v>471</v>
      </c>
      <c r="AD20" s="17">
        <f t="shared" si="12"/>
        <v>0</v>
      </c>
      <c r="AE20" s="31">
        <f t="shared" si="12"/>
        <v>311</v>
      </c>
      <c r="AF20" s="31">
        <f t="shared" si="12"/>
        <v>782</v>
      </c>
    </row>
    <row r="21" spans="2:32" ht="23.1" customHeight="1" x14ac:dyDescent="0.25">
      <c r="B21" s="23" t="s">
        <v>48</v>
      </c>
      <c r="C21" s="50">
        <v>60</v>
      </c>
      <c r="D21" s="50">
        <v>20</v>
      </c>
      <c r="E21" s="50">
        <v>11</v>
      </c>
      <c r="F21" s="50">
        <v>30</v>
      </c>
      <c r="G21" s="50">
        <v>0</v>
      </c>
      <c r="H21" s="50">
        <v>0</v>
      </c>
      <c r="I21" s="50">
        <v>2</v>
      </c>
      <c r="J21" s="50">
        <v>0</v>
      </c>
      <c r="K21" s="50">
        <v>0</v>
      </c>
      <c r="L21" s="50">
        <v>1</v>
      </c>
      <c r="M21" s="50">
        <v>170</v>
      </c>
      <c r="N21" s="50">
        <v>0</v>
      </c>
      <c r="O21" s="15">
        <f t="shared" si="0"/>
        <v>124</v>
      </c>
      <c r="P21" s="15">
        <f t="shared" si="1"/>
        <v>294</v>
      </c>
      <c r="R21" s="36" t="s">
        <v>20</v>
      </c>
      <c r="S21" s="34">
        <f t="shared" ref="S21:AF21" si="13">SUM(C54:C57)</f>
        <v>188</v>
      </c>
      <c r="T21" s="17">
        <f t="shared" si="13"/>
        <v>32</v>
      </c>
      <c r="U21" s="17">
        <f t="shared" si="13"/>
        <v>12</v>
      </c>
      <c r="V21" s="17">
        <f t="shared" si="13"/>
        <v>86</v>
      </c>
      <c r="W21" s="17">
        <f t="shared" si="13"/>
        <v>2</v>
      </c>
      <c r="X21" s="17">
        <f t="shared" si="13"/>
        <v>0</v>
      </c>
      <c r="Y21" s="17">
        <f t="shared" si="13"/>
        <v>9</v>
      </c>
      <c r="Z21" s="17">
        <f t="shared" si="13"/>
        <v>0</v>
      </c>
      <c r="AA21" s="17">
        <f t="shared" si="13"/>
        <v>0</v>
      </c>
      <c r="AB21" s="17">
        <f t="shared" si="13"/>
        <v>1</v>
      </c>
      <c r="AC21" s="17">
        <f t="shared" si="13"/>
        <v>463</v>
      </c>
      <c r="AD21" s="17">
        <f t="shared" si="13"/>
        <v>0</v>
      </c>
      <c r="AE21" s="31">
        <f t="shared" si="13"/>
        <v>330</v>
      </c>
      <c r="AF21" s="31">
        <f t="shared" si="13"/>
        <v>793</v>
      </c>
    </row>
    <row r="22" spans="2:32" ht="23.1" customHeight="1" x14ac:dyDescent="0.25">
      <c r="B22" s="23" t="s">
        <v>49</v>
      </c>
      <c r="C22" s="50">
        <v>69</v>
      </c>
      <c r="D22" s="50">
        <v>15</v>
      </c>
      <c r="E22" s="50">
        <v>6</v>
      </c>
      <c r="F22" s="50">
        <v>22</v>
      </c>
      <c r="G22" s="50">
        <v>0</v>
      </c>
      <c r="H22" s="50">
        <v>0</v>
      </c>
      <c r="I22" s="50">
        <v>6</v>
      </c>
      <c r="J22" s="50">
        <v>0</v>
      </c>
      <c r="K22" s="50">
        <v>0</v>
      </c>
      <c r="L22" s="50">
        <v>0</v>
      </c>
      <c r="M22" s="50">
        <v>200</v>
      </c>
      <c r="N22" s="50">
        <v>0</v>
      </c>
      <c r="O22" s="15">
        <f t="shared" si="0"/>
        <v>118</v>
      </c>
      <c r="P22" s="15">
        <f t="shared" si="1"/>
        <v>318</v>
      </c>
      <c r="R22" s="38" t="s">
        <v>90</v>
      </c>
      <c r="S22" s="39">
        <f>MAX(S10:S12)</f>
        <v>262</v>
      </c>
      <c r="T22" s="39">
        <f t="shared" ref="T22:AF22" si="14">MAX(T10:T12)</f>
        <v>49</v>
      </c>
      <c r="U22" s="39">
        <f t="shared" si="14"/>
        <v>45</v>
      </c>
      <c r="V22" s="39">
        <f t="shared" si="14"/>
        <v>107</v>
      </c>
      <c r="W22" s="39">
        <f t="shared" si="14"/>
        <v>2</v>
      </c>
      <c r="X22" s="39">
        <f t="shared" si="14"/>
        <v>1</v>
      </c>
      <c r="Y22" s="39">
        <f t="shared" si="14"/>
        <v>20</v>
      </c>
      <c r="Z22" s="39">
        <f t="shared" si="14"/>
        <v>2</v>
      </c>
      <c r="AA22" s="39">
        <f t="shared" si="14"/>
        <v>1</v>
      </c>
      <c r="AB22" s="39">
        <f t="shared" si="14"/>
        <v>2</v>
      </c>
      <c r="AC22" s="39">
        <f t="shared" si="14"/>
        <v>865</v>
      </c>
      <c r="AD22" s="39">
        <f t="shared" si="14"/>
        <v>0</v>
      </c>
      <c r="AE22" s="40">
        <f t="shared" si="14"/>
        <v>481</v>
      </c>
      <c r="AF22" s="40">
        <f t="shared" si="14"/>
        <v>1346</v>
      </c>
    </row>
    <row r="23" spans="2:32" ht="23.1" customHeight="1" x14ac:dyDescent="0.25">
      <c r="B23" s="23" t="s">
        <v>50</v>
      </c>
      <c r="C23" s="50">
        <v>82</v>
      </c>
      <c r="D23" s="50">
        <v>10</v>
      </c>
      <c r="E23" s="50">
        <v>10</v>
      </c>
      <c r="F23" s="50">
        <v>27</v>
      </c>
      <c r="G23" s="50">
        <v>0</v>
      </c>
      <c r="H23" s="50">
        <v>0</v>
      </c>
      <c r="I23" s="50">
        <v>6</v>
      </c>
      <c r="J23" s="50">
        <v>1</v>
      </c>
      <c r="K23" s="50">
        <v>0</v>
      </c>
      <c r="L23" s="50">
        <v>0</v>
      </c>
      <c r="M23" s="50">
        <v>175</v>
      </c>
      <c r="N23" s="50">
        <v>0</v>
      </c>
      <c r="O23" s="15">
        <f t="shared" si="0"/>
        <v>136</v>
      </c>
      <c r="P23" s="15">
        <f t="shared" si="1"/>
        <v>311</v>
      </c>
      <c r="R23" s="38" t="s">
        <v>91</v>
      </c>
      <c r="S23" s="39">
        <f>MAX(S13:S18)</f>
        <v>335</v>
      </c>
      <c r="T23" s="39">
        <f t="shared" ref="T23:AF23" si="15">MAX(T13:T18)</f>
        <v>43</v>
      </c>
      <c r="U23" s="39">
        <f t="shared" si="15"/>
        <v>34</v>
      </c>
      <c r="V23" s="39">
        <f t="shared" si="15"/>
        <v>141</v>
      </c>
      <c r="W23" s="39">
        <f t="shared" si="15"/>
        <v>5</v>
      </c>
      <c r="X23" s="39">
        <f t="shared" si="15"/>
        <v>2</v>
      </c>
      <c r="Y23" s="39">
        <f t="shared" si="15"/>
        <v>24</v>
      </c>
      <c r="Z23" s="39">
        <f t="shared" si="15"/>
        <v>3</v>
      </c>
      <c r="AA23" s="39">
        <f t="shared" si="15"/>
        <v>3</v>
      </c>
      <c r="AB23" s="39">
        <f t="shared" si="15"/>
        <v>2</v>
      </c>
      <c r="AC23" s="39">
        <f t="shared" si="15"/>
        <v>735</v>
      </c>
      <c r="AD23" s="39">
        <f t="shared" si="15"/>
        <v>0</v>
      </c>
      <c r="AE23" s="40">
        <f t="shared" si="15"/>
        <v>565</v>
      </c>
      <c r="AF23" s="40">
        <f t="shared" si="15"/>
        <v>1241</v>
      </c>
    </row>
    <row r="24" spans="2:32" ht="23.1" customHeight="1" x14ac:dyDescent="0.25">
      <c r="B24" s="23" t="s">
        <v>51</v>
      </c>
      <c r="C24" s="50">
        <v>95</v>
      </c>
      <c r="D24" s="50">
        <v>6</v>
      </c>
      <c r="E24" s="50">
        <v>4</v>
      </c>
      <c r="F24" s="50">
        <v>20</v>
      </c>
      <c r="G24" s="50">
        <v>1</v>
      </c>
      <c r="H24" s="50">
        <v>0</v>
      </c>
      <c r="I24" s="50">
        <v>9</v>
      </c>
      <c r="J24" s="50">
        <v>1</v>
      </c>
      <c r="K24" s="50">
        <v>0</v>
      </c>
      <c r="L24" s="50">
        <v>0</v>
      </c>
      <c r="M24" s="50">
        <v>180</v>
      </c>
      <c r="N24" s="50">
        <v>0</v>
      </c>
      <c r="O24" s="15">
        <f t="shared" si="0"/>
        <v>136</v>
      </c>
      <c r="P24" s="15">
        <f t="shared" si="1"/>
        <v>316</v>
      </c>
      <c r="R24" s="38" t="s">
        <v>92</v>
      </c>
      <c r="S24" s="39">
        <f>MAX(S19:S21)</f>
        <v>188</v>
      </c>
      <c r="T24" s="39">
        <f t="shared" ref="T24:AF24" si="16">MAX(T19:T21)</f>
        <v>32</v>
      </c>
      <c r="U24" s="39">
        <f t="shared" si="16"/>
        <v>23</v>
      </c>
      <c r="V24" s="39">
        <f t="shared" si="16"/>
        <v>86</v>
      </c>
      <c r="W24" s="39">
        <f t="shared" si="16"/>
        <v>2</v>
      </c>
      <c r="X24" s="39">
        <f t="shared" si="16"/>
        <v>0</v>
      </c>
      <c r="Y24" s="39">
        <f t="shared" si="16"/>
        <v>19</v>
      </c>
      <c r="Z24" s="39">
        <f t="shared" si="16"/>
        <v>2</v>
      </c>
      <c r="AA24" s="39">
        <f t="shared" si="16"/>
        <v>1</v>
      </c>
      <c r="AB24" s="39">
        <f t="shared" si="16"/>
        <v>4</v>
      </c>
      <c r="AC24" s="39">
        <f t="shared" si="16"/>
        <v>471</v>
      </c>
      <c r="AD24" s="39">
        <f t="shared" si="16"/>
        <v>0</v>
      </c>
      <c r="AE24" s="40">
        <f t="shared" si="16"/>
        <v>330</v>
      </c>
      <c r="AF24" s="40">
        <f t="shared" si="16"/>
        <v>793</v>
      </c>
    </row>
    <row r="25" spans="2:32" ht="23.1" customHeight="1" x14ac:dyDescent="0.25">
      <c r="B25" s="23" t="s">
        <v>52</v>
      </c>
      <c r="C25" s="50">
        <v>85</v>
      </c>
      <c r="D25" s="50">
        <v>2</v>
      </c>
      <c r="E25" s="50">
        <v>1</v>
      </c>
      <c r="F25" s="50">
        <v>25</v>
      </c>
      <c r="G25" s="50">
        <v>0</v>
      </c>
      <c r="H25" s="50">
        <v>0</v>
      </c>
      <c r="I25" s="50">
        <v>3</v>
      </c>
      <c r="J25" s="50">
        <v>0</v>
      </c>
      <c r="K25" s="50">
        <v>0</v>
      </c>
      <c r="L25" s="50">
        <v>0</v>
      </c>
      <c r="M25" s="50">
        <v>180</v>
      </c>
      <c r="N25" s="50">
        <v>0</v>
      </c>
      <c r="O25" s="15">
        <f t="shared" si="0"/>
        <v>116</v>
      </c>
      <c r="P25" s="15">
        <f t="shared" si="1"/>
        <v>296</v>
      </c>
      <c r="R25" s="37" t="s">
        <v>85</v>
      </c>
      <c r="S25" s="35">
        <f t="shared" ref="S25:AF25" si="17">SUM(S10:S12)</f>
        <v>587</v>
      </c>
      <c r="T25" s="16">
        <f t="shared" si="17"/>
        <v>84</v>
      </c>
      <c r="U25" s="16">
        <f t="shared" si="17"/>
        <v>92</v>
      </c>
      <c r="V25" s="16">
        <f t="shared" si="17"/>
        <v>296</v>
      </c>
      <c r="W25" s="16">
        <f t="shared" si="17"/>
        <v>5</v>
      </c>
      <c r="X25" s="16">
        <f t="shared" si="17"/>
        <v>2</v>
      </c>
      <c r="Y25" s="16">
        <f t="shared" si="17"/>
        <v>43</v>
      </c>
      <c r="Z25" s="16">
        <f t="shared" si="17"/>
        <v>2</v>
      </c>
      <c r="AA25" s="16">
        <f t="shared" si="17"/>
        <v>2</v>
      </c>
      <c r="AB25" s="16">
        <f t="shared" si="17"/>
        <v>4</v>
      </c>
      <c r="AC25" s="16">
        <f t="shared" si="17"/>
        <v>2276</v>
      </c>
      <c r="AD25" s="16">
        <f t="shared" si="17"/>
        <v>0</v>
      </c>
      <c r="AE25" s="32">
        <f t="shared" si="17"/>
        <v>1117</v>
      </c>
      <c r="AF25" s="32">
        <f t="shared" si="17"/>
        <v>3393</v>
      </c>
    </row>
    <row r="26" spans="2:32" ht="23.1" customHeight="1" x14ac:dyDescent="0.25">
      <c r="B26" s="23" t="s">
        <v>53</v>
      </c>
      <c r="C26" s="50">
        <v>95</v>
      </c>
      <c r="D26" s="50">
        <v>11</v>
      </c>
      <c r="E26" s="50">
        <v>15</v>
      </c>
      <c r="F26" s="50">
        <v>35</v>
      </c>
      <c r="G26" s="50">
        <v>0</v>
      </c>
      <c r="H26" s="50">
        <v>1</v>
      </c>
      <c r="I26" s="50">
        <v>6</v>
      </c>
      <c r="J26" s="50">
        <v>0</v>
      </c>
      <c r="K26" s="50">
        <v>0</v>
      </c>
      <c r="L26" s="50">
        <v>0</v>
      </c>
      <c r="M26" s="50">
        <v>190</v>
      </c>
      <c r="N26" s="50">
        <v>0</v>
      </c>
      <c r="O26" s="15">
        <f t="shared" si="0"/>
        <v>163</v>
      </c>
      <c r="P26" s="15">
        <f t="shared" si="1"/>
        <v>353</v>
      </c>
      <c r="R26" s="28" t="s">
        <v>86</v>
      </c>
      <c r="S26" s="16">
        <f t="shared" ref="S26:AF26" si="18">SUM(S13:S18)</f>
        <v>1561</v>
      </c>
      <c r="T26" s="16">
        <f t="shared" si="18"/>
        <v>216</v>
      </c>
      <c r="U26" s="16">
        <f t="shared" si="18"/>
        <v>144</v>
      </c>
      <c r="V26" s="16">
        <f t="shared" si="18"/>
        <v>569</v>
      </c>
      <c r="W26" s="16">
        <f t="shared" si="18"/>
        <v>7</v>
      </c>
      <c r="X26" s="16">
        <f t="shared" si="18"/>
        <v>4</v>
      </c>
      <c r="Y26" s="16">
        <f t="shared" si="18"/>
        <v>82</v>
      </c>
      <c r="Z26" s="16">
        <f t="shared" si="18"/>
        <v>9</v>
      </c>
      <c r="AA26" s="16">
        <f t="shared" si="18"/>
        <v>4</v>
      </c>
      <c r="AB26" s="16">
        <f t="shared" si="18"/>
        <v>3</v>
      </c>
      <c r="AC26" s="16">
        <f t="shared" si="18"/>
        <v>3547</v>
      </c>
      <c r="AD26" s="16">
        <f t="shared" si="18"/>
        <v>0</v>
      </c>
      <c r="AE26" s="32">
        <f t="shared" si="18"/>
        <v>2599</v>
      </c>
      <c r="AF26" s="32">
        <f t="shared" si="18"/>
        <v>6146</v>
      </c>
    </row>
    <row r="27" spans="2:32" ht="23.1" customHeight="1" x14ac:dyDescent="0.25">
      <c r="B27" s="23" t="s">
        <v>54</v>
      </c>
      <c r="C27" s="50">
        <v>65</v>
      </c>
      <c r="D27" s="50">
        <v>10</v>
      </c>
      <c r="E27" s="50">
        <v>2</v>
      </c>
      <c r="F27" s="50">
        <v>38</v>
      </c>
      <c r="G27" s="50">
        <v>0</v>
      </c>
      <c r="H27" s="50">
        <v>0</v>
      </c>
      <c r="I27" s="50">
        <v>3</v>
      </c>
      <c r="J27" s="50">
        <v>1</v>
      </c>
      <c r="K27" s="50">
        <v>0</v>
      </c>
      <c r="L27" s="50">
        <v>1</v>
      </c>
      <c r="M27" s="50">
        <v>190</v>
      </c>
      <c r="N27" s="50">
        <v>0</v>
      </c>
      <c r="O27" s="15">
        <f t="shared" si="0"/>
        <v>120</v>
      </c>
      <c r="P27" s="15">
        <f t="shared" si="1"/>
        <v>310</v>
      </c>
      <c r="R27" s="29" t="s">
        <v>87</v>
      </c>
      <c r="S27" s="16">
        <f t="shared" ref="S27:AF27" si="19">SUM(S19:S21)</f>
        <v>514</v>
      </c>
      <c r="T27" s="16">
        <f t="shared" si="19"/>
        <v>77</v>
      </c>
      <c r="U27" s="16">
        <f t="shared" si="19"/>
        <v>56</v>
      </c>
      <c r="V27" s="16">
        <f t="shared" si="19"/>
        <v>212</v>
      </c>
      <c r="W27" s="16">
        <f t="shared" si="19"/>
        <v>5</v>
      </c>
      <c r="X27" s="16">
        <f t="shared" si="19"/>
        <v>0</v>
      </c>
      <c r="Y27" s="16">
        <f t="shared" si="19"/>
        <v>37</v>
      </c>
      <c r="Z27" s="16">
        <f t="shared" si="19"/>
        <v>3</v>
      </c>
      <c r="AA27" s="16">
        <f t="shared" si="19"/>
        <v>2</v>
      </c>
      <c r="AB27" s="16">
        <f t="shared" si="19"/>
        <v>5</v>
      </c>
      <c r="AC27" s="16">
        <f t="shared" si="19"/>
        <v>1349</v>
      </c>
      <c r="AD27" s="16">
        <f t="shared" si="19"/>
        <v>0</v>
      </c>
      <c r="AE27" s="32">
        <f t="shared" si="19"/>
        <v>911</v>
      </c>
      <c r="AF27" s="32">
        <f t="shared" si="19"/>
        <v>2260</v>
      </c>
    </row>
    <row r="28" spans="2:32" ht="23.1" customHeight="1" x14ac:dyDescent="0.25">
      <c r="B28" s="23" t="s">
        <v>55</v>
      </c>
      <c r="C28" s="50">
        <v>100</v>
      </c>
      <c r="D28" s="50">
        <v>20</v>
      </c>
      <c r="E28" s="50">
        <v>4</v>
      </c>
      <c r="F28" s="50">
        <v>35</v>
      </c>
      <c r="G28" s="50">
        <v>0</v>
      </c>
      <c r="H28" s="50">
        <v>1</v>
      </c>
      <c r="I28" s="50">
        <v>4</v>
      </c>
      <c r="J28" s="50">
        <v>0</v>
      </c>
      <c r="K28" s="50">
        <v>0</v>
      </c>
      <c r="L28" s="50">
        <v>0</v>
      </c>
      <c r="M28" s="50">
        <v>115</v>
      </c>
      <c r="N28" s="50">
        <v>0</v>
      </c>
      <c r="O28" s="15">
        <f t="shared" si="0"/>
        <v>164</v>
      </c>
      <c r="P28" s="15">
        <f t="shared" si="1"/>
        <v>279</v>
      </c>
      <c r="R28" s="5" t="s">
        <v>17</v>
      </c>
      <c r="S28" s="16">
        <f t="shared" ref="S28:AF28" si="20">SUM(S10:S21)</f>
        <v>2662</v>
      </c>
      <c r="T28" s="16">
        <f t="shared" si="20"/>
        <v>377</v>
      </c>
      <c r="U28" s="16">
        <f t="shared" si="20"/>
        <v>292</v>
      </c>
      <c r="V28" s="16">
        <f t="shared" si="20"/>
        <v>1077</v>
      </c>
      <c r="W28" s="16">
        <f t="shared" si="20"/>
        <v>17</v>
      </c>
      <c r="X28" s="16">
        <f t="shared" si="20"/>
        <v>6</v>
      </c>
      <c r="Y28" s="16">
        <f t="shared" si="20"/>
        <v>162</v>
      </c>
      <c r="Z28" s="16">
        <f t="shared" si="20"/>
        <v>14</v>
      </c>
      <c r="AA28" s="16">
        <f t="shared" si="20"/>
        <v>8</v>
      </c>
      <c r="AB28" s="16">
        <f t="shared" si="20"/>
        <v>12</v>
      </c>
      <c r="AC28" s="16">
        <f t="shared" si="20"/>
        <v>7172</v>
      </c>
      <c r="AD28" s="16">
        <f t="shared" si="20"/>
        <v>0</v>
      </c>
      <c r="AE28" s="32">
        <f t="shared" si="20"/>
        <v>4627</v>
      </c>
      <c r="AF28" s="32">
        <f t="shared" si="20"/>
        <v>11799</v>
      </c>
    </row>
    <row r="29" spans="2:32" ht="23.1" customHeight="1" x14ac:dyDescent="0.25">
      <c r="B29" s="23" t="s">
        <v>56</v>
      </c>
      <c r="C29" s="50">
        <v>75</v>
      </c>
      <c r="D29" s="50">
        <v>2</v>
      </c>
      <c r="E29" s="50">
        <v>5</v>
      </c>
      <c r="F29" s="50">
        <v>33</v>
      </c>
      <c r="G29" s="50">
        <v>0</v>
      </c>
      <c r="H29" s="50">
        <v>0</v>
      </c>
      <c r="I29" s="50">
        <v>2</v>
      </c>
      <c r="J29" s="50">
        <v>1</v>
      </c>
      <c r="K29" s="50">
        <v>0</v>
      </c>
      <c r="L29" s="50">
        <v>0</v>
      </c>
      <c r="M29" s="50">
        <v>80</v>
      </c>
      <c r="N29" s="50">
        <v>0</v>
      </c>
      <c r="O29" s="15">
        <f t="shared" si="0"/>
        <v>118</v>
      </c>
      <c r="P29" s="15">
        <f t="shared" si="1"/>
        <v>198</v>
      </c>
      <c r="R29"/>
      <c r="S29" s="20"/>
      <c r="T29" s="19"/>
    </row>
    <row r="30" spans="2:32" ht="23.1" customHeight="1" x14ac:dyDescent="0.25">
      <c r="B30" s="23" t="s">
        <v>57</v>
      </c>
      <c r="C30" s="50">
        <v>75</v>
      </c>
      <c r="D30" s="50">
        <v>12</v>
      </c>
      <c r="E30" s="50">
        <v>10</v>
      </c>
      <c r="F30" s="50">
        <v>33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100</v>
      </c>
      <c r="N30" s="50">
        <v>0</v>
      </c>
      <c r="O30" s="15">
        <f t="shared" si="0"/>
        <v>130</v>
      </c>
      <c r="P30" s="15">
        <f t="shared" si="1"/>
        <v>230</v>
      </c>
    </row>
    <row r="31" spans="2:32" ht="23.1" customHeight="1" x14ac:dyDescent="0.25">
      <c r="B31" s="24" t="s">
        <v>58</v>
      </c>
      <c r="C31" s="50">
        <v>65</v>
      </c>
      <c r="D31" s="50">
        <v>3</v>
      </c>
      <c r="E31" s="50">
        <v>15</v>
      </c>
      <c r="F31" s="50">
        <v>40</v>
      </c>
      <c r="G31" s="50">
        <v>0</v>
      </c>
      <c r="H31" s="50">
        <v>0</v>
      </c>
      <c r="I31" s="50">
        <v>1</v>
      </c>
      <c r="J31" s="50">
        <v>0</v>
      </c>
      <c r="K31" s="50">
        <v>1</v>
      </c>
      <c r="L31" s="50">
        <v>0</v>
      </c>
      <c r="M31" s="50">
        <v>126</v>
      </c>
      <c r="N31" s="50">
        <v>0</v>
      </c>
      <c r="O31" s="15">
        <f t="shared" si="0"/>
        <v>125</v>
      </c>
      <c r="P31" s="15">
        <f t="shared" si="1"/>
        <v>251</v>
      </c>
    </row>
    <row r="32" spans="2:32" ht="23.1" customHeight="1" x14ac:dyDescent="0.25">
      <c r="B32" s="24" t="s">
        <v>59</v>
      </c>
      <c r="C32" s="50">
        <v>65</v>
      </c>
      <c r="D32" s="50">
        <v>13</v>
      </c>
      <c r="E32" s="50">
        <v>5</v>
      </c>
      <c r="F32" s="50">
        <v>20</v>
      </c>
      <c r="G32" s="50">
        <v>0</v>
      </c>
      <c r="H32" s="50">
        <v>0</v>
      </c>
      <c r="I32" s="50">
        <v>4</v>
      </c>
      <c r="J32" s="50">
        <v>0</v>
      </c>
      <c r="K32" s="50">
        <v>0</v>
      </c>
      <c r="L32" s="50">
        <v>0</v>
      </c>
      <c r="M32" s="50">
        <v>126</v>
      </c>
      <c r="N32" s="50">
        <v>0</v>
      </c>
      <c r="O32" s="15">
        <f t="shared" si="0"/>
        <v>107</v>
      </c>
      <c r="P32" s="15">
        <f t="shared" si="1"/>
        <v>233</v>
      </c>
    </row>
    <row r="33" spans="2:20" ht="23.1" customHeight="1" x14ac:dyDescent="0.25">
      <c r="B33" s="23" t="s">
        <v>60</v>
      </c>
      <c r="C33" s="50">
        <v>41</v>
      </c>
      <c r="D33" s="50">
        <v>3</v>
      </c>
      <c r="E33" s="50">
        <v>4</v>
      </c>
      <c r="F33" s="50">
        <v>16</v>
      </c>
      <c r="G33" s="50">
        <v>0</v>
      </c>
      <c r="H33" s="50">
        <v>0</v>
      </c>
      <c r="I33" s="50">
        <v>5</v>
      </c>
      <c r="J33" s="50">
        <v>0</v>
      </c>
      <c r="K33" s="50">
        <v>0</v>
      </c>
      <c r="L33" s="50">
        <v>0</v>
      </c>
      <c r="M33" s="50">
        <v>100</v>
      </c>
      <c r="N33" s="50">
        <v>0</v>
      </c>
      <c r="O33" s="15">
        <f t="shared" si="0"/>
        <v>69</v>
      </c>
      <c r="P33" s="15">
        <f t="shared" si="1"/>
        <v>169</v>
      </c>
    </row>
    <row r="34" spans="2:20" ht="23.1" customHeight="1" x14ac:dyDescent="0.25">
      <c r="B34" s="24" t="s">
        <v>61</v>
      </c>
      <c r="C34" s="50">
        <v>57</v>
      </c>
      <c r="D34" s="50">
        <v>9</v>
      </c>
      <c r="E34" s="50">
        <v>5</v>
      </c>
      <c r="F34" s="50">
        <v>25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125</v>
      </c>
      <c r="N34" s="50">
        <v>0</v>
      </c>
      <c r="O34" s="15">
        <f t="shared" si="0"/>
        <v>96</v>
      </c>
      <c r="P34" s="15">
        <f t="shared" si="1"/>
        <v>221</v>
      </c>
    </row>
    <row r="35" spans="2:20" ht="23.1" customHeight="1" x14ac:dyDescent="0.25">
      <c r="B35" s="24" t="s">
        <v>62</v>
      </c>
      <c r="C35" s="50">
        <v>65</v>
      </c>
      <c r="D35" s="50">
        <v>5</v>
      </c>
      <c r="E35" s="50">
        <v>3</v>
      </c>
      <c r="F35" s="50">
        <v>20</v>
      </c>
      <c r="G35" s="50">
        <v>0</v>
      </c>
      <c r="H35" s="50">
        <v>0</v>
      </c>
      <c r="I35" s="50">
        <v>2</v>
      </c>
      <c r="J35" s="50">
        <v>0</v>
      </c>
      <c r="K35" s="50">
        <v>0</v>
      </c>
      <c r="L35" s="50">
        <v>0</v>
      </c>
      <c r="M35" s="50">
        <v>136</v>
      </c>
      <c r="N35" s="50">
        <v>0</v>
      </c>
      <c r="O35" s="15">
        <f t="shared" si="0"/>
        <v>95</v>
      </c>
      <c r="P35" s="15">
        <f t="shared" si="1"/>
        <v>231</v>
      </c>
    </row>
    <row r="36" spans="2:20" ht="23.1" customHeight="1" x14ac:dyDescent="0.25">
      <c r="B36" s="24" t="s">
        <v>63</v>
      </c>
      <c r="C36" s="50">
        <v>64</v>
      </c>
      <c r="D36" s="50">
        <v>7</v>
      </c>
      <c r="E36" s="50">
        <v>4</v>
      </c>
      <c r="F36" s="50">
        <v>15</v>
      </c>
      <c r="G36" s="50">
        <v>0</v>
      </c>
      <c r="H36" s="50">
        <v>0</v>
      </c>
      <c r="I36" s="50">
        <v>9</v>
      </c>
      <c r="J36" s="50">
        <v>0</v>
      </c>
      <c r="K36" s="50">
        <v>0</v>
      </c>
      <c r="L36" s="50">
        <v>0</v>
      </c>
      <c r="M36" s="50">
        <v>140</v>
      </c>
      <c r="N36" s="50">
        <v>0</v>
      </c>
      <c r="O36" s="15">
        <f t="shared" si="0"/>
        <v>99</v>
      </c>
      <c r="P36" s="15">
        <f t="shared" si="1"/>
        <v>239</v>
      </c>
    </row>
    <row r="37" spans="2:20" ht="23.1" customHeight="1" x14ac:dyDescent="0.25">
      <c r="B37" s="23" t="s">
        <v>64</v>
      </c>
      <c r="C37" s="50">
        <v>53</v>
      </c>
      <c r="D37" s="50">
        <v>7</v>
      </c>
      <c r="E37" s="50">
        <v>6</v>
      </c>
      <c r="F37" s="50">
        <v>12</v>
      </c>
      <c r="G37" s="50">
        <v>0</v>
      </c>
      <c r="H37" s="50">
        <v>1</v>
      </c>
      <c r="I37" s="50">
        <v>3</v>
      </c>
      <c r="J37" s="50">
        <v>0</v>
      </c>
      <c r="K37" s="50">
        <v>0</v>
      </c>
      <c r="L37" s="50">
        <v>0</v>
      </c>
      <c r="M37" s="50">
        <v>100</v>
      </c>
      <c r="N37" s="50">
        <v>0</v>
      </c>
      <c r="O37" s="15">
        <f t="shared" si="0"/>
        <v>82</v>
      </c>
      <c r="P37" s="15">
        <f t="shared" si="1"/>
        <v>182</v>
      </c>
    </row>
    <row r="38" spans="2:20" ht="23.1" customHeight="1" x14ac:dyDescent="0.25">
      <c r="B38" s="24" t="s">
        <v>65</v>
      </c>
      <c r="C38" s="50">
        <v>51</v>
      </c>
      <c r="D38" s="50">
        <v>9</v>
      </c>
      <c r="E38" s="50">
        <v>8</v>
      </c>
      <c r="F38" s="50">
        <v>18</v>
      </c>
      <c r="G38" s="50">
        <v>0</v>
      </c>
      <c r="H38" s="50">
        <v>0</v>
      </c>
      <c r="I38" s="50">
        <v>1</v>
      </c>
      <c r="J38" s="50">
        <v>1</v>
      </c>
      <c r="K38" s="50">
        <v>0</v>
      </c>
      <c r="L38" s="50">
        <v>1</v>
      </c>
      <c r="M38" s="50">
        <v>145</v>
      </c>
      <c r="N38" s="50">
        <v>0</v>
      </c>
      <c r="O38" s="15">
        <f t="shared" si="0"/>
        <v>89</v>
      </c>
      <c r="P38" s="15">
        <f t="shared" si="1"/>
        <v>234</v>
      </c>
    </row>
    <row r="39" spans="2:20" ht="23.1" customHeight="1" x14ac:dyDescent="0.25">
      <c r="B39" s="24" t="s">
        <v>66</v>
      </c>
      <c r="C39" s="50">
        <v>52</v>
      </c>
      <c r="D39" s="50">
        <v>11</v>
      </c>
      <c r="E39" s="50">
        <v>4</v>
      </c>
      <c r="F39" s="50">
        <v>17</v>
      </c>
      <c r="G39" s="50">
        <v>0</v>
      </c>
      <c r="H39" s="50">
        <v>0</v>
      </c>
      <c r="I39" s="50">
        <v>3</v>
      </c>
      <c r="J39" s="50">
        <v>0</v>
      </c>
      <c r="K39" s="50">
        <v>0</v>
      </c>
      <c r="L39" s="50">
        <v>0</v>
      </c>
      <c r="M39" s="50">
        <v>150</v>
      </c>
      <c r="N39" s="50">
        <v>0</v>
      </c>
      <c r="O39" s="15">
        <f t="shared" si="0"/>
        <v>87</v>
      </c>
      <c r="P39" s="15">
        <f t="shared" si="1"/>
        <v>237</v>
      </c>
    </row>
    <row r="40" spans="2:20" ht="23.1" customHeight="1" x14ac:dyDescent="0.25">
      <c r="B40" s="24" t="s">
        <v>67</v>
      </c>
      <c r="C40" s="50">
        <v>59</v>
      </c>
      <c r="D40" s="50">
        <v>10</v>
      </c>
      <c r="E40" s="50">
        <v>5</v>
      </c>
      <c r="F40" s="50">
        <v>15</v>
      </c>
      <c r="G40" s="50">
        <v>0</v>
      </c>
      <c r="H40" s="50">
        <v>0</v>
      </c>
      <c r="I40" s="50">
        <v>3</v>
      </c>
      <c r="J40" s="50">
        <v>1</v>
      </c>
      <c r="K40" s="50">
        <v>1</v>
      </c>
      <c r="L40" s="50">
        <v>0</v>
      </c>
      <c r="M40" s="50">
        <v>157</v>
      </c>
      <c r="N40" s="50">
        <v>0</v>
      </c>
      <c r="O40" s="15">
        <f t="shared" si="0"/>
        <v>94</v>
      </c>
      <c r="P40" s="15">
        <f t="shared" si="1"/>
        <v>251</v>
      </c>
    </row>
    <row r="41" spans="2:20" ht="23.1" customHeight="1" x14ac:dyDescent="0.25">
      <c r="B41" s="23" t="s">
        <v>68</v>
      </c>
      <c r="C41" s="50">
        <v>45</v>
      </c>
      <c r="D41" s="50">
        <v>12</v>
      </c>
      <c r="E41" s="50">
        <v>7</v>
      </c>
      <c r="F41" s="50">
        <v>17</v>
      </c>
      <c r="G41" s="50">
        <v>1</v>
      </c>
      <c r="H41" s="50">
        <v>0</v>
      </c>
      <c r="I41" s="50">
        <v>2</v>
      </c>
      <c r="J41" s="50">
        <v>1</v>
      </c>
      <c r="K41" s="50">
        <v>2</v>
      </c>
      <c r="L41" s="50">
        <v>1</v>
      </c>
      <c r="M41" s="50">
        <v>170</v>
      </c>
      <c r="N41" s="50">
        <v>0</v>
      </c>
      <c r="O41" s="15">
        <f t="shared" si="0"/>
        <v>88</v>
      </c>
      <c r="P41" s="15">
        <f t="shared" si="1"/>
        <v>258</v>
      </c>
    </row>
    <row r="42" spans="2:20" ht="23.1" customHeight="1" x14ac:dyDescent="0.25">
      <c r="B42" s="24" t="s">
        <v>69</v>
      </c>
      <c r="C42" s="50">
        <v>60</v>
      </c>
      <c r="D42" s="50">
        <v>12</v>
      </c>
      <c r="E42" s="50">
        <v>4</v>
      </c>
      <c r="F42" s="50">
        <v>18</v>
      </c>
      <c r="G42" s="50">
        <v>1</v>
      </c>
      <c r="H42" s="50">
        <v>0</v>
      </c>
      <c r="I42" s="50">
        <v>5</v>
      </c>
      <c r="J42" s="50">
        <v>2</v>
      </c>
      <c r="K42" s="50">
        <v>0</v>
      </c>
      <c r="L42" s="50">
        <v>0</v>
      </c>
      <c r="M42" s="50">
        <v>184</v>
      </c>
      <c r="N42" s="50">
        <v>0</v>
      </c>
      <c r="O42" s="15">
        <f t="shared" si="0"/>
        <v>102</v>
      </c>
      <c r="P42" s="15">
        <f t="shared" si="1"/>
        <v>286</v>
      </c>
    </row>
    <row r="43" spans="2:20" ht="23.1" customHeight="1" x14ac:dyDescent="0.25">
      <c r="B43" s="23" t="s">
        <v>70</v>
      </c>
      <c r="C43" s="50">
        <v>50</v>
      </c>
      <c r="D43" s="50">
        <v>5</v>
      </c>
      <c r="E43" s="50">
        <v>4</v>
      </c>
      <c r="F43" s="50">
        <v>26</v>
      </c>
      <c r="G43" s="50">
        <v>4</v>
      </c>
      <c r="H43" s="50">
        <v>1</v>
      </c>
      <c r="I43" s="50">
        <v>0</v>
      </c>
      <c r="J43" s="50">
        <v>0</v>
      </c>
      <c r="K43" s="50">
        <v>0</v>
      </c>
      <c r="L43" s="50">
        <v>0</v>
      </c>
      <c r="M43" s="50">
        <v>160</v>
      </c>
      <c r="N43" s="50">
        <v>0</v>
      </c>
      <c r="O43" s="15">
        <f t="shared" si="0"/>
        <v>90</v>
      </c>
      <c r="P43" s="15">
        <f t="shared" si="1"/>
        <v>250</v>
      </c>
    </row>
    <row r="44" spans="2:20" ht="23.1" customHeight="1" x14ac:dyDescent="0.25">
      <c r="B44" s="25" t="s">
        <v>71</v>
      </c>
      <c r="C44" s="50">
        <v>48</v>
      </c>
      <c r="D44" s="50">
        <v>7</v>
      </c>
      <c r="E44" s="50">
        <v>6</v>
      </c>
      <c r="F44" s="50">
        <v>20</v>
      </c>
      <c r="G44" s="50">
        <v>0</v>
      </c>
      <c r="H44" s="50">
        <v>0</v>
      </c>
      <c r="I44" s="50">
        <v>2</v>
      </c>
      <c r="J44" s="50">
        <v>0</v>
      </c>
      <c r="K44" s="50">
        <v>0</v>
      </c>
      <c r="L44" s="50">
        <v>0</v>
      </c>
      <c r="M44" s="50">
        <v>162</v>
      </c>
      <c r="N44" s="50">
        <v>0</v>
      </c>
      <c r="O44" s="15">
        <f t="shared" si="0"/>
        <v>83</v>
      </c>
      <c r="P44" s="15">
        <f t="shared" si="1"/>
        <v>245</v>
      </c>
    </row>
    <row r="45" spans="2:20" ht="23.1" customHeight="1" x14ac:dyDescent="0.25">
      <c r="B45" s="23" t="s">
        <v>72</v>
      </c>
      <c r="C45" s="50">
        <v>45</v>
      </c>
      <c r="D45" s="50">
        <v>15</v>
      </c>
      <c r="E45" s="50">
        <v>7</v>
      </c>
      <c r="F45" s="50">
        <v>22</v>
      </c>
      <c r="G45" s="50">
        <v>0</v>
      </c>
      <c r="H45" s="50">
        <v>0</v>
      </c>
      <c r="I45" s="50">
        <v>3</v>
      </c>
      <c r="J45" s="50">
        <v>0</v>
      </c>
      <c r="K45" s="50">
        <v>0</v>
      </c>
      <c r="L45" s="50">
        <v>0</v>
      </c>
      <c r="M45" s="50">
        <v>156</v>
      </c>
      <c r="N45" s="50">
        <v>0</v>
      </c>
      <c r="O45" s="15">
        <f t="shared" si="0"/>
        <v>92</v>
      </c>
      <c r="P45" s="15">
        <f t="shared" si="1"/>
        <v>248</v>
      </c>
    </row>
    <row r="46" spans="2:20" ht="23.1" customHeight="1" x14ac:dyDescent="0.25">
      <c r="B46" s="24" t="s">
        <v>73</v>
      </c>
      <c r="C46" s="50">
        <v>40</v>
      </c>
      <c r="D46" s="50">
        <v>3</v>
      </c>
      <c r="E46" s="50">
        <v>7</v>
      </c>
      <c r="F46" s="50">
        <v>12</v>
      </c>
      <c r="G46" s="50">
        <v>0</v>
      </c>
      <c r="H46" s="50">
        <v>0</v>
      </c>
      <c r="I46" s="50">
        <v>1</v>
      </c>
      <c r="J46" s="50">
        <v>0</v>
      </c>
      <c r="K46" s="50">
        <v>1</v>
      </c>
      <c r="L46" s="50">
        <v>0</v>
      </c>
      <c r="M46" s="50">
        <v>105</v>
      </c>
      <c r="N46" s="50">
        <v>0</v>
      </c>
      <c r="O46" s="15">
        <f t="shared" si="0"/>
        <v>64</v>
      </c>
      <c r="P46" s="15">
        <f t="shared" si="1"/>
        <v>169</v>
      </c>
      <c r="R46" s="8"/>
      <c r="T46"/>
    </row>
    <row r="47" spans="2:20" ht="23.1" customHeight="1" x14ac:dyDescent="0.25">
      <c r="B47" s="24" t="s">
        <v>74</v>
      </c>
      <c r="C47" s="50">
        <v>43</v>
      </c>
      <c r="D47" s="50">
        <v>6</v>
      </c>
      <c r="E47" s="50">
        <v>6</v>
      </c>
      <c r="F47" s="50">
        <v>20</v>
      </c>
      <c r="G47" s="50">
        <v>0</v>
      </c>
      <c r="H47" s="50">
        <v>0</v>
      </c>
      <c r="I47" s="50">
        <v>2</v>
      </c>
      <c r="J47" s="50">
        <v>1</v>
      </c>
      <c r="K47" s="50">
        <v>0</v>
      </c>
      <c r="L47" s="50">
        <v>1</v>
      </c>
      <c r="M47" s="50">
        <v>120</v>
      </c>
      <c r="N47" s="50">
        <v>0</v>
      </c>
      <c r="O47" s="15">
        <f t="shared" si="0"/>
        <v>79</v>
      </c>
      <c r="P47" s="15">
        <f t="shared" si="1"/>
        <v>199</v>
      </c>
      <c r="R47" s="8"/>
      <c r="T47"/>
    </row>
    <row r="48" spans="2:20" ht="23.1" customHeight="1" x14ac:dyDescent="0.25">
      <c r="B48" s="24" t="s">
        <v>75</v>
      </c>
      <c r="C48" s="50">
        <v>35</v>
      </c>
      <c r="D48" s="50">
        <v>1</v>
      </c>
      <c r="E48" s="50">
        <v>8</v>
      </c>
      <c r="F48" s="50">
        <v>12</v>
      </c>
      <c r="G48" s="50">
        <v>0</v>
      </c>
      <c r="H48" s="50">
        <v>0</v>
      </c>
      <c r="I48" s="50">
        <v>1</v>
      </c>
      <c r="J48" s="50">
        <v>1</v>
      </c>
      <c r="K48" s="50">
        <v>0</v>
      </c>
      <c r="L48" s="50">
        <v>0</v>
      </c>
      <c r="M48" s="50">
        <v>95</v>
      </c>
      <c r="N48" s="50">
        <v>0</v>
      </c>
      <c r="O48" s="15">
        <f t="shared" si="0"/>
        <v>58</v>
      </c>
      <c r="P48" s="15">
        <f t="shared" si="1"/>
        <v>153</v>
      </c>
      <c r="R48" s="8"/>
      <c r="T48"/>
    </row>
    <row r="49" spans="2:20" ht="23.1" customHeight="1" x14ac:dyDescent="0.25">
      <c r="B49" s="23" t="s">
        <v>76</v>
      </c>
      <c r="C49" s="50">
        <v>35</v>
      </c>
      <c r="D49" s="50">
        <v>6</v>
      </c>
      <c r="E49" s="50">
        <v>2</v>
      </c>
      <c r="F49" s="50">
        <v>17</v>
      </c>
      <c r="G49" s="50">
        <v>1</v>
      </c>
      <c r="H49" s="50">
        <v>0</v>
      </c>
      <c r="I49" s="50">
        <v>5</v>
      </c>
      <c r="J49" s="50">
        <v>0</v>
      </c>
      <c r="K49" s="50">
        <v>0</v>
      </c>
      <c r="L49" s="50">
        <v>3</v>
      </c>
      <c r="M49" s="50">
        <v>95</v>
      </c>
      <c r="N49" s="50">
        <v>0</v>
      </c>
      <c r="O49" s="15">
        <f t="shared" si="0"/>
        <v>69</v>
      </c>
      <c r="P49" s="15">
        <f t="shared" si="1"/>
        <v>164</v>
      </c>
      <c r="R49" s="8"/>
      <c r="T49"/>
    </row>
    <row r="50" spans="2:20" ht="23.1" customHeight="1" x14ac:dyDescent="0.25">
      <c r="B50" s="24" t="s">
        <v>77</v>
      </c>
      <c r="C50" s="50">
        <v>57</v>
      </c>
      <c r="D50" s="50">
        <v>9</v>
      </c>
      <c r="E50" s="50">
        <v>8</v>
      </c>
      <c r="F50" s="50">
        <v>18</v>
      </c>
      <c r="G50" s="50">
        <v>0</v>
      </c>
      <c r="H50" s="50">
        <v>0</v>
      </c>
      <c r="I50" s="50">
        <v>6</v>
      </c>
      <c r="J50" s="50">
        <v>0</v>
      </c>
      <c r="K50" s="50">
        <v>1</v>
      </c>
      <c r="L50" s="50">
        <v>0</v>
      </c>
      <c r="M50" s="50">
        <v>133</v>
      </c>
      <c r="N50" s="50">
        <v>0</v>
      </c>
      <c r="O50" s="15">
        <f t="shared" si="0"/>
        <v>99</v>
      </c>
      <c r="P50" s="15">
        <f t="shared" si="1"/>
        <v>232</v>
      </c>
      <c r="R50" s="8"/>
      <c r="T50"/>
    </row>
    <row r="51" spans="2:20" ht="23.1" customHeight="1" x14ac:dyDescent="0.25">
      <c r="B51" s="24" t="s">
        <v>78</v>
      </c>
      <c r="C51" s="50">
        <v>42</v>
      </c>
      <c r="D51" s="50">
        <v>5</v>
      </c>
      <c r="E51" s="50">
        <v>3</v>
      </c>
      <c r="F51" s="50">
        <v>16</v>
      </c>
      <c r="G51" s="50">
        <v>0</v>
      </c>
      <c r="H51" s="50">
        <v>0</v>
      </c>
      <c r="I51" s="50">
        <v>5</v>
      </c>
      <c r="J51" s="50">
        <v>0</v>
      </c>
      <c r="K51" s="50">
        <v>0</v>
      </c>
      <c r="L51" s="50">
        <v>0</v>
      </c>
      <c r="M51" s="50">
        <v>103</v>
      </c>
      <c r="N51" s="50">
        <v>0</v>
      </c>
      <c r="O51" s="15">
        <f t="shared" si="0"/>
        <v>71</v>
      </c>
      <c r="P51" s="15">
        <f t="shared" si="1"/>
        <v>174</v>
      </c>
      <c r="R51" s="8"/>
      <c r="T51"/>
    </row>
    <row r="52" spans="2:20" ht="23.1" customHeight="1" x14ac:dyDescent="0.25">
      <c r="B52" s="24" t="s">
        <v>79</v>
      </c>
      <c r="C52" s="50">
        <v>44</v>
      </c>
      <c r="D52" s="50">
        <v>9</v>
      </c>
      <c r="E52" s="50">
        <v>4</v>
      </c>
      <c r="F52" s="50">
        <v>12</v>
      </c>
      <c r="G52" s="50">
        <v>1</v>
      </c>
      <c r="H52" s="50">
        <v>0</v>
      </c>
      <c r="I52" s="50">
        <v>3</v>
      </c>
      <c r="J52" s="50">
        <v>0</v>
      </c>
      <c r="K52" s="50">
        <v>0</v>
      </c>
      <c r="L52" s="50">
        <v>0</v>
      </c>
      <c r="M52" s="50">
        <v>130</v>
      </c>
      <c r="N52" s="50">
        <v>0</v>
      </c>
      <c r="O52" s="15">
        <f t="shared" si="0"/>
        <v>73</v>
      </c>
      <c r="P52" s="15">
        <f t="shared" si="1"/>
        <v>203</v>
      </c>
      <c r="R52" s="8"/>
      <c r="T52"/>
    </row>
    <row r="53" spans="2:20" ht="23.1" customHeight="1" x14ac:dyDescent="0.25">
      <c r="B53" s="23" t="s">
        <v>80</v>
      </c>
      <c r="C53" s="50">
        <v>30</v>
      </c>
      <c r="D53" s="50">
        <v>6</v>
      </c>
      <c r="E53" s="50">
        <v>6</v>
      </c>
      <c r="F53" s="50">
        <v>19</v>
      </c>
      <c r="G53" s="50">
        <v>1</v>
      </c>
      <c r="H53" s="50">
        <v>0</v>
      </c>
      <c r="I53" s="50">
        <v>5</v>
      </c>
      <c r="J53" s="50">
        <v>1</v>
      </c>
      <c r="K53" s="50">
        <v>0</v>
      </c>
      <c r="L53" s="50">
        <v>0</v>
      </c>
      <c r="M53" s="50">
        <v>105</v>
      </c>
      <c r="N53" s="50">
        <v>0</v>
      </c>
      <c r="O53" s="15">
        <f t="shared" si="0"/>
        <v>68</v>
      </c>
      <c r="P53" s="15">
        <f t="shared" si="1"/>
        <v>173</v>
      </c>
      <c r="R53" s="8"/>
      <c r="T53"/>
    </row>
    <row r="54" spans="2:20" ht="23.1" customHeight="1" x14ac:dyDescent="0.25">
      <c r="B54" s="23" t="s">
        <v>81</v>
      </c>
      <c r="C54" s="50">
        <v>56</v>
      </c>
      <c r="D54" s="50">
        <v>5</v>
      </c>
      <c r="E54" s="50">
        <v>3</v>
      </c>
      <c r="F54" s="50">
        <v>22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0</v>
      </c>
      <c r="M54" s="50">
        <v>100</v>
      </c>
      <c r="N54" s="50">
        <v>0</v>
      </c>
      <c r="O54" s="15">
        <f t="shared" si="0"/>
        <v>88</v>
      </c>
      <c r="P54" s="15">
        <f t="shared" si="1"/>
        <v>188</v>
      </c>
      <c r="R54" s="8"/>
      <c r="T54"/>
    </row>
    <row r="55" spans="2:20" ht="23.1" customHeight="1" x14ac:dyDescent="0.25">
      <c r="B55" s="23" t="s">
        <v>82</v>
      </c>
      <c r="C55" s="50">
        <v>53</v>
      </c>
      <c r="D55" s="50">
        <v>9</v>
      </c>
      <c r="E55" s="50">
        <v>2</v>
      </c>
      <c r="F55" s="50">
        <v>21</v>
      </c>
      <c r="G55" s="50">
        <v>1</v>
      </c>
      <c r="H55" s="50">
        <v>0</v>
      </c>
      <c r="I55" s="50">
        <v>4</v>
      </c>
      <c r="J55" s="50">
        <v>0</v>
      </c>
      <c r="K55" s="50">
        <v>0</v>
      </c>
      <c r="L55" s="50">
        <v>0</v>
      </c>
      <c r="M55" s="50">
        <v>120</v>
      </c>
      <c r="N55" s="50">
        <v>0</v>
      </c>
      <c r="O55" s="15">
        <f t="shared" si="0"/>
        <v>90</v>
      </c>
      <c r="P55" s="15">
        <f t="shared" si="1"/>
        <v>210</v>
      </c>
      <c r="R55" s="8"/>
      <c r="T55"/>
    </row>
    <row r="56" spans="2:20" ht="23.1" customHeight="1" x14ac:dyDescent="0.25">
      <c r="B56" s="23" t="s">
        <v>83</v>
      </c>
      <c r="C56" s="50">
        <v>39</v>
      </c>
      <c r="D56" s="50">
        <v>9</v>
      </c>
      <c r="E56" s="50">
        <v>4</v>
      </c>
      <c r="F56" s="50">
        <v>21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1</v>
      </c>
      <c r="M56" s="50">
        <v>120</v>
      </c>
      <c r="N56" s="50">
        <v>0</v>
      </c>
      <c r="O56" s="15">
        <f t="shared" si="0"/>
        <v>75</v>
      </c>
      <c r="P56" s="15">
        <f t="shared" si="1"/>
        <v>195</v>
      </c>
      <c r="R56" s="8"/>
      <c r="T56"/>
    </row>
    <row r="57" spans="2:20" ht="23.1" customHeight="1" x14ac:dyDescent="0.25">
      <c r="B57" s="23" t="s">
        <v>84</v>
      </c>
      <c r="C57" s="50">
        <v>40</v>
      </c>
      <c r="D57" s="50">
        <v>9</v>
      </c>
      <c r="E57" s="50">
        <v>3</v>
      </c>
      <c r="F57" s="50">
        <v>22</v>
      </c>
      <c r="G57" s="50">
        <v>1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123</v>
      </c>
      <c r="N57" s="50">
        <v>0</v>
      </c>
      <c r="O57" s="15">
        <f t="shared" si="0"/>
        <v>77</v>
      </c>
      <c r="P57" s="15">
        <f t="shared" si="1"/>
        <v>200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2662</v>
      </c>
      <c r="D58" s="16">
        <f t="shared" si="21"/>
        <v>377</v>
      </c>
      <c r="E58" s="16">
        <f t="shared" si="21"/>
        <v>292</v>
      </c>
      <c r="F58" s="16">
        <f t="shared" si="21"/>
        <v>1077</v>
      </c>
      <c r="G58" s="16">
        <f t="shared" si="21"/>
        <v>17</v>
      </c>
      <c r="H58" s="16">
        <f t="shared" si="21"/>
        <v>6</v>
      </c>
      <c r="I58" s="16">
        <f t="shared" si="21"/>
        <v>162</v>
      </c>
      <c r="J58" s="16">
        <f t="shared" si="21"/>
        <v>14</v>
      </c>
      <c r="K58" s="16">
        <f t="shared" si="21"/>
        <v>8</v>
      </c>
      <c r="L58" s="16">
        <f t="shared" si="21"/>
        <v>12</v>
      </c>
      <c r="M58" s="16">
        <f t="shared" si="21"/>
        <v>7172</v>
      </c>
      <c r="N58" s="16">
        <f t="shared" si="21"/>
        <v>0</v>
      </c>
      <c r="O58" s="16">
        <f t="shared" si="21"/>
        <v>4627</v>
      </c>
      <c r="P58" s="16">
        <f t="shared" si="21"/>
        <v>11799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0.225612340028816</v>
      </c>
      <c r="D59" s="43">
        <f t="shared" si="22"/>
        <v>3.1951860327146371E-2</v>
      </c>
      <c r="E59" s="43">
        <f t="shared" si="22"/>
        <v>2.4747859988134589E-2</v>
      </c>
      <c r="F59" s="43">
        <f t="shared" si="22"/>
        <v>9.1278921942537505E-2</v>
      </c>
      <c r="G59" s="43">
        <f t="shared" si="22"/>
        <v>1.4408000678023561E-3</v>
      </c>
      <c r="H59" s="43">
        <f t="shared" si="22"/>
        <v>5.0851767098906682E-4</v>
      </c>
      <c r="I59" s="43">
        <f t="shared" si="22"/>
        <v>1.3729977116704805E-2</v>
      </c>
      <c r="J59" s="43">
        <f t="shared" si="22"/>
        <v>1.1865412323078227E-3</v>
      </c>
      <c r="K59" s="43">
        <f t="shared" si="22"/>
        <v>6.7802356131875584E-4</v>
      </c>
      <c r="L59" s="43">
        <f t="shared" si="22"/>
        <v>1.0170353419781336E-3</v>
      </c>
      <c r="M59" s="43">
        <f t="shared" si="22"/>
        <v>0.60784812272226463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0.57531878106764645</v>
      </c>
      <c r="D60" s="44">
        <f t="shared" ref="D60:N60" si="23">D58/$O$58</f>
        <v>8.1478279662848499E-2</v>
      </c>
      <c r="E60" s="44">
        <f t="shared" si="23"/>
        <v>6.3107845256105466E-2</v>
      </c>
      <c r="F60" s="44">
        <f t="shared" si="23"/>
        <v>0.2327642100713205</v>
      </c>
      <c r="G60" s="44">
        <f t="shared" si="23"/>
        <v>3.6740868813486061E-3</v>
      </c>
      <c r="H60" s="44">
        <f t="shared" si="23"/>
        <v>1.2967365463583316E-3</v>
      </c>
      <c r="I60" s="44">
        <f t="shared" si="23"/>
        <v>3.501188675167495E-2</v>
      </c>
      <c r="J60" s="44">
        <f t="shared" si="23"/>
        <v>3.0257186081694403E-3</v>
      </c>
      <c r="K60" s="44">
        <f t="shared" si="23"/>
        <v>1.7289820618111088E-3</v>
      </c>
      <c r="L60" s="44">
        <f t="shared" si="23"/>
        <v>2.5934730927166631E-3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52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D1" zoomScale="84" zoomScaleSheetLayoutView="84" workbookViewId="0">
      <selection activeCell="G6" sqref="G6:H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2" t="str">
        <f>'22.07 Kabusu-Kitebi'!C3:G3</f>
        <v>MCC - C1 - STN06-WANKULUKUKU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'28.07 Kitebi-Kabusu'!D5</f>
        <v>28.07.19</v>
      </c>
      <c r="E5" s="3"/>
      <c r="F5" s="41" t="s">
        <v>1</v>
      </c>
      <c r="G5" s="57" t="str">
        <f>'28.07 Kitebi-Kabusu'!G5:H5</f>
        <v>kobil head office</v>
      </c>
      <c r="H5" s="58"/>
      <c r="I5" s="14"/>
      <c r="J5" s="2" t="s">
        <v>5</v>
      </c>
      <c r="K5" s="57" t="s">
        <v>174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tr">
        <f>'22.07 Kabusu-Kitebi'!D6:E6</f>
        <v>Kabusu</v>
      </c>
      <c r="E6" s="58"/>
      <c r="F6" s="2" t="s">
        <v>2</v>
      </c>
      <c r="G6" s="57" t="str">
        <f>'22.07 Kabusu-Kitebi'!G6:H6</f>
        <v>Kitebi</v>
      </c>
      <c r="H6" s="58"/>
      <c r="J6" s="2" t="s">
        <v>21</v>
      </c>
      <c r="K6" s="57" t="str">
        <f>'28.07 Kitebi-Kabusu'!K6:L6</f>
        <v>Oloya Felix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20</v>
      </c>
      <c r="D10" s="50">
        <v>1</v>
      </c>
      <c r="E10" s="50">
        <v>3</v>
      </c>
      <c r="F10" s="50">
        <v>10</v>
      </c>
      <c r="G10" s="50">
        <v>0</v>
      </c>
      <c r="H10" s="50">
        <v>0</v>
      </c>
      <c r="I10" s="50">
        <v>1</v>
      </c>
      <c r="J10" s="50">
        <v>2</v>
      </c>
      <c r="K10" s="50">
        <v>0</v>
      </c>
      <c r="L10" s="50">
        <v>0</v>
      </c>
      <c r="M10" s="50">
        <v>77</v>
      </c>
      <c r="N10" s="50">
        <v>0</v>
      </c>
      <c r="O10" s="15">
        <f t="shared" ref="O10:O57" si="0">SUM(C10:L10,N10)</f>
        <v>37</v>
      </c>
      <c r="P10" s="15">
        <f t="shared" ref="P10:P57" si="1">SUM(C10:N10)</f>
        <v>114</v>
      </c>
      <c r="R10" s="1" t="s">
        <v>6</v>
      </c>
      <c r="S10" s="17">
        <f t="shared" ref="S10:AF10" si="2">SUM(C10:C13)</f>
        <v>50</v>
      </c>
      <c r="T10" s="17">
        <f t="shared" si="2"/>
        <v>9</v>
      </c>
      <c r="U10" s="17">
        <f t="shared" si="2"/>
        <v>10</v>
      </c>
      <c r="V10" s="17">
        <f t="shared" si="2"/>
        <v>50</v>
      </c>
      <c r="W10" s="17">
        <f t="shared" si="2"/>
        <v>2</v>
      </c>
      <c r="X10" s="17">
        <f t="shared" si="2"/>
        <v>1</v>
      </c>
      <c r="Y10" s="17">
        <f t="shared" si="2"/>
        <v>5</v>
      </c>
      <c r="Z10" s="17">
        <f t="shared" si="2"/>
        <v>4</v>
      </c>
      <c r="AA10" s="17">
        <f t="shared" si="2"/>
        <v>0</v>
      </c>
      <c r="AB10" s="17">
        <f t="shared" si="2"/>
        <v>1</v>
      </c>
      <c r="AC10" s="17">
        <f t="shared" si="2"/>
        <v>287</v>
      </c>
      <c r="AD10" s="17">
        <f t="shared" si="2"/>
        <v>0</v>
      </c>
      <c r="AE10" s="31">
        <f t="shared" si="2"/>
        <v>132</v>
      </c>
      <c r="AF10" s="31">
        <f t="shared" si="2"/>
        <v>419</v>
      </c>
    </row>
    <row r="11" spans="2:32" s="6" customFormat="1" ht="23.1" customHeight="1" x14ac:dyDescent="0.25">
      <c r="B11" s="23" t="s">
        <v>38</v>
      </c>
      <c r="C11" s="50">
        <v>5</v>
      </c>
      <c r="D11" s="50">
        <v>0</v>
      </c>
      <c r="E11" s="50">
        <v>2</v>
      </c>
      <c r="F11" s="50">
        <v>15</v>
      </c>
      <c r="G11" s="50">
        <v>2</v>
      </c>
      <c r="H11" s="50">
        <v>1</v>
      </c>
      <c r="I11" s="50">
        <v>0</v>
      </c>
      <c r="J11" s="50">
        <v>0</v>
      </c>
      <c r="K11" s="50">
        <v>0</v>
      </c>
      <c r="L11" s="50">
        <v>0</v>
      </c>
      <c r="M11" s="50">
        <v>80</v>
      </c>
      <c r="N11" s="50">
        <v>0</v>
      </c>
      <c r="O11" s="15">
        <f t="shared" si="0"/>
        <v>25</v>
      </c>
      <c r="P11" s="15">
        <f t="shared" si="1"/>
        <v>105</v>
      </c>
      <c r="R11" s="1" t="s">
        <v>7</v>
      </c>
      <c r="S11" s="17">
        <f t="shared" ref="S11:AF11" si="3">SUM(C14:C17)</f>
        <v>68</v>
      </c>
      <c r="T11" s="17">
        <f t="shared" si="3"/>
        <v>14</v>
      </c>
      <c r="U11" s="17">
        <f t="shared" si="3"/>
        <v>9</v>
      </c>
      <c r="V11" s="17">
        <f t="shared" si="3"/>
        <v>63</v>
      </c>
      <c r="W11" s="17">
        <f t="shared" si="3"/>
        <v>1</v>
      </c>
      <c r="X11" s="17">
        <f t="shared" si="3"/>
        <v>6</v>
      </c>
      <c r="Y11" s="17">
        <f t="shared" si="3"/>
        <v>10</v>
      </c>
      <c r="Z11" s="17">
        <f t="shared" si="3"/>
        <v>7</v>
      </c>
      <c r="AA11" s="17">
        <f t="shared" si="3"/>
        <v>3</v>
      </c>
      <c r="AB11" s="17">
        <f t="shared" si="3"/>
        <v>1</v>
      </c>
      <c r="AC11" s="17">
        <f t="shared" si="3"/>
        <v>410</v>
      </c>
      <c r="AD11" s="17">
        <f t="shared" si="3"/>
        <v>0</v>
      </c>
      <c r="AE11" s="31">
        <f t="shared" si="3"/>
        <v>182</v>
      </c>
      <c r="AF11" s="31">
        <f t="shared" si="3"/>
        <v>592</v>
      </c>
    </row>
    <row r="12" spans="2:32" ht="23.1" customHeight="1" x14ac:dyDescent="0.25">
      <c r="B12" s="23" t="s">
        <v>39</v>
      </c>
      <c r="C12" s="50">
        <v>10</v>
      </c>
      <c r="D12" s="50">
        <v>2</v>
      </c>
      <c r="E12" s="50">
        <v>3</v>
      </c>
      <c r="F12" s="50">
        <v>10</v>
      </c>
      <c r="G12" s="50">
        <v>0</v>
      </c>
      <c r="H12" s="50">
        <v>0</v>
      </c>
      <c r="I12" s="50">
        <v>2</v>
      </c>
      <c r="J12" s="50">
        <v>2</v>
      </c>
      <c r="K12" s="50">
        <v>0</v>
      </c>
      <c r="L12" s="50">
        <v>0</v>
      </c>
      <c r="M12" s="50">
        <v>60</v>
      </c>
      <c r="N12" s="50">
        <v>0</v>
      </c>
      <c r="O12" s="15">
        <f t="shared" si="0"/>
        <v>29</v>
      </c>
      <c r="P12" s="15">
        <f t="shared" si="1"/>
        <v>89</v>
      </c>
      <c r="R12" s="1" t="s">
        <v>8</v>
      </c>
      <c r="S12" s="17">
        <f t="shared" ref="S12:AF12" si="4">SUM(C18:C21)</f>
        <v>60</v>
      </c>
      <c r="T12" s="17">
        <f t="shared" si="4"/>
        <v>14</v>
      </c>
      <c r="U12" s="17">
        <f t="shared" si="4"/>
        <v>16</v>
      </c>
      <c r="V12" s="17">
        <f t="shared" si="4"/>
        <v>77</v>
      </c>
      <c r="W12" s="17">
        <f t="shared" si="4"/>
        <v>2</v>
      </c>
      <c r="X12" s="17">
        <f t="shared" si="4"/>
        <v>1</v>
      </c>
      <c r="Y12" s="17">
        <f t="shared" si="4"/>
        <v>4</v>
      </c>
      <c r="Z12" s="17">
        <f t="shared" si="4"/>
        <v>11</v>
      </c>
      <c r="AA12" s="17">
        <f t="shared" si="4"/>
        <v>0</v>
      </c>
      <c r="AB12" s="17">
        <f t="shared" si="4"/>
        <v>0</v>
      </c>
      <c r="AC12" s="17">
        <f t="shared" si="4"/>
        <v>338</v>
      </c>
      <c r="AD12" s="17">
        <f t="shared" si="4"/>
        <v>0</v>
      </c>
      <c r="AE12" s="31">
        <f t="shared" si="4"/>
        <v>185</v>
      </c>
      <c r="AF12" s="31">
        <f t="shared" si="4"/>
        <v>523</v>
      </c>
    </row>
    <row r="13" spans="2:32" ht="23.1" customHeight="1" x14ac:dyDescent="0.25">
      <c r="B13" s="23" t="s">
        <v>40</v>
      </c>
      <c r="C13" s="50">
        <v>15</v>
      </c>
      <c r="D13" s="50">
        <v>6</v>
      </c>
      <c r="E13" s="50">
        <v>2</v>
      </c>
      <c r="F13" s="50">
        <v>15</v>
      </c>
      <c r="G13" s="50">
        <v>0</v>
      </c>
      <c r="H13" s="50">
        <v>0</v>
      </c>
      <c r="I13" s="50">
        <v>2</v>
      </c>
      <c r="J13" s="50">
        <v>0</v>
      </c>
      <c r="K13" s="50">
        <v>0</v>
      </c>
      <c r="L13" s="50">
        <v>1</v>
      </c>
      <c r="M13" s="50">
        <v>70</v>
      </c>
      <c r="N13" s="50">
        <v>0</v>
      </c>
      <c r="O13" s="15">
        <f t="shared" si="0"/>
        <v>41</v>
      </c>
      <c r="P13" s="15">
        <f t="shared" si="1"/>
        <v>111</v>
      </c>
      <c r="R13" s="1" t="s">
        <v>9</v>
      </c>
      <c r="S13" s="17">
        <f t="shared" ref="S13:AF13" si="5">SUM(C22:C25)</f>
        <v>89</v>
      </c>
      <c r="T13" s="17">
        <f t="shared" si="5"/>
        <v>29</v>
      </c>
      <c r="U13" s="17">
        <f t="shared" si="5"/>
        <v>11</v>
      </c>
      <c r="V13" s="17">
        <f t="shared" si="5"/>
        <v>78</v>
      </c>
      <c r="W13" s="17">
        <f t="shared" si="5"/>
        <v>3</v>
      </c>
      <c r="X13" s="17">
        <f t="shared" si="5"/>
        <v>2</v>
      </c>
      <c r="Y13" s="17">
        <f t="shared" si="5"/>
        <v>13</v>
      </c>
      <c r="Z13" s="17">
        <f t="shared" si="5"/>
        <v>10</v>
      </c>
      <c r="AA13" s="17">
        <f t="shared" si="5"/>
        <v>3</v>
      </c>
      <c r="AB13" s="17">
        <f t="shared" si="5"/>
        <v>2</v>
      </c>
      <c r="AC13" s="17">
        <f t="shared" si="5"/>
        <v>355</v>
      </c>
      <c r="AD13" s="17">
        <f t="shared" si="5"/>
        <v>0</v>
      </c>
      <c r="AE13" s="31">
        <f t="shared" si="5"/>
        <v>240</v>
      </c>
      <c r="AF13" s="31">
        <f t="shared" si="5"/>
        <v>595</v>
      </c>
    </row>
    <row r="14" spans="2:32" ht="23.1" customHeight="1" x14ac:dyDescent="0.25">
      <c r="B14" s="23" t="s">
        <v>41</v>
      </c>
      <c r="C14" s="50">
        <v>11</v>
      </c>
      <c r="D14" s="50">
        <v>0</v>
      </c>
      <c r="E14" s="50">
        <v>1</v>
      </c>
      <c r="F14" s="50">
        <v>20</v>
      </c>
      <c r="G14" s="50">
        <v>0</v>
      </c>
      <c r="H14" s="50">
        <v>1</v>
      </c>
      <c r="I14" s="50">
        <v>3</v>
      </c>
      <c r="J14" s="50">
        <v>1</v>
      </c>
      <c r="K14" s="50">
        <v>0</v>
      </c>
      <c r="L14" s="50">
        <v>0</v>
      </c>
      <c r="M14" s="50">
        <v>85</v>
      </c>
      <c r="N14" s="50">
        <v>0</v>
      </c>
      <c r="O14" s="15">
        <f t="shared" si="0"/>
        <v>37</v>
      </c>
      <c r="P14" s="15">
        <f t="shared" si="1"/>
        <v>122</v>
      </c>
      <c r="R14" s="1" t="s">
        <v>10</v>
      </c>
      <c r="S14" s="17">
        <f t="shared" ref="S14:AF14" si="6">SUM(C26:C29)</f>
        <v>76</v>
      </c>
      <c r="T14" s="17">
        <f t="shared" si="6"/>
        <v>22</v>
      </c>
      <c r="U14" s="17">
        <f t="shared" si="6"/>
        <v>18</v>
      </c>
      <c r="V14" s="17">
        <f t="shared" si="6"/>
        <v>56</v>
      </c>
      <c r="W14" s="17">
        <f t="shared" si="6"/>
        <v>16</v>
      </c>
      <c r="X14" s="17">
        <f t="shared" si="6"/>
        <v>3</v>
      </c>
      <c r="Y14" s="17">
        <f t="shared" si="6"/>
        <v>9</v>
      </c>
      <c r="Z14" s="17">
        <f t="shared" si="6"/>
        <v>9</v>
      </c>
      <c r="AA14" s="17">
        <f t="shared" si="6"/>
        <v>5</v>
      </c>
      <c r="AB14" s="17">
        <f t="shared" si="6"/>
        <v>1</v>
      </c>
      <c r="AC14" s="17">
        <f t="shared" si="6"/>
        <v>388</v>
      </c>
      <c r="AD14" s="17">
        <f t="shared" si="6"/>
        <v>0</v>
      </c>
      <c r="AE14" s="31">
        <f t="shared" si="6"/>
        <v>215</v>
      </c>
      <c r="AF14" s="31">
        <f t="shared" si="6"/>
        <v>603</v>
      </c>
    </row>
    <row r="15" spans="2:32" ht="23.1" customHeight="1" x14ac:dyDescent="0.25">
      <c r="B15" s="23" t="s">
        <v>42</v>
      </c>
      <c r="C15" s="50">
        <v>18</v>
      </c>
      <c r="D15" s="50">
        <v>3</v>
      </c>
      <c r="E15" s="50">
        <v>2</v>
      </c>
      <c r="F15" s="50">
        <v>12</v>
      </c>
      <c r="G15" s="50">
        <v>0</v>
      </c>
      <c r="H15" s="50">
        <v>1</v>
      </c>
      <c r="I15" s="50">
        <v>2</v>
      </c>
      <c r="J15" s="50">
        <v>0</v>
      </c>
      <c r="K15" s="50">
        <v>1</v>
      </c>
      <c r="L15" s="50">
        <v>0</v>
      </c>
      <c r="M15" s="50">
        <v>100</v>
      </c>
      <c r="N15" s="50">
        <v>0</v>
      </c>
      <c r="O15" s="15">
        <f t="shared" si="0"/>
        <v>39</v>
      </c>
      <c r="P15" s="15">
        <f t="shared" si="1"/>
        <v>139</v>
      </c>
      <c r="R15" s="1" t="s">
        <v>11</v>
      </c>
      <c r="S15" s="17">
        <f t="shared" ref="S15:AF15" si="7">SUM(C30:C33)</f>
        <v>134</v>
      </c>
      <c r="T15" s="17">
        <f t="shared" si="7"/>
        <v>23</v>
      </c>
      <c r="U15" s="17">
        <f t="shared" si="7"/>
        <v>16</v>
      </c>
      <c r="V15" s="17">
        <f t="shared" si="7"/>
        <v>73</v>
      </c>
      <c r="W15" s="17">
        <f t="shared" si="7"/>
        <v>2</v>
      </c>
      <c r="X15" s="17">
        <f t="shared" si="7"/>
        <v>1</v>
      </c>
      <c r="Y15" s="17">
        <f t="shared" si="7"/>
        <v>8</v>
      </c>
      <c r="Z15" s="17">
        <f t="shared" si="7"/>
        <v>8</v>
      </c>
      <c r="AA15" s="17">
        <f t="shared" si="7"/>
        <v>0</v>
      </c>
      <c r="AB15" s="17">
        <f t="shared" si="7"/>
        <v>1</v>
      </c>
      <c r="AC15" s="17">
        <f t="shared" si="7"/>
        <v>343</v>
      </c>
      <c r="AD15" s="17">
        <f t="shared" si="7"/>
        <v>0</v>
      </c>
      <c r="AE15" s="31">
        <f t="shared" si="7"/>
        <v>266</v>
      </c>
      <c r="AF15" s="31">
        <f t="shared" si="7"/>
        <v>609</v>
      </c>
    </row>
    <row r="16" spans="2:32" ht="23.1" customHeight="1" x14ac:dyDescent="0.25">
      <c r="B16" s="23" t="s">
        <v>43</v>
      </c>
      <c r="C16" s="50">
        <v>12</v>
      </c>
      <c r="D16" s="50">
        <v>3</v>
      </c>
      <c r="E16" s="50">
        <v>4</v>
      </c>
      <c r="F16" s="50">
        <v>15</v>
      </c>
      <c r="G16" s="50">
        <v>0</v>
      </c>
      <c r="H16" s="50">
        <v>0</v>
      </c>
      <c r="I16" s="50">
        <v>2</v>
      </c>
      <c r="J16" s="50">
        <v>1</v>
      </c>
      <c r="K16" s="50">
        <v>0</v>
      </c>
      <c r="L16" s="50">
        <v>0</v>
      </c>
      <c r="M16" s="50">
        <v>105</v>
      </c>
      <c r="N16" s="50">
        <v>0</v>
      </c>
      <c r="O16" s="15">
        <f t="shared" si="0"/>
        <v>37</v>
      </c>
      <c r="P16" s="15">
        <f t="shared" si="1"/>
        <v>142</v>
      </c>
      <c r="R16" s="1" t="s">
        <v>12</v>
      </c>
      <c r="S16" s="17">
        <f t="shared" ref="S16:AF16" si="8">SUM(C34:C37)</f>
        <v>144</v>
      </c>
      <c r="T16" s="17">
        <f t="shared" si="8"/>
        <v>28</v>
      </c>
      <c r="U16" s="17">
        <f t="shared" si="8"/>
        <v>23</v>
      </c>
      <c r="V16" s="17">
        <f t="shared" si="8"/>
        <v>78</v>
      </c>
      <c r="W16" s="17">
        <f t="shared" si="8"/>
        <v>4</v>
      </c>
      <c r="X16" s="17">
        <f t="shared" si="8"/>
        <v>1</v>
      </c>
      <c r="Y16" s="17">
        <f t="shared" si="8"/>
        <v>8</v>
      </c>
      <c r="Z16" s="17">
        <f t="shared" si="8"/>
        <v>7</v>
      </c>
      <c r="AA16" s="17">
        <f t="shared" si="8"/>
        <v>4</v>
      </c>
      <c r="AB16" s="17">
        <f t="shared" si="8"/>
        <v>0</v>
      </c>
      <c r="AC16" s="17">
        <f t="shared" si="8"/>
        <v>289</v>
      </c>
      <c r="AD16" s="17">
        <f t="shared" si="8"/>
        <v>0</v>
      </c>
      <c r="AE16" s="31">
        <f t="shared" si="8"/>
        <v>297</v>
      </c>
      <c r="AF16" s="31">
        <f t="shared" si="8"/>
        <v>586</v>
      </c>
    </row>
    <row r="17" spans="2:32" ht="23.1" customHeight="1" x14ac:dyDescent="0.25">
      <c r="B17" s="23" t="s">
        <v>44</v>
      </c>
      <c r="C17" s="50">
        <v>27</v>
      </c>
      <c r="D17" s="50">
        <v>8</v>
      </c>
      <c r="E17" s="50">
        <v>2</v>
      </c>
      <c r="F17" s="50">
        <v>16</v>
      </c>
      <c r="G17" s="50">
        <v>1</v>
      </c>
      <c r="H17" s="50">
        <v>4</v>
      </c>
      <c r="I17" s="50">
        <v>3</v>
      </c>
      <c r="J17" s="50">
        <v>5</v>
      </c>
      <c r="K17" s="50">
        <v>2</v>
      </c>
      <c r="L17" s="50">
        <v>1</v>
      </c>
      <c r="M17" s="50">
        <v>120</v>
      </c>
      <c r="N17" s="50">
        <v>0</v>
      </c>
      <c r="O17" s="15">
        <f t="shared" si="0"/>
        <v>69</v>
      </c>
      <c r="P17" s="15">
        <f t="shared" si="1"/>
        <v>189</v>
      </c>
      <c r="R17" s="1" t="s">
        <v>13</v>
      </c>
      <c r="S17" s="17">
        <f t="shared" ref="S17:AF17" si="9">SUM(C38:C41)</f>
        <v>186</v>
      </c>
      <c r="T17" s="17">
        <f t="shared" si="9"/>
        <v>56</v>
      </c>
      <c r="U17" s="17">
        <f t="shared" si="9"/>
        <v>19</v>
      </c>
      <c r="V17" s="17">
        <f t="shared" si="9"/>
        <v>65</v>
      </c>
      <c r="W17" s="17">
        <f t="shared" si="9"/>
        <v>5</v>
      </c>
      <c r="X17" s="17">
        <f t="shared" si="9"/>
        <v>0</v>
      </c>
      <c r="Y17" s="17">
        <f t="shared" si="9"/>
        <v>11</v>
      </c>
      <c r="Z17" s="17">
        <f t="shared" si="9"/>
        <v>5</v>
      </c>
      <c r="AA17" s="17">
        <f t="shared" si="9"/>
        <v>1</v>
      </c>
      <c r="AB17" s="17">
        <f t="shared" si="9"/>
        <v>0</v>
      </c>
      <c r="AC17" s="17">
        <f t="shared" si="9"/>
        <v>375</v>
      </c>
      <c r="AD17" s="17">
        <f t="shared" si="9"/>
        <v>0</v>
      </c>
      <c r="AE17" s="31">
        <f t="shared" si="9"/>
        <v>348</v>
      </c>
      <c r="AF17" s="31">
        <f t="shared" si="9"/>
        <v>723</v>
      </c>
    </row>
    <row r="18" spans="2:32" ht="23.1" customHeight="1" x14ac:dyDescent="0.25">
      <c r="B18" s="23" t="s">
        <v>45</v>
      </c>
      <c r="C18" s="50">
        <v>15</v>
      </c>
      <c r="D18" s="50">
        <v>2</v>
      </c>
      <c r="E18" s="50">
        <v>8</v>
      </c>
      <c r="F18" s="50">
        <v>20</v>
      </c>
      <c r="G18" s="50">
        <v>0</v>
      </c>
      <c r="H18" s="50">
        <v>0</v>
      </c>
      <c r="I18" s="50">
        <v>1</v>
      </c>
      <c r="J18" s="50">
        <v>1</v>
      </c>
      <c r="K18" s="50">
        <v>0</v>
      </c>
      <c r="L18" s="50">
        <v>0</v>
      </c>
      <c r="M18" s="50">
        <v>100</v>
      </c>
      <c r="N18" s="50">
        <v>0</v>
      </c>
      <c r="O18" s="15">
        <f t="shared" si="0"/>
        <v>47</v>
      </c>
      <c r="P18" s="15">
        <f t="shared" si="1"/>
        <v>147</v>
      </c>
      <c r="R18" s="1" t="s">
        <v>14</v>
      </c>
      <c r="S18" s="17">
        <f t="shared" ref="S18:AF18" si="10">SUM(C42:C45)</f>
        <v>224</v>
      </c>
      <c r="T18" s="17">
        <f t="shared" si="10"/>
        <v>39</v>
      </c>
      <c r="U18" s="17">
        <f t="shared" si="10"/>
        <v>13</v>
      </c>
      <c r="V18" s="17">
        <f t="shared" si="10"/>
        <v>85</v>
      </c>
      <c r="W18" s="17">
        <f t="shared" si="10"/>
        <v>6</v>
      </c>
      <c r="X18" s="17">
        <f t="shared" si="10"/>
        <v>3</v>
      </c>
      <c r="Y18" s="17">
        <f t="shared" si="10"/>
        <v>7</v>
      </c>
      <c r="Z18" s="17">
        <f t="shared" si="10"/>
        <v>7</v>
      </c>
      <c r="AA18" s="17">
        <f t="shared" si="10"/>
        <v>3</v>
      </c>
      <c r="AB18" s="17">
        <f t="shared" si="10"/>
        <v>5</v>
      </c>
      <c r="AC18" s="17">
        <f t="shared" si="10"/>
        <v>355</v>
      </c>
      <c r="AD18" s="17">
        <f t="shared" si="10"/>
        <v>0</v>
      </c>
      <c r="AE18" s="31">
        <f t="shared" si="10"/>
        <v>392</v>
      </c>
      <c r="AF18" s="31">
        <f t="shared" si="10"/>
        <v>747</v>
      </c>
    </row>
    <row r="19" spans="2:32" ht="23.1" customHeight="1" x14ac:dyDescent="0.25">
      <c r="B19" s="23" t="s">
        <v>46</v>
      </c>
      <c r="C19" s="50">
        <v>16</v>
      </c>
      <c r="D19" s="50">
        <v>1</v>
      </c>
      <c r="E19" s="50">
        <v>3</v>
      </c>
      <c r="F19" s="50">
        <v>10</v>
      </c>
      <c r="G19" s="50">
        <v>1</v>
      </c>
      <c r="H19" s="50">
        <v>0</v>
      </c>
      <c r="I19" s="50">
        <v>0</v>
      </c>
      <c r="J19" s="50">
        <v>6</v>
      </c>
      <c r="K19" s="50">
        <v>0</v>
      </c>
      <c r="L19" s="50">
        <v>0</v>
      </c>
      <c r="M19" s="50">
        <v>65</v>
      </c>
      <c r="N19" s="50">
        <v>0</v>
      </c>
      <c r="O19" s="15">
        <f t="shared" si="0"/>
        <v>37</v>
      </c>
      <c r="P19" s="15">
        <f t="shared" si="1"/>
        <v>102</v>
      </c>
      <c r="R19" s="1" t="s">
        <v>15</v>
      </c>
      <c r="S19" s="17">
        <f t="shared" ref="S19:AF19" si="11">SUM(C46:C49)</f>
        <v>200</v>
      </c>
      <c r="T19" s="17">
        <f t="shared" si="11"/>
        <v>25</v>
      </c>
      <c r="U19" s="17">
        <f t="shared" si="11"/>
        <v>18</v>
      </c>
      <c r="V19" s="17">
        <f t="shared" si="11"/>
        <v>87</v>
      </c>
      <c r="W19" s="17">
        <f t="shared" si="11"/>
        <v>3</v>
      </c>
      <c r="X19" s="17">
        <f t="shared" si="11"/>
        <v>1</v>
      </c>
      <c r="Y19" s="17">
        <f t="shared" si="11"/>
        <v>14</v>
      </c>
      <c r="Z19" s="17">
        <f t="shared" si="11"/>
        <v>4</v>
      </c>
      <c r="AA19" s="17">
        <f t="shared" si="11"/>
        <v>5</v>
      </c>
      <c r="AB19" s="17">
        <f t="shared" si="11"/>
        <v>4</v>
      </c>
      <c r="AC19" s="17">
        <f t="shared" si="11"/>
        <v>266</v>
      </c>
      <c r="AD19" s="17">
        <f t="shared" si="11"/>
        <v>0</v>
      </c>
      <c r="AE19" s="31">
        <f t="shared" si="11"/>
        <v>361</v>
      </c>
      <c r="AF19" s="31">
        <f t="shared" si="11"/>
        <v>627</v>
      </c>
    </row>
    <row r="20" spans="2:32" ht="23.1" customHeight="1" x14ac:dyDescent="0.25">
      <c r="B20" s="23" t="s">
        <v>47</v>
      </c>
      <c r="C20" s="50">
        <v>15</v>
      </c>
      <c r="D20" s="50">
        <v>5</v>
      </c>
      <c r="E20" s="50">
        <v>1</v>
      </c>
      <c r="F20" s="50">
        <v>22</v>
      </c>
      <c r="G20" s="50">
        <v>1</v>
      </c>
      <c r="H20" s="50">
        <v>0</v>
      </c>
      <c r="I20" s="50">
        <v>1</v>
      </c>
      <c r="J20" s="50">
        <v>1</v>
      </c>
      <c r="K20" s="50">
        <v>0</v>
      </c>
      <c r="L20" s="50">
        <v>0</v>
      </c>
      <c r="M20" s="50">
        <v>60</v>
      </c>
      <c r="N20" s="50">
        <v>0</v>
      </c>
      <c r="O20" s="15">
        <f t="shared" si="0"/>
        <v>46</v>
      </c>
      <c r="P20" s="15">
        <f t="shared" si="1"/>
        <v>106</v>
      </c>
      <c r="R20" s="1" t="s">
        <v>16</v>
      </c>
      <c r="S20" s="17">
        <f t="shared" ref="S20:AF20" si="12">SUM(C50:C53)</f>
        <v>218</v>
      </c>
      <c r="T20" s="17">
        <f t="shared" si="12"/>
        <v>27</v>
      </c>
      <c r="U20" s="17">
        <f t="shared" si="12"/>
        <v>23</v>
      </c>
      <c r="V20" s="17">
        <f t="shared" si="12"/>
        <v>60</v>
      </c>
      <c r="W20" s="17">
        <f t="shared" si="12"/>
        <v>1</v>
      </c>
      <c r="X20" s="17">
        <f t="shared" si="12"/>
        <v>0</v>
      </c>
      <c r="Y20" s="17">
        <f t="shared" si="12"/>
        <v>9</v>
      </c>
      <c r="Z20" s="17">
        <f t="shared" si="12"/>
        <v>5</v>
      </c>
      <c r="AA20" s="17">
        <f t="shared" si="12"/>
        <v>4</v>
      </c>
      <c r="AB20" s="17">
        <f t="shared" si="12"/>
        <v>1</v>
      </c>
      <c r="AC20" s="17">
        <f t="shared" si="12"/>
        <v>494</v>
      </c>
      <c r="AD20" s="17">
        <f t="shared" si="12"/>
        <v>0</v>
      </c>
      <c r="AE20" s="31">
        <f t="shared" si="12"/>
        <v>348</v>
      </c>
      <c r="AF20" s="31">
        <f t="shared" si="12"/>
        <v>842</v>
      </c>
    </row>
    <row r="21" spans="2:32" ht="23.1" customHeight="1" x14ac:dyDescent="0.25">
      <c r="B21" s="23" t="s">
        <v>48</v>
      </c>
      <c r="C21" s="50">
        <v>14</v>
      </c>
      <c r="D21" s="50">
        <v>6</v>
      </c>
      <c r="E21" s="50">
        <v>4</v>
      </c>
      <c r="F21" s="50">
        <v>25</v>
      </c>
      <c r="G21" s="50">
        <v>0</v>
      </c>
      <c r="H21" s="50">
        <v>1</v>
      </c>
      <c r="I21" s="50">
        <v>2</v>
      </c>
      <c r="J21" s="50">
        <v>3</v>
      </c>
      <c r="K21" s="50">
        <v>0</v>
      </c>
      <c r="L21" s="50">
        <v>0</v>
      </c>
      <c r="M21" s="50">
        <v>113</v>
      </c>
      <c r="N21" s="50">
        <v>0</v>
      </c>
      <c r="O21" s="15">
        <f t="shared" si="0"/>
        <v>55</v>
      </c>
      <c r="P21" s="15">
        <f t="shared" si="1"/>
        <v>168</v>
      </c>
      <c r="R21" s="36" t="s">
        <v>20</v>
      </c>
      <c r="S21" s="34">
        <f t="shared" ref="S21:AF21" si="13">SUM(C54:C57)</f>
        <v>224</v>
      </c>
      <c r="T21" s="17">
        <f t="shared" si="13"/>
        <v>31</v>
      </c>
      <c r="U21" s="17">
        <f t="shared" si="13"/>
        <v>11</v>
      </c>
      <c r="V21" s="17">
        <f t="shared" si="13"/>
        <v>54</v>
      </c>
      <c r="W21" s="17">
        <f t="shared" si="13"/>
        <v>3</v>
      </c>
      <c r="X21" s="17">
        <f t="shared" si="13"/>
        <v>0</v>
      </c>
      <c r="Y21" s="17">
        <f t="shared" si="13"/>
        <v>7</v>
      </c>
      <c r="Z21" s="17">
        <f t="shared" si="13"/>
        <v>1</v>
      </c>
      <c r="AA21" s="17">
        <f t="shared" si="13"/>
        <v>0</v>
      </c>
      <c r="AB21" s="17">
        <f t="shared" si="13"/>
        <v>3</v>
      </c>
      <c r="AC21" s="17">
        <f t="shared" si="13"/>
        <v>438</v>
      </c>
      <c r="AD21" s="17">
        <f t="shared" si="13"/>
        <v>0</v>
      </c>
      <c r="AE21" s="31">
        <f t="shared" si="13"/>
        <v>334</v>
      </c>
      <c r="AF21" s="31">
        <f t="shared" si="13"/>
        <v>772</v>
      </c>
    </row>
    <row r="22" spans="2:32" ht="23.1" customHeight="1" x14ac:dyDescent="0.25">
      <c r="B22" s="23" t="s">
        <v>49</v>
      </c>
      <c r="C22" s="50">
        <v>26</v>
      </c>
      <c r="D22" s="50">
        <v>6</v>
      </c>
      <c r="E22" s="50">
        <v>3</v>
      </c>
      <c r="F22" s="50">
        <v>23</v>
      </c>
      <c r="G22" s="50">
        <v>0</v>
      </c>
      <c r="H22" s="50">
        <v>0</v>
      </c>
      <c r="I22" s="50">
        <v>1</v>
      </c>
      <c r="J22" s="50">
        <v>1</v>
      </c>
      <c r="K22" s="50">
        <v>0</v>
      </c>
      <c r="L22" s="50">
        <v>1</v>
      </c>
      <c r="M22" s="50">
        <v>68</v>
      </c>
      <c r="N22" s="50">
        <v>0</v>
      </c>
      <c r="O22" s="15">
        <f t="shared" si="0"/>
        <v>61</v>
      </c>
      <c r="P22" s="15">
        <f t="shared" si="1"/>
        <v>129</v>
      </c>
      <c r="R22" s="38" t="s">
        <v>90</v>
      </c>
      <c r="S22" s="39">
        <f>MAX(S10:S12)</f>
        <v>68</v>
      </c>
      <c r="T22" s="39">
        <f t="shared" ref="T22:AF22" si="14">MAX(T10:T12)</f>
        <v>14</v>
      </c>
      <c r="U22" s="39">
        <f t="shared" si="14"/>
        <v>16</v>
      </c>
      <c r="V22" s="39">
        <f t="shared" si="14"/>
        <v>77</v>
      </c>
      <c r="W22" s="39">
        <f t="shared" si="14"/>
        <v>2</v>
      </c>
      <c r="X22" s="39">
        <f t="shared" si="14"/>
        <v>6</v>
      </c>
      <c r="Y22" s="39">
        <f t="shared" si="14"/>
        <v>10</v>
      </c>
      <c r="Z22" s="39">
        <f t="shared" si="14"/>
        <v>11</v>
      </c>
      <c r="AA22" s="39">
        <f t="shared" si="14"/>
        <v>3</v>
      </c>
      <c r="AB22" s="39">
        <f t="shared" si="14"/>
        <v>1</v>
      </c>
      <c r="AC22" s="39">
        <f t="shared" si="14"/>
        <v>410</v>
      </c>
      <c r="AD22" s="39">
        <f t="shared" si="14"/>
        <v>0</v>
      </c>
      <c r="AE22" s="40">
        <f t="shared" si="14"/>
        <v>185</v>
      </c>
      <c r="AF22" s="40">
        <f t="shared" si="14"/>
        <v>592</v>
      </c>
    </row>
    <row r="23" spans="2:32" ht="23.1" customHeight="1" x14ac:dyDescent="0.25">
      <c r="B23" s="23" t="s">
        <v>50</v>
      </c>
      <c r="C23" s="50">
        <v>20</v>
      </c>
      <c r="D23" s="50">
        <v>7</v>
      </c>
      <c r="E23" s="50">
        <v>3</v>
      </c>
      <c r="F23" s="50">
        <v>20</v>
      </c>
      <c r="G23" s="50">
        <v>0</v>
      </c>
      <c r="H23" s="50">
        <v>1</v>
      </c>
      <c r="I23" s="50">
        <v>4</v>
      </c>
      <c r="J23" s="50">
        <v>3</v>
      </c>
      <c r="K23" s="50">
        <v>1</v>
      </c>
      <c r="L23" s="50">
        <v>1</v>
      </c>
      <c r="M23" s="50">
        <v>72</v>
      </c>
      <c r="N23" s="50">
        <v>0</v>
      </c>
      <c r="O23" s="15">
        <f t="shared" si="0"/>
        <v>60</v>
      </c>
      <c r="P23" s="15">
        <f t="shared" si="1"/>
        <v>132</v>
      </c>
      <c r="R23" s="38" t="s">
        <v>91</v>
      </c>
      <c r="S23" s="39">
        <f>MAX(S13:S18)</f>
        <v>224</v>
      </c>
      <c r="T23" s="39">
        <f t="shared" ref="T23:AF23" si="15">MAX(T13:T18)</f>
        <v>56</v>
      </c>
      <c r="U23" s="39">
        <f t="shared" si="15"/>
        <v>23</v>
      </c>
      <c r="V23" s="39">
        <f t="shared" si="15"/>
        <v>85</v>
      </c>
      <c r="W23" s="39">
        <f t="shared" si="15"/>
        <v>16</v>
      </c>
      <c r="X23" s="39">
        <f t="shared" si="15"/>
        <v>3</v>
      </c>
      <c r="Y23" s="39">
        <f t="shared" si="15"/>
        <v>13</v>
      </c>
      <c r="Z23" s="39">
        <f t="shared" si="15"/>
        <v>10</v>
      </c>
      <c r="AA23" s="39">
        <f t="shared" si="15"/>
        <v>5</v>
      </c>
      <c r="AB23" s="39">
        <f t="shared" si="15"/>
        <v>5</v>
      </c>
      <c r="AC23" s="39">
        <f t="shared" si="15"/>
        <v>388</v>
      </c>
      <c r="AD23" s="39">
        <f t="shared" si="15"/>
        <v>0</v>
      </c>
      <c r="AE23" s="40">
        <f t="shared" si="15"/>
        <v>392</v>
      </c>
      <c r="AF23" s="40">
        <f t="shared" si="15"/>
        <v>747</v>
      </c>
    </row>
    <row r="24" spans="2:32" ht="23.1" customHeight="1" x14ac:dyDescent="0.25">
      <c r="B24" s="23" t="s">
        <v>51</v>
      </c>
      <c r="C24" s="50">
        <v>18</v>
      </c>
      <c r="D24" s="50">
        <v>8</v>
      </c>
      <c r="E24" s="50">
        <v>0</v>
      </c>
      <c r="F24" s="50">
        <v>18</v>
      </c>
      <c r="G24" s="50">
        <v>2</v>
      </c>
      <c r="H24" s="50">
        <v>0</v>
      </c>
      <c r="I24" s="50">
        <v>5</v>
      </c>
      <c r="J24" s="50">
        <v>3</v>
      </c>
      <c r="K24" s="50">
        <v>2</v>
      </c>
      <c r="L24" s="50">
        <v>0</v>
      </c>
      <c r="M24" s="50">
        <v>120</v>
      </c>
      <c r="N24" s="50">
        <v>0</v>
      </c>
      <c r="O24" s="15">
        <f t="shared" si="0"/>
        <v>56</v>
      </c>
      <c r="P24" s="15">
        <f t="shared" si="1"/>
        <v>176</v>
      </c>
      <c r="R24" s="38" t="s">
        <v>92</v>
      </c>
      <c r="S24" s="39">
        <f>MAX(S19:S21)</f>
        <v>224</v>
      </c>
      <c r="T24" s="39">
        <f t="shared" ref="T24:AF24" si="16">MAX(T19:T21)</f>
        <v>31</v>
      </c>
      <c r="U24" s="39">
        <f t="shared" si="16"/>
        <v>23</v>
      </c>
      <c r="V24" s="39">
        <f t="shared" si="16"/>
        <v>87</v>
      </c>
      <c r="W24" s="39">
        <f t="shared" si="16"/>
        <v>3</v>
      </c>
      <c r="X24" s="39">
        <f t="shared" si="16"/>
        <v>1</v>
      </c>
      <c r="Y24" s="39">
        <f t="shared" si="16"/>
        <v>14</v>
      </c>
      <c r="Z24" s="39">
        <f t="shared" si="16"/>
        <v>5</v>
      </c>
      <c r="AA24" s="39">
        <f t="shared" si="16"/>
        <v>5</v>
      </c>
      <c r="AB24" s="39">
        <f t="shared" si="16"/>
        <v>4</v>
      </c>
      <c r="AC24" s="39">
        <f t="shared" si="16"/>
        <v>494</v>
      </c>
      <c r="AD24" s="39">
        <f t="shared" si="16"/>
        <v>0</v>
      </c>
      <c r="AE24" s="40">
        <f t="shared" si="16"/>
        <v>361</v>
      </c>
      <c r="AF24" s="40">
        <f t="shared" si="16"/>
        <v>842</v>
      </c>
    </row>
    <row r="25" spans="2:32" ht="23.1" customHeight="1" x14ac:dyDescent="0.25">
      <c r="B25" s="23" t="s">
        <v>52</v>
      </c>
      <c r="C25" s="50">
        <v>25</v>
      </c>
      <c r="D25" s="50">
        <v>8</v>
      </c>
      <c r="E25" s="50">
        <v>5</v>
      </c>
      <c r="F25" s="50">
        <v>17</v>
      </c>
      <c r="G25" s="50">
        <v>1</v>
      </c>
      <c r="H25" s="50">
        <v>1</v>
      </c>
      <c r="I25" s="50">
        <v>3</v>
      </c>
      <c r="J25" s="50">
        <v>3</v>
      </c>
      <c r="K25" s="50">
        <v>0</v>
      </c>
      <c r="L25" s="50">
        <v>0</v>
      </c>
      <c r="M25" s="50">
        <v>95</v>
      </c>
      <c r="N25" s="50">
        <v>0</v>
      </c>
      <c r="O25" s="15">
        <f t="shared" si="0"/>
        <v>63</v>
      </c>
      <c r="P25" s="15">
        <f t="shared" si="1"/>
        <v>158</v>
      </c>
      <c r="R25" s="37" t="s">
        <v>85</v>
      </c>
      <c r="S25" s="35">
        <f t="shared" ref="S25:AF25" si="17">SUM(S10:S12)</f>
        <v>178</v>
      </c>
      <c r="T25" s="16">
        <f t="shared" si="17"/>
        <v>37</v>
      </c>
      <c r="U25" s="16">
        <f t="shared" si="17"/>
        <v>35</v>
      </c>
      <c r="V25" s="16">
        <f t="shared" si="17"/>
        <v>190</v>
      </c>
      <c r="W25" s="16">
        <f t="shared" si="17"/>
        <v>5</v>
      </c>
      <c r="X25" s="16">
        <f t="shared" si="17"/>
        <v>8</v>
      </c>
      <c r="Y25" s="16">
        <f t="shared" si="17"/>
        <v>19</v>
      </c>
      <c r="Z25" s="16">
        <f t="shared" si="17"/>
        <v>22</v>
      </c>
      <c r="AA25" s="16">
        <f t="shared" si="17"/>
        <v>3</v>
      </c>
      <c r="AB25" s="16">
        <f t="shared" si="17"/>
        <v>2</v>
      </c>
      <c r="AC25" s="16">
        <f t="shared" si="17"/>
        <v>1035</v>
      </c>
      <c r="AD25" s="16">
        <f t="shared" si="17"/>
        <v>0</v>
      </c>
      <c r="AE25" s="32">
        <f t="shared" si="17"/>
        <v>499</v>
      </c>
      <c r="AF25" s="32">
        <f t="shared" si="17"/>
        <v>1534</v>
      </c>
    </row>
    <row r="26" spans="2:32" ht="23.1" customHeight="1" x14ac:dyDescent="0.25">
      <c r="B26" s="23" t="s">
        <v>53</v>
      </c>
      <c r="C26" s="50">
        <v>33</v>
      </c>
      <c r="D26" s="50">
        <v>4</v>
      </c>
      <c r="E26" s="50">
        <v>4</v>
      </c>
      <c r="F26" s="50">
        <v>22</v>
      </c>
      <c r="G26" s="50">
        <v>1</v>
      </c>
      <c r="H26" s="50">
        <v>1</v>
      </c>
      <c r="I26" s="50">
        <v>3</v>
      </c>
      <c r="J26" s="50">
        <v>3</v>
      </c>
      <c r="K26" s="50">
        <v>0</v>
      </c>
      <c r="L26" s="50">
        <v>0</v>
      </c>
      <c r="M26" s="50">
        <v>110</v>
      </c>
      <c r="N26" s="50">
        <v>0</v>
      </c>
      <c r="O26" s="15">
        <f t="shared" si="0"/>
        <v>71</v>
      </c>
      <c r="P26" s="15">
        <f t="shared" si="1"/>
        <v>181</v>
      </c>
      <c r="R26" s="28" t="s">
        <v>86</v>
      </c>
      <c r="S26" s="16">
        <f t="shared" ref="S26:AF26" si="18">SUM(S13:S18)</f>
        <v>853</v>
      </c>
      <c r="T26" s="16">
        <f t="shared" si="18"/>
        <v>197</v>
      </c>
      <c r="U26" s="16">
        <f t="shared" si="18"/>
        <v>100</v>
      </c>
      <c r="V26" s="16">
        <f t="shared" si="18"/>
        <v>435</v>
      </c>
      <c r="W26" s="16">
        <f t="shared" si="18"/>
        <v>36</v>
      </c>
      <c r="X26" s="16">
        <f t="shared" si="18"/>
        <v>10</v>
      </c>
      <c r="Y26" s="16">
        <f t="shared" si="18"/>
        <v>56</v>
      </c>
      <c r="Z26" s="16">
        <f t="shared" si="18"/>
        <v>46</v>
      </c>
      <c r="AA26" s="16">
        <f t="shared" si="18"/>
        <v>16</v>
      </c>
      <c r="AB26" s="16">
        <f t="shared" si="18"/>
        <v>9</v>
      </c>
      <c r="AC26" s="16">
        <f t="shared" si="18"/>
        <v>2105</v>
      </c>
      <c r="AD26" s="16">
        <f t="shared" si="18"/>
        <v>0</v>
      </c>
      <c r="AE26" s="32">
        <f t="shared" si="18"/>
        <v>1758</v>
      </c>
      <c r="AF26" s="32">
        <f t="shared" si="18"/>
        <v>3863</v>
      </c>
    </row>
    <row r="27" spans="2:32" ht="23.1" customHeight="1" x14ac:dyDescent="0.25">
      <c r="B27" s="23" t="s">
        <v>54</v>
      </c>
      <c r="C27" s="50">
        <v>10</v>
      </c>
      <c r="D27" s="50">
        <v>5</v>
      </c>
      <c r="E27" s="50">
        <v>2</v>
      </c>
      <c r="F27" s="50">
        <v>11</v>
      </c>
      <c r="G27" s="50">
        <v>0</v>
      </c>
      <c r="H27" s="50">
        <v>0</v>
      </c>
      <c r="I27" s="50">
        <v>1</v>
      </c>
      <c r="J27" s="50">
        <v>2</v>
      </c>
      <c r="K27" s="50">
        <v>2</v>
      </c>
      <c r="L27" s="50">
        <v>0</v>
      </c>
      <c r="M27" s="50">
        <v>65</v>
      </c>
      <c r="N27" s="50">
        <v>0</v>
      </c>
      <c r="O27" s="15">
        <f t="shared" si="0"/>
        <v>33</v>
      </c>
      <c r="P27" s="15">
        <f t="shared" si="1"/>
        <v>98</v>
      </c>
      <c r="R27" s="29" t="s">
        <v>87</v>
      </c>
      <c r="S27" s="16">
        <f t="shared" ref="S27:AF27" si="19">SUM(S19:S21)</f>
        <v>642</v>
      </c>
      <c r="T27" s="16">
        <f t="shared" si="19"/>
        <v>83</v>
      </c>
      <c r="U27" s="16">
        <f t="shared" si="19"/>
        <v>52</v>
      </c>
      <c r="V27" s="16">
        <f t="shared" si="19"/>
        <v>201</v>
      </c>
      <c r="W27" s="16">
        <f t="shared" si="19"/>
        <v>7</v>
      </c>
      <c r="X27" s="16">
        <f t="shared" si="19"/>
        <v>1</v>
      </c>
      <c r="Y27" s="16">
        <f t="shared" si="19"/>
        <v>30</v>
      </c>
      <c r="Z27" s="16">
        <f t="shared" si="19"/>
        <v>10</v>
      </c>
      <c r="AA27" s="16">
        <f t="shared" si="19"/>
        <v>9</v>
      </c>
      <c r="AB27" s="16">
        <f t="shared" si="19"/>
        <v>8</v>
      </c>
      <c r="AC27" s="16">
        <f t="shared" si="19"/>
        <v>1198</v>
      </c>
      <c r="AD27" s="16">
        <f t="shared" si="19"/>
        <v>0</v>
      </c>
      <c r="AE27" s="32">
        <f t="shared" si="19"/>
        <v>1043</v>
      </c>
      <c r="AF27" s="32">
        <f t="shared" si="19"/>
        <v>2241</v>
      </c>
    </row>
    <row r="28" spans="2:32" ht="23.1" customHeight="1" x14ac:dyDescent="0.25">
      <c r="B28" s="23" t="s">
        <v>55</v>
      </c>
      <c r="C28" s="50">
        <v>16</v>
      </c>
      <c r="D28" s="50">
        <v>8</v>
      </c>
      <c r="E28" s="50">
        <v>8</v>
      </c>
      <c r="F28" s="50">
        <v>11</v>
      </c>
      <c r="G28" s="50">
        <v>14</v>
      </c>
      <c r="H28" s="50">
        <v>0</v>
      </c>
      <c r="I28" s="50">
        <v>1</v>
      </c>
      <c r="J28" s="50">
        <v>0</v>
      </c>
      <c r="K28" s="50">
        <v>1</v>
      </c>
      <c r="L28" s="50">
        <v>1</v>
      </c>
      <c r="M28" s="50">
        <v>93</v>
      </c>
      <c r="N28" s="50">
        <v>0</v>
      </c>
      <c r="O28" s="15">
        <f t="shared" si="0"/>
        <v>60</v>
      </c>
      <c r="P28" s="15">
        <f t="shared" si="1"/>
        <v>153</v>
      </c>
      <c r="R28" s="5" t="s">
        <v>17</v>
      </c>
      <c r="S28" s="16">
        <f t="shared" ref="S28:AF28" si="20">SUM(S10:S21)</f>
        <v>1673</v>
      </c>
      <c r="T28" s="16">
        <f t="shared" si="20"/>
        <v>317</v>
      </c>
      <c r="U28" s="16">
        <f t="shared" si="20"/>
        <v>187</v>
      </c>
      <c r="V28" s="16">
        <f t="shared" si="20"/>
        <v>826</v>
      </c>
      <c r="W28" s="16">
        <f t="shared" si="20"/>
        <v>48</v>
      </c>
      <c r="X28" s="16">
        <f t="shared" si="20"/>
        <v>19</v>
      </c>
      <c r="Y28" s="16">
        <f t="shared" si="20"/>
        <v>105</v>
      </c>
      <c r="Z28" s="16">
        <f t="shared" si="20"/>
        <v>78</v>
      </c>
      <c r="AA28" s="16">
        <f t="shared" si="20"/>
        <v>28</v>
      </c>
      <c r="AB28" s="16">
        <f t="shared" si="20"/>
        <v>19</v>
      </c>
      <c r="AC28" s="16">
        <f t="shared" si="20"/>
        <v>4338</v>
      </c>
      <c r="AD28" s="16">
        <f t="shared" si="20"/>
        <v>0</v>
      </c>
      <c r="AE28" s="32">
        <f t="shared" si="20"/>
        <v>3300</v>
      </c>
      <c r="AF28" s="32">
        <f t="shared" si="20"/>
        <v>7638</v>
      </c>
    </row>
    <row r="29" spans="2:32" ht="23.1" customHeight="1" x14ac:dyDescent="0.25">
      <c r="B29" s="23" t="s">
        <v>56</v>
      </c>
      <c r="C29" s="50">
        <v>17</v>
      </c>
      <c r="D29" s="50">
        <v>5</v>
      </c>
      <c r="E29" s="50">
        <v>4</v>
      </c>
      <c r="F29" s="50">
        <v>12</v>
      </c>
      <c r="G29" s="50">
        <v>1</v>
      </c>
      <c r="H29" s="50">
        <v>2</v>
      </c>
      <c r="I29" s="50">
        <v>4</v>
      </c>
      <c r="J29" s="50">
        <v>4</v>
      </c>
      <c r="K29" s="50">
        <v>2</v>
      </c>
      <c r="L29" s="50">
        <v>0</v>
      </c>
      <c r="M29" s="50">
        <v>120</v>
      </c>
      <c r="N29" s="50">
        <v>0</v>
      </c>
      <c r="O29" s="15">
        <f t="shared" si="0"/>
        <v>51</v>
      </c>
      <c r="P29" s="15">
        <f t="shared" si="1"/>
        <v>171</v>
      </c>
      <c r="R29"/>
      <c r="S29" s="20"/>
      <c r="T29" s="19"/>
    </row>
    <row r="30" spans="2:32" ht="23.1" customHeight="1" x14ac:dyDescent="0.25">
      <c r="B30" s="23" t="s">
        <v>57</v>
      </c>
      <c r="C30" s="50">
        <v>42</v>
      </c>
      <c r="D30" s="50">
        <v>5</v>
      </c>
      <c r="E30" s="50">
        <v>2</v>
      </c>
      <c r="F30" s="50">
        <v>19</v>
      </c>
      <c r="G30" s="50">
        <v>0</v>
      </c>
      <c r="H30" s="50">
        <v>1</v>
      </c>
      <c r="I30" s="50">
        <v>3</v>
      </c>
      <c r="J30" s="50">
        <v>0</v>
      </c>
      <c r="K30" s="50">
        <v>0</v>
      </c>
      <c r="L30" s="50">
        <v>0</v>
      </c>
      <c r="M30" s="50">
        <v>75</v>
      </c>
      <c r="N30" s="50">
        <v>0</v>
      </c>
      <c r="O30" s="15">
        <f t="shared" si="0"/>
        <v>72</v>
      </c>
      <c r="P30" s="15">
        <f t="shared" si="1"/>
        <v>147</v>
      </c>
    </row>
    <row r="31" spans="2:32" ht="23.1" customHeight="1" x14ac:dyDescent="0.25">
      <c r="B31" s="24" t="s">
        <v>58</v>
      </c>
      <c r="C31" s="50">
        <v>36</v>
      </c>
      <c r="D31" s="50">
        <v>7</v>
      </c>
      <c r="E31" s="50">
        <v>7</v>
      </c>
      <c r="F31" s="50">
        <v>13</v>
      </c>
      <c r="G31" s="50">
        <v>0</v>
      </c>
      <c r="H31" s="50">
        <v>0</v>
      </c>
      <c r="I31" s="50">
        <v>0</v>
      </c>
      <c r="J31" s="50">
        <v>3</v>
      </c>
      <c r="K31" s="50">
        <v>0</v>
      </c>
      <c r="L31" s="50">
        <v>1</v>
      </c>
      <c r="M31" s="50">
        <v>130</v>
      </c>
      <c r="N31" s="50">
        <v>0</v>
      </c>
      <c r="O31" s="15">
        <f t="shared" si="0"/>
        <v>67</v>
      </c>
      <c r="P31" s="15">
        <f t="shared" si="1"/>
        <v>197</v>
      </c>
    </row>
    <row r="32" spans="2:32" ht="23.1" customHeight="1" x14ac:dyDescent="0.25">
      <c r="B32" s="24" t="s">
        <v>59</v>
      </c>
      <c r="C32" s="50">
        <v>26</v>
      </c>
      <c r="D32" s="50">
        <v>3</v>
      </c>
      <c r="E32" s="50">
        <v>4</v>
      </c>
      <c r="F32" s="50">
        <v>16</v>
      </c>
      <c r="G32" s="50">
        <v>2</v>
      </c>
      <c r="H32" s="50">
        <v>0</v>
      </c>
      <c r="I32" s="50">
        <v>3</v>
      </c>
      <c r="J32" s="50">
        <v>4</v>
      </c>
      <c r="K32" s="50">
        <v>0</v>
      </c>
      <c r="L32" s="50">
        <v>0</v>
      </c>
      <c r="M32" s="50">
        <v>63</v>
      </c>
      <c r="N32" s="50">
        <v>0</v>
      </c>
      <c r="O32" s="15">
        <f t="shared" si="0"/>
        <v>58</v>
      </c>
      <c r="P32" s="15">
        <f t="shared" si="1"/>
        <v>121</v>
      </c>
    </row>
    <row r="33" spans="2:20" ht="23.1" customHeight="1" x14ac:dyDescent="0.25">
      <c r="B33" s="23" t="s">
        <v>60</v>
      </c>
      <c r="C33" s="50">
        <v>30</v>
      </c>
      <c r="D33" s="50">
        <v>8</v>
      </c>
      <c r="E33" s="50">
        <v>3</v>
      </c>
      <c r="F33" s="50">
        <v>25</v>
      </c>
      <c r="G33" s="50">
        <v>0</v>
      </c>
      <c r="H33" s="50">
        <v>0</v>
      </c>
      <c r="I33" s="50">
        <v>2</v>
      </c>
      <c r="J33" s="50">
        <v>1</v>
      </c>
      <c r="K33" s="50">
        <v>0</v>
      </c>
      <c r="L33" s="50">
        <v>0</v>
      </c>
      <c r="M33" s="50">
        <v>75</v>
      </c>
      <c r="N33" s="50">
        <v>0</v>
      </c>
      <c r="O33" s="15">
        <f t="shared" si="0"/>
        <v>69</v>
      </c>
      <c r="P33" s="15">
        <f t="shared" si="1"/>
        <v>144</v>
      </c>
    </row>
    <row r="34" spans="2:20" ht="23.1" customHeight="1" x14ac:dyDescent="0.25">
      <c r="B34" s="24" t="s">
        <v>61</v>
      </c>
      <c r="C34" s="50">
        <v>48</v>
      </c>
      <c r="D34" s="50">
        <v>4</v>
      </c>
      <c r="E34" s="50">
        <v>9</v>
      </c>
      <c r="F34" s="50">
        <v>28</v>
      </c>
      <c r="G34" s="50">
        <v>2</v>
      </c>
      <c r="H34" s="50">
        <v>0</v>
      </c>
      <c r="I34" s="50">
        <v>4</v>
      </c>
      <c r="J34" s="50">
        <v>0</v>
      </c>
      <c r="K34" s="50">
        <v>3</v>
      </c>
      <c r="L34" s="50">
        <v>0</v>
      </c>
      <c r="M34" s="50">
        <v>60</v>
      </c>
      <c r="N34" s="50">
        <v>0</v>
      </c>
      <c r="O34" s="15">
        <f t="shared" si="0"/>
        <v>98</v>
      </c>
      <c r="P34" s="15">
        <f t="shared" si="1"/>
        <v>158</v>
      </c>
    </row>
    <row r="35" spans="2:20" ht="23.1" customHeight="1" x14ac:dyDescent="0.25">
      <c r="B35" s="24" t="s">
        <v>62</v>
      </c>
      <c r="C35" s="50">
        <v>19</v>
      </c>
      <c r="D35" s="50">
        <v>8</v>
      </c>
      <c r="E35" s="50">
        <v>3</v>
      </c>
      <c r="F35" s="50">
        <v>25</v>
      </c>
      <c r="G35" s="50">
        <v>0</v>
      </c>
      <c r="H35" s="50">
        <v>1</v>
      </c>
      <c r="I35" s="50">
        <v>2</v>
      </c>
      <c r="J35" s="50">
        <v>4</v>
      </c>
      <c r="K35" s="50">
        <v>0</v>
      </c>
      <c r="L35" s="50">
        <v>0</v>
      </c>
      <c r="M35" s="50">
        <v>59</v>
      </c>
      <c r="N35" s="50">
        <v>0</v>
      </c>
      <c r="O35" s="15">
        <f t="shared" si="0"/>
        <v>62</v>
      </c>
      <c r="P35" s="15">
        <f t="shared" si="1"/>
        <v>121</v>
      </c>
    </row>
    <row r="36" spans="2:20" ht="23.1" customHeight="1" x14ac:dyDescent="0.25">
      <c r="B36" s="24" t="s">
        <v>63</v>
      </c>
      <c r="C36" s="50">
        <v>37</v>
      </c>
      <c r="D36" s="50">
        <v>9</v>
      </c>
      <c r="E36" s="50">
        <v>7</v>
      </c>
      <c r="F36" s="50">
        <v>16</v>
      </c>
      <c r="G36" s="50">
        <v>1</v>
      </c>
      <c r="H36" s="50">
        <v>0</v>
      </c>
      <c r="I36" s="50">
        <v>2</v>
      </c>
      <c r="J36" s="50">
        <v>0</v>
      </c>
      <c r="K36" s="50">
        <v>0</v>
      </c>
      <c r="L36" s="50">
        <v>0</v>
      </c>
      <c r="M36" s="50">
        <v>75</v>
      </c>
      <c r="N36" s="50">
        <v>0</v>
      </c>
      <c r="O36" s="15">
        <f t="shared" si="0"/>
        <v>72</v>
      </c>
      <c r="P36" s="15">
        <f t="shared" si="1"/>
        <v>147</v>
      </c>
    </row>
    <row r="37" spans="2:20" ht="23.1" customHeight="1" x14ac:dyDescent="0.25">
      <c r="B37" s="23" t="s">
        <v>64</v>
      </c>
      <c r="C37" s="50">
        <v>40</v>
      </c>
      <c r="D37" s="50">
        <v>7</v>
      </c>
      <c r="E37" s="50">
        <v>4</v>
      </c>
      <c r="F37" s="50">
        <v>9</v>
      </c>
      <c r="G37" s="50">
        <v>1</v>
      </c>
      <c r="H37" s="50">
        <v>0</v>
      </c>
      <c r="I37" s="50">
        <v>0</v>
      </c>
      <c r="J37" s="50">
        <v>3</v>
      </c>
      <c r="K37" s="50">
        <v>1</v>
      </c>
      <c r="L37" s="50">
        <v>0</v>
      </c>
      <c r="M37" s="50">
        <v>95</v>
      </c>
      <c r="N37" s="50">
        <v>0</v>
      </c>
      <c r="O37" s="15">
        <f t="shared" si="0"/>
        <v>65</v>
      </c>
      <c r="P37" s="15">
        <f t="shared" si="1"/>
        <v>160</v>
      </c>
    </row>
    <row r="38" spans="2:20" ht="23.1" customHeight="1" x14ac:dyDescent="0.25">
      <c r="B38" s="24" t="s">
        <v>65</v>
      </c>
      <c r="C38" s="50">
        <v>50</v>
      </c>
      <c r="D38" s="50">
        <v>11</v>
      </c>
      <c r="E38" s="50">
        <v>7</v>
      </c>
      <c r="F38" s="50">
        <v>12</v>
      </c>
      <c r="G38" s="50">
        <v>0</v>
      </c>
      <c r="H38" s="50">
        <v>0</v>
      </c>
      <c r="I38" s="50">
        <v>0</v>
      </c>
      <c r="J38" s="50">
        <v>3</v>
      </c>
      <c r="K38" s="50">
        <v>1</v>
      </c>
      <c r="L38" s="50">
        <v>0</v>
      </c>
      <c r="M38" s="50">
        <v>80</v>
      </c>
      <c r="N38" s="50">
        <v>0</v>
      </c>
      <c r="O38" s="15">
        <f t="shared" si="0"/>
        <v>84</v>
      </c>
      <c r="P38" s="15">
        <f t="shared" si="1"/>
        <v>164</v>
      </c>
    </row>
    <row r="39" spans="2:20" ht="23.1" customHeight="1" x14ac:dyDescent="0.25">
      <c r="B39" s="24" t="s">
        <v>66</v>
      </c>
      <c r="C39" s="50">
        <v>45</v>
      </c>
      <c r="D39" s="50">
        <v>14</v>
      </c>
      <c r="E39" s="50">
        <v>3</v>
      </c>
      <c r="F39" s="50">
        <v>12</v>
      </c>
      <c r="G39" s="50">
        <v>3</v>
      </c>
      <c r="H39" s="50">
        <v>0</v>
      </c>
      <c r="I39" s="50">
        <v>4</v>
      </c>
      <c r="J39" s="50">
        <v>0</v>
      </c>
      <c r="K39" s="50">
        <v>0</v>
      </c>
      <c r="L39" s="50">
        <v>0</v>
      </c>
      <c r="M39" s="50">
        <v>90</v>
      </c>
      <c r="N39" s="50">
        <v>0</v>
      </c>
      <c r="O39" s="15">
        <f t="shared" si="0"/>
        <v>81</v>
      </c>
      <c r="P39" s="15">
        <f t="shared" si="1"/>
        <v>171</v>
      </c>
    </row>
    <row r="40" spans="2:20" ht="23.1" customHeight="1" x14ac:dyDescent="0.25">
      <c r="B40" s="24" t="s">
        <v>67</v>
      </c>
      <c r="C40" s="50">
        <v>41</v>
      </c>
      <c r="D40" s="50">
        <v>12</v>
      </c>
      <c r="E40" s="50">
        <v>5</v>
      </c>
      <c r="F40" s="50">
        <v>17</v>
      </c>
      <c r="G40" s="50">
        <v>1</v>
      </c>
      <c r="H40" s="50">
        <v>0</v>
      </c>
      <c r="I40" s="50">
        <v>4</v>
      </c>
      <c r="J40" s="50">
        <v>0</v>
      </c>
      <c r="K40" s="50">
        <v>0</v>
      </c>
      <c r="L40" s="50">
        <v>0</v>
      </c>
      <c r="M40" s="50">
        <v>95</v>
      </c>
      <c r="N40" s="50">
        <v>0</v>
      </c>
      <c r="O40" s="15">
        <f t="shared" si="0"/>
        <v>80</v>
      </c>
      <c r="P40" s="15">
        <f t="shared" si="1"/>
        <v>175</v>
      </c>
    </row>
    <row r="41" spans="2:20" ht="23.1" customHeight="1" x14ac:dyDescent="0.25">
      <c r="B41" s="23" t="s">
        <v>68</v>
      </c>
      <c r="C41" s="50">
        <v>50</v>
      </c>
      <c r="D41" s="50">
        <v>19</v>
      </c>
      <c r="E41" s="50">
        <v>4</v>
      </c>
      <c r="F41" s="50">
        <v>24</v>
      </c>
      <c r="G41" s="50">
        <v>1</v>
      </c>
      <c r="H41" s="50">
        <v>0</v>
      </c>
      <c r="I41" s="50">
        <v>3</v>
      </c>
      <c r="J41" s="50">
        <v>2</v>
      </c>
      <c r="K41" s="50">
        <v>0</v>
      </c>
      <c r="L41" s="50">
        <v>0</v>
      </c>
      <c r="M41" s="50">
        <v>110</v>
      </c>
      <c r="N41" s="50">
        <v>0</v>
      </c>
      <c r="O41" s="15">
        <f t="shared" si="0"/>
        <v>103</v>
      </c>
      <c r="P41" s="15">
        <f t="shared" si="1"/>
        <v>213</v>
      </c>
    </row>
    <row r="42" spans="2:20" ht="23.1" customHeight="1" x14ac:dyDescent="0.25">
      <c r="B42" s="24" t="s">
        <v>69</v>
      </c>
      <c r="C42" s="50">
        <v>61</v>
      </c>
      <c r="D42" s="50">
        <v>20</v>
      </c>
      <c r="E42" s="50">
        <v>5</v>
      </c>
      <c r="F42" s="50">
        <v>16</v>
      </c>
      <c r="G42" s="50">
        <v>0</v>
      </c>
      <c r="H42" s="50">
        <v>1</v>
      </c>
      <c r="I42" s="50">
        <v>2</v>
      </c>
      <c r="J42" s="50">
        <v>4</v>
      </c>
      <c r="K42" s="50">
        <v>0</v>
      </c>
      <c r="L42" s="50">
        <v>0</v>
      </c>
      <c r="M42" s="50">
        <v>120</v>
      </c>
      <c r="N42" s="50">
        <v>0</v>
      </c>
      <c r="O42" s="15">
        <f t="shared" si="0"/>
        <v>109</v>
      </c>
      <c r="P42" s="15">
        <f t="shared" si="1"/>
        <v>229</v>
      </c>
    </row>
    <row r="43" spans="2:20" ht="23.1" customHeight="1" x14ac:dyDescent="0.25">
      <c r="B43" s="23" t="s">
        <v>70</v>
      </c>
      <c r="C43" s="50">
        <v>55</v>
      </c>
      <c r="D43" s="50">
        <v>7</v>
      </c>
      <c r="E43" s="50">
        <v>3</v>
      </c>
      <c r="F43" s="50">
        <v>19</v>
      </c>
      <c r="G43" s="50">
        <v>0</v>
      </c>
      <c r="H43" s="50">
        <v>0</v>
      </c>
      <c r="I43" s="50">
        <v>3</v>
      </c>
      <c r="J43" s="50">
        <v>2</v>
      </c>
      <c r="K43" s="50">
        <v>1</v>
      </c>
      <c r="L43" s="50">
        <v>3</v>
      </c>
      <c r="M43" s="50">
        <v>90</v>
      </c>
      <c r="N43" s="50">
        <v>0</v>
      </c>
      <c r="O43" s="15">
        <f t="shared" si="0"/>
        <v>93</v>
      </c>
      <c r="P43" s="15">
        <f t="shared" si="1"/>
        <v>183</v>
      </c>
    </row>
    <row r="44" spans="2:20" ht="23.1" customHeight="1" x14ac:dyDescent="0.25">
      <c r="B44" s="25" t="s">
        <v>71</v>
      </c>
      <c r="C44" s="50">
        <v>63</v>
      </c>
      <c r="D44" s="50">
        <v>5</v>
      </c>
      <c r="E44" s="50">
        <v>2</v>
      </c>
      <c r="F44" s="50">
        <v>30</v>
      </c>
      <c r="G44" s="50">
        <v>2</v>
      </c>
      <c r="H44" s="50">
        <v>1</v>
      </c>
      <c r="I44" s="50">
        <v>0</v>
      </c>
      <c r="J44" s="50">
        <v>1</v>
      </c>
      <c r="K44" s="50">
        <v>0</v>
      </c>
      <c r="L44" s="50">
        <v>0</v>
      </c>
      <c r="M44" s="50">
        <v>50</v>
      </c>
      <c r="N44" s="50">
        <v>0</v>
      </c>
      <c r="O44" s="15">
        <f t="shared" si="0"/>
        <v>104</v>
      </c>
      <c r="P44" s="15">
        <f t="shared" si="1"/>
        <v>154</v>
      </c>
    </row>
    <row r="45" spans="2:20" ht="23.1" customHeight="1" x14ac:dyDescent="0.25">
      <c r="B45" s="23" t="s">
        <v>72</v>
      </c>
      <c r="C45" s="50">
        <v>45</v>
      </c>
      <c r="D45" s="50">
        <v>7</v>
      </c>
      <c r="E45" s="50">
        <v>3</v>
      </c>
      <c r="F45" s="50">
        <v>20</v>
      </c>
      <c r="G45" s="50">
        <v>4</v>
      </c>
      <c r="H45" s="50">
        <v>1</v>
      </c>
      <c r="I45" s="50">
        <v>2</v>
      </c>
      <c r="J45" s="50">
        <v>0</v>
      </c>
      <c r="K45" s="50">
        <v>2</v>
      </c>
      <c r="L45" s="50">
        <v>2</v>
      </c>
      <c r="M45" s="50">
        <v>95</v>
      </c>
      <c r="N45" s="50">
        <v>0</v>
      </c>
      <c r="O45" s="15">
        <f t="shared" si="0"/>
        <v>86</v>
      </c>
      <c r="P45" s="15">
        <f t="shared" si="1"/>
        <v>181</v>
      </c>
    </row>
    <row r="46" spans="2:20" ht="23.1" customHeight="1" x14ac:dyDescent="0.25">
      <c r="B46" s="24" t="s">
        <v>73</v>
      </c>
      <c r="C46" s="50">
        <v>50</v>
      </c>
      <c r="D46" s="50">
        <v>8</v>
      </c>
      <c r="E46" s="50">
        <v>5</v>
      </c>
      <c r="F46" s="50">
        <v>23</v>
      </c>
      <c r="G46" s="50">
        <v>3</v>
      </c>
      <c r="H46" s="50">
        <v>1</v>
      </c>
      <c r="I46" s="50">
        <v>3</v>
      </c>
      <c r="J46" s="50">
        <v>0</v>
      </c>
      <c r="K46" s="50">
        <v>2</v>
      </c>
      <c r="L46" s="50">
        <v>1</v>
      </c>
      <c r="M46" s="50">
        <v>80</v>
      </c>
      <c r="N46" s="50">
        <v>0</v>
      </c>
      <c r="O46" s="15">
        <f t="shared" si="0"/>
        <v>96</v>
      </c>
      <c r="P46" s="15">
        <f t="shared" si="1"/>
        <v>176</v>
      </c>
      <c r="R46" s="8"/>
      <c r="T46"/>
    </row>
    <row r="47" spans="2:20" ht="23.1" customHeight="1" x14ac:dyDescent="0.25">
      <c r="B47" s="24" t="s">
        <v>74</v>
      </c>
      <c r="C47" s="50">
        <v>60</v>
      </c>
      <c r="D47" s="50">
        <v>6</v>
      </c>
      <c r="E47" s="50">
        <v>4</v>
      </c>
      <c r="F47" s="50">
        <v>28</v>
      </c>
      <c r="G47" s="50">
        <v>0</v>
      </c>
      <c r="H47" s="50">
        <v>0</v>
      </c>
      <c r="I47" s="50">
        <v>5</v>
      </c>
      <c r="J47" s="50">
        <v>2</v>
      </c>
      <c r="K47" s="50">
        <v>0</v>
      </c>
      <c r="L47" s="50">
        <v>2</v>
      </c>
      <c r="M47" s="50">
        <v>70</v>
      </c>
      <c r="N47" s="50">
        <v>0</v>
      </c>
      <c r="O47" s="15">
        <f t="shared" si="0"/>
        <v>107</v>
      </c>
      <c r="P47" s="15">
        <f t="shared" si="1"/>
        <v>177</v>
      </c>
      <c r="R47" s="8"/>
      <c r="T47"/>
    </row>
    <row r="48" spans="2:20" ht="23.1" customHeight="1" x14ac:dyDescent="0.25">
      <c r="B48" s="24" t="s">
        <v>75</v>
      </c>
      <c r="C48" s="50">
        <v>59</v>
      </c>
      <c r="D48" s="50">
        <v>4</v>
      </c>
      <c r="E48" s="50">
        <v>6</v>
      </c>
      <c r="F48" s="50">
        <v>20</v>
      </c>
      <c r="G48" s="50">
        <v>0</v>
      </c>
      <c r="H48" s="50">
        <v>0</v>
      </c>
      <c r="I48" s="50">
        <v>4</v>
      </c>
      <c r="J48" s="50">
        <v>0</v>
      </c>
      <c r="K48" s="50">
        <v>3</v>
      </c>
      <c r="L48" s="50">
        <v>0</v>
      </c>
      <c r="M48" s="50">
        <v>59</v>
      </c>
      <c r="N48" s="50">
        <v>0</v>
      </c>
      <c r="O48" s="15">
        <f t="shared" si="0"/>
        <v>96</v>
      </c>
      <c r="P48" s="15">
        <f t="shared" si="1"/>
        <v>155</v>
      </c>
      <c r="R48" s="8"/>
      <c r="T48"/>
    </row>
    <row r="49" spans="2:20" ht="23.1" customHeight="1" x14ac:dyDescent="0.25">
      <c r="B49" s="23" t="s">
        <v>76</v>
      </c>
      <c r="C49" s="50">
        <v>31</v>
      </c>
      <c r="D49" s="50">
        <v>7</v>
      </c>
      <c r="E49" s="50">
        <v>3</v>
      </c>
      <c r="F49" s="50">
        <v>16</v>
      </c>
      <c r="G49" s="50">
        <v>0</v>
      </c>
      <c r="H49" s="50">
        <v>0</v>
      </c>
      <c r="I49" s="50">
        <v>2</v>
      </c>
      <c r="J49" s="50">
        <v>2</v>
      </c>
      <c r="K49" s="50">
        <v>0</v>
      </c>
      <c r="L49" s="50">
        <v>1</v>
      </c>
      <c r="M49" s="50">
        <v>57</v>
      </c>
      <c r="N49" s="50">
        <v>0</v>
      </c>
      <c r="O49" s="15">
        <f t="shared" si="0"/>
        <v>62</v>
      </c>
      <c r="P49" s="15">
        <f t="shared" si="1"/>
        <v>119</v>
      </c>
      <c r="R49" s="8"/>
      <c r="T49"/>
    </row>
    <row r="50" spans="2:20" ht="23.1" customHeight="1" x14ac:dyDescent="0.25">
      <c r="B50" s="24" t="s">
        <v>77</v>
      </c>
      <c r="C50" s="50">
        <v>60</v>
      </c>
      <c r="D50" s="50">
        <v>8</v>
      </c>
      <c r="E50" s="50">
        <v>3</v>
      </c>
      <c r="F50" s="50">
        <v>15</v>
      </c>
      <c r="G50" s="50">
        <v>1</v>
      </c>
      <c r="H50" s="50">
        <v>0</v>
      </c>
      <c r="I50" s="50">
        <v>3</v>
      </c>
      <c r="J50" s="50">
        <v>3</v>
      </c>
      <c r="K50" s="50">
        <v>0</v>
      </c>
      <c r="L50" s="50">
        <v>0</v>
      </c>
      <c r="M50" s="50">
        <v>100</v>
      </c>
      <c r="N50" s="50">
        <v>0</v>
      </c>
      <c r="O50" s="15">
        <f t="shared" si="0"/>
        <v>93</v>
      </c>
      <c r="P50" s="15">
        <f t="shared" si="1"/>
        <v>193</v>
      </c>
      <c r="R50" s="8"/>
      <c r="T50"/>
    </row>
    <row r="51" spans="2:20" ht="23.1" customHeight="1" x14ac:dyDescent="0.25">
      <c r="B51" s="24" t="s">
        <v>78</v>
      </c>
      <c r="C51" s="50">
        <v>43</v>
      </c>
      <c r="D51" s="50">
        <v>7</v>
      </c>
      <c r="E51" s="50">
        <v>3</v>
      </c>
      <c r="F51" s="50">
        <v>18</v>
      </c>
      <c r="G51" s="50">
        <v>0</v>
      </c>
      <c r="H51" s="50">
        <v>0</v>
      </c>
      <c r="I51" s="50">
        <v>0</v>
      </c>
      <c r="J51" s="50">
        <v>2</v>
      </c>
      <c r="K51" s="50">
        <v>2</v>
      </c>
      <c r="L51" s="50">
        <v>0</v>
      </c>
      <c r="M51" s="50">
        <v>114</v>
      </c>
      <c r="N51" s="50">
        <v>0</v>
      </c>
      <c r="O51" s="15">
        <f t="shared" si="0"/>
        <v>75</v>
      </c>
      <c r="P51" s="15">
        <f t="shared" si="1"/>
        <v>189</v>
      </c>
      <c r="R51" s="8"/>
      <c r="T51"/>
    </row>
    <row r="52" spans="2:20" ht="23.1" customHeight="1" x14ac:dyDescent="0.25">
      <c r="B52" s="24" t="s">
        <v>79</v>
      </c>
      <c r="C52" s="50">
        <v>60</v>
      </c>
      <c r="D52" s="50">
        <v>6</v>
      </c>
      <c r="E52" s="50">
        <v>10</v>
      </c>
      <c r="F52" s="50">
        <v>10</v>
      </c>
      <c r="G52" s="50">
        <v>0</v>
      </c>
      <c r="H52" s="50">
        <v>0</v>
      </c>
      <c r="I52" s="50">
        <v>4</v>
      </c>
      <c r="J52" s="50">
        <v>0</v>
      </c>
      <c r="K52" s="50">
        <v>2</v>
      </c>
      <c r="L52" s="50">
        <v>1</v>
      </c>
      <c r="M52" s="50">
        <v>145</v>
      </c>
      <c r="N52" s="50">
        <v>0</v>
      </c>
      <c r="O52" s="15">
        <f t="shared" si="0"/>
        <v>93</v>
      </c>
      <c r="P52" s="15">
        <f t="shared" si="1"/>
        <v>238</v>
      </c>
      <c r="R52" s="8"/>
      <c r="T52"/>
    </row>
    <row r="53" spans="2:20" ht="23.1" customHeight="1" x14ac:dyDescent="0.25">
      <c r="B53" s="23" t="s">
        <v>80</v>
      </c>
      <c r="C53" s="50">
        <v>55</v>
      </c>
      <c r="D53" s="50">
        <v>6</v>
      </c>
      <c r="E53" s="50">
        <v>7</v>
      </c>
      <c r="F53" s="50">
        <v>17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135</v>
      </c>
      <c r="N53" s="50">
        <v>0</v>
      </c>
      <c r="O53" s="15">
        <f t="shared" si="0"/>
        <v>87</v>
      </c>
      <c r="P53" s="15">
        <f t="shared" si="1"/>
        <v>222</v>
      </c>
      <c r="R53" s="8"/>
      <c r="T53"/>
    </row>
    <row r="54" spans="2:20" ht="23.1" customHeight="1" x14ac:dyDescent="0.25">
      <c r="B54" s="23" t="s">
        <v>81</v>
      </c>
      <c r="C54" s="50">
        <v>55</v>
      </c>
      <c r="D54" s="50">
        <v>10</v>
      </c>
      <c r="E54" s="50">
        <v>3</v>
      </c>
      <c r="F54" s="50">
        <v>16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0</v>
      </c>
      <c r="M54" s="50">
        <v>115</v>
      </c>
      <c r="N54" s="50">
        <v>0</v>
      </c>
      <c r="O54" s="15">
        <f t="shared" si="0"/>
        <v>86</v>
      </c>
      <c r="P54" s="15">
        <f t="shared" si="1"/>
        <v>201</v>
      </c>
      <c r="R54" s="8"/>
      <c r="T54"/>
    </row>
    <row r="55" spans="2:20" ht="23.1" customHeight="1" x14ac:dyDescent="0.25">
      <c r="B55" s="23" t="s">
        <v>82</v>
      </c>
      <c r="C55" s="50">
        <v>57</v>
      </c>
      <c r="D55" s="50">
        <v>12</v>
      </c>
      <c r="E55" s="50">
        <v>3</v>
      </c>
      <c r="F55" s="50">
        <v>12</v>
      </c>
      <c r="G55" s="50">
        <v>0</v>
      </c>
      <c r="H55" s="50">
        <v>0</v>
      </c>
      <c r="I55" s="50">
        <v>2</v>
      </c>
      <c r="J55" s="50">
        <v>0</v>
      </c>
      <c r="K55" s="50">
        <v>0</v>
      </c>
      <c r="L55" s="50">
        <v>3</v>
      </c>
      <c r="M55" s="50">
        <v>130</v>
      </c>
      <c r="N55" s="50">
        <v>0</v>
      </c>
      <c r="O55" s="15">
        <f t="shared" si="0"/>
        <v>89</v>
      </c>
      <c r="P55" s="15">
        <f t="shared" si="1"/>
        <v>219</v>
      </c>
      <c r="R55" s="8"/>
      <c r="T55"/>
    </row>
    <row r="56" spans="2:20" ht="23.1" customHeight="1" x14ac:dyDescent="0.25">
      <c r="B56" s="23" t="s">
        <v>83</v>
      </c>
      <c r="C56" s="50">
        <v>58</v>
      </c>
      <c r="D56" s="50">
        <v>5</v>
      </c>
      <c r="E56" s="50">
        <v>3</v>
      </c>
      <c r="F56" s="50">
        <v>10</v>
      </c>
      <c r="G56" s="50">
        <v>3</v>
      </c>
      <c r="H56" s="50">
        <v>0</v>
      </c>
      <c r="I56" s="50">
        <v>1</v>
      </c>
      <c r="J56" s="50">
        <v>1</v>
      </c>
      <c r="K56" s="50">
        <v>0</v>
      </c>
      <c r="L56" s="50">
        <v>0</v>
      </c>
      <c r="M56" s="50">
        <v>95</v>
      </c>
      <c r="N56" s="50">
        <v>0</v>
      </c>
      <c r="O56" s="15">
        <f t="shared" si="0"/>
        <v>81</v>
      </c>
      <c r="P56" s="15">
        <f t="shared" si="1"/>
        <v>176</v>
      </c>
      <c r="R56" s="8"/>
      <c r="T56"/>
    </row>
    <row r="57" spans="2:20" ht="23.1" customHeight="1" x14ac:dyDescent="0.25">
      <c r="B57" s="23" t="s">
        <v>84</v>
      </c>
      <c r="C57" s="50">
        <v>54</v>
      </c>
      <c r="D57" s="50">
        <v>4</v>
      </c>
      <c r="E57" s="50">
        <v>2</v>
      </c>
      <c r="F57" s="50">
        <v>16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98</v>
      </c>
      <c r="N57" s="50">
        <v>0</v>
      </c>
      <c r="O57" s="15">
        <f t="shared" si="0"/>
        <v>78</v>
      </c>
      <c r="P57" s="15">
        <f t="shared" si="1"/>
        <v>176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1673</v>
      </c>
      <c r="D58" s="16">
        <f t="shared" si="21"/>
        <v>317</v>
      </c>
      <c r="E58" s="16">
        <f t="shared" si="21"/>
        <v>187</v>
      </c>
      <c r="F58" s="16">
        <f t="shared" si="21"/>
        <v>826</v>
      </c>
      <c r="G58" s="16">
        <f t="shared" si="21"/>
        <v>48</v>
      </c>
      <c r="H58" s="16">
        <f t="shared" si="21"/>
        <v>19</v>
      </c>
      <c r="I58" s="16">
        <f t="shared" si="21"/>
        <v>105</v>
      </c>
      <c r="J58" s="16">
        <f t="shared" si="21"/>
        <v>78</v>
      </c>
      <c r="K58" s="16">
        <f t="shared" si="21"/>
        <v>28</v>
      </c>
      <c r="L58" s="16">
        <f t="shared" si="21"/>
        <v>19</v>
      </c>
      <c r="M58" s="16">
        <f t="shared" si="21"/>
        <v>4338</v>
      </c>
      <c r="N58" s="16">
        <f t="shared" si="21"/>
        <v>0</v>
      </c>
      <c r="O58" s="16">
        <f t="shared" si="21"/>
        <v>3300</v>
      </c>
      <c r="P58" s="16">
        <f t="shared" si="21"/>
        <v>7638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0.21903639696255564</v>
      </c>
      <c r="D59" s="43">
        <f t="shared" si="22"/>
        <v>4.1503011259492011E-2</v>
      </c>
      <c r="E59" s="43">
        <f t="shared" si="22"/>
        <v>2.4482848913328095E-2</v>
      </c>
      <c r="F59" s="43">
        <f t="shared" si="22"/>
        <v>0.10814349306101073</v>
      </c>
      <c r="G59" s="43">
        <f t="shared" si="22"/>
        <v>6.2843676355066776E-3</v>
      </c>
      <c r="H59" s="43">
        <f t="shared" si="22"/>
        <v>2.4875621890547263E-3</v>
      </c>
      <c r="I59" s="43">
        <f t="shared" si="22"/>
        <v>1.3747054202670856E-2</v>
      </c>
      <c r="J59" s="43">
        <f t="shared" si="22"/>
        <v>1.0212097407698351E-2</v>
      </c>
      <c r="K59" s="43">
        <f t="shared" si="22"/>
        <v>3.6658811207122281E-3</v>
      </c>
      <c r="L59" s="43">
        <f t="shared" si="22"/>
        <v>2.4875621890547263E-3</v>
      </c>
      <c r="M59" s="43">
        <f t="shared" si="22"/>
        <v>0.56794972505891594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0.50696969696969696</v>
      </c>
      <c r="D60" s="44">
        <f t="shared" ref="D60:N60" si="23">D58/$O$58</f>
        <v>9.6060606060606055E-2</v>
      </c>
      <c r="E60" s="44">
        <f t="shared" si="23"/>
        <v>5.6666666666666664E-2</v>
      </c>
      <c r="F60" s="44">
        <f t="shared" si="23"/>
        <v>0.2503030303030303</v>
      </c>
      <c r="G60" s="44">
        <f t="shared" si="23"/>
        <v>1.4545454545454545E-2</v>
      </c>
      <c r="H60" s="44">
        <f t="shared" si="23"/>
        <v>5.7575757575757574E-3</v>
      </c>
      <c r="I60" s="44">
        <f t="shared" si="23"/>
        <v>3.1818181818181815E-2</v>
      </c>
      <c r="J60" s="44">
        <f t="shared" si="23"/>
        <v>2.3636363636363636E-2</v>
      </c>
      <c r="K60" s="44">
        <f t="shared" si="23"/>
        <v>8.4848484848484857E-3</v>
      </c>
      <c r="L60" s="44">
        <f t="shared" si="23"/>
        <v>5.7575757575757574E-3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52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N46" zoomScale="60" workbookViewId="0">
      <selection activeCell="Y77" sqref="Y7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3" t="str">
        <f>'28.07 Kabusu-Kitebi'!C3:G3</f>
        <v>MCC - C1 - STN06-WANKULUKUKU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6" t="s">
        <v>169</v>
      </c>
      <c r="E5" s="67"/>
      <c r="F5" s="41" t="s">
        <v>1</v>
      </c>
      <c r="G5" s="64" t="str">
        <f>'28.07 Kitebi-Kabusu'!G5:H5</f>
        <v>kobil head office</v>
      </c>
      <c r="H5" s="65"/>
      <c r="I5" s="14"/>
      <c r="J5" s="2" t="s">
        <v>5</v>
      </c>
      <c r="K5" s="64" t="str">
        <f>'28.07 Kitebi-Kabusu'!K5:L5</f>
        <v>Mawa Haston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'28.07 Kitebi-Kabusu'!D6:E6</f>
        <v>Kitebi</v>
      </c>
      <c r="E6" s="65"/>
      <c r="F6" s="2" t="s">
        <v>2</v>
      </c>
      <c r="G6" s="64" t="str">
        <f>'28.07 Kitebi-Kabusu'!G6:H6</f>
        <v>Kabusu</v>
      </c>
      <c r="H6" s="65"/>
      <c r="J6" s="2" t="s">
        <v>21</v>
      </c>
      <c r="K6" s="64" t="str">
        <f>'28.07 Kitebi-Kabusu'!K6:L6</f>
        <v>Oloya Felix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AVERAGE('22.07 Kitebi-Kabusu'!C10,'23.07 Kitebi-Kabusu'!C10,'24.07 Kitebi-Kabusu'!C10,'25.07 Kabusu-Kitebi'!C10,'26.07 Kitebi-Kabusu-24'!C10,'27.07 Kitebi-Kabusu-24h'!C10,'28.07 Kitebi-Kabusu'!C10)</f>
        <v>94.714285714285708</v>
      </c>
      <c r="D10" s="49">
        <f>AVERAGE('22.07 Kitebi-Kabusu'!D10,'23.07 Kitebi-Kabusu'!D10,'24.07 Kitebi-Kabusu'!D10,'25.07 Kabusu-Kitebi'!D10,'26.07 Kitebi-Kabusu-24'!D10,'27.07 Kitebi-Kabusu-24h'!D10,'28.07 Kitebi-Kabusu'!D10)</f>
        <v>13.142857142857142</v>
      </c>
      <c r="E10" s="49">
        <f>AVERAGE('22.07 Kitebi-Kabusu'!E10,'23.07 Kitebi-Kabusu'!E10,'24.07 Kitebi-Kabusu'!E10,'25.07 Kabusu-Kitebi'!E10,'26.07 Kitebi-Kabusu-24'!E10,'27.07 Kitebi-Kabusu-24h'!E10,'28.07 Kitebi-Kabusu'!E10)</f>
        <v>9</v>
      </c>
      <c r="F10" s="49">
        <f>AVERAGE('22.07 Kitebi-Kabusu'!F10,'23.07 Kitebi-Kabusu'!F10,'24.07 Kitebi-Kabusu'!F10,'25.07 Kabusu-Kitebi'!F10,'26.07 Kitebi-Kabusu-24'!F10,'27.07 Kitebi-Kabusu-24h'!F10,'28.07 Kitebi-Kabusu'!F10)</f>
        <v>31.142857142857142</v>
      </c>
      <c r="G10" s="49">
        <f>AVERAGE('22.07 Kitebi-Kabusu'!G10,'23.07 Kitebi-Kabusu'!G10,'24.07 Kitebi-Kabusu'!G10,'25.07 Kabusu-Kitebi'!G10,'26.07 Kitebi-Kabusu-24'!G10,'27.07 Kitebi-Kabusu-24h'!G10,'28.07 Kitebi-Kabusu'!G10)</f>
        <v>0.2857142857142857</v>
      </c>
      <c r="H10" s="49">
        <f>AVERAGE('22.07 Kitebi-Kabusu'!H10,'23.07 Kitebi-Kabusu'!H10,'24.07 Kitebi-Kabusu'!H10,'25.07 Kabusu-Kitebi'!H10,'26.07 Kitebi-Kabusu-24'!H10,'27.07 Kitebi-Kabusu-24h'!H10,'28.07 Kitebi-Kabusu'!H10)</f>
        <v>0.42857142857142855</v>
      </c>
      <c r="I10" s="49">
        <f>AVERAGE('22.07 Kitebi-Kabusu'!I10,'23.07 Kitebi-Kabusu'!I10,'24.07 Kitebi-Kabusu'!I10,'25.07 Kabusu-Kitebi'!I10,'26.07 Kitebi-Kabusu-24'!I10,'27.07 Kitebi-Kabusu-24h'!I10,'28.07 Kitebi-Kabusu'!I10)</f>
        <v>3.1428571428571428</v>
      </c>
      <c r="J10" s="49">
        <f>AVERAGE('22.07 Kitebi-Kabusu'!J10,'23.07 Kitebi-Kabusu'!J10,'24.07 Kitebi-Kabusu'!J10,'25.07 Kabusu-Kitebi'!J10,'26.07 Kitebi-Kabusu-24'!J10,'27.07 Kitebi-Kabusu-24h'!J10,'28.07 Kitebi-Kabusu'!J10)</f>
        <v>0.14285714285714285</v>
      </c>
      <c r="K10" s="49">
        <f>AVERAGE('22.07 Kitebi-Kabusu'!K10,'23.07 Kitebi-Kabusu'!K10,'24.07 Kitebi-Kabusu'!K10,'25.07 Kabusu-Kitebi'!K10,'26.07 Kitebi-Kabusu-24'!K10,'27.07 Kitebi-Kabusu-24h'!K10,'28.07 Kitebi-Kabusu'!K10)</f>
        <v>0.14285714285714285</v>
      </c>
      <c r="L10" s="49">
        <f>AVERAGE('22.07 Kitebi-Kabusu'!L10,'23.07 Kitebi-Kabusu'!L10,'24.07 Kitebi-Kabusu'!L10,'25.07 Kabusu-Kitebi'!L10,'26.07 Kitebi-Kabusu-24'!L10,'27.07 Kitebi-Kabusu-24h'!L10,'28.07 Kitebi-Kabusu'!L10)</f>
        <v>0.2857142857142857</v>
      </c>
      <c r="M10" s="49">
        <f>AVERAGE('22.07 Kitebi-Kabusu'!M10,'23.07 Kitebi-Kabusu'!M10,'24.07 Kitebi-Kabusu'!M10,'25.07 Kabusu-Kitebi'!M10,'26.07 Kitebi-Kabusu-24'!M10,'27.07 Kitebi-Kabusu-24h'!M10,'28.07 Kitebi-Kabusu'!M10)</f>
        <v>150.28571428571428</v>
      </c>
      <c r="N10" s="49">
        <f>AVERAGE('22.07 Kitebi-Kabusu'!N10,'23.07 Kitebi-Kabusu'!N10,'24.07 Kitebi-Kabusu'!N10,'25.07 Kabusu-Kitebi'!N10,'26.07 Kitebi-Kabusu-24'!N10,'27.07 Kitebi-Kabusu-24h'!N10,'28.07 Kitebi-Kabusu'!N10)</f>
        <v>0</v>
      </c>
      <c r="O10" s="15">
        <f t="shared" ref="O10:O56" si="0">SUM(C10:L10,N10)</f>
        <v>152.42857142857139</v>
      </c>
      <c r="P10" s="15">
        <f t="shared" ref="P10:P57" si="1">SUM(C10:N10)</f>
        <v>302.71428571428567</v>
      </c>
      <c r="R10" s="1" t="s">
        <v>6</v>
      </c>
      <c r="S10" s="17">
        <f t="shared" ref="S10:AF10" si="2">SUM(C10:C13)</f>
        <v>379</v>
      </c>
      <c r="T10" s="17">
        <f t="shared" si="2"/>
        <v>44.285714285714285</v>
      </c>
      <c r="U10" s="17">
        <f t="shared" si="2"/>
        <v>35.571428571428569</v>
      </c>
      <c r="V10" s="17">
        <f t="shared" si="2"/>
        <v>115.14285714285714</v>
      </c>
      <c r="W10" s="17">
        <f t="shared" si="2"/>
        <v>1.7142857142857142</v>
      </c>
      <c r="X10" s="17">
        <f t="shared" si="2"/>
        <v>0.71428571428571419</v>
      </c>
      <c r="Y10" s="17">
        <f t="shared" si="2"/>
        <v>12.857142857142858</v>
      </c>
      <c r="Z10" s="17">
        <f t="shared" si="2"/>
        <v>1.4285714285714284</v>
      </c>
      <c r="AA10" s="17">
        <f t="shared" si="2"/>
        <v>1</v>
      </c>
      <c r="AB10" s="17">
        <f t="shared" si="2"/>
        <v>1</v>
      </c>
      <c r="AC10" s="17">
        <f t="shared" si="2"/>
        <v>712.71428571428578</v>
      </c>
      <c r="AD10" s="17">
        <f t="shared" si="2"/>
        <v>0</v>
      </c>
      <c r="AE10" s="31">
        <f t="shared" si="2"/>
        <v>592.71428571428567</v>
      </c>
      <c r="AF10" s="31">
        <f t="shared" si="2"/>
        <v>1305.4285714285716</v>
      </c>
    </row>
    <row r="11" spans="2:32" s="6" customFormat="1" ht="23.1" customHeight="1" x14ac:dyDescent="0.25">
      <c r="B11" s="23" t="s">
        <v>38</v>
      </c>
      <c r="C11" s="49">
        <f>AVERAGE('22.07 Kitebi-Kabusu'!C11,'23.07 Kitebi-Kabusu'!C11,'24.07 Kitebi-Kabusu'!C11,'25.07 Kabusu-Kitebi'!C11,'26.07 Kitebi-Kabusu-24'!C11,'27.07 Kitebi-Kabusu-24h'!C11,'28.07 Kitebi-Kabusu'!C11)</f>
        <v>97.714285714285708</v>
      </c>
      <c r="D11" s="49">
        <f>AVERAGE('22.07 Kitebi-Kabusu'!D11,'23.07 Kitebi-Kabusu'!D11,'24.07 Kitebi-Kabusu'!D11,'25.07 Kabusu-Kitebi'!D11,'26.07 Kitebi-Kabusu-24'!D11,'27.07 Kitebi-Kabusu-24h'!D11,'28.07 Kitebi-Kabusu'!D11)</f>
        <v>8.8571428571428577</v>
      </c>
      <c r="E11" s="49">
        <f>AVERAGE('22.07 Kitebi-Kabusu'!E11,'23.07 Kitebi-Kabusu'!E11,'24.07 Kitebi-Kabusu'!E11,'25.07 Kabusu-Kitebi'!E11,'26.07 Kitebi-Kabusu-24'!E11,'27.07 Kitebi-Kabusu-24h'!E11,'28.07 Kitebi-Kabusu'!E11)</f>
        <v>8.8571428571428577</v>
      </c>
      <c r="F11" s="49">
        <f>AVERAGE('22.07 Kitebi-Kabusu'!F11,'23.07 Kitebi-Kabusu'!F11,'24.07 Kitebi-Kabusu'!F11,'25.07 Kabusu-Kitebi'!F11,'26.07 Kitebi-Kabusu-24'!F11,'27.07 Kitebi-Kabusu-24h'!F11,'28.07 Kitebi-Kabusu'!F11)</f>
        <v>31</v>
      </c>
      <c r="G11" s="49">
        <f>AVERAGE('22.07 Kitebi-Kabusu'!G11,'23.07 Kitebi-Kabusu'!G11,'24.07 Kitebi-Kabusu'!G11,'25.07 Kabusu-Kitebi'!G11,'26.07 Kitebi-Kabusu-24'!G11,'27.07 Kitebi-Kabusu-24h'!G11,'28.07 Kitebi-Kabusu'!G11)</f>
        <v>0.2857142857142857</v>
      </c>
      <c r="H11" s="49">
        <f>AVERAGE('22.07 Kitebi-Kabusu'!H11,'23.07 Kitebi-Kabusu'!H11,'24.07 Kitebi-Kabusu'!H11,'25.07 Kabusu-Kitebi'!H11,'26.07 Kitebi-Kabusu-24'!H11,'27.07 Kitebi-Kabusu-24h'!H11,'28.07 Kitebi-Kabusu'!H11)</f>
        <v>0.14285714285714285</v>
      </c>
      <c r="I11" s="49">
        <f>AVERAGE('22.07 Kitebi-Kabusu'!I11,'23.07 Kitebi-Kabusu'!I11,'24.07 Kitebi-Kabusu'!I11,'25.07 Kabusu-Kitebi'!I11,'26.07 Kitebi-Kabusu-24'!I11,'27.07 Kitebi-Kabusu-24h'!I11,'28.07 Kitebi-Kabusu'!I11)</f>
        <v>2</v>
      </c>
      <c r="J11" s="49">
        <f>AVERAGE('22.07 Kitebi-Kabusu'!J11,'23.07 Kitebi-Kabusu'!J11,'24.07 Kitebi-Kabusu'!J11,'25.07 Kabusu-Kitebi'!J11,'26.07 Kitebi-Kabusu-24'!J11,'27.07 Kitebi-Kabusu-24h'!J11,'28.07 Kitebi-Kabusu'!J11)</f>
        <v>0.14285714285714285</v>
      </c>
      <c r="K11" s="49">
        <f>AVERAGE('22.07 Kitebi-Kabusu'!K11,'23.07 Kitebi-Kabusu'!K11,'24.07 Kitebi-Kabusu'!K11,'25.07 Kabusu-Kitebi'!K11,'26.07 Kitebi-Kabusu-24'!K11,'27.07 Kitebi-Kabusu-24h'!K11,'28.07 Kitebi-Kabusu'!K11)</f>
        <v>0.14285714285714285</v>
      </c>
      <c r="L11" s="49">
        <f>AVERAGE('22.07 Kitebi-Kabusu'!L11,'23.07 Kitebi-Kabusu'!L11,'24.07 Kitebi-Kabusu'!L11,'25.07 Kabusu-Kitebi'!L11,'26.07 Kitebi-Kabusu-24'!L11,'27.07 Kitebi-Kabusu-24h'!L11,'28.07 Kitebi-Kabusu'!L11)</f>
        <v>0</v>
      </c>
      <c r="M11" s="49">
        <f>AVERAGE('22.07 Kitebi-Kabusu'!M11,'23.07 Kitebi-Kabusu'!M11,'24.07 Kitebi-Kabusu'!M11,'25.07 Kabusu-Kitebi'!M11,'26.07 Kitebi-Kabusu-24'!M11,'27.07 Kitebi-Kabusu-24h'!M11,'28.07 Kitebi-Kabusu'!M11)</f>
        <v>180</v>
      </c>
      <c r="N11" s="49">
        <f>AVERAGE('22.07 Kitebi-Kabusu'!N11,'23.07 Kitebi-Kabusu'!N11,'24.07 Kitebi-Kabusu'!N11,'25.07 Kabusu-Kitebi'!N11,'26.07 Kitebi-Kabusu-24'!N11,'27.07 Kitebi-Kabusu-24h'!N11,'28.07 Kitebi-Kabusu'!N11)</f>
        <v>0</v>
      </c>
      <c r="O11" s="15">
        <f t="shared" si="0"/>
        <v>149.14285714285714</v>
      </c>
      <c r="P11" s="15">
        <f t="shared" si="1"/>
        <v>329.14285714285711</v>
      </c>
      <c r="R11" s="1" t="s">
        <v>7</v>
      </c>
      <c r="S11" s="17">
        <f t="shared" ref="S11:AF11" si="3">SUM(C14:C17)</f>
        <v>329.85714285714283</v>
      </c>
      <c r="T11" s="17">
        <f t="shared" si="3"/>
        <v>43</v>
      </c>
      <c r="U11" s="17">
        <f t="shared" si="3"/>
        <v>34.714285714285708</v>
      </c>
      <c r="V11" s="17">
        <f t="shared" si="3"/>
        <v>114.42857142857143</v>
      </c>
      <c r="W11" s="17">
        <f t="shared" si="3"/>
        <v>2.2857142857142856</v>
      </c>
      <c r="X11" s="17">
        <f t="shared" si="3"/>
        <v>0.2857142857142857</v>
      </c>
      <c r="Y11" s="17">
        <f t="shared" si="3"/>
        <v>24</v>
      </c>
      <c r="Z11" s="17">
        <f t="shared" si="3"/>
        <v>1.857142857142857</v>
      </c>
      <c r="AA11" s="17">
        <f t="shared" si="3"/>
        <v>1.4285714285714286</v>
      </c>
      <c r="AB11" s="17">
        <f t="shared" si="3"/>
        <v>1.4285714285714284</v>
      </c>
      <c r="AC11" s="17">
        <f t="shared" si="3"/>
        <v>890.28571428571422</v>
      </c>
      <c r="AD11" s="17">
        <f t="shared" si="3"/>
        <v>0</v>
      </c>
      <c r="AE11" s="31">
        <f t="shared" si="3"/>
        <v>553.28571428571422</v>
      </c>
      <c r="AF11" s="31">
        <f t="shared" si="3"/>
        <v>1443.5714285714284</v>
      </c>
    </row>
    <row r="12" spans="2:32" ht="23.1" customHeight="1" x14ac:dyDescent="0.25">
      <c r="B12" s="23" t="s">
        <v>39</v>
      </c>
      <c r="C12" s="49">
        <f>AVERAGE('22.07 Kitebi-Kabusu'!C12,'23.07 Kitebi-Kabusu'!C12,'24.07 Kitebi-Kabusu'!C12,'25.07 Kabusu-Kitebi'!C12,'26.07 Kitebi-Kabusu-24'!C12,'27.07 Kitebi-Kabusu-24h'!C12,'28.07 Kitebi-Kabusu'!C12)</f>
        <v>95.285714285714292</v>
      </c>
      <c r="D12" s="49">
        <f>AVERAGE('22.07 Kitebi-Kabusu'!D12,'23.07 Kitebi-Kabusu'!D12,'24.07 Kitebi-Kabusu'!D12,'25.07 Kabusu-Kitebi'!D12,'26.07 Kitebi-Kabusu-24'!D12,'27.07 Kitebi-Kabusu-24h'!D12,'28.07 Kitebi-Kabusu'!D12)</f>
        <v>12.285714285714286</v>
      </c>
      <c r="E12" s="49">
        <f>AVERAGE('22.07 Kitebi-Kabusu'!E12,'23.07 Kitebi-Kabusu'!E12,'24.07 Kitebi-Kabusu'!E12,'25.07 Kabusu-Kitebi'!E12,'26.07 Kitebi-Kabusu-24'!E12,'27.07 Kitebi-Kabusu-24h'!E12,'28.07 Kitebi-Kabusu'!E12)</f>
        <v>8.1428571428571423</v>
      </c>
      <c r="F12" s="49">
        <f>AVERAGE('22.07 Kitebi-Kabusu'!F12,'23.07 Kitebi-Kabusu'!F12,'24.07 Kitebi-Kabusu'!F12,'25.07 Kabusu-Kitebi'!F12,'26.07 Kitebi-Kabusu-24'!F12,'27.07 Kitebi-Kabusu-24h'!F12,'28.07 Kitebi-Kabusu'!F12)</f>
        <v>28.142857142857142</v>
      </c>
      <c r="G12" s="49">
        <f>AVERAGE('22.07 Kitebi-Kabusu'!G12,'23.07 Kitebi-Kabusu'!G12,'24.07 Kitebi-Kabusu'!G12,'25.07 Kabusu-Kitebi'!G12,'26.07 Kitebi-Kabusu-24'!G12,'27.07 Kitebi-Kabusu-24h'!G12,'28.07 Kitebi-Kabusu'!G12)</f>
        <v>0.5714285714285714</v>
      </c>
      <c r="H12" s="49">
        <f>AVERAGE('22.07 Kitebi-Kabusu'!H12,'23.07 Kitebi-Kabusu'!H12,'24.07 Kitebi-Kabusu'!H12,'25.07 Kabusu-Kitebi'!H12,'26.07 Kitebi-Kabusu-24'!H12,'27.07 Kitebi-Kabusu-24h'!H12,'28.07 Kitebi-Kabusu'!H12)</f>
        <v>0.14285714285714285</v>
      </c>
      <c r="I12" s="49">
        <f>AVERAGE('22.07 Kitebi-Kabusu'!I12,'23.07 Kitebi-Kabusu'!I12,'24.07 Kitebi-Kabusu'!I12,'25.07 Kabusu-Kitebi'!I12,'26.07 Kitebi-Kabusu-24'!I12,'27.07 Kitebi-Kabusu-24h'!I12,'28.07 Kitebi-Kabusu'!I12)</f>
        <v>2.4285714285714284</v>
      </c>
      <c r="J12" s="49">
        <f>AVERAGE('22.07 Kitebi-Kabusu'!J12,'23.07 Kitebi-Kabusu'!J12,'24.07 Kitebi-Kabusu'!J12,'25.07 Kabusu-Kitebi'!J12,'26.07 Kitebi-Kabusu-24'!J12,'27.07 Kitebi-Kabusu-24h'!J12,'28.07 Kitebi-Kabusu'!J12)</f>
        <v>0.42857142857142855</v>
      </c>
      <c r="K12" s="49">
        <f>AVERAGE('22.07 Kitebi-Kabusu'!K12,'23.07 Kitebi-Kabusu'!K12,'24.07 Kitebi-Kabusu'!K12,'25.07 Kabusu-Kitebi'!K12,'26.07 Kitebi-Kabusu-24'!K12,'27.07 Kitebi-Kabusu-24h'!K12,'28.07 Kitebi-Kabusu'!K12)</f>
        <v>0</v>
      </c>
      <c r="L12" s="49">
        <f>AVERAGE('22.07 Kitebi-Kabusu'!L12,'23.07 Kitebi-Kabusu'!L12,'24.07 Kitebi-Kabusu'!L12,'25.07 Kabusu-Kitebi'!L12,'26.07 Kitebi-Kabusu-24'!L12,'27.07 Kitebi-Kabusu-24h'!L12,'28.07 Kitebi-Kabusu'!L12)</f>
        <v>0.2857142857142857</v>
      </c>
      <c r="M12" s="49">
        <f>AVERAGE('22.07 Kitebi-Kabusu'!M12,'23.07 Kitebi-Kabusu'!M12,'24.07 Kitebi-Kabusu'!M12,'25.07 Kabusu-Kitebi'!M12,'26.07 Kitebi-Kabusu-24'!M12,'27.07 Kitebi-Kabusu-24h'!M12,'28.07 Kitebi-Kabusu'!M12)</f>
        <v>190.57142857142858</v>
      </c>
      <c r="N12" s="49">
        <f>AVERAGE('22.07 Kitebi-Kabusu'!N12,'23.07 Kitebi-Kabusu'!N12,'24.07 Kitebi-Kabusu'!N12,'25.07 Kabusu-Kitebi'!N12,'26.07 Kitebi-Kabusu-24'!N12,'27.07 Kitebi-Kabusu-24h'!N12,'28.07 Kitebi-Kabusu'!N12)</f>
        <v>0</v>
      </c>
      <c r="O12" s="15">
        <f t="shared" si="0"/>
        <v>147.71428571428569</v>
      </c>
      <c r="P12" s="15">
        <f t="shared" si="1"/>
        <v>338.28571428571428</v>
      </c>
      <c r="R12" s="1" t="s">
        <v>8</v>
      </c>
      <c r="S12" s="17">
        <f t="shared" ref="S12:AF12" si="4">SUM(C18:C21)</f>
        <v>291.57142857142861</v>
      </c>
      <c r="T12" s="17">
        <f t="shared" si="4"/>
        <v>47.142857142857139</v>
      </c>
      <c r="U12" s="17">
        <f t="shared" si="4"/>
        <v>36.428571428571431</v>
      </c>
      <c r="V12" s="17">
        <f t="shared" si="4"/>
        <v>108.85714285714286</v>
      </c>
      <c r="W12" s="17">
        <f t="shared" si="4"/>
        <v>1.4285714285714284</v>
      </c>
      <c r="X12" s="17">
        <f t="shared" si="4"/>
        <v>0.76190476190476186</v>
      </c>
      <c r="Y12" s="17">
        <f t="shared" si="4"/>
        <v>27.142857142857146</v>
      </c>
      <c r="Z12" s="17">
        <f t="shared" si="4"/>
        <v>1.8571428571428572</v>
      </c>
      <c r="AA12" s="17">
        <f t="shared" si="4"/>
        <v>1.9999999999999998</v>
      </c>
      <c r="AB12" s="17">
        <f t="shared" si="4"/>
        <v>1.2857142857142856</v>
      </c>
      <c r="AC12" s="17">
        <f t="shared" si="4"/>
        <v>881.28571428571422</v>
      </c>
      <c r="AD12" s="17">
        <f t="shared" si="4"/>
        <v>0</v>
      </c>
      <c r="AE12" s="31">
        <f t="shared" si="4"/>
        <v>518.47619047619037</v>
      </c>
      <c r="AF12" s="31">
        <f t="shared" si="4"/>
        <v>1399.761904761905</v>
      </c>
    </row>
    <row r="13" spans="2:32" ht="23.1" customHeight="1" x14ac:dyDescent="0.25">
      <c r="B13" s="23" t="s">
        <v>40</v>
      </c>
      <c r="C13" s="49">
        <f>AVERAGE('22.07 Kitebi-Kabusu'!C13,'23.07 Kitebi-Kabusu'!C13,'24.07 Kitebi-Kabusu'!C13,'25.07 Kabusu-Kitebi'!C13,'26.07 Kitebi-Kabusu-24'!C13,'27.07 Kitebi-Kabusu-24h'!C13,'28.07 Kitebi-Kabusu'!C13)</f>
        <v>91.285714285714292</v>
      </c>
      <c r="D13" s="49">
        <f>AVERAGE('22.07 Kitebi-Kabusu'!D13,'23.07 Kitebi-Kabusu'!D13,'24.07 Kitebi-Kabusu'!D13,'25.07 Kabusu-Kitebi'!D13,'26.07 Kitebi-Kabusu-24'!D13,'27.07 Kitebi-Kabusu-24h'!D13,'28.07 Kitebi-Kabusu'!D13)</f>
        <v>10</v>
      </c>
      <c r="E13" s="49">
        <f>AVERAGE('22.07 Kitebi-Kabusu'!E13,'23.07 Kitebi-Kabusu'!E13,'24.07 Kitebi-Kabusu'!E13,'25.07 Kabusu-Kitebi'!E13,'26.07 Kitebi-Kabusu-24'!E13,'27.07 Kitebi-Kabusu-24h'!E13,'28.07 Kitebi-Kabusu'!E13)</f>
        <v>9.5714285714285712</v>
      </c>
      <c r="F13" s="49">
        <f>AVERAGE('22.07 Kitebi-Kabusu'!F13,'23.07 Kitebi-Kabusu'!F13,'24.07 Kitebi-Kabusu'!F13,'25.07 Kabusu-Kitebi'!F13,'26.07 Kitebi-Kabusu-24'!F13,'27.07 Kitebi-Kabusu-24h'!F13,'28.07 Kitebi-Kabusu'!F13)</f>
        <v>24.857142857142858</v>
      </c>
      <c r="G13" s="49">
        <f>AVERAGE('22.07 Kitebi-Kabusu'!G13,'23.07 Kitebi-Kabusu'!G13,'24.07 Kitebi-Kabusu'!G13,'25.07 Kabusu-Kitebi'!G13,'26.07 Kitebi-Kabusu-24'!G13,'27.07 Kitebi-Kabusu-24h'!G13,'28.07 Kitebi-Kabusu'!G13)</f>
        <v>0.5714285714285714</v>
      </c>
      <c r="H13" s="49">
        <f>AVERAGE('22.07 Kitebi-Kabusu'!H13,'23.07 Kitebi-Kabusu'!H13,'24.07 Kitebi-Kabusu'!H13,'25.07 Kabusu-Kitebi'!H13,'26.07 Kitebi-Kabusu-24'!H13,'27.07 Kitebi-Kabusu-24h'!H13,'28.07 Kitebi-Kabusu'!H13)</f>
        <v>0</v>
      </c>
      <c r="I13" s="49">
        <f>AVERAGE('22.07 Kitebi-Kabusu'!I13,'23.07 Kitebi-Kabusu'!I13,'24.07 Kitebi-Kabusu'!I13,'25.07 Kabusu-Kitebi'!I13,'26.07 Kitebi-Kabusu-24'!I13,'27.07 Kitebi-Kabusu-24h'!I13,'28.07 Kitebi-Kabusu'!I13)</f>
        <v>5.2857142857142856</v>
      </c>
      <c r="J13" s="49">
        <f>AVERAGE('22.07 Kitebi-Kabusu'!J13,'23.07 Kitebi-Kabusu'!J13,'24.07 Kitebi-Kabusu'!J13,'25.07 Kabusu-Kitebi'!J13,'26.07 Kitebi-Kabusu-24'!J13,'27.07 Kitebi-Kabusu-24h'!J13,'28.07 Kitebi-Kabusu'!J13)</f>
        <v>0.7142857142857143</v>
      </c>
      <c r="K13" s="49">
        <f>AVERAGE('22.07 Kitebi-Kabusu'!K13,'23.07 Kitebi-Kabusu'!K13,'24.07 Kitebi-Kabusu'!K13,'25.07 Kabusu-Kitebi'!K13,'26.07 Kitebi-Kabusu-24'!K13,'27.07 Kitebi-Kabusu-24h'!K13,'28.07 Kitebi-Kabusu'!K13)</f>
        <v>0.7142857142857143</v>
      </c>
      <c r="L13" s="49">
        <f>AVERAGE('22.07 Kitebi-Kabusu'!L13,'23.07 Kitebi-Kabusu'!L13,'24.07 Kitebi-Kabusu'!L13,'25.07 Kabusu-Kitebi'!L13,'26.07 Kitebi-Kabusu-24'!L13,'27.07 Kitebi-Kabusu-24h'!L13,'28.07 Kitebi-Kabusu'!L13)</f>
        <v>0.42857142857142855</v>
      </c>
      <c r="M13" s="49">
        <f>AVERAGE('22.07 Kitebi-Kabusu'!M13,'23.07 Kitebi-Kabusu'!M13,'24.07 Kitebi-Kabusu'!M13,'25.07 Kabusu-Kitebi'!M13,'26.07 Kitebi-Kabusu-24'!M13,'27.07 Kitebi-Kabusu-24h'!M13,'28.07 Kitebi-Kabusu'!M13)</f>
        <v>191.85714285714286</v>
      </c>
      <c r="N13" s="49">
        <f>AVERAGE('22.07 Kitebi-Kabusu'!N13,'23.07 Kitebi-Kabusu'!N13,'24.07 Kitebi-Kabusu'!N13,'25.07 Kabusu-Kitebi'!N13,'26.07 Kitebi-Kabusu-24'!N13,'27.07 Kitebi-Kabusu-24h'!N13,'28.07 Kitebi-Kabusu'!N13)</f>
        <v>0</v>
      </c>
      <c r="O13" s="15">
        <f t="shared" si="0"/>
        <v>143.42857142857144</v>
      </c>
      <c r="P13" s="15">
        <f t="shared" si="1"/>
        <v>335.28571428571433</v>
      </c>
      <c r="R13" s="1" t="s">
        <v>9</v>
      </c>
      <c r="S13" s="17">
        <f t="shared" ref="S13:AF13" si="5">SUM(C22:C25)</f>
        <v>268.42857142857139</v>
      </c>
      <c r="T13" s="17">
        <f t="shared" si="5"/>
        <v>44.857142857142861</v>
      </c>
      <c r="U13" s="17">
        <f t="shared" si="5"/>
        <v>32.714285714285715</v>
      </c>
      <c r="V13" s="17">
        <f t="shared" si="5"/>
        <v>100.71428571428571</v>
      </c>
      <c r="W13" s="17">
        <f t="shared" si="5"/>
        <v>1.8571428571428568</v>
      </c>
      <c r="X13" s="17">
        <f t="shared" si="5"/>
        <v>0.71428571428571419</v>
      </c>
      <c r="Y13" s="17">
        <f t="shared" si="5"/>
        <v>28.142857142857146</v>
      </c>
      <c r="Z13" s="17">
        <f t="shared" si="5"/>
        <v>3.4285714285714288</v>
      </c>
      <c r="AA13" s="17">
        <f t="shared" si="5"/>
        <v>2.8571428571428568</v>
      </c>
      <c r="AB13" s="17">
        <f t="shared" si="5"/>
        <v>3.1428571428571432</v>
      </c>
      <c r="AC13" s="17">
        <f t="shared" si="5"/>
        <v>784.14285714285711</v>
      </c>
      <c r="AD13" s="17">
        <f t="shared" si="5"/>
        <v>0</v>
      </c>
      <c r="AE13" s="31">
        <f t="shared" si="5"/>
        <v>486.85714285714289</v>
      </c>
      <c r="AF13" s="31">
        <f t="shared" si="5"/>
        <v>1271</v>
      </c>
    </row>
    <row r="14" spans="2:32" ht="23.1" customHeight="1" x14ac:dyDescent="0.25">
      <c r="B14" s="23" t="s">
        <v>41</v>
      </c>
      <c r="C14" s="49">
        <f>AVERAGE('22.07 Kitebi-Kabusu'!C14,'23.07 Kitebi-Kabusu'!C14,'24.07 Kitebi-Kabusu'!C14,'25.07 Kabusu-Kitebi'!C14,'26.07 Kitebi-Kabusu-24'!C14,'27.07 Kitebi-Kabusu-24h'!C14,'28.07 Kitebi-Kabusu'!C14)</f>
        <v>91.714285714285708</v>
      </c>
      <c r="D14" s="49">
        <f>AVERAGE('22.07 Kitebi-Kabusu'!D14,'23.07 Kitebi-Kabusu'!D14,'24.07 Kitebi-Kabusu'!D14,'25.07 Kabusu-Kitebi'!D14,'26.07 Kitebi-Kabusu-24'!D14,'27.07 Kitebi-Kabusu-24h'!D14,'28.07 Kitebi-Kabusu'!D14)</f>
        <v>9.1428571428571423</v>
      </c>
      <c r="E14" s="49">
        <f>AVERAGE('22.07 Kitebi-Kabusu'!E14,'23.07 Kitebi-Kabusu'!E14,'24.07 Kitebi-Kabusu'!E14,'25.07 Kabusu-Kitebi'!E14,'26.07 Kitebi-Kabusu-24'!E14,'27.07 Kitebi-Kabusu-24h'!E14,'28.07 Kitebi-Kabusu'!E14)</f>
        <v>7.4285714285714288</v>
      </c>
      <c r="F14" s="49">
        <f>AVERAGE('22.07 Kitebi-Kabusu'!F14,'23.07 Kitebi-Kabusu'!F14,'24.07 Kitebi-Kabusu'!F14,'25.07 Kabusu-Kitebi'!F14,'26.07 Kitebi-Kabusu-24'!F14,'27.07 Kitebi-Kabusu-24h'!F14,'28.07 Kitebi-Kabusu'!F14)</f>
        <v>29</v>
      </c>
      <c r="G14" s="49">
        <f>AVERAGE('22.07 Kitebi-Kabusu'!G14,'23.07 Kitebi-Kabusu'!G14,'24.07 Kitebi-Kabusu'!G14,'25.07 Kabusu-Kitebi'!G14,'26.07 Kitebi-Kabusu-24'!G14,'27.07 Kitebi-Kabusu-24h'!G14,'28.07 Kitebi-Kabusu'!G14)</f>
        <v>0.5714285714285714</v>
      </c>
      <c r="H14" s="49">
        <f>AVERAGE('22.07 Kitebi-Kabusu'!H14,'23.07 Kitebi-Kabusu'!H14,'24.07 Kitebi-Kabusu'!H14,'25.07 Kabusu-Kitebi'!H14,'26.07 Kitebi-Kabusu-24'!H14,'27.07 Kitebi-Kabusu-24h'!H14,'28.07 Kitebi-Kabusu'!H14)</f>
        <v>0</v>
      </c>
      <c r="I14" s="49">
        <f>AVERAGE('22.07 Kitebi-Kabusu'!I14,'23.07 Kitebi-Kabusu'!I14,'24.07 Kitebi-Kabusu'!I14,'25.07 Kabusu-Kitebi'!I14,'26.07 Kitebi-Kabusu-24'!I14,'27.07 Kitebi-Kabusu-24h'!I14,'28.07 Kitebi-Kabusu'!I14)</f>
        <v>6.1428571428571432</v>
      </c>
      <c r="J14" s="49">
        <f>AVERAGE('22.07 Kitebi-Kabusu'!J14,'23.07 Kitebi-Kabusu'!J14,'24.07 Kitebi-Kabusu'!J14,'25.07 Kabusu-Kitebi'!J14,'26.07 Kitebi-Kabusu-24'!J14,'27.07 Kitebi-Kabusu-24h'!J14,'28.07 Kitebi-Kabusu'!J14)</f>
        <v>0.5714285714285714</v>
      </c>
      <c r="K14" s="49">
        <f>AVERAGE('22.07 Kitebi-Kabusu'!K14,'23.07 Kitebi-Kabusu'!K14,'24.07 Kitebi-Kabusu'!K14,'25.07 Kabusu-Kitebi'!K14,'26.07 Kitebi-Kabusu-24'!K14,'27.07 Kitebi-Kabusu-24h'!K14,'28.07 Kitebi-Kabusu'!K14)</f>
        <v>0.5714285714285714</v>
      </c>
      <c r="L14" s="49">
        <f>AVERAGE('22.07 Kitebi-Kabusu'!L14,'23.07 Kitebi-Kabusu'!L14,'24.07 Kitebi-Kabusu'!L14,'25.07 Kabusu-Kitebi'!L14,'26.07 Kitebi-Kabusu-24'!L14,'27.07 Kitebi-Kabusu-24h'!L14,'28.07 Kitebi-Kabusu'!L14)</f>
        <v>0</v>
      </c>
      <c r="M14" s="49">
        <f>AVERAGE('22.07 Kitebi-Kabusu'!M14,'23.07 Kitebi-Kabusu'!M14,'24.07 Kitebi-Kabusu'!M14,'25.07 Kabusu-Kitebi'!M14,'26.07 Kitebi-Kabusu-24'!M14,'27.07 Kitebi-Kabusu-24h'!M14,'28.07 Kitebi-Kabusu'!M14)</f>
        <v>226.57142857142858</v>
      </c>
      <c r="N14" s="49">
        <f>AVERAGE('22.07 Kitebi-Kabusu'!N14,'23.07 Kitebi-Kabusu'!N14,'24.07 Kitebi-Kabusu'!N14,'25.07 Kabusu-Kitebi'!N14,'26.07 Kitebi-Kabusu-24'!N14,'27.07 Kitebi-Kabusu-24h'!N14,'28.07 Kitebi-Kabusu'!N14)</f>
        <v>0</v>
      </c>
      <c r="O14" s="15">
        <f t="shared" si="0"/>
        <v>145.14285714285717</v>
      </c>
      <c r="P14" s="15">
        <f t="shared" si="1"/>
        <v>371.71428571428578</v>
      </c>
      <c r="R14" s="1" t="s">
        <v>10</v>
      </c>
      <c r="S14" s="17">
        <f t="shared" ref="S14:AF14" si="6">SUM(C26:C29)</f>
        <v>235.42857142857144</v>
      </c>
      <c r="T14" s="17">
        <f t="shared" si="6"/>
        <v>34.428571428571431</v>
      </c>
      <c r="U14" s="17">
        <f t="shared" si="6"/>
        <v>32</v>
      </c>
      <c r="V14" s="17">
        <f t="shared" si="6"/>
        <v>94.714285714285722</v>
      </c>
      <c r="W14" s="17">
        <f t="shared" si="6"/>
        <v>0.8571428571428571</v>
      </c>
      <c r="X14" s="17">
        <f t="shared" si="6"/>
        <v>0.71428571428571419</v>
      </c>
      <c r="Y14" s="17">
        <f t="shared" si="6"/>
        <v>27.285714285714285</v>
      </c>
      <c r="Z14" s="17">
        <f t="shared" si="6"/>
        <v>3.8571428571428568</v>
      </c>
      <c r="AA14" s="17">
        <f t="shared" si="6"/>
        <v>4.7142857142857144</v>
      </c>
      <c r="AB14" s="17">
        <f t="shared" si="6"/>
        <v>3.1428571428571428</v>
      </c>
      <c r="AC14" s="17">
        <f t="shared" si="6"/>
        <v>723.85714285714289</v>
      </c>
      <c r="AD14" s="17">
        <f t="shared" si="6"/>
        <v>0</v>
      </c>
      <c r="AE14" s="31">
        <f t="shared" si="6"/>
        <v>437.14285714285717</v>
      </c>
      <c r="AF14" s="31">
        <f t="shared" si="6"/>
        <v>1161</v>
      </c>
    </row>
    <row r="15" spans="2:32" ht="23.1" customHeight="1" x14ac:dyDescent="0.25">
      <c r="B15" s="23" t="s">
        <v>42</v>
      </c>
      <c r="C15" s="49">
        <f>AVERAGE('22.07 Kitebi-Kabusu'!C15,'23.07 Kitebi-Kabusu'!C15,'24.07 Kitebi-Kabusu'!C15,'25.07 Kabusu-Kitebi'!C15,'26.07 Kitebi-Kabusu-24'!C15,'27.07 Kitebi-Kabusu-24h'!C15,'28.07 Kitebi-Kabusu'!C15)</f>
        <v>83.285714285714292</v>
      </c>
      <c r="D15" s="49">
        <f>AVERAGE('22.07 Kitebi-Kabusu'!D15,'23.07 Kitebi-Kabusu'!D15,'24.07 Kitebi-Kabusu'!D15,'25.07 Kabusu-Kitebi'!D15,'26.07 Kitebi-Kabusu-24'!D15,'27.07 Kitebi-Kabusu-24h'!D15,'28.07 Kitebi-Kabusu'!D15)</f>
        <v>7.5714285714285712</v>
      </c>
      <c r="E15" s="49">
        <f>AVERAGE('22.07 Kitebi-Kabusu'!E15,'23.07 Kitebi-Kabusu'!E15,'24.07 Kitebi-Kabusu'!E15,'25.07 Kabusu-Kitebi'!E15,'26.07 Kitebi-Kabusu-24'!E15,'27.07 Kitebi-Kabusu-24h'!E15,'28.07 Kitebi-Kabusu'!E15)</f>
        <v>8.1428571428571423</v>
      </c>
      <c r="F15" s="49">
        <f>AVERAGE('22.07 Kitebi-Kabusu'!F15,'23.07 Kitebi-Kabusu'!F15,'24.07 Kitebi-Kabusu'!F15,'25.07 Kabusu-Kitebi'!F15,'26.07 Kitebi-Kabusu-24'!F15,'27.07 Kitebi-Kabusu-24h'!F15,'28.07 Kitebi-Kabusu'!F15)</f>
        <v>27.714285714285715</v>
      </c>
      <c r="G15" s="49">
        <f>AVERAGE('22.07 Kitebi-Kabusu'!G15,'23.07 Kitebi-Kabusu'!G15,'24.07 Kitebi-Kabusu'!G15,'25.07 Kabusu-Kitebi'!G15,'26.07 Kitebi-Kabusu-24'!G15,'27.07 Kitebi-Kabusu-24h'!G15,'28.07 Kitebi-Kabusu'!G15)</f>
        <v>0.8571428571428571</v>
      </c>
      <c r="H15" s="49">
        <f>AVERAGE('22.07 Kitebi-Kabusu'!H15,'23.07 Kitebi-Kabusu'!H15,'24.07 Kitebi-Kabusu'!H15,'25.07 Kabusu-Kitebi'!H15,'26.07 Kitebi-Kabusu-24'!H15,'27.07 Kitebi-Kabusu-24h'!H15,'28.07 Kitebi-Kabusu'!H15)</f>
        <v>0.14285714285714285</v>
      </c>
      <c r="I15" s="49">
        <f>AVERAGE('22.07 Kitebi-Kabusu'!I15,'23.07 Kitebi-Kabusu'!I15,'24.07 Kitebi-Kabusu'!I15,'25.07 Kabusu-Kitebi'!I15,'26.07 Kitebi-Kabusu-24'!I15,'27.07 Kitebi-Kabusu-24h'!I15,'28.07 Kitebi-Kabusu'!I15)</f>
        <v>5.2857142857142856</v>
      </c>
      <c r="J15" s="49">
        <f>AVERAGE('22.07 Kitebi-Kabusu'!J15,'23.07 Kitebi-Kabusu'!J15,'24.07 Kitebi-Kabusu'!J15,'25.07 Kabusu-Kitebi'!J15,'26.07 Kitebi-Kabusu-24'!J15,'27.07 Kitebi-Kabusu-24h'!J15,'28.07 Kitebi-Kabusu'!J15)</f>
        <v>0.2857142857142857</v>
      </c>
      <c r="K15" s="49">
        <f>AVERAGE('22.07 Kitebi-Kabusu'!K15,'23.07 Kitebi-Kabusu'!K15,'24.07 Kitebi-Kabusu'!K15,'25.07 Kabusu-Kitebi'!K15,'26.07 Kitebi-Kabusu-24'!K15,'27.07 Kitebi-Kabusu-24h'!K15,'28.07 Kitebi-Kabusu'!K15)</f>
        <v>0.2857142857142857</v>
      </c>
      <c r="L15" s="49">
        <f>AVERAGE('22.07 Kitebi-Kabusu'!L15,'23.07 Kitebi-Kabusu'!L15,'24.07 Kitebi-Kabusu'!L15,'25.07 Kabusu-Kitebi'!L15,'26.07 Kitebi-Kabusu-24'!L15,'27.07 Kitebi-Kabusu-24h'!L15,'28.07 Kitebi-Kabusu'!L15)</f>
        <v>0.42857142857142855</v>
      </c>
      <c r="M15" s="49">
        <f>AVERAGE('22.07 Kitebi-Kabusu'!M15,'23.07 Kitebi-Kabusu'!M15,'24.07 Kitebi-Kabusu'!M15,'25.07 Kabusu-Kitebi'!M15,'26.07 Kitebi-Kabusu-24'!M15,'27.07 Kitebi-Kabusu-24h'!M15,'28.07 Kitebi-Kabusu'!M15)</f>
        <v>213.42857142857142</v>
      </c>
      <c r="N15" s="49">
        <f>AVERAGE('22.07 Kitebi-Kabusu'!N15,'23.07 Kitebi-Kabusu'!N15,'24.07 Kitebi-Kabusu'!N15,'25.07 Kabusu-Kitebi'!N15,'26.07 Kitebi-Kabusu-24'!N15,'27.07 Kitebi-Kabusu-24h'!N15,'28.07 Kitebi-Kabusu'!N15)</f>
        <v>0</v>
      </c>
      <c r="O15" s="15">
        <f t="shared" si="0"/>
        <v>133.99999999999997</v>
      </c>
      <c r="P15" s="15">
        <f t="shared" si="1"/>
        <v>347.42857142857139</v>
      </c>
      <c r="R15" s="1" t="s">
        <v>11</v>
      </c>
      <c r="S15" s="17">
        <f t="shared" ref="S15:AF15" si="7">SUM(C30:C33)</f>
        <v>202.42857142857144</v>
      </c>
      <c r="T15" s="17">
        <f t="shared" si="7"/>
        <v>27.428571428571427</v>
      </c>
      <c r="U15" s="17">
        <f t="shared" si="7"/>
        <v>27.285714285714285</v>
      </c>
      <c r="V15" s="17">
        <f t="shared" si="7"/>
        <v>83.428571428571416</v>
      </c>
      <c r="W15" s="17">
        <f t="shared" si="7"/>
        <v>1.2857142857142856</v>
      </c>
      <c r="X15" s="17">
        <f t="shared" si="7"/>
        <v>0.2857142857142857</v>
      </c>
      <c r="Y15" s="17">
        <f t="shared" si="7"/>
        <v>23.714285714285712</v>
      </c>
      <c r="Z15" s="17">
        <f t="shared" si="7"/>
        <v>4.7142857142857144</v>
      </c>
      <c r="AA15" s="17">
        <f t="shared" si="7"/>
        <v>1.7142857142857142</v>
      </c>
      <c r="AB15" s="17">
        <f t="shared" si="7"/>
        <v>1.5714285714285714</v>
      </c>
      <c r="AC15" s="17">
        <f t="shared" si="7"/>
        <v>664.57142857142856</v>
      </c>
      <c r="AD15" s="17">
        <f t="shared" si="7"/>
        <v>0</v>
      </c>
      <c r="AE15" s="31">
        <f t="shared" si="7"/>
        <v>373.85714285714283</v>
      </c>
      <c r="AF15" s="31">
        <f t="shared" si="7"/>
        <v>1038.4285714285716</v>
      </c>
    </row>
    <row r="16" spans="2:32" ht="23.1" customHeight="1" x14ac:dyDescent="0.25">
      <c r="B16" s="23" t="s">
        <v>43</v>
      </c>
      <c r="C16" s="49">
        <f>AVERAGE('22.07 Kitebi-Kabusu'!C16,'23.07 Kitebi-Kabusu'!C16,'24.07 Kitebi-Kabusu'!C16,'25.07 Kabusu-Kitebi'!C16,'26.07 Kitebi-Kabusu-24'!C16,'27.07 Kitebi-Kabusu-24h'!C16,'28.07 Kitebi-Kabusu'!C16)</f>
        <v>76.571428571428569</v>
      </c>
      <c r="D16" s="49">
        <f>AVERAGE('22.07 Kitebi-Kabusu'!D16,'23.07 Kitebi-Kabusu'!D16,'24.07 Kitebi-Kabusu'!D16,'25.07 Kabusu-Kitebi'!D16,'26.07 Kitebi-Kabusu-24'!D16,'27.07 Kitebi-Kabusu-24h'!D16,'28.07 Kitebi-Kabusu'!D16)</f>
        <v>13.571428571428571</v>
      </c>
      <c r="E16" s="49">
        <f>AVERAGE('22.07 Kitebi-Kabusu'!E16,'23.07 Kitebi-Kabusu'!E16,'24.07 Kitebi-Kabusu'!E16,'25.07 Kabusu-Kitebi'!E16,'26.07 Kitebi-Kabusu-24'!E16,'27.07 Kitebi-Kabusu-24h'!E16,'28.07 Kitebi-Kabusu'!E16)</f>
        <v>10</v>
      </c>
      <c r="F16" s="49">
        <f>AVERAGE('22.07 Kitebi-Kabusu'!F16,'23.07 Kitebi-Kabusu'!F16,'24.07 Kitebi-Kabusu'!F16,'25.07 Kabusu-Kitebi'!F16,'26.07 Kitebi-Kabusu-24'!F16,'27.07 Kitebi-Kabusu-24h'!F16,'28.07 Kitebi-Kabusu'!F16)</f>
        <v>29.857142857142858</v>
      </c>
      <c r="G16" s="49">
        <f>AVERAGE('22.07 Kitebi-Kabusu'!G16,'23.07 Kitebi-Kabusu'!G16,'24.07 Kitebi-Kabusu'!G16,'25.07 Kabusu-Kitebi'!G16,'26.07 Kitebi-Kabusu-24'!G16,'27.07 Kitebi-Kabusu-24h'!G16,'28.07 Kitebi-Kabusu'!G16)</f>
        <v>0.7142857142857143</v>
      </c>
      <c r="H16" s="49">
        <f>AVERAGE('22.07 Kitebi-Kabusu'!H16,'23.07 Kitebi-Kabusu'!H16,'24.07 Kitebi-Kabusu'!H16,'25.07 Kabusu-Kitebi'!H16,'26.07 Kitebi-Kabusu-24'!H16,'27.07 Kitebi-Kabusu-24h'!H16,'28.07 Kitebi-Kabusu'!H16)</f>
        <v>0</v>
      </c>
      <c r="I16" s="49">
        <f>AVERAGE('22.07 Kitebi-Kabusu'!I16,'23.07 Kitebi-Kabusu'!I16,'24.07 Kitebi-Kabusu'!I16,'25.07 Kabusu-Kitebi'!I16,'26.07 Kitebi-Kabusu-24'!I16,'27.07 Kitebi-Kabusu-24h'!I16,'28.07 Kitebi-Kabusu'!I16)</f>
        <v>6.2857142857142856</v>
      </c>
      <c r="J16" s="49">
        <f>AVERAGE('22.07 Kitebi-Kabusu'!J16,'23.07 Kitebi-Kabusu'!J16,'24.07 Kitebi-Kabusu'!J16,'25.07 Kabusu-Kitebi'!J16,'26.07 Kitebi-Kabusu-24'!J16,'27.07 Kitebi-Kabusu-24h'!J16,'28.07 Kitebi-Kabusu'!J16)</f>
        <v>0.42857142857142855</v>
      </c>
      <c r="K16" s="49">
        <f>AVERAGE('22.07 Kitebi-Kabusu'!K16,'23.07 Kitebi-Kabusu'!K16,'24.07 Kitebi-Kabusu'!K16,'25.07 Kabusu-Kitebi'!K16,'26.07 Kitebi-Kabusu-24'!K16,'27.07 Kitebi-Kabusu-24h'!K16,'28.07 Kitebi-Kabusu'!K16)</f>
        <v>0.14285714285714285</v>
      </c>
      <c r="L16" s="49">
        <f>AVERAGE('22.07 Kitebi-Kabusu'!L16,'23.07 Kitebi-Kabusu'!L16,'24.07 Kitebi-Kabusu'!L16,'25.07 Kabusu-Kitebi'!L16,'26.07 Kitebi-Kabusu-24'!L16,'27.07 Kitebi-Kabusu-24h'!L16,'28.07 Kitebi-Kabusu'!L16)</f>
        <v>0.7142857142857143</v>
      </c>
      <c r="M16" s="49">
        <f>AVERAGE('22.07 Kitebi-Kabusu'!M16,'23.07 Kitebi-Kabusu'!M16,'24.07 Kitebi-Kabusu'!M16,'25.07 Kabusu-Kitebi'!M16,'26.07 Kitebi-Kabusu-24'!M16,'27.07 Kitebi-Kabusu-24h'!M16,'28.07 Kitebi-Kabusu'!M16)</f>
        <v>225.14285714285714</v>
      </c>
      <c r="N16" s="49">
        <f>AVERAGE('22.07 Kitebi-Kabusu'!N16,'23.07 Kitebi-Kabusu'!N16,'24.07 Kitebi-Kabusu'!N16,'25.07 Kabusu-Kitebi'!N16,'26.07 Kitebi-Kabusu-24'!N16,'27.07 Kitebi-Kabusu-24h'!N16,'28.07 Kitebi-Kabusu'!N16)</f>
        <v>0</v>
      </c>
      <c r="O16" s="15">
        <f t="shared" si="0"/>
        <v>138.28571428571428</v>
      </c>
      <c r="P16" s="15">
        <f t="shared" si="1"/>
        <v>363.42857142857144</v>
      </c>
      <c r="R16" s="1" t="s">
        <v>12</v>
      </c>
      <c r="S16" s="17">
        <f t="shared" ref="S16:AF16" si="8">SUM(C34:C37)</f>
        <v>174.71428571428572</v>
      </c>
      <c r="T16" s="17">
        <f t="shared" si="8"/>
        <v>25.000000000000004</v>
      </c>
      <c r="U16" s="17">
        <f t="shared" si="8"/>
        <v>29.857142857142861</v>
      </c>
      <c r="V16" s="17">
        <f t="shared" si="8"/>
        <v>78.428571428571431</v>
      </c>
      <c r="W16" s="17">
        <f t="shared" si="8"/>
        <v>0.8571428571428571</v>
      </c>
      <c r="X16" s="17">
        <f t="shared" si="8"/>
        <v>1.1428571428571428</v>
      </c>
      <c r="Y16" s="17">
        <f t="shared" si="8"/>
        <v>25.428571428571427</v>
      </c>
      <c r="Z16" s="17">
        <f t="shared" si="8"/>
        <v>3.2857142857142856</v>
      </c>
      <c r="AA16" s="17">
        <f t="shared" si="8"/>
        <v>2.7142857142857144</v>
      </c>
      <c r="AB16" s="17">
        <f t="shared" si="8"/>
        <v>3.2857142857142856</v>
      </c>
      <c r="AC16" s="17">
        <f t="shared" si="8"/>
        <v>617.28571428571433</v>
      </c>
      <c r="AD16" s="17">
        <f t="shared" si="8"/>
        <v>0</v>
      </c>
      <c r="AE16" s="31">
        <f t="shared" si="8"/>
        <v>344.71428571428572</v>
      </c>
      <c r="AF16" s="31">
        <f t="shared" si="8"/>
        <v>962</v>
      </c>
    </row>
    <row r="17" spans="2:32" ht="23.1" customHeight="1" x14ac:dyDescent="0.25">
      <c r="B17" s="23" t="s">
        <v>44</v>
      </c>
      <c r="C17" s="49">
        <f>AVERAGE('22.07 Kitebi-Kabusu'!C17,'23.07 Kitebi-Kabusu'!C17,'24.07 Kitebi-Kabusu'!C17,'25.07 Kabusu-Kitebi'!C17,'26.07 Kitebi-Kabusu-24'!C17,'27.07 Kitebi-Kabusu-24h'!C17,'28.07 Kitebi-Kabusu'!C17)</f>
        <v>78.285714285714292</v>
      </c>
      <c r="D17" s="49">
        <f>AVERAGE('22.07 Kitebi-Kabusu'!D17,'23.07 Kitebi-Kabusu'!D17,'24.07 Kitebi-Kabusu'!D17,'25.07 Kabusu-Kitebi'!D17,'26.07 Kitebi-Kabusu-24'!D17,'27.07 Kitebi-Kabusu-24h'!D17,'28.07 Kitebi-Kabusu'!D17)</f>
        <v>12.714285714285714</v>
      </c>
      <c r="E17" s="49">
        <f>AVERAGE('22.07 Kitebi-Kabusu'!E17,'23.07 Kitebi-Kabusu'!E17,'24.07 Kitebi-Kabusu'!E17,'25.07 Kabusu-Kitebi'!E17,'26.07 Kitebi-Kabusu-24'!E17,'27.07 Kitebi-Kabusu-24h'!E17,'28.07 Kitebi-Kabusu'!E17)</f>
        <v>9.1428571428571423</v>
      </c>
      <c r="F17" s="49">
        <f>AVERAGE('22.07 Kitebi-Kabusu'!F17,'23.07 Kitebi-Kabusu'!F17,'24.07 Kitebi-Kabusu'!F17,'25.07 Kabusu-Kitebi'!F17,'26.07 Kitebi-Kabusu-24'!F17,'27.07 Kitebi-Kabusu-24h'!F17,'28.07 Kitebi-Kabusu'!F17)</f>
        <v>27.857142857142858</v>
      </c>
      <c r="G17" s="49">
        <f>AVERAGE('22.07 Kitebi-Kabusu'!G17,'23.07 Kitebi-Kabusu'!G17,'24.07 Kitebi-Kabusu'!G17,'25.07 Kabusu-Kitebi'!G17,'26.07 Kitebi-Kabusu-24'!G17,'27.07 Kitebi-Kabusu-24h'!G17,'28.07 Kitebi-Kabusu'!G17)</f>
        <v>0.14285714285714285</v>
      </c>
      <c r="H17" s="49">
        <f>AVERAGE('22.07 Kitebi-Kabusu'!H17,'23.07 Kitebi-Kabusu'!H17,'24.07 Kitebi-Kabusu'!H17,'25.07 Kabusu-Kitebi'!H17,'26.07 Kitebi-Kabusu-24'!H17,'27.07 Kitebi-Kabusu-24h'!H17,'28.07 Kitebi-Kabusu'!H17)</f>
        <v>0.14285714285714285</v>
      </c>
      <c r="I17" s="49">
        <f>AVERAGE('22.07 Kitebi-Kabusu'!I17,'23.07 Kitebi-Kabusu'!I17,'24.07 Kitebi-Kabusu'!I17,'25.07 Kabusu-Kitebi'!I17,'26.07 Kitebi-Kabusu-24'!I17,'27.07 Kitebi-Kabusu-24h'!I17,'28.07 Kitebi-Kabusu'!I17)</f>
        <v>6.2857142857142856</v>
      </c>
      <c r="J17" s="49">
        <f>AVERAGE('22.07 Kitebi-Kabusu'!J17,'23.07 Kitebi-Kabusu'!J17,'24.07 Kitebi-Kabusu'!J17,'25.07 Kabusu-Kitebi'!J17,'26.07 Kitebi-Kabusu-24'!J17,'27.07 Kitebi-Kabusu-24h'!J17,'28.07 Kitebi-Kabusu'!J17)</f>
        <v>0.5714285714285714</v>
      </c>
      <c r="K17" s="49">
        <f>AVERAGE('22.07 Kitebi-Kabusu'!K17,'23.07 Kitebi-Kabusu'!K17,'24.07 Kitebi-Kabusu'!K17,'25.07 Kabusu-Kitebi'!K17,'26.07 Kitebi-Kabusu-24'!K17,'27.07 Kitebi-Kabusu-24h'!K17,'28.07 Kitebi-Kabusu'!K17)</f>
        <v>0.42857142857142855</v>
      </c>
      <c r="L17" s="49">
        <f>AVERAGE('22.07 Kitebi-Kabusu'!L17,'23.07 Kitebi-Kabusu'!L17,'24.07 Kitebi-Kabusu'!L17,'25.07 Kabusu-Kitebi'!L17,'26.07 Kitebi-Kabusu-24'!L17,'27.07 Kitebi-Kabusu-24h'!L17,'28.07 Kitebi-Kabusu'!L17)</f>
        <v>0.2857142857142857</v>
      </c>
      <c r="M17" s="49">
        <f>AVERAGE('22.07 Kitebi-Kabusu'!M17,'23.07 Kitebi-Kabusu'!M17,'24.07 Kitebi-Kabusu'!M17,'25.07 Kabusu-Kitebi'!M17,'26.07 Kitebi-Kabusu-24'!M17,'27.07 Kitebi-Kabusu-24h'!M17,'28.07 Kitebi-Kabusu'!M17)</f>
        <v>225.14285714285714</v>
      </c>
      <c r="N17" s="49">
        <f>AVERAGE('22.07 Kitebi-Kabusu'!N17,'23.07 Kitebi-Kabusu'!N17,'24.07 Kitebi-Kabusu'!N17,'25.07 Kabusu-Kitebi'!N17,'26.07 Kitebi-Kabusu-24'!N17,'27.07 Kitebi-Kabusu-24h'!N17,'28.07 Kitebi-Kabusu'!N17)</f>
        <v>0</v>
      </c>
      <c r="O17" s="15">
        <f t="shared" si="0"/>
        <v>135.85714285714283</v>
      </c>
      <c r="P17" s="15">
        <f t="shared" si="1"/>
        <v>361</v>
      </c>
      <c r="R17" s="1" t="s">
        <v>13</v>
      </c>
      <c r="S17" s="17">
        <f t="shared" ref="S17:AF17" si="9">SUM(C38:C41)</f>
        <v>178.85714285714283</v>
      </c>
      <c r="T17" s="17">
        <f t="shared" si="9"/>
        <v>27.142857142857139</v>
      </c>
      <c r="U17" s="17">
        <f t="shared" si="9"/>
        <v>26.857142857142854</v>
      </c>
      <c r="V17" s="17">
        <f t="shared" si="9"/>
        <v>71</v>
      </c>
      <c r="W17" s="17">
        <f t="shared" si="9"/>
        <v>1</v>
      </c>
      <c r="X17" s="17">
        <f t="shared" si="9"/>
        <v>0.71428571428571419</v>
      </c>
      <c r="Y17" s="17">
        <f t="shared" si="9"/>
        <v>19.142857142857142</v>
      </c>
      <c r="Z17" s="17">
        <f t="shared" si="9"/>
        <v>6</v>
      </c>
      <c r="AA17" s="17">
        <f t="shared" si="9"/>
        <v>3.1428571428571428</v>
      </c>
      <c r="AB17" s="17">
        <f t="shared" si="9"/>
        <v>2.4285714285714288</v>
      </c>
      <c r="AC17" s="17">
        <f t="shared" si="9"/>
        <v>635</v>
      </c>
      <c r="AD17" s="17">
        <f t="shared" si="9"/>
        <v>0</v>
      </c>
      <c r="AE17" s="31">
        <f t="shared" si="9"/>
        <v>336.28571428571428</v>
      </c>
      <c r="AF17" s="31">
        <f t="shared" si="9"/>
        <v>971.28571428571422</v>
      </c>
    </row>
    <row r="18" spans="2:32" ht="23.1" customHeight="1" x14ac:dyDescent="0.25">
      <c r="B18" s="23" t="s">
        <v>45</v>
      </c>
      <c r="C18" s="49">
        <f>AVERAGE('22.07 Kitebi-Kabusu'!C18,'23.07 Kitebi-Kabusu'!C18,'24.07 Kitebi-Kabusu'!C18,'25.07 Kabusu-Kitebi'!C18,'26.07 Kitebi-Kabusu-24'!C18,'27.07 Kitebi-Kabusu-24h'!C18,'28.07 Kitebi-Kabusu'!C18)</f>
        <v>81.571428571428569</v>
      </c>
      <c r="D18" s="49">
        <f>AVERAGE('22.07 Kitebi-Kabusu'!D18,'23.07 Kitebi-Kabusu'!D18,'24.07 Kitebi-Kabusu'!D18,'25.07 Kabusu-Kitebi'!D18,'26.07 Kitebi-Kabusu-24'!D18,'27.07 Kitebi-Kabusu-24h'!D18,'28.07 Kitebi-Kabusu'!D18)</f>
        <v>12.428571428571429</v>
      </c>
      <c r="E18" s="49">
        <f>AVERAGE('22.07 Kitebi-Kabusu'!E18,'23.07 Kitebi-Kabusu'!E18,'24.07 Kitebi-Kabusu'!E18,'25.07 Kabusu-Kitebi'!E18,'26.07 Kitebi-Kabusu-24'!E18,'27.07 Kitebi-Kabusu-24h'!E18,'28.07 Kitebi-Kabusu'!E18)</f>
        <v>8</v>
      </c>
      <c r="F18" s="49">
        <f>AVERAGE('22.07 Kitebi-Kabusu'!F18,'23.07 Kitebi-Kabusu'!F18,'24.07 Kitebi-Kabusu'!F18,'25.07 Kabusu-Kitebi'!F18,'26.07 Kitebi-Kabusu-24'!F18,'27.07 Kitebi-Kabusu-24h'!F18,'28.07 Kitebi-Kabusu'!F18)</f>
        <v>27.571428571428573</v>
      </c>
      <c r="G18" s="49">
        <f>AVERAGE('22.07 Kitebi-Kabusu'!G18,'23.07 Kitebi-Kabusu'!G18,'24.07 Kitebi-Kabusu'!G18,'25.07 Kabusu-Kitebi'!G18,'26.07 Kitebi-Kabusu-24'!G18,'27.07 Kitebi-Kabusu-24h'!G18,'28.07 Kitebi-Kabusu'!G18)</f>
        <v>0.42857142857142855</v>
      </c>
      <c r="H18" s="49">
        <f>AVERAGE('22.07 Kitebi-Kabusu'!H18,'23.07 Kitebi-Kabusu'!H18,'24.07 Kitebi-Kabusu'!H18,'25.07 Kabusu-Kitebi'!H18,'26.07 Kitebi-Kabusu-24'!H18,'27.07 Kitebi-Kabusu-24h'!H18,'28.07 Kitebi-Kabusu'!H18)</f>
        <v>0.14285714285714285</v>
      </c>
      <c r="I18" s="49">
        <f>AVERAGE('22.07 Kitebi-Kabusu'!I18,'23.07 Kitebi-Kabusu'!I18,'24.07 Kitebi-Kabusu'!I18,'25.07 Kabusu-Kitebi'!I18,'26.07 Kitebi-Kabusu-24'!I18,'27.07 Kitebi-Kabusu-24h'!I18,'28.07 Kitebi-Kabusu'!I18)</f>
        <v>6.2857142857142856</v>
      </c>
      <c r="J18" s="49">
        <f>AVERAGE('22.07 Kitebi-Kabusu'!J18,'23.07 Kitebi-Kabusu'!J18,'24.07 Kitebi-Kabusu'!J18,'25.07 Kabusu-Kitebi'!J18,'26.07 Kitebi-Kabusu-24'!J18,'27.07 Kitebi-Kabusu-24h'!J18,'28.07 Kitebi-Kabusu'!J18)</f>
        <v>0.2857142857142857</v>
      </c>
      <c r="K18" s="49">
        <f>AVERAGE('22.07 Kitebi-Kabusu'!K18,'23.07 Kitebi-Kabusu'!K18,'24.07 Kitebi-Kabusu'!K18,'25.07 Kabusu-Kitebi'!K18,'26.07 Kitebi-Kabusu-24'!K18,'27.07 Kitebi-Kabusu-24h'!K18,'28.07 Kitebi-Kabusu'!K18)</f>
        <v>0</v>
      </c>
      <c r="L18" s="49">
        <f>AVERAGE('22.07 Kitebi-Kabusu'!L18,'23.07 Kitebi-Kabusu'!L18,'24.07 Kitebi-Kabusu'!L18,'25.07 Kabusu-Kitebi'!L18,'26.07 Kitebi-Kabusu-24'!L18,'27.07 Kitebi-Kabusu-24h'!L18,'28.07 Kitebi-Kabusu'!L18)</f>
        <v>0.14285714285714285</v>
      </c>
      <c r="M18" s="49">
        <f>AVERAGE('22.07 Kitebi-Kabusu'!M18,'23.07 Kitebi-Kabusu'!M18,'24.07 Kitebi-Kabusu'!M18,'25.07 Kabusu-Kitebi'!M18,'26.07 Kitebi-Kabusu-24'!M18,'27.07 Kitebi-Kabusu-24h'!M18,'28.07 Kitebi-Kabusu'!M18)</f>
        <v>239.14285714285714</v>
      </c>
      <c r="N18" s="49">
        <f>AVERAGE('22.07 Kitebi-Kabusu'!N18,'23.07 Kitebi-Kabusu'!N18,'24.07 Kitebi-Kabusu'!N18,'25.07 Kabusu-Kitebi'!N18,'26.07 Kitebi-Kabusu-24'!N18,'27.07 Kitebi-Kabusu-24h'!N18,'28.07 Kitebi-Kabusu'!N18)</f>
        <v>0</v>
      </c>
      <c r="O18" s="15">
        <f t="shared" si="0"/>
        <v>136.85714285714283</v>
      </c>
      <c r="P18" s="15">
        <f t="shared" si="1"/>
        <v>376</v>
      </c>
      <c r="R18" s="1" t="s">
        <v>14</v>
      </c>
      <c r="S18" s="17">
        <f t="shared" ref="S18:AF18" si="10">SUM(C42:C45)</f>
        <v>180.42857142857144</v>
      </c>
      <c r="T18" s="17">
        <f t="shared" si="10"/>
        <v>25.428571428571427</v>
      </c>
      <c r="U18" s="17">
        <f t="shared" si="10"/>
        <v>26.285714285714285</v>
      </c>
      <c r="V18" s="17">
        <f t="shared" si="10"/>
        <v>64.285714285714292</v>
      </c>
      <c r="W18" s="17">
        <f t="shared" si="10"/>
        <v>1.1428571428571428</v>
      </c>
      <c r="X18" s="17">
        <f t="shared" si="10"/>
        <v>1.2857142857142856</v>
      </c>
      <c r="Y18" s="17">
        <f t="shared" si="10"/>
        <v>21</v>
      </c>
      <c r="Z18" s="17">
        <f t="shared" si="10"/>
        <v>3.8571428571428568</v>
      </c>
      <c r="AA18" s="17">
        <f t="shared" si="10"/>
        <v>2.5714285714285712</v>
      </c>
      <c r="AB18" s="17">
        <f t="shared" si="10"/>
        <v>2.1428571428571423</v>
      </c>
      <c r="AC18" s="17">
        <f t="shared" si="10"/>
        <v>562.28571428571422</v>
      </c>
      <c r="AD18" s="17">
        <f t="shared" si="10"/>
        <v>0</v>
      </c>
      <c r="AE18" s="31">
        <f t="shared" si="10"/>
        <v>328.42857142857144</v>
      </c>
      <c r="AF18" s="31">
        <f t="shared" si="10"/>
        <v>890.71428571428578</v>
      </c>
    </row>
    <row r="19" spans="2:32" ht="23.1" customHeight="1" x14ac:dyDescent="0.25">
      <c r="B19" s="23" t="s">
        <v>46</v>
      </c>
      <c r="C19" s="49">
        <f>AVERAGE('22.07 Kitebi-Kabusu'!C19,'23.07 Kitebi-Kabusu'!C19,'24.07 Kitebi-Kabusu'!C19,'25.07 Kabusu-Kitebi'!C19,'26.07 Kitebi-Kabusu-24'!C19,'27.07 Kitebi-Kabusu-24h'!C19,'28.07 Kitebi-Kabusu'!C19)</f>
        <v>77.857142857142861</v>
      </c>
      <c r="D19" s="49">
        <f>AVERAGE('22.07 Kitebi-Kabusu'!D19,'23.07 Kitebi-Kabusu'!D19,'24.07 Kitebi-Kabusu'!D19,'25.07 Kabusu-Kitebi'!D19,'26.07 Kitebi-Kabusu-24'!D19,'27.07 Kitebi-Kabusu-24h'!D19,'28.07 Kitebi-Kabusu'!D19)</f>
        <v>10.285714285714286</v>
      </c>
      <c r="E19" s="49">
        <f>AVERAGE('22.07 Kitebi-Kabusu'!E19,'23.07 Kitebi-Kabusu'!E19,'24.07 Kitebi-Kabusu'!E19,'25.07 Kabusu-Kitebi'!E19,'26.07 Kitebi-Kabusu-24'!E19,'27.07 Kitebi-Kabusu-24h'!E19,'28.07 Kitebi-Kabusu'!E19)</f>
        <v>9.1428571428571423</v>
      </c>
      <c r="F19" s="49">
        <f>AVERAGE('22.07 Kitebi-Kabusu'!F19,'23.07 Kitebi-Kabusu'!F19,'24.07 Kitebi-Kabusu'!F19,'25.07 Kabusu-Kitebi'!F19,'26.07 Kitebi-Kabusu-24'!F19,'27.07 Kitebi-Kabusu-24h'!F19,'28.07 Kitebi-Kabusu'!F19)</f>
        <v>26.857142857142858</v>
      </c>
      <c r="G19" s="49">
        <f>AVERAGE('22.07 Kitebi-Kabusu'!G19,'23.07 Kitebi-Kabusu'!G19,'24.07 Kitebi-Kabusu'!G19,'25.07 Kabusu-Kitebi'!G19,'26.07 Kitebi-Kabusu-24'!G19,'27.07 Kitebi-Kabusu-24h'!G19,'28.07 Kitebi-Kabusu'!G19)</f>
        <v>0.2857142857142857</v>
      </c>
      <c r="H19" s="49">
        <f>AVERAGE('22.07 Kitebi-Kabusu'!H19,'23.07 Kitebi-Kabusu'!H19,'24.07 Kitebi-Kabusu'!H19,'25.07 Kabusu-Kitebi'!H19,'26.07 Kitebi-Kabusu-24'!H19,'27.07 Kitebi-Kabusu-24h'!H19,'28.07 Kitebi-Kabusu'!H19)</f>
        <v>0.14285714285714285</v>
      </c>
      <c r="I19" s="49">
        <f>AVERAGE('22.07 Kitebi-Kabusu'!I19,'23.07 Kitebi-Kabusu'!I19,'24.07 Kitebi-Kabusu'!I19,'25.07 Kabusu-Kitebi'!I19,'26.07 Kitebi-Kabusu-24'!I19,'27.07 Kitebi-Kabusu-24h'!I19,'28.07 Kitebi-Kabusu'!I19)</f>
        <v>7.1428571428571432</v>
      </c>
      <c r="J19" s="49">
        <f>AVERAGE('22.07 Kitebi-Kabusu'!J19,'23.07 Kitebi-Kabusu'!J19,'24.07 Kitebi-Kabusu'!J19,'25.07 Kabusu-Kitebi'!J19,'26.07 Kitebi-Kabusu-24'!J19,'27.07 Kitebi-Kabusu-24h'!J19,'28.07 Kitebi-Kabusu'!J19)</f>
        <v>0.8571428571428571</v>
      </c>
      <c r="K19" s="49">
        <f>AVERAGE('22.07 Kitebi-Kabusu'!K19,'23.07 Kitebi-Kabusu'!K19,'24.07 Kitebi-Kabusu'!K19,'25.07 Kabusu-Kitebi'!K19,'26.07 Kitebi-Kabusu-24'!K19,'27.07 Kitebi-Kabusu-24h'!K19,'28.07 Kitebi-Kabusu'!K19)</f>
        <v>0.5714285714285714</v>
      </c>
      <c r="L19" s="49">
        <f>AVERAGE('22.07 Kitebi-Kabusu'!L19,'23.07 Kitebi-Kabusu'!L19,'24.07 Kitebi-Kabusu'!L19,'25.07 Kabusu-Kitebi'!L19,'26.07 Kitebi-Kabusu-24'!L19,'27.07 Kitebi-Kabusu-24h'!L19,'28.07 Kitebi-Kabusu'!L19)</f>
        <v>0.2857142857142857</v>
      </c>
      <c r="M19" s="49">
        <f>AVERAGE('22.07 Kitebi-Kabusu'!M19,'23.07 Kitebi-Kabusu'!M19,'24.07 Kitebi-Kabusu'!M19,'25.07 Kabusu-Kitebi'!M19,'26.07 Kitebi-Kabusu-24'!M19,'27.07 Kitebi-Kabusu-24h'!M19,'28.07 Kitebi-Kabusu'!M19)</f>
        <v>227</v>
      </c>
      <c r="N19" s="49">
        <f>AVERAGE('22.07 Kitebi-Kabusu'!N19,'23.07 Kitebi-Kabusu'!N19,'24.07 Kitebi-Kabusu'!N19,'25.07 Kabusu-Kitebi'!N19,'26.07 Kitebi-Kabusu-24'!N19,'27.07 Kitebi-Kabusu-24h'!N19,'28.07 Kitebi-Kabusu'!N19)</f>
        <v>0</v>
      </c>
      <c r="O19" s="15">
        <f t="shared" si="0"/>
        <v>133.42857142857144</v>
      </c>
      <c r="P19" s="15">
        <f t="shared" si="1"/>
        <v>360.42857142857144</v>
      </c>
      <c r="R19" s="1" t="s">
        <v>15</v>
      </c>
      <c r="S19" s="17">
        <f t="shared" ref="S19:AF19" si="11">SUM(C46:C49)</f>
        <v>187.14285714285714</v>
      </c>
      <c r="T19" s="17">
        <f t="shared" si="11"/>
        <v>26.142857142857146</v>
      </c>
      <c r="U19" s="17">
        <f t="shared" si="11"/>
        <v>28.428571428571431</v>
      </c>
      <c r="V19" s="17">
        <f t="shared" si="11"/>
        <v>64.571428571428569</v>
      </c>
      <c r="W19" s="17">
        <f t="shared" si="11"/>
        <v>1.857142857142857</v>
      </c>
      <c r="X19" s="17">
        <f t="shared" si="11"/>
        <v>0.42857142857142855</v>
      </c>
      <c r="Y19" s="17">
        <f t="shared" si="11"/>
        <v>21.857142857142854</v>
      </c>
      <c r="Z19" s="17">
        <f t="shared" si="11"/>
        <v>3.5714285714285712</v>
      </c>
      <c r="AA19" s="17">
        <f t="shared" si="11"/>
        <v>1.2857142857142856</v>
      </c>
      <c r="AB19" s="17">
        <f t="shared" si="11"/>
        <v>1.5714285714285714</v>
      </c>
      <c r="AC19" s="17">
        <f t="shared" si="11"/>
        <v>630.28571428571422</v>
      </c>
      <c r="AD19" s="17">
        <f t="shared" si="11"/>
        <v>0</v>
      </c>
      <c r="AE19" s="31">
        <f t="shared" si="11"/>
        <v>336.85714285714295</v>
      </c>
      <c r="AF19" s="31">
        <f t="shared" si="11"/>
        <v>967.14285714285711</v>
      </c>
    </row>
    <row r="20" spans="2:32" ht="23.1" customHeight="1" x14ac:dyDescent="0.25">
      <c r="B20" s="23" t="s">
        <v>47</v>
      </c>
      <c r="C20" s="49">
        <f>AVERAGE('22.07 Kitebi-Kabusu'!C20,'23.07 Kitebi-Kabusu'!C20,'24.07 Kitebi-Kabusu'!C20,'25.07 Kabusu-Kitebi'!C20,'26.07 Kitebi-Kabusu-24'!C20,'27.07 Kitebi-Kabusu-24h'!C20,'28.07 Kitebi-Kabusu'!C20)</f>
        <v>66.857142857142861</v>
      </c>
      <c r="D20" s="49">
        <f>AVERAGE('22.07 Kitebi-Kabusu'!D20,'23.07 Kitebi-Kabusu'!D20,'24.07 Kitebi-Kabusu'!D20,'25.07 Kabusu-Kitebi'!D20,'26.07 Kitebi-Kabusu-24'!D20,'27.07 Kitebi-Kabusu-24h'!D20,'28.07 Kitebi-Kabusu'!D20)</f>
        <v>10.857142857142858</v>
      </c>
      <c r="E20" s="49">
        <f>AVERAGE('22.07 Kitebi-Kabusu'!E20,'23.07 Kitebi-Kabusu'!E20,'24.07 Kitebi-Kabusu'!E20,'25.07 Kabusu-Kitebi'!E20,'26.07 Kitebi-Kabusu-24'!E20,'27.07 Kitebi-Kabusu-24h'!E20,'28.07 Kitebi-Kabusu'!E20)</f>
        <v>9.4285714285714288</v>
      </c>
      <c r="F20" s="49">
        <f>AVERAGE('22.07 Kitebi-Kabusu'!F20,'23.07 Kitebi-Kabusu'!F20,'24.07 Kitebi-Kabusu'!F20,'25.07 Kabusu-Kitebi'!F20,'26.07 Kitebi-Kabusu-24'!F20,'27.07 Kitebi-Kabusu-24h'!F20,'28.07 Kitebi-Kabusu'!F20)</f>
        <v>27.142857142857142</v>
      </c>
      <c r="G20" s="49">
        <f>AVERAGE('22.07 Kitebi-Kabusu'!G20,'23.07 Kitebi-Kabusu'!G20,'24.07 Kitebi-Kabusu'!G20,'25.07 Kabusu-Kitebi'!G20,'26.07 Kitebi-Kabusu-24'!G20,'27.07 Kitebi-Kabusu-24h'!G20,'28.07 Kitebi-Kabusu'!G20)</f>
        <v>0.42857142857142855</v>
      </c>
      <c r="H20" s="49">
        <f>AVERAGE('22.07 Kitebi-Kabusu'!H20,'23.07 Kitebi-Kabusu'!H20,'24.07 Kitebi-Kabusu'!H20,'25.07 Kabusu-Kitebi'!H20,'26.07 Kitebi-Kabusu-24'!H20,'27.07 Kitebi-Kabusu-24h'!H20,'28.07 Kitebi-Kabusu'!H20)</f>
        <v>0.33333333333333331</v>
      </c>
      <c r="I20" s="49">
        <f>AVERAGE('22.07 Kitebi-Kabusu'!I20,'23.07 Kitebi-Kabusu'!I20,'24.07 Kitebi-Kabusu'!I20,'25.07 Kabusu-Kitebi'!I20,'26.07 Kitebi-Kabusu-24'!I20,'27.07 Kitebi-Kabusu-24h'!I20,'28.07 Kitebi-Kabusu'!I20)</f>
        <v>7.1428571428571432</v>
      </c>
      <c r="J20" s="49">
        <f>AVERAGE('22.07 Kitebi-Kabusu'!J20,'23.07 Kitebi-Kabusu'!J20,'24.07 Kitebi-Kabusu'!J20,'25.07 Kabusu-Kitebi'!J20,'26.07 Kitebi-Kabusu-24'!J20,'27.07 Kitebi-Kabusu-24h'!J20,'28.07 Kitebi-Kabusu'!J20)</f>
        <v>0.7142857142857143</v>
      </c>
      <c r="K20" s="49">
        <f>AVERAGE('22.07 Kitebi-Kabusu'!K20,'23.07 Kitebi-Kabusu'!K20,'24.07 Kitebi-Kabusu'!K20,'25.07 Kabusu-Kitebi'!K20,'26.07 Kitebi-Kabusu-24'!K20,'27.07 Kitebi-Kabusu-24h'!K20,'28.07 Kitebi-Kabusu'!K20)</f>
        <v>0.8571428571428571</v>
      </c>
      <c r="L20" s="49">
        <f>AVERAGE('22.07 Kitebi-Kabusu'!L20,'23.07 Kitebi-Kabusu'!L20,'24.07 Kitebi-Kabusu'!L20,'25.07 Kabusu-Kitebi'!L20,'26.07 Kitebi-Kabusu-24'!L20,'27.07 Kitebi-Kabusu-24h'!L20,'28.07 Kitebi-Kabusu'!L20)</f>
        <v>0.14285714285714285</v>
      </c>
      <c r="M20" s="49">
        <f>AVERAGE('22.07 Kitebi-Kabusu'!M20,'23.07 Kitebi-Kabusu'!M20,'24.07 Kitebi-Kabusu'!M20,'25.07 Kabusu-Kitebi'!M20,'26.07 Kitebi-Kabusu-24'!M20,'27.07 Kitebi-Kabusu-24h'!M20,'28.07 Kitebi-Kabusu'!M20)</f>
        <v>219</v>
      </c>
      <c r="N20" s="49">
        <f>AVERAGE('22.07 Kitebi-Kabusu'!N20,'23.07 Kitebi-Kabusu'!N20,'24.07 Kitebi-Kabusu'!N20,'25.07 Kabusu-Kitebi'!N20,'26.07 Kitebi-Kabusu-24'!N20,'27.07 Kitebi-Kabusu-24h'!N20,'28.07 Kitebi-Kabusu'!N20)</f>
        <v>0</v>
      </c>
      <c r="O20" s="15">
        <f t="shared" si="0"/>
        <v>123.9047619047619</v>
      </c>
      <c r="P20" s="15">
        <f t="shared" si="1"/>
        <v>342.90476190476193</v>
      </c>
      <c r="R20" s="1" t="s">
        <v>16</v>
      </c>
      <c r="S20" s="17">
        <f t="shared" ref="S20:AF20" si="12">SUM(C50:C53)</f>
        <v>202.42857142857142</v>
      </c>
      <c r="T20" s="17">
        <f t="shared" si="12"/>
        <v>31.428571428571427</v>
      </c>
      <c r="U20" s="17">
        <f t="shared" si="12"/>
        <v>40.142857142857146</v>
      </c>
      <c r="V20" s="17">
        <f t="shared" si="12"/>
        <v>78.142857142857139</v>
      </c>
      <c r="W20" s="17">
        <f t="shared" si="12"/>
        <v>3</v>
      </c>
      <c r="X20" s="17">
        <f t="shared" si="12"/>
        <v>0.2857142857142857</v>
      </c>
      <c r="Y20" s="17">
        <f t="shared" si="12"/>
        <v>22</v>
      </c>
      <c r="Z20" s="17">
        <f t="shared" si="12"/>
        <v>3.4285714285714288</v>
      </c>
      <c r="AA20" s="17">
        <f t="shared" si="12"/>
        <v>1.857142857142857</v>
      </c>
      <c r="AB20" s="17">
        <f t="shared" si="12"/>
        <v>2.4285714285714284</v>
      </c>
      <c r="AC20" s="17">
        <f t="shared" si="12"/>
        <v>693.28571428571422</v>
      </c>
      <c r="AD20" s="17">
        <f t="shared" si="12"/>
        <v>0</v>
      </c>
      <c r="AE20" s="31">
        <f t="shared" si="12"/>
        <v>385.14285714285722</v>
      </c>
      <c r="AF20" s="31">
        <f t="shared" si="12"/>
        <v>1078.4285714285716</v>
      </c>
    </row>
    <row r="21" spans="2:32" ht="23.1" customHeight="1" x14ac:dyDescent="0.25">
      <c r="B21" s="23" t="s">
        <v>48</v>
      </c>
      <c r="C21" s="49">
        <f>AVERAGE('22.07 Kitebi-Kabusu'!C21,'23.07 Kitebi-Kabusu'!C21,'24.07 Kitebi-Kabusu'!C21,'25.07 Kabusu-Kitebi'!C21,'26.07 Kitebi-Kabusu-24'!C21,'27.07 Kitebi-Kabusu-24h'!C21,'28.07 Kitebi-Kabusu'!C21)</f>
        <v>65.285714285714292</v>
      </c>
      <c r="D21" s="49">
        <f>AVERAGE('22.07 Kitebi-Kabusu'!D21,'23.07 Kitebi-Kabusu'!D21,'24.07 Kitebi-Kabusu'!D21,'25.07 Kabusu-Kitebi'!D21,'26.07 Kitebi-Kabusu-24'!D21,'27.07 Kitebi-Kabusu-24h'!D21,'28.07 Kitebi-Kabusu'!D21)</f>
        <v>13.571428571428571</v>
      </c>
      <c r="E21" s="49">
        <f>AVERAGE('22.07 Kitebi-Kabusu'!E21,'23.07 Kitebi-Kabusu'!E21,'24.07 Kitebi-Kabusu'!E21,'25.07 Kabusu-Kitebi'!E21,'26.07 Kitebi-Kabusu-24'!E21,'27.07 Kitebi-Kabusu-24h'!E21,'28.07 Kitebi-Kabusu'!E21)</f>
        <v>9.8571428571428577</v>
      </c>
      <c r="F21" s="49">
        <f>AVERAGE('22.07 Kitebi-Kabusu'!F21,'23.07 Kitebi-Kabusu'!F21,'24.07 Kitebi-Kabusu'!F21,'25.07 Kabusu-Kitebi'!F21,'26.07 Kitebi-Kabusu-24'!F21,'27.07 Kitebi-Kabusu-24h'!F21,'28.07 Kitebi-Kabusu'!F21)</f>
        <v>27.285714285714285</v>
      </c>
      <c r="G21" s="49">
        <f>AVERAGE('22.07 Kitebi-Kabusu'!G21,'23.07 Kitebi-Kabusu'!G21,'24.07 Kitebi-Kabusu'!G21,'25.07 Kabusu-Kitebi'!G21,'26.07 Kitebi-Kabusu-24'!G21,'27.07 Kitebi-Kabusu-24h'!G21,'28.07 Kitebi-Kabusu'!G21)</f>
        <v>0.2857142857142857</v>
      </c>
      <c r="H21" s="49">
        <f>AVERAGE('22.07 Kitebi-Kabusu'!H21,'23.07 Kitebi-Kabusu'!H21,'24.07 Kitebi-Kabusu'!H21,'25.07 Kabusu-Kitebi'!H21,'26.07 Kitebi-Kabusu-24'!H21,'27.07 Kitebi-Kabusu-24h'!H21,'28.07 Kitebi-Kabusu'!H21)</f>
        <v>0.14285714285714285</v>
      </c>
      <c r="I21" s="49">
        <f>AVERAGE('22.07 Kitebi-Kabusu'!I21,'23.07 Kitebi-Kabusu'!I21,'24.07 Kitebi-Kabusu'!I21,'25.07 Kabusu-Kitebi'!I21,'26.07 Kitebi-Kabusu-24'!I21,'27.07 Kitebi-Kabusu-24h'!I21,'28.07 Kitebi-Kabusu'!I21)</f>
        <v>6.5714285714285712</v>
      </c>
      <c r="J21" s="49">
        <f>AVERAGE('22.07 Kitebi-Kabusu'!J21,'23.07 Kitebi-Kabusu'!J21,'24.07 Kitebi-Kabusu'!J21,'25.07 Kabusu-Kitebi'!J21,'26.07 Kitebi-Kabusu-24'!J21,'27.07 Kitebi-Kabusu-24h'!J21,'28.07 Kitebi-Kabusu'!J21)</f>
        <v>0</v>
      </c>
      <c r="K21" s="49">
        <f>AVERAGE('22.07 Kitebi-Kabusu'!K21,'23.07 Kitebi-Kabusu'!K21,'24.07 Kitebi-Kabusu'!K21,'25.07 Kabusu-Kitebi'!K21,'26.07 Kitebi-Kabusu-24'!K21,'27.07 Kitebi-Kabusu-24h'!K21,'28.07 Kitebi-Kabusu'!K21)</f>
        <v>0.5714285714285714</v>
      </c>
      <c r="L21" s="49">
        <f>AVERAGE('22.07 Kitebi-Kabusu'!L21,'23.07 Kitebi-Kabusu'!L21,'24.07 Kitebi-Kabusu'!L21,'25.07 Kabusu-Kitebi'!L21,'26.07 Kitebi-Kabusu-24'!L21,'27.07 Kitebi-Kabusu-24h'!L21,'28.07 Kitebi-Kabusu'!L21)</f>
        <v>0.7142857142857143</v>
      </c>
      <c r="M21" s="49">
        <f>AVERAGE('22.07 Kitebi-Kabusu'!M21,'23.07 Kitebi-Kabusu'!M21,'24.07 Kitebi-Kabusu'!M21,'25.07 Kabusu-Kitebi'!M21,'26.07 Kitebi-Kabusu-24'!M21,'27.07 Kitebi-Kabusu-24h'!M21,'28.07 Kitebi-Kabusu'!M21)</f>
        <v>196.14285714285714</v>
      </c>
      <c r="N21" s="49">
        <f>AVERAGE('22.07 Kitebi-Kabusu'!N21,'23.07 Kitebi-Kabusu'!N21,'24.07 Kitebi-Kabusu'!N21,'25.07 Kabusu-Kitebi'!N21,'26.07 Kitebi-Kabusu-24'!N21,'27.07 Kitebi-Kabusu-24h'!N21,'28.07 Kitebi-Kabusu'!N21)</f>
        <v>0</v>
      </c>
      <c r="O21" s="15">
        <f t="shared" si="0"/>
        <v>124.28571428571428</v>
      </c>
      <c r="P21" s="15">
        <f t="shared" si="1"/>
        <v>320.42857142857144</v>
      </c>
      <c r="R21" s="36" t="s">
        <v>20</v>
      </c>
      <c r="S21" s="34">
        <f t="shared" ref="S21:AF21" si="13">SUM(C54:C57)</f>
        <v>208.85714285714286</v>
      </c>
      <c r="T21" s="17">
        <f t="shared" si="13"/>
        <v>29</v>
      </c>
      <c r="U21" s="17">
        <f t="shared" si="13"/>
        <v>26.285714285714285</v>
      </c>
      <c r="V21" s="17">
        <f t="shared" si="13"/>
        <v>116</v>
      </c>
      <c r="W21" s="17">
        <f t="shared" si="13"/>
        <v>4.2857142857142856</v>
      </c>
      <c r="X21" s="17">
        <f t="shared" si="13"/>
        <v>0.71428571428571419</v>
      </c>
      <c r="Y21" s="17">
        <f t="shared" si="13"/>
        <v>22.571428571428569</v>
      </c>
      <c r="Z21" s="17">
        <f t="shared" si="13"/>
        <v>4.1428571428571432</v>
      </c>
      <c r="AA21" s="17">
        <f t="shared" si="13"/>
        <v>2.4285714285714284</v>
      </c>
      <c r="AB21" s="17">
        <f t="shared" si="13"/>
        <v>2.4285714285714284</v>
      </c>
      <c r="AC21" s="17">
        <f t="shared" si="13"/>
        <v>742.42857142857144</v>
      </c>
      <c r="AD21" s="17">
        <f t="shared" si="13"/>
        <v>0</v>
      </c>
      <c r="AE21" s="31">
        <f t="shared" si="13"/>
        <v>416.71428571428561</v>
      </c>
      <c r="AF21" s="31">
        <f t="shared" si="13"/>
        <v>1159.1428571428571</v>
      </c>
    </row>
    <row r="22" spans="2:32" ht="23.1" customHeight="1" x14ac:dyDescent="0.25">
      <c r="B22" s="23" t="s">
        <v>49</v>
      </c>
      <c r="C22" s="49">
        <f>AVERAGE('22.07 Kitebi-Kabusu'!C22,'23.07 Kitebi-Kabusu'!C22,'24.07 Kitebi-Kabusu'!C22,'25.07 Kabusu-Kitebi'!C22,'26.07 Kitebi-Kabusu-24'!C22,'27.07 Kitebi-Kabusu-24h'!C22,'28.07 Kitebi-Kabusu'!C22)</f>
        <v>67</v>
      </c>
      <c r="D22" s="49">
        <f>AVERAGE('22.07 Kitebi-Kabusu'!D22,'23.07 Kitebi-Kabusu'!D22,'24.07 Kitebi-Kabusu'!D22,'25.07 Kabusu-Kitebi'!D22,'26.07 Kitebi-Kabusu-24'!D22,'27.07 Kitebi-Kabusu-24h'!D22,'28.07 Kitebi-Kabusu'!D22)</f>
        <v>12.428571428571429</v>
      </c>
      <c r="E22" s="49">
        <f>AVERAGE('22.07 Kitebi-Kabusu'!E22,'23.07 Kitebi-Kabusu'!E22,'24.07 Kitebi-Kabusu'!E22,'25.07 Kabusu-Kitebi'!E22,'26.07 Kitebi-Kabusu-24'!E22,'27.07 Kitebi-Kabusu-24h'!E22,'28.07 Kitebi-Kabusu'!E22)</f>
        <v>9.2857142857142865</v>
      </c>
      <c r="F22" s="49">
        <f>AVERAGE('22.07 Kitebi-Kabusu'!F22,'23.07 Kitebi-Kabusu'!F22,'24.07 Kitebi-Kabusu'!F22,'25.07 Kabusu-Kitebi'!F22,'26.07 Kitebi-Kabusu-24'!F22,'27.07 Kitebi-Kabusu-24h'!F22,'28.07 Kitebi-Kabusu'!F22)</f>
        <v>26.285714285714285</v>
      </c>
      <c r="G22" s="49">
        <f>AVERAGE('22.07 Kitebi-Kabusu'!G22,'23.07 Kitebi-Kabusu'!G22,'24.07 Kitebi-Kabusu'!G22,'25.07 Kabusu-Kitebi'!G22,'26.07 Kitebi-Kabusu-24'!G22,'27.07 Kitebi-Kabusu-24h'!G22,'28.07 Kitebi-Kabusu'!G22)</f>
        <v>0.5714285714285714</v>
      </c>
      <c r="H22" s="49">
        <f>AVERAGE('22.07 Kitebi-Kabusu'!H22,'23.07 Kitebi-Kabusu'!H22,'24.07 Kitebi-Kabusu'!H22,'25.07 Kabusu-Kitebi'!H22,'26.07 Kitebi-Kabusu-24'!H22,'27.07 Kitebi-Kabusu-24h'!H22,'28.07 Kitebi-Kabusu'!H22)</f>
        <v>0.14285714285714285</v>
      </c>
      <c r="I22" s="49">
        <f>AVERAGE('22.07 Kitebi-Kabusu'!I22,'23.07 Kitebi-Kabusu'!I22,'24.07 Kitebi-Kabusu'!I22,'25.07 Kabusu-Kitebi'!I22,'26.07 Kitebi-Kabusu-24'!I22,'27.07 Kitebi-Kabusu-24h'!I22,'28.07 Kitebi-Kabusu'!I22)</f>
        <v>7.4285714285714288</v>
      </c>
      <c r="J22" s="49">
        <f>AVERAGE('22.07 Kitebi-Kabusu'!J22,'23.07 Kitebi-Kabusu'!J22,'24.07 Kitebi-Kabusu'!J22,'25.07 Kabusu-Kitebi'!J22,'26.07 Kitebi-Kabusu-24'!J22,'27.07 Kitebi-Kabusu-24h'!J22,'28.07 Kitebi-Kabusu'!J22)</f>
        <v>1</v>
      </c>
      <c r="K22" s="49">
        <f>AVERAGE('22.07 Kitebi-Kabusu'!K22,'23.07 Kitebi-Kabusu'!K22,'24.07 Kitebi-Kabusu'!K22,'25.07 Kabusu-Kitebi'!K22,'26.07 Kitebi-Kabusu-24'!K22,'27.07 Kitebi-Kabusu-24h'!K22,'28.07 Kitebi-Kabusu'!K22)</f>
        <v>0.8571428571428571</v>
      </c>
      <c r="L22" s="49">
        <f>AVERAGE('22.07 Kitebi-Kabusu'!L22,'23.07 Kitebi-Kabusu'!L22,'24.07 Kitebi-Kabusu'!L22,'25.07 Kabusu-Kitebi'!L22,'26.07 Kitebi-Kabusu-24'!L22,'27.07 Kitebi-Kabusu-24h'!L22,'28.07 Kitebi-Kabusu'!L22)</f>
        <v>1</v>
      </c>
      <c r="M22" s="49">
        <f>AVERAGE('22.07 Kitebi-Kabusu'!M22,'23.07 Kitebi-Kabusu'!M22,'24.07 Kitebi-Kabusu'!M22,'25.07 Kabusu-Kitebi'!M22,'26.07 Kitebi-Kabusu-24'!M22,'27.07 Kitebi-Kabusu-24h'!M22,'28.07 Kitebi-Kabusu'!M22)</f>
        <v>217.42857142857142</v>
      </c>
      <c r="N22" s="49">
        <f>AVERAGE('22.07 Kitebi-Kabusu'!N22,'23.07 Kitebi-Kabusu'!N22,'24.07 Kitebi-Kabusu'!N22,'25.07 Kabusu-Kitebi'!N22,'26.07 Kitebi-Kabusu-24'!N22,'27.07 Kitebi-Kabusu-24h'!N22,'28.07 Kitebi-Kabusu'!N22)</f>
        <v>0</v>
      </c>
      <c r="O22" s="15">
        <f t="shared" si="0"/>
        <v>126</v>
      </c>
      <c r="P22" s="15">
        <f t="shared" si="1"/>
        <v>343.42857142857144</v>
      </c>
      <c r="R22" s="1" t="s">
        <v>146</v>
      </c>
      <c r="S22" s="34">
        <f>SUM(C58:C61)</f>
        <v>155.5</v>
      </c>
      <c r="T22" s="34">
        <f t="shared" ref="T22:AF22" si="14">SUM(D58:D61)</f>
        <v>19</v>
      </c>
      <c r="U22" s="34">
        <f t="shared" si="14"/>
        <v>15.5</v>
      </c>
      <c r="V22" s="34">
        <f t="shared" si="14"/>
        <v>108.5</v>
      </c>
      <c r="W22" s="34">
        <f t="shared" si="14"/>
        <v>4.5</v>
      </c>
      <c r="X22" s="34">
        <f t="shared" si="14"/>
        <v>0.5</v>
      </c>
      <c r="Y22" s="34">
        <f t="shared" si="14"/>
        <v>8</v>
      </c>
      <c r="Z22" s="34">
        <f t="shared" si="14"/>
        <v>1</v>
      </c>
      <c r="AA22" s="34">
        <f t="shared" si="14"/>
        <v>0</v>
      </c>
      <c r="AB22" s="34">
        <f t="shared" si="14"/>
        <v>1</v>
      </c>
      <c r="AC22" s="34">
        <f t="shared" si="14"/>
        <v>742</v>
      </c>
      <c r="AD22" s="34">
        <f t="shared" si="14"/>
        <v>0</v>
      </c>
      <c r="AE22" s="31">
        <f t="shared" si="14"/>
        <v>313.5</v>
      </c>
      <c r="AF22" s="31">
        <f t="shared" si="14"/>
        <v>1055.5</v>
      </c>
    </row>
    <row r="23" spans="2:32" ht="23.1" customHeight="1" x14ac:dyDescent="0.25">
      <c r="B23" s="23" t="s">
        <v>50</v>
      </c>
      <c r="C23" s="49">
        <f>AVERAGE('22.07 Kitebi-Kabusu'!C23,'23.07 Kitebi-Kabusu'!C23,'24.07 Kitebi-Kabusu'!C23,'25.07 Kabusu-Kitebi'!C23,'26.07 Kitebi-Kabusu-24'!C23,'27.07 Kitebi-Kabusu-24h'!C23,'28.07 Kitebi-Kabusu'!C23)</f>
        <v>70.285714285714292</v>
      </c>
      <c r="D23" s="49">
        <f>AVERAGE('22.07 Kitebi-Kabusu'!D23,'23.07 Kitebi-Kabusu'!D23,'24.07 Kitebi-Kabusu'!D23,'25.07 Kabusu-Kitebi'!D23,'26.07 Kitebi-Kabusu-24'!D23,'27.07 Kitebi-Kabusu-24h'!D23,'28.07 Kitebi-Kabusu'!D23)</f>
        <v>11.857142857142858</v>
      </c>
      <c r="E23" s="49">
        <f>AVERAGE('22.07 Kitebi-Kabusu'!E23,'23.07 Kitebi-Kabusu'!E23,'24.07 Kitebi-Kabusu'!E23,'25.07 Kabusu-Kitebi'!E23,'26.07 Kitebi-Kabusu-24'!E23,'27.07 Kitebi-Kabusu-24h'!E23,'28.07 Kitebi-Kabusu'!E23)</f>
        <v>9.4285714285714288</v>
      </c>
      <c r="F23" s="49">
        <f>AVERAGE('22.07 Kitebi-Kabusu'!F23,'23.07 Kitebi-Kabusu'!F23,'24.07 Kitebi-Kabusu'!F23,'25.07 Kabusu-Kitebi'!F23,'26.07 Kitebi-Kabusu-24'!F23,'27.07 Kitebi-Kabusu-24h'!F23,'28.07 Kitebi-Kabusu'!F23)</f>
        <v>25</v>
      </c>
      <c r="G23" s="49">
        <f>AVERAGE('22.07 Kitebi-Kabusu'!G23,'23.07 Kitebi-Kabusu'!G23,'24.07 Kitebi-Kabusu'!G23,'25.07 Kabusu-Kitebi'!G23,'26.07 Kitebi-Kabusu-24'!G23,'27.07 Kitebi-Kabusu-24h'!G23,'28.07 Kitebi-Kabusu'!G23)</f>
        <v>0.8571428571428571</v>
      </c>
      <c r="H23" s="49">
        <f>AVERAGE('22.07 Kitebi-Kabusu'!H23,'23.07 Kitebi-Kabusu'!H23,'24.07 Kitebi-Kabusu'!H23,'25.07 Kabusu-Kitebi'!H23,'26.07 Kitebi-Kabusu-24'!H23,'27.07 Kitebi-Kabusu-24h'!H23,'28.07 Kitebi-Kabusu'!H23)</f>
        <v>0.14285714285714285</v>
      </c>
      <c r="I23" s="49">
        <f>AVERAGE('22.07 Kitebi-Kabusu'!I23,'23.07 Kitebi-Kabusu'!I23,'24.07 Kitebi-Kabusu'!I23,'25.07 Kabusu-Kitebi'!I23,'26.07 Kitebi-Kabusu-24'!I23,'27.07 Kitebi-Kabusu-24h'!I23,'28.07 Kitebi-Kabusu'!I23)</f>
        <v>7</v>
      </c>
      <c r="J23" s="49">
        <f>AVERAGE('22.07 Kitebi-Kabusu'!J23,'23.07 Kitebi-Kabusu'!J23,'24.07 Kitebi-Kabusu'!J23,'25.07 Kabusu-Kitebi'!J23,'26.07 Kitebi-Kabusu-24'!J23,'27.07 Kitebi-Kabusu-24h'!J23,'28.07 Kitebi-Kabusu'!J23)</f>
        <v>0.8571428571428571</v>
      </c>
      <c r="K23" s="49">
        <f>AVERAGE('22.07 Kitebi-Kabusu'!K23,'23.07 Kitebi-Kabusu'!K23,'24.07 Kitebi-Kabusu'!K23,'25.07 Kabusu-Kitebi'!K23,'26.07 Kitebi-Kabusu-24'!K23,'27.07 Kitebi-Kabusu-24h'!K23,'28.07 Kitebi-Kabusu'!K23)</f>
        <v>0.8571428571428571</v>
      </c>
      <c r="L23" s="49">
        <f>AVERAGE('22.07 Kitebi-Kabusu'!L23,'23.07 Kitebi-Kabusu'!L23,'24.07 Kitebi-Kabusu'!L23,'25.07 Kabusu-Kitebi'!L23,'26.07 Kitebi-Kabusu-24'!L23,'27.07 Kitebi-Kabusu-24h'!L23,'28.07 Kitebi-Kabusu'!L23)</f>
        <v>0.8571428571428571</v>
      </c>
      <c r="M23" s="49">
        <f>AVERAGE('22.07 Kitebi-Kabusu'!M23,'23.07 Kitebi-Kabusu'!M23,'24.07 Kitebi-Kabusu'!M23,'25.07 Kabusu-Kitebi'!M23,'26.07 Kitebi-Kabusu-24'!M23,'27.07 Kitebi-Kabusu-24h'!M23,'28.07 Kitebi-Kabusu'!M23)</f>
        <v>201</v>
      </c>
      <c r="N23" s="49">
        <f>AVERAGE('22.07 Kitebi-Kabusu'!N23,'23.07 Kitebi-Kabusu'!N23,'24.07 Kitebi-Kabusu'!N23,'25.07 Kabusu-Kitebi'!N23,'26.07 Kitebi-Kabusu-24'!N23,'27.07 Kitebi-Kabusu-24h'!N23,'28.07 Kitebi-Kabusu'!N23)</f>
        <v>0</v>
      </c>
      <c r="O23" s="15">
        <f t="shared" si="0"/>
        <v>127.14285714285717</v>
      </c>
      <c r="P23" s="15">
        <f t="shared" si="1"/>
        <v>328.14285714285717</v>
      </c>
      <c r="R23" s="1" t="s">
        <v>147</v>
      </c>
      <c r="S23" s="34">
        <f>SUM(C62:C65)</f>
        <v>145.5</v>
      </c>
      <c r="T23" s="34">
        <f t="shared" ref="T23:AF23" si="15">SUM(D62:D65)</f>
        <v>36.5</v>
      </c>
      <c r="U23" s="34">
        <f t="shared" si="15"/>
        <v>12</v>
      </c>
      <c r="V23" s="34">
        <f t="shared" si="15"/>
        <v>114</v>
      </c>
      <c r="W23" s="34">
        <f t="shared" si="15"/>
        <v>3.5</v>
      </c>
      <c r="X23" s="34">
        <f t="shared" si="15"/>
        <v>1</v>
      </c>
      <c r="Y23" s="34">
        <f t="shared" si="15"/>
        <v>7.5</v>
      </c>
      <c r="Z23" s="34">
        <f t="shared" si="15"/>
        <v>3.5</v>
      </c>
      <c r="AA23" s="34">
        <f t="shared" si="15"/>
        <v>1</v>
      </c>
      <c r="AB23" s="34">
        <f t="shared" si="15"/>
        <v>0.5</v>
      </c>
      <c r="AC23" s="34">
        <f t="shared" si="15"/>
        <v>731</v>
      </c>
      <c r="AD23" s="34">
        <f t="shared" si="15"/>
        <v>0</v>
      </c>
      <c r="AE23" s="31">
        <f t="shared" si="15"/>
        <v>325</v>
      </c>
      <c r="AF23" s="31">
        <f t="shared" si="15"/>
        <v>1056</v>
      </c>
    </row>
    <row r="24" spans="2:32" ht="23.1" customHeight="1" x14ac:dyDescent="0.25">
      <c r="B24" s="23" t="s">
        <v>51</v>
      </c>
      <c r="C24" s="49">
        <f>AVERAGE('22.07 Kitebi-Kabusu'!C24,'23.07 Kitebi-Kabusu'!C24,'24.07 Kitebi-Kabusu'!C24,'25.07 Kabusu-Kitebi'!C24,'26.07 Kitebi-Kabusu-24'!C24,'27.07 Kitebi-Kabusu-24h'!C24,'28.07 Kitebi-Kabusu'!C24)</f>
        <v>70.571428571428569</v>
      </c>
      <c r="D24" s="49">
        <f>AVERAGE('22.07 Kitebi-Kabusu'!D24,'23.07 Kitebi-Kabusu'!D24,'24.07 Kitebi-Kabusu'!D24,'25.07 Kabusu-Kitebi'!D24,'26.07 Kitebi-Kabusu-24'!D24,'27.07 Kitebi-Kabusu-24h'!D24,'28.07 Kitebi-Kabusu'!D24)</f>
        <v>11.142857142857142</v>
      </c>
      <c r="E24" s="49">
        <f>AVERAGE('22.07 Kitebi-Kabusu'!E24,'23.07 Kitebi-Kabusu'!E24,'24.07 Kitebi-Kabusu'!E24,'25.07 Kabusu-Kitebi'!E24,'26.07 Kitebi-Kabusu-24'!E24,'27.07 Kitebi-Kabusu-24h'!E24,'28.07 Kitebi-Kabusu'!E24)</f>
        <v>8</v>
      </c>
      <c r="F24" s="49">
        <f>AVERAGE('22.07 Kitebi-Kabusu'!F24,'23.07 Kitebi-Kabusu'!F24,'24.07 Kitebi-Kabusu'!F24,'25.07 Kabusu-Kitebi'!F24,'26.07 Kitebi-Kabusu-24'!F24,'27.07 Kitebi-Kabusu-24h'!F24,'28.07 Kitebi-Kabusu'!F24)</f>
        <v>23.857142857142858</v>
      </c>
      <c r="G24" s="49">
        <f>AVERAGE('22.07 Kitebi-Kabusu'!G24,'23.07 Kitebi-Kabusu'!G24,'24.07 Kitebi-Kabusu'!G24,'25.07 Kabusu-Kitebi'!G24,'26.07 Kitebi-Kabusu-24'!G24,'27.07 Kitebi-Kabusu-24h'!G24,'28.07 Kitebi-Kabusu'!G24)</f>
        <v>0.2857142857142857</v>
      </c>
      <c r="H24" s="49">
        <f>AVERAGE('22.07 Kitebi-Kabusu'!H24,'23.07 Kitebi-Kabusu'!H24,'24.07 Kitebi-Kabusu'!H24,'25.07 Kabusu-Kitebi'!H24,'26.07 Kitebi-Kabusu-24'!H24,'27.07 Kitebi-Kabusu-24h'!H24,'28.07 Kitebi-Kabusu'!H24)</f>
        <v>0.14285714285714285</v>
      </c>
      <c r="I24" s="49">
        <f>AVERAGE('22.07 Kitebi-Kabusu'!I24,'23.07 Kitebi-Kabusu'!I24,'24.07 Kitebi-Kabusu'!I24,'25.07 Kabusu-Kitebi'!I24,'26.07 Kitebi-Kabusu-24'!I24,'27.07 Kitebi-Kabusu-24h'!I24,'28.07 Kitebi-Kabusu'!I24)</f>
        <v>7</v>
      </c>
      <c r="J24" s="49">
        <f>AVERAGE('22.07 Kitebi-Kabusu'!J24,'23.07 Kitebi-Kabusu'!J24,'24.07 Kitebi-Kabusu'!J24,'25.07 Kabusu-Kitebi'!J24,'26.07 Kitebi-Kabusu-24'!J24,'27.07 Kitebi-Kabusu-24h'!J24,'28.07 Kitebi-Kabusu'!J24)</f>
        <v>0.8571428571428571</v>
      </c>
      <c r="K24" s="49">
        <f>AVERAGE('22.07 Kitebi-Kabusu'!K24,'23.07 Kitebi-Kabusu'!K24,'24.07 Kitebi-Kabusu'!K24,'25.07 Kabusu-Kitebi'!K24,'26.07 Kitebi-Kabusu-24'!K24,'27.07 Kitebi-Kabusu-24h'!K24,'28.07 Kitebi-Kabusu'!K24)</f>
        <v>0.5714285714285714</v>
      </c>
      <c r="L24" s="49">
        <f>AVERAGE('22.07 Kitebi-Kabusu'!L24,'23.07 Kitebi-Kabusu'!L24,'24.07 Kitebi-Kabusu'!L24,'25.07 Kabusu-Kitebi'!L24,'26.07 Kitebi-Kabusu-24'!L24,'27.07 Kitebi-Kabusu-24h'!L24,'28.07 Kitebi-Kabusu'!L24)</f>
        <v>0.7142857142857143</v>
      </c>
      <c r="M24" s="49">
        <f>AVERAGE('22.07 Kitebi-Kabusu'!M24,'23.07 Kitebi-Kabusu'!M24,'24.07 Kitebi-Kabusu'!M24,'25.07 Kabusu-Kitebi'!M24,'26.07 Kitebi-Kabusu-24'!M24,'27.07 Kitebi-Kabusu-24h'!M24,'28.07 Kitebi-Kabusu'!M24)</f>
        <v>180.71428571428572</v>
      </c>
      <c r="N24" s="49">
        <f>AVERAGE('22.07 Kitebi-Kabusu'!N24,'23.07 Kitebi-Kabusu'!N24,'24.07 Kitebi-Kabusu'!N24,'25.07 Kabusu-Kitebi'!N24,'26.07 Kitebi-Kabusu-24'!N24,'27.07 Kitebi-Kabusu-24h'!N24,'28.07 Kitebi-Kabusu'!N24)</f>
        <v>0</v>
      </c>
      <c r="O24" s="15">
        <f t="shared" si="0"/>
        <v>123.14285714285714</v>
      </c>
      <c r="P24" s="15">
        <f t="shared" si="1"/>
        <v>303.85714285714289</v>
      </c>
      <c r="R24" s="1" t="s">
        <v>148</v>
      </c>
      <c r="S24" s="34">
        <f>SUM(C66:C69)</f>
        <v>103</v>
      </c>
      <c r="T24" s="34">
        <f t="shared" ref="T24:AF24" si="16">SUM(D66:D69)</f>
        <v>12.5</v>
      </c>
      <c r="U24" s="34">
        <f t="shared" si="16"/>
        <v>11.5</v>
      </c>
      <c r="V24" s="34">
        <f t="shared" si="16"/>
        <v>91.5</v>
      </c>
      <c r="W24" s="34">
        <f t="shared" si="16"/>
        <v>7.5</v>
      </c>
      <c r="X24" s="34">
        <f t="shared" si="16"/>
        <v>0</v>
      </c>
      <c r="Y24" s="34">
        <f t="shared" si="16"/>
        <v>5.5</v>
      </c>
      <c r="Z24" s="34">
        <f t="shared" si="16"/>
        <v>2.5</v>
      </c>
      <c r="AA24" s="34">
        <f t="shared" si="16"/>
        <v>0.5</v>
      </c>
      <c r="AB24" s="34">
        <f t="shared" si="16"/>
        <v>0</v>
      </c>
      <c r="AC24" s="34">
        <f t="shared" si="16"/>
        <v>597</v>
      </c>
      <c r="AD24" s="34">
        <f t="shared" si="16"/>
        <v>0</v>
      </c>
      <c r="AE24" s="31">
        <f t="shared" si="16"/>
        <v>234.5</v>
      </c>
      <c r="AF24" s="31">
        <f t="shared" si="16"/>
        <v>831.5</v>
      </c>
    </row>
    <row r="25" spans="2:32" ht="23.1" customHeight="1" x14ac:dyDescent="0.25">
      <c r="B25" s="23" t="s">
        <v>52</v>
      </c>
      <c r="C25" s="49">
        <f>AVERAGE('22.07 Kitebi-Kabusu'!C25,'23.07 Kitebi-Kabusu'!C25,'24.07 Kitebi-Kabusu'!C25,'25.07 Kabusu-Kitebi'!C25,'26.07 Kitebi-Kabusu-24'!C25,'27.07 Kitebi-Kabusu-24h'!C25,'28.07 Kitebi-Kabusu'!C25)</f>
        <v>60.571428571428569</v>
      </c>
      <c r="D25" s="49">
        <f>AVERAGE('22.07 Kitebi-Kabusu'!D25,'23.07 Kitebi-Kabusu'!D25,'24.07 Kitebi-Kabusu'!D25,'25.07 Kabusu-Kitebi'!D25,'26.07 Kitebi-Kabusu-24'!D25,'27.07 Kitebi-Kabusu-24h'!D25,'28.07 Kitebi-Kabusu'!D25)</f>
        <v>9.4285714285714288</v>
      </c>
      <c r="E25" s="49">
        <f>AVERAGE('22.07 Kitebi-Kabusu'!E25,'23.07 Kitebi-Kabusu'!E25,'24.07 Kitebi-Kabusu'!E25,'25.07 Kabusu-Kitebi'!E25,'26.07 Kitebi-Kabusu-24'!E25,'27.07 Kitebi-Kabusu-24h'!E25,'28.07 Kitebi-Kabusu'!E25)</f>
        <v>6</v>
      </c>
      <c r="F25" s="49">
        <f>AVERAGE('22.07 Kitebi-Kabusu'!F25,'23.07 Kitebi-Kabusu'!F25,'24.07 Kitebi-Kabusu'!F25,'25.07 Kabusu-Kitebi'!F25,'26.07 Kitebi-Kabusu-24'!F25,'27.07 Kitebi-Kabusu-24h'!F25,'28.07 Kitebi-Kabusu'!F25)</f>
        <v>25.571428571428573</v>
      </c>
      <c r="G25" s="49">
        <f>AVERAGE('22.07 Kitebi-Kabusu'!G25,'23.07 Kitebi-Kabusu'!G25,'24.07 Kitebi-Kabusu'!G25,'25.07 Kabusu-Kitebi'!G25,'26.07 Kitebi-Kabusu-24'!G25,'27.07 Kitebi-Kabusu-24h'!G25,'28.07 Kitebi-Kabusu'!G25)</f>
        <v>0.14285714285714285</v>
      </c>
      <c r="H25" s="49">
        <f>AVERAGE('22.07 Kitebi-Kabusu'!H25,'23.07 Kitebi-Kabusu'!H25,'24.07 Kitebi-Kabusu'!H25,'25.07 Kabusu-Kitebi'!H25,'26.07 Kitebi-Kabusu-24'!H25,'27.07 Kitebi-Kabusu-24h'!H25,'28.07 Kitebi-Kabusu'!H25)</f>
        <v>0.2857142857142857</v>
      </c>
      <c r="I25" s="49">
        <f>AVERAGE('22.07 Kitebi-Kabusu'!I25,'23.07 Kitebi-Kabusu'!I25,'24.07 Kitebi-Kabusu'!I25,'25.07 Kabusu-Kitebi'!I25,'26.07 Kitebi-Kabusu-24'!I25,'27.07 Kitebi-Kabusu-24h'!I25,'28.07 Kitebi-Kabusu'!I25)</f>
        <v>6.7142857142857144</v>
      </c>
      <c r="J25" s="49">
        <f>AVERAGE('22.07 Kitebi-Kabusu'!J25,'23.07 Kitebi-Kabusu'!J25,'24.07 Kitebi-Kabusu'!J25,'25.07 Kabusu-Kitebi'!J25,'26.07 Kitebi-Kabusu-24'!J25,'27.07 Kitebi-Kabusu-24h'!J25,'28.07 Kitebi-Kabusu'!J25)</f>
        <v>0.7142857142857143</v>
      </c>
      <c r="K25" s="49">
        <f>AVERAGE('22.07 Kitebi-Kabusu'!K25,'23.07 Kitebi-Kabusu'!K25,'24.07 Kitebi-Kabusu'!K25,'25.07 Kabusu-Kitebi'!K25,'26.07 Kitebi-Kabusu-24'!K25,'27.07 Kitebi-Kabusu-24h'!K25,'28.07 Kitebi-Kabusu'!K25)</f>
        <v>0.5714285714285714</v>
      </c>
      <c r="L25" s="49">
        <f>AVERAGE('22.07 Kitebi-Kabusu'!L25,'23.07 Kitebi-Kabusu'!L25,'24.07 Kitebi-Kabusu'!L25,'25.07 Kabusu-Kitebi'!L25,'26.07 Kitebi-Kabusu-24'!L25,'27.07 Kitebi-Kabusu-24h'!L25,'28.07 Kitebi-Kabusu'!L25)</f>
        <v>0.5714285714285714</v>
      </c>
      <c r="M25" s="49">
        <f>AVERAGE('22.07 Kitebi-Kabusu'!M25,'23.07 Kitebi-Kabusu'!M25,'24.07 Kitebi-Kabusu'!M25,'25.07 Kabusu-Kitebi'!M25,'26.07 Kitebi-Kabusu-24'!M25,'27.07 Kitebi-Kabusu-24h'!M25,'28.07 Kitebi-Kabusu'!M25)</f>
        <v>185</v>
      </c>
      <c r="N25" s="49">
        <f>AVERAGE('22.07 Kitebi-Kabusu'!N25,'23.07 Kitebi-Kabusu'!N25,'24.07 Kitebi-Kabusu'!N25,'25.07 Kabusu-Kitebi'!N25,'26.07 Kitebi-Kabusu-24'!N25,'27.07 Kitebi-Kabusu-24h'!N25,'28.07 Kitebi-Kabusu'!N25)</f>
        <v>0</v>
      </c>
      <c r="O25" s="15">
        <f t="shared" si="0"/>
        <v>110.57142857142856</v>
      </c>
      <c r="P25" s="15">
        <f t="shared" si="1"/>
        <v>295.57142857142856</v>
      </c>
      <c r="R25" s="1" t="s">
        <v>149</v>
      </c>
      <c r="S25" s="34">
        <f>SUM(C70:C73)</f>
        <v>120.5</v>
      </c>
      <c r="T25" s="34">
        <f t="shared" ref="T25:AF25" si="17">SUM(D70:D73)</f>
        <v>14</v>
      </c>
      <c r="U25" s="34">
        <f t="shared" si="17"/>
        <v>9.5</v>
      </c>
      <c r="V25" s="34">
        <f t="shared" si="17"/>
        <v>56</v>
      </c>
      <c r="W25" s="34">
        <f t="shared" si="17"/>
        <v>0</v>
      </c>
      <c r="X25" s="34">
        <f t="shared" si="17"/>
        <v>0</v>
      </c>
      <c r="Y25" s="34">
        <f t="shared" si="17"/>
        <v>6</v>
      </c>
      <c r="Z25" s="34">
        <f t="shared" si="17"/>
        <v>1</v>
      </c>
      <c r="AA25" s="34">
        <f t="shared" si="17"/>
        <v>0</v>
      </c>
      <c r="AB25" s="34">
        <f t="shared" si="17"/>
        <v>0.5</v>
      </c>
      <c r="AC25" s="34">
        <f t="shared" si="17"/>
        <v>471.5</v>
      </c>
      <c r="AD25" s="34">
        <f t="shared" si="17"/>
        <v>0</v>
      </c>
      <c r="AE25" s="31">
        <f t="shared" si="17"/>
        <v>207.5</v>
      </c>
      <c r="AF25" s="31">
        <f t="shared" si="17"/>
        <v>679</v>
      </c>
    </row>
    <row r="26" spans="2:32" ht="23.1" customHeight="1" x14ac:dyDescent="0.25">
      <c r="B26" s="23" t="s">
        <v>53</v>
      </c>
      <c r="C26" s="49">
        <f>AVERAGE('22.07 Kitebi-Kabusu'!C26,'23.07 Kitebi-Kabusu'!C26,'24.07 Kitebi-Kabusu'!C26,'25.07 Kabusu-Kitebi'!C26,'26.07 Kitebi-Kabusu-24'!C26,'27.07 Kitebi-Kabusu-24h'!C26,'28.07 Kitebi-Kabusu'!C26)</f>
        <v>60.714285714285715</v>
      </c>
      <c r="D26" s="49">
        <f>AVERAGE('22.07 Kitebi-Kabusu'!D26,'23.07 Kitebi-Kabusu'!D26,'24.07 Kitebi-Kabusu'!D26,'25.07 Kabusu-Kitebi'!D26,'26.07 Kitebi-Kabusu-24'!D26,'27.07 Kitebi-Kabusu-24h'!D26,'28.07 Kitebi-Kabusu'!D26)</f>
        <v>7.7142857142857144</v>
      </c>
      <c r="E26" s="49">
        <f>AVERAGE('22.07 Kitebi-Kabusu'!E26,'23.07 Kitebi-Kabusu'!E26,'24.07 Kitebi-Kabusu'!E26,'25.07 Kabusu-Kitebi'!E26,'26.07 Kitebi-Kabusu-24'!E26,'27.07 Kitebi-Kabusu-24h'!E26,'28.07 Kitebi-Kabusu'!E26)</f>
        <v>8.2857142857142865</v>
      </c>
      <c r="F26" s="49">
        <f>AVERAGE('22.07 Kitebi-Kabusu'!F26,'23.07 Kitebi-Kabusu'!F26,'24.07 Kitebi-Kabusu'!F26,'25.07 Kabusu-Kitebi'!F26,'26.07 Kitebi-Kabusu-24'!F26,'27.07 Kitebi-Kabusu-24h'!F26,'28.07 Kitebi-Kabusu'!F26)</f>
        <v>25.285714285714285</v>
      </c>
      <c r="G26" s="49">
        <f>AVERAGE('22.07 Kitebi-Kabusu'!G26,'23.07 Kitebi-Kabusu'!G26,'24.07 Kitebi-Kabusu'!G26,'25.07 Kabusu-Kitebi'!G26,'26.07 Kitebi-Kabusu-24'!G26,'27.07 Kitebi-Kabusu-24h'!G26,'28.07 Kitebi-Kabusu'!G26)</f>
        <v>0</v>
      </c>
      <c r="H26" s="49">
        <f>AVERAGE('22.07 Kitebi-Kabusu'!H26,'23.07 Kitebi-Kabusu'!H26,'24.07 Kitebi-Kabusu'!H26,'25.07 Kabusu-Kitebi'!H26,'26.07 Kitebi-Kabusu-24'!H26,'27.07 Kitebi-Kabusu-24h'!H26,'28.07 Kitebi-Kabusu'!H26)</f>
        <v>0.2857142857142857</v>
      </c>
      <c r="I26" s="49">
        <f>AVERAGE('22.07 Kitebi-Kabusu'!I26,'23.07 Kitebi-Kabusu'!I26,'24.07 Kitebi-Kabusu'!I26,'25.07 Kabusu-Kitebi'!I26,'26.07 Kitebi-Kabusu-24'!I26,'27.07 Kitebi-Kabusu-24h'!I26,'28.07 Kitebi-Kabusu'!I26)</f>
        <v>8.1428571428571423</v>
      </c>
      <c r="J26" s="49">
        <f>AVERAGE('22.07 Kitebi-Kabusu'!J26,'23.07 Kitebi-Kabusu'!J26,'24.07 Kitebi-Kabusu'!J26,'25.07 Kabusu-Kitebi'!J26,'26.07 Kitebi-Kabusu-24'!J26,'27.07 Kitebi-Kabusu-24h'!J26,'28.07 Kitebi-Kabusu'!J26)</f>
        <v>1</v>
      </c>
      <c r="K26" s="49">
        <f>AVERAGE('22.07 Kitebi-Kabusu'!K26,'23.07 Kitebi-Kabusu'!K26,'24.07 Kitebi-Kabusu'!K26,'25.07 Kabusu-Kitebi'!K26,'26.07 Kitebi-Kabusu-24'!K26,'27.07 Kitebi-Kabusu-24h'!K26,'28.07 Kitebi-Kabusu'!K26)</f>
        <v>1</v>
      </c>
      <c r="L26" s="49">
        <f>AVERAGE('22.07 Kitebi-Kabusu'!L26,'23.07 Kitebi-Kabusu'!L26,'24.07 Kitebi-Kabusu'!L26,'25.07 Kabusu-Kitebi'!L26,'26.07 Kitebi-Kabusu-24'!L26,'27.07 Kitebi-Kabusu-24h'!L26,'28.07 Kitebi-Kabusu'!L26)</f>
        <v>0.42857142857142855</v>
      </c>
      <c r="M26" s="49">
        <f>AVERAGE('22.07 Kitebi-Kabusu'!M26,'23.07 Kitebi-Kabusu'!M26,'24.07 Kitebi-Kabusu'!M26,'25.07 Kabusu-Kitebi'!M26,'26.07 Kitebi-Kabusu-24'!M26,'27.07 Kitebi-Kabusu-24h'!M26,'28.07 Kitebi-Kabusu'!M26)</f>
        <v>199.14285714285714</v>
      </c>
      <c r="N26" s="49">
        <f>AVERAGE('22.07 Kitebi-Kabusu'!N26,'23.07 Kitebi-Kabusu'!N26,'24.07 Kitebi-Kabusu'!N26,'25.07 Kabusu-Kitebi'!N26,'26.07 Kitebi-Kabusu-24'!N26,'27.07 Kitebi-Kabusu-24h'!N26,'28.07 Kitebi-Kabusu'!N26)</f>
        <v>0</v>
      </c>
      <c r="O26" s="15">
        <f t="shared" si="0"/>
        <v>112.85714285714286</v>
      </c>
      <c r="P26" s="15">
        <f t="shared" si="1"/>
        <v>312</v>
      </c>
      <c r="R26" s="1" t="s">
        <v>150</v>
      </c>
      <c r="S26" s="34">
        <f>SUM(C74:C77)</f>
        <v>68</v>
      </c>
      <c r="T26" s="34">
        <f t="shared" ref="T26:AF26" si="18">SUM(D74:D77)</f>
        <v>9</v>
      </c>
      <c r="U26" s="34">
        <f t="shared" si="18"/>
        <v>11</v>
      </c>
      <c r="V26" s="34">
        <f t="shared" si="18"/>
        <v>31.5</v>
      </c>
      <c r="W26" s="34">
        <f t="shared" si="18"/>
        <v>0</v>
      </c>
      <c r="X26" s="34">
        <f t="shared" si="18"/>
        <v>0</v>
      </c>
      <c r="Y26" s="34">
        <f t="shared" si="18"/>
        <v>5</v>
      </c>
      <c r="Z26" s="34">
        <f t="shared" si="18"/>
        <v>2.5</v>
      </c>
      <c r="AA26" s="34">
        <f t="shared" si="18"/>
        <v>0</v>
      </c>
      <c r="AB26" s="34">
        <f t="shared" si="18"/>
        <v>0</v>
      </c>
      <c r="AC26" s="34">
        <f t="shared" si="18"/>
        <v>389</v>
      </c>
      <c r="AD26" s="34">
        <f t="shared" si="18"/>
        <v>0</v>
      </c>
      <c r="AE26" s="31">
        <f t="shared" si="18"/>
        <v>127</v>
      </c>
      <c r="AF26" s="31">
        <f t="shared" si="18"/>
        <v>516</v>
      </c>
    </row>
    <row r="27" spans="2:32" ht="23.1" customHeight="1" x14ac:dyDescent="0.25">
      <c r="B27" s="23" t="s">
        <v>54</v>
      </c>
      <c r="C27" s="49">
        <f>AVERAGE('22.07 Kitebi-Kabusu'!C27,'23.07 Kitebi-Kabusu'!C27,'24.07 Kitebi-Kabusu'!C27,'25.07 Kabusu-Kitebi'!C27,'26.07 Kitebi-Kabusu-24'!C27,'27.07 Kitebi-Kabusu-24h'!C27,'28.07 Kitebi-Kabusu'!C27)</f>
        <v>67.142857142857139</v>
      </c>
      <c r="D27" s="49">
        <f>AVERAGE('22.07 Kitebi-Kabusu'!D27,'23.07 Kitebi-Kabusu'!D27,'24.07 Kitebi-Kabusu'!D27,'25.07 Kabusu-Kitebi'!D27,'26.07 Kitebi-Kabusu-24'!D27,'27.07 Kitebi-Kabusu-24h'!D27,'28.07 Kitebi-Kabusu'!D27)</f>
        <v>8.7142857142857135</v>
      </c>
      <c r="E27" s="49">
        <f>AVERAGE('22.07 Kitebi-Kabusu'!E27,'23.07 Kitebi-Kabusu'!E27,'24.07 Kitebi-Kabusu'!E27,'25.07 Kabusu-Kitebi'!E27,'26.07 Kitebi-Kabusu-24'!E27,'27.07 Kitebi-Kabusu-24h'!E27,'28.07 Kitebi-Kabusu'!E27)</f>
        <v>6.5714285714285712</v>
      </c>
      <c r="F27" s="49">
        <f>AVERAGE('22.07 Kitebi-Kabusu'!F27,'23.07 Kitebi-Kabusu'!F27,'24.07 Kitebi-Kabusu'!F27,'25.07 Kabusu-Kitebi'!F27,'26.07 Kitebi-Kabusu-24'!F27,'27.07 Kitebi-Kabusu-24h'!F27,'28.07 Kitebi-Kabusu'!F27)</f>
        <v>25.285714285714285</v>
      </c>
      <c r="G27" s="49">
        <f>AVERAGE('22.07 Kitebi-Kabusu'!G27,'23.07 Kitebi-Kabusu'!G27,'24.07 Kitebi-Kabusu'!G27,'25.07 Kabusu-Kitebi'!G27,'26.07 Kitebi-Kabusu-24'!G27,'27.07 Kitebi-Kabusu-24h'!G27,'28.07 Kitebi-Kabusu'!G27)</f>
        <v>0.42857142857142855</v>
      </c>
      <c r="H27" s="49">
        <f>AVERAGE('22.07 Kitebi-Kabusu'!H27,'23.07 Kitebi-Kabusu'!H27,'24.07 Kitebi-Kabusu'!H27,'25.07 Kabusu-Kitebi'!H27,'26.07 Kitebi-Kabusu-24'!H27,'27.07 Kitebi-Kabusu-24h'!H27,'28.07 Kitebi-Kabusu'!H27)</f>
        <v>0</v>
      </c>
      <c r="I27" s="49">
        <f>AVERAGE('22.07 Kitebi-Kabusu'!I27,'23.07 Kitebi-Kabusu'!I27,'24.07 Kitebi-Kabusu'!I27,'25.07 Kabusu-Kitebi'!I27,'26.07 Kitebi-Kabusu-24'!I27,'27.07 Kitebi-Kabusu-24h'!I27,'28.07 Kitebi-Kabusu'!I27)</f>
        <v>7.2857142857142856</v>
      </c>
      <c r="J27" s="49">
        <f>AVERAGE('22.07 Kitebi-Kabusu'!J27,'23.07 Kitebi-Kabusu'!J27,'24.07 Kitebi-Kabusu'!J27,'25.07 Kabusu-Kitebi'!J27,'26.07 Kitebi-Kabusu-24'!J27,'27.07 Kitebi-Kabusu-24h'!J27,'28.07 Kitebi-Kabusu'!J27)</f>
        <v>0.2857142857142857</v>
      </c>
      <c r="K27" s="49">
        <f>AVERAGE('22.07 Kitebi-Kabusu'!K27,'23.07 Kitebi-Kabusu'!K27,'24.07 Kitebi-Kabusu'!K27,'25.07 Kabusu-Kitebi'!K27,'26.07 Kitebi-Kabusu-24'!K27,'27.07 Kitebi-Kabusu-24h'!K27,'28.07 Kitebi-Kabusu'!K27)</f>
        <v>1</v>
      </c>
      <c r="L27" s="49">
        <f>AVERAGE('22.07 Kitebi-Kabusu'!L27,'23.07 Kitebi-Kabusu'!L27,'24.07 Kitebi-Kabusu'!L27,'25.07 Kabusu-Kitebi'!L27,'26.07 Kitebi-Kabusu-24'!L27,'27.07 Kitebi-Kabusu-24h'!L27,'28.07 Kitebi-Kabusu'!L27)</f>
        <v>0.8571428571428571</v>
      </c>
      <c r="M27" s="49">
        <f>AVERAGE('22.07 Kitebi-Kabusu'!M27,'23.07 Kitebi-Kabusu'!M27,'24.07 Kitebi-Kabusu'!M27,'25.07 Kabusu-Kitebi'!M27,'26.07 Kitebi-Kabusu-24'!M27,'27.07 Kitebi-Kabusu-24h'!M27,'28.07 Kitebi-Kabusu'!M27)</f>
        <v>192</v>
      </c>
      <c r="N27" s="49">
        <f>AVERAGE('22.07 Kitebi-Kabusu'!N27,'23.07 Kitebi-Kabusu'!N27,'24.07 Kitebi-Kabusu'!N27,'25.07 Kabusu-Kitebi'!N27,'26.07 Kitebi-Kabusu-24'!N27,'27.07 Kitebi-Kabusu-24h'!N27,'28.07 Kitebi-Kabusu'!N27)</f>
        <v>0</v>
      </c>
      <c r="O27" s="15">
        <f t="shared" si="0"/>
        <v>117.57142857142857</v>
      </c>
      <c r="P27" s="15">
        <f t="shared" si="1"/>
        <v>309.57142857142856</v>
      </c>
      <c r="R27" s="1" t="s">
        <v>151</v>
      </c>
      <c r="S27" s="34">
        <f>SUM(C78:C81)</f>
        <v>66</v>
      </c>
      <c r="T27" s="34">
        <f t="shared" ref="T27:AF27" si="19">SUM(D78:D81)</f>
        <v>8</v>
      </c>
      <c r="U27" s="34">
        <f t="shared" si="19"/>
        <v>3.5</v>
      </c>
      <c r="V27" s="34">
        <f t="shared" si="19"/>
        <v>9</v>
      </c>
      <c r="W27" s="34">
        <f t="shared" si="19"/>
        <v>0</v>
      </c>
      <c r="X27" s="34">
        <f t="shared" si="19"/>
        <v>0</v>
      </c>
      <c r="Y27" s="34">
        <f t="shared" si="19"/>
        <v>5</v>
      </c>
      <c r="Z27" s="34">
        <f t="shared" si="19"/>
        <v>0</v>
      </c>
      <c r="AA27" s="34">
        <f t="shared" si="19"/>
        <v>0.5</v>
      </c>
      <c r="AB27" s="34">
        <f t="shared" si="19"/>
        <v>0</v>
      </c>
      <c r="AC27" s="34">
        <f t="shared" si="19"/>
        <v>301.5</v>
      </c>
      <c r="AD27" s="34">
        <f t="shared" si="19"/>
        <v>0</v>
      </c>
      <c r="AE27" s="31">
        <f t="shared" si="19"/>
        <v>92</v>
      </c>
      <c r="AF27" s="31">
        <f t="shared" si="19"/>
        <v>393.5</v>
      </c>
    </row>
    <row r="28" spans="2:32" ht="23.1" customHeight="1" x14ac:dyDescent="0.25">
      <c r="B28" s="23" t="s">
        <v>55</v>
      </c>
      <c r="C28" s="49">
        <f>AVERAGE('22.07 Kitebi-Kabusu'!C28,'23.07 Kitebi-Kabusu'!C28,'24.07 Kitebi-Kabusu'!C28,'25.07 Kabusu-Kitebi'!C28,'26.07 Kitebi-Kabusu-24'!C28,'27.07 Kitebi-Kabusu-24h'!C28,'28.07 Kitebi-Kabusu'!C28)</f>
        <v>57.857142857142854</v>
      </c>
      <c r="D28" s="49">
        <f>AVERAGE('22.07 Kitebi-Kabusu'!D28,'23.07 Kitebi-Kabusu'!D28,'24.07 Kitebi-Kabusu'!D28,'25.07 Kabusu-Kitebi'!D28,'26.07 Kitebi-Kabusu-24'!D28,'27.07 Kitebi-Kabusu-24h'!D28,'28.07 Kitebi-Kabusu'!D28)</f>
        <v>9.8571428571428577</v>
      </c>
      <c r="E28" s="49">
        <f>AVERAGE('22.07 Kitebi-Kabusu'!E28,'23.07 Kitebi-Kabusu'!E28,'24.07 Kitebi-Kabusu'!E28,'25.07 Kabusu-Kitebi'!E28,'26.07 Kitebi-Kabusu-24'!E28,'27.07 Kitebi-Kabusu-24h'!E28,'28.07 Kitebi-Kabusu'!E28)</f>
        <v>7.5714285714285712</v>
      </c>
      <c r="F28" s="49">
        <f>AVERAGE('22.07 Kitebi-Kabusu'!F28,'23.07 Kitebi-Kabusu'!F28,'24.07 Kitebi-Kabusu'!F28,'25.07 Kabusu-Kitebi'!F28,'26.07 Kitebi-Kabusu-24'!F28,'27.07 Kitebi-Kabusu-24h'!F28,'28.07 Kitebi-Kabusu'!F28)</f>
        <v>21.857142857142858</v>
      </c>
      <c r="G28" s="49">
        <f>AVERAGE('22.07 Kitebi-Kabusu'!G28,'23.07 Kitebi-Kabusu'!G28,'24.07 Kitebi-Kabusu'!G28,'25.07 Kabusu-Kitebi'!G28,'26.07 Kitebi-Kabusu-24'!G28,'27.07 Kitebi-Kabusu-24h'!G28,'28.07 Kitebi-Kabusu'!G28)</f>
        <v>0.14285714285714285</v>
      </c>
      <c r="H28" s="49">
        <f>AVERAGE('22.07 Kitebi-Kabusu'!H28,'23.07 Kitebi-Kabusu'!H28,'24.07 Kitebi-Kabusu'!H28,'25.07 Kabusu-Kitebi'!H28,'26.07 Kitebi-Kabusu-24'!H28,'27.07 Kitebi-Kabusu-24h'!H28,'28.07 Kitebi-Kabusu'!H28)</f>
        <v>0.14285714285714285</v>
      </c>
      <c r="I28" s="49">
        <f>AVERAGE('22.07 Kitebi-Kabusu'!I28,'23.07 Kitebi-Kabusu'!I28,'24.07 Kitebi-Kabusu'!I28,'25.07 Kabusu-Kitebi'!I28,'26.07 Kitebi-Kabusu-24'!I28,'27.07 Kitebi-Kabusu-24h'!I28,'28.07 Kitebi-Kabusu'!I28)</f>
        <v>6.5714285714285712</v>
      </c>
      <c r="J28" s="49">
        <f>AVERAGE('22.07 Kitebi-Kabusu'!J28,'23.07 Kitebi-Kabusu'!J28,'24.07 Kitebi-Kabusu'!J28,'25.07 Kabusu-Kitebi'!J28,'26.07 Kitebi-Kabusu-24'!J28,'27.07 Kitebi-Kabusu-24h'!J28,'28.07 Kitebi-Kabusu'!J28)</f>
        <v>0.8571428571428571</v>
      </c>
      <c r="K28" s="49">
        <f>AVERAGE('22.07 Kitebi-Kabusu'!K28,'23.07 Kitebi-Kabusu'!K28,'24.07 Kitebi-Kabusu'!K28,'25.07 Kabusu-Kitebi'!K28,'26.07 Kitebi-Kabusu-24'!K28,'27.07 Kitebi-Kabusu-24h'!K28,'28.07 Kitebi-Kabusu'!K28)</f>
        <v>1.7142857142857142</v>
      </c>
      <c r="L28" s="49">
        <f>AVERAGE('22.07 Kitebi-Kabusu'!L28,'23.07 Kitebi-Kabusu'!L28,'24.07 Kitebi-Kabusu'!L28,'25.07 Kabusu-Kitebi'!L28,'26.07 Kitebi-Kabusu-24'!L28,'27.07 Kitebi-Kabusu-24h'!L28,'28.07 Kitebi-Kabusu'!L28)</f>
        <v>0.42857142857142855</v>
      </c>
      <c r="M28" s="49">
        <f>AVERAGE('22.07 Kitebi-Kabusu'!M28,'23.07 Kitebi-Kabusu'!M28,'24.07 Kitebi-Kabusu'!M28,'25.07 Kabusu-Kitebi'!M28,'26.07 Kitebi-Kabusu-24'!M28,'27.07 Kitebi-Kabusu-24h'!M28,'28.07 Kitebi-Kabusu'!M28)</f>
        <v>172</v>
      </c>
      <c r="N28" s="49">
        <f>AVERAGE('22.07 Kitebi-Kabusu'!N28,'23.07 Kitebi-Kabusu'!N28,'24.07 Kitebi-Kabusu'!N28,'25.07 Kabusu-Kitebi'!N28,'26.07 Kitebi-Kabusu-24'!N28,'27.07 Kitebi-Kabusu-24h'!N28,'28.07 Kitebi-Kabusu'!N28)</f>
        <v>0</v>
      </c>
      <c r="O28" s="15">
        <f t="shared" si="0"/>
        <v>106.99999999999999</v>
      </c>
      <c r="P28" s="15">
        <f t="shared" si="1"/>
        <v>279</v>
      </c>
      <c r="R28" s="1" t="s">
        <v>152</v>
      </c>
      <c r="S28" s="34">
        <f>SUM(C82:C85)</f>
        <v>30</v>
      </c>
      <c r="T28" s="34">
        <f t="shared" ref="T28:AF28" si="20">SUM(D82:D85)</f>
        <v>4</v>
      </c>
      <c r="U28" s="34">
        <f t="shared" si="20"/>
        <v>2.5</v>
      </c>
      <c r="V28" s="34">
        <f t="shared" si="20"/>
        <v>2.5</v>
      </c>
      <c r="W28" s="34">
        <f t="shared" si="20"/>
        <v>0.5</v>
      </c>
      <c r="X28" s="34">
        <f t="shared" si="20"/>
        <v>0</v>
      </c>
      <c r="Y28" s="34">
        <f t="shared" si="20"/>
        <v>5</v>
      </c>
      <c r="Z28" s="34">
        <f t="shared" si="20"/>
        <v>0.5</v>
      </c>
      <c r="AA28" s="34">
        <f t="shared" si="20"/>
        <v>0</v>
      </c>
      <c r="AB28" s="34">
        <f t="shared" si="20"/>
        <v>0.5</v>
      </c>
      <c r="AC28" s="34">
        <f t="shared" si="20"/>
        <v>209.5</v>
      </c>
      <c r="AD28" s="34">
        <f t="shared" si="20"/>
        <v>0</v>
      </c>
      <c r="AE28" s="31">
        <f t="shared" si="20"/>
        <v>45.5</v>
      </c>
      <c r="AF28" s="31">
        <f t="shared" si="20"/>
        <v>255</v>
      </c>
    </row>
    <row r="29" spans="2:32" ht="23.1" customHeight="1" x14ac:dyDescent="0.25">
      <c r="B29" s="23" t="s">
        <v>56</v>
      </c>
      <c r="C29" s="49">
        <f>AVERAGE('22.07 Kitebi-Kabusu'!C29,'23.07 Kitebi-Kabusu'!C29,'24.07 Kitebi-Kabusu'!C29,'25.07 Kabusu-Kitebi'!C29,'26.07 Kitebi-Kabusu-24'!C29,'27.07 Kitebi-Kabusu-24h'!C29,'28.07 Kitebi-Kabusu'!C29)</f>
        <v>49.714285714285715</v>
      </c>
      <c r="D29" s="49">
        <f>AVERAGE('22.07 Kitebi-Kabusu'!D29,'23.07 Kitebi-Kabusu'!D29,'24.07 Kitebi-Kabusu'!D29,'25.07 Kabusu-Kitebi'!D29,'26.07 Kitebi-Kabusu-24'!D29,'27.07 Kitebi-Kabusu-24h'!D29,'28.07 Kitebi-Kabusu'!D29)</f>
        <v>8.1428571428571423</v>
      </c>
      <c r="E29" s="49">
        <f>AVERAGE('22.07 Kitebi-Kabusu'!E29,'23.07 Kitebi-Kabusu'!E29,'24.07 Kitebi-Kabusu'!E29,'25.07 Kabusu-Kitebi'!E29,'26.07 Kitebi-Kabusu-24'!E29,'27.07 Kitebi-Kabusu-24h'!E29,'28.07 Kitebi-Kabusu'!E29)</f>
        <v>9.5714285714285712</v>
      </c>
      <c r="F29" s="49">
        <f>AVERAGE('22.07 Kitebi-Kabusu'!F29,'23.07 Kitebi-Kabusu'!F29,'24.07 Kitebi-Kabusu'!F29,'25.07 Kabusu-Kitebi'!F29,'26.07 Kitebi-Kabusu-24'!F29,'27.07 Kitebi-Kabusu-24h'!F29,'28.07 Kitebi-Kabusu'!F29)</f>
        <v>22.285714285714285</v>
      </c>
      <c r="G29" s="49">
        <f>AVERAGE('22.07 Kitebi-Kabusu'!G29,'23.07 Kitebi-Kabusu'!G29,'24.07 Kitebi-Kabusu'!G29,'25.07 Kabusu-Kitebi'!G29,'26.07 Kitebi-Kabusu-24'!G29,'27.07 Kitebi-Kabusu-24h'!G29,'28.07 Kitebi-Kabusu'!G29)</f>
        <v>0.2857142857142857</v>
      </c>
      <c r="H29" s="49">
        <f>AVERAGE('22.07 Kitebi-Kabusu'!H29,'23.07 Kitebi-Kabusu'!H29,'24.07 Kitebi-Kabusu'!H29,'25.07 Kabusu-Kitebi'!H29,'26.07 Kitebi-Kabusu-24'!H29,'27.07 Kitebi-Kabusu-24h'!H29,'28.07 Kitebi-Kabusu'!H29)</f>
        <v>0.2857142857142857</v>
      </c>
      <c r="I29" s="49">
        <f>AVERAGE('22.07 Kitebi-Kabusu'!I29,'23.07 Kitebi-Kabusu'!I29,'24.07 Kitebi-Kabusu'!I29,'25.07 Kabusu-Kitebi'!I29,'26.07 Kitebi-Kabusu-24'!I29,'27.07 Kitebi-Kabusu-24h'!I29,'28.07 Kitebi-Kabusu'!I29)</f>
        <v>5.2857142857142856</v>
      </c>
      <c r="J29" s="49">
        <f>AVERAGE('22.07 Kitebi-Kabusu'!J29,'23.07 Kitebi-Kabusu'!J29,'24.07 Kitebi-Kabusu'!J29,'25.07 Kabusu-Kitebi'!J29,'26.07 Kitebi-Kabusu-24'!J29,'27.07 Kitebi-Kabusu-24h'!J29,'28.07 Kitebi-Kabusu'!J29)</f>
        <v>1.7142857142857142</v>
      </c>
      <c r="K29" s="49">
        <f>AVERAGE('22.07 Kitebi-Kabusu'!K29,'23.07 Kitebi-Kabusu'!K29,'24.07 Kitebi-Kabusu'!K29,'25.07 Kabusu-Kitebi'!K29,'26.07 Kitebi-Kabusu-24'!K29,'27.07 Kitebi-Kabusu-24h'!K29,'28.07 Kitebi-Kabusu'!K29)</f>
        <v>1</v>
      </c>
      <c r="L29" s="49">
        <f>AVERAGE('22.07 Kitebi-Kabusu'!L29,'23.07 Kitebi-Kabusu'!L29,'24.07 Kitebi-Kabusu'!L29,'25.07 Kabusu-Kitebi'!L29,'26.07 Kitebi-Kabusu-24'!L29,'27.07 Kitebi-Kabusu-24h'!L29,'28.07 Kitebi-Kabusu'!L29)</f>
        <v>1.4285714285714286</v>
      </c>
      <c r="M29" s="49">
        <f>AVERAGE('22.07 Kitebi-Kabusu'!M29,'23.07 Kitebi-Kabusu'!M29,'24.07 Kitebi-Kabusu'!M29,'25.07 Kabusu-Kitebi'!M29,'26.07 Kitebi-Kabusu-24'!M29,'27.07 Kitebi-Kabusu-24h'!M29,'28.07 Kitebi-Kabusu'!M29)</f>
        <v>160.71428571428572</v>
      </c>
      <c r="N29" s="49">
        <f>AVERAGE('22.07 Kitebi-Kabusu'!N29,'23.07 Kitebi-Kabusu'!N29,'24.07 Kitebi-Kabusu'!N29,'25.07 Kabusu-Kitebi'!N29,'26.07 Kitebi-Kabusu-24'!N29,'27.07 Kitebi-Kabusu-24h'!N29,'28.07 Kitebi-Kabusu'!N29)</f>
        <v>0</v>
      </c>
      <c r="O29" s="15">
        <f t="shared" si="0"/>
        <v>99.714285714285737</v>
      </c>
      <c r="P29" s="15">
        <f t="shared" si="1"/>
        <v>260.42857142857144</v>
      </c>
      <c r="R29" s="1" t="s">
        <v>153</v>
      </c>
      <c r="S29" s="34">
        <f>SUM(C86:C89)</f>
        <v>26</v>
      </c>
      <c r="T29" s="34">
        <f t="shared" ref="T29:AF29" si="21">SUM(D86:D89)</f>
        <v>4</v>
      </c>
      <c r="U29" s="34">
        <f t="shared" si="21"/>
        <v>1</v>
      </c>
      <c r="V29" s="34">
        <f t="shared" si="21"/>
        <v>5</v>
      </c>
      <c r="W29" s="34">
        <f t="shared" si="21"/>
        <v>1</v>
      </c>
      <c r="X29" s="34">
        <f t="shared" si="21"/>
        <v>0</v>
      </c>
      <c r="Y29" s="34">
        <f t="shared" si="21"/>
        <v>3</v>
      </c>
      <c r="Z29" s="34">
        <f t="shared" si="21"/>
        <v>0.5</v>
      </c>
      <c r="AA29" s="34">
        <f t="shared" si="21"/>
        <v>1</v>
      </c>
      <c r="AB29" s="34">
        <f t="shared" si="21"/>
        <v>0.5</v>
      </c>
      <c r="AC29" s="34">
        <f t="shared" si="21"/>
        <v>169.5</v>
      </c>
      <c r="AD29" s="34">
        <f t="shared" si="21"/>
        <v>0</v>
      </c>
      <c r="AE29" s="31">
        <f t="shared" si="21"/>
        <v>42</v>
      </c>
      <c r="AF29" s="31">
        <f t="shared" si="21"/>
        <v>211.5</v>
      </c>
    </row>
    <row r="30" spans="2:32" ht="23.1" customHeight="1" x14ac:dyDescent="0.25">
      <c r="B30" s="23" t="s">
        <v>57</v>
      </c>
      <c r="C30" s="49">
        <f>AVERAGE('22.07 Kitebi-Kabusu'!C30,'23.07 Kitebi-Kabusu'!C30,'24.07 Kitebi-Kabusu'!C30,'25.07 Kabusu-Kitebi'!C30,'26.07 Kitebi-Kabusu-24'!C30,'27.07 Kitebi-Kabusu-24h'!C30,'28.07 Kitebi-Kabusu'!C30)</f>
        <v>54</v>
      </c>
      <c r="D30" s="49">
        <f>AVERAGE('22.07 Kitebi-Kabusu'!D30,'23.07 Kitebi-Kabusu'!D30,'24.07 Kitebi-Kabusu'!D30,'25.07 Kabusu-Kitebi'!D30,'26.07 Kitebi-Kabusu-24'!D30,'27.07 Kitebi-Kabusu-24h'!D30,'28.07 Kitebi-Kabusu'!D30)</f>
        <v>8.5714285714285712</v>
      </c>
      <c r="E30" s="49">
        <f>AVERAGE('22.07 Kitebi-Kabusu'!E30,'23.07 Kitebi-Kabusu'!E30,'24.07 Kitebi-Kabusu'!E30,'25.07 Kabusu-Kitebi'!E30,'26.07 Kitebi-Kabusu-24'!E30,'27.07 Kitebi-Kabusu-24h'!E30,'28.07 Kitebi-Kabusu'!E30)</f>
        <v>6.7142857142857144</v>
      </c>
      <c r="F30" s="49">
        <f>AVERAGE('22.07 Kitebi-Kabusu'!F30,'23.07 Kitebi-Kabusu'!F30,'24.07 Kitebi-Kabusu'!F30,'25.07 Kabusu-Kitebi'!F30,'26.07 Kitebi-Kabusu-24'!F30,'27.07 Kitebi-Kabusu-24h'!F30,'28.07 Kitebi-Kabusu'!F30)</f>
        <v>25</v>
      </c>
      <c r="G30" s="49">
        <f>AVERAGE('22.07 Kitebi-Kabusu'!G30,'23.07 Kitebi-Kabusu'!G30,'24.07 Kitebi-Kabusu'!G30,'25.07 Kabusu-Kitebi'!G30,'26.07 Kitebi-Kabusu-24'!G30,'27.07 Kitebi-Kabusu-24h'!G30,'28.07 Kitebi-Kabusu'!G30)</f>
        <v>0.42857142857142855</v>
      </c>
      <c r="H30" s="49">
        <f>AVERAGE('22.07 Kitebi-Kabusu'!H30,'23.07 Kitebi-Kabusu'!H30,'24.07 Kitebi-Kabusu'!H30,'25.07 Kabusu-Kitebi'!H30,'26.07 Kitebi-Kabusu-24'!H30,'27.07 Kitebi-Kabusu-24h'!H30,'28.07 Kitebi-Kabusu'!H30)</f>
        <v>0.14285714285714285</v>
      </c>
      <c r="I30" s="49">
        <f>AVERAGE('22.07 Kitebi-Kabusu'!I30,'23.07 Kitebi-Kabusu'!I30,'24.07 Kitebi-Kabusu'!I30,'25.07 Kabusu-Kitebi'!I30,'26.07 Kitebi-Kabusu-24'!I30,'27.07 Kitebi-Kabusu-24h'!I30,'28.07 Kitebi-Kabusu'!I30)</f>
        <v>6.8571428571428568</v>
      </c>
      <c r="J30" s="49">
        <f>AVERAGE('22.07 Kitebi-Kabusu'!J30,'23.07 Kitebi-Kabusu'!J30,'24.07 Kitebi-Kabusu'!J30,'25.07 Kabusu-Kitebi'!J30,'26.07 Kitebi-Kabusu-24'!J30,'27.07 Kitebi-Kabusu-24h'!J30,'28.07 Kitebi-Kabusu'!J30)</f>
        <v>1.2857142857142858</v>
      </c>
      <c r="K30" s="49">
        <f>AVERAGE('22.07 Kitebi-Kabusu'!K30,'23.07 Kitebi-Kabusu'!K30,'24.07 Kitebi-Kabusu'!K30,'25.07 Kabusu-Kitebi'!K30,'26.07 Kitebi-Kabusu-24'!K30,'27.07 Kitebi-Kabusu-24h'!K30,'28.07 Kitebi-Kabusu'!K30)</f>
        <v>0.2857142857142857</v>
      </c>
      <c r="L30" s="49">
        <f>AVERAGE('22.07 Kitebi-Kabusu'!L30,'23.07 Kitebi-Kabusu'!L30,'24.07 Kitebi-Kabusu'!L30,'25.07 Kabusu-Kitebi'!L30,'26.07 Kitebi-Kabusu-24'!L30,'27.07 Kitebi-Kabusu-24h'!L30,'28.07 Kitebi-Kabusu'!L30)</f>
        <v>0.42857142857142855</v>
      </c>
      <c r="M30" s="49">
        <f>AVERAGE('22.07 Kitebi-Kabusu'!M30,'23.07 Kitebi-Kabusu'!M30,'24.07 Kitebi-Kabusu'!M30,'25.07 Kabusu-Kitebi'!M30,'26.07 Kitebi-Kabusu-24'!M30,'27.07 Kitebi-Kabusu-24h'!M30,'28.07 Kitebi-Kabusu'!M30)</f>
        <v>171.71428571428572</v>
      </c>
      <c r="N30" s="49">
        <f>AVERAGE('22.07 Kitebi-Kabusu'!N30,'23.07 Kitebi-Kabusu'!N30,'24.07 Kitebi-Kabusu'!N30,'25.07 Kabusu-Kitebi'!N30,'26.07 Kitebi-Kabusu-24'!N30,'27.07 Kitebi-Kabusu-24h'!N30,'28.07 Kitebi-Kabusu'!N30)</f>
        <v>0</v>
      </c>
      <c r="O30" s="15">
        <f t="shared" si="0"/>
        <v>103.71428571428572</v>
      </c>
      <c r="P30" s="15">
        <f t="shared" si="1"/>
        <v>275.42857142857144</v>
      </c>
      <c r="R30" s="1" t="s">
        <v>154</v>
      </c>
      <c r="S30" s="34">
        <f>SUM(C90:C93)</f>
        <v>57</v>
      </c>
      <c r="T30" s="34">
        <f t="shared" ref="T30:AD30" si="22">SUM(D90:D93)</f>
        <v>4.5</v>
      </c>
      <c r="U30" s="34">
        <f t="shared" si="22"/>
        <v>4</v>
      </c>
      <c r="V30" s="34">
        <f>SUM(F90:F93)</f>
        <v>26.5</v>
      </c>
      <c r="W30" s="34">
        <f t="shared" si="22"/>
        <v>0</v>
      </c>
      <c r="X30" s="34">
        <f t="shared" si="22"/>
        <v>0</v>
      </c>
      <c r="Y30" s="34">
        <f t="shared" si="22"/>
        <v>4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155</v>
      </c>
      <c r="AD30" s="34">
        <f t="shared" si="22"/>
        <v>0</v>
      </c>
      <c r="AE30" s="31">
        <f>SUM(O90:O93)</f>
        <v>97</v>
      </c>
      <c r="AF30" s="31">
        <f t="shared" ref="AF30" si="23">SUM(P90:P93)</f>
        <v>252</v>
      </c>
    </row>
    <row r="31" spans="2:32" ht="23.1" customHeight="1" x14ac:dyDescent="0.25">
      <c r="B31" s="24" t="s">
        <v>58</v>
      </c>
      <c r="C31" s="49">
        <f>AVERAGE('22.07 Kitebi-Kabusu'!C31,'23.07 Kitebi-Kabusu'!C31,'24.07 Kitebi-Kabusu'!C31,'25.07 Kabusu-Kitebi'!C31,'26.07 Kitebi-Kabusu-24'!C31,'27.07 Kitebi-Kabusu-24h'!C31,'28.07 Kitebi-Kabusu'!C31)</f>
        <v>52.285714285714285</v>
      </c>
      <c r="D31" s="49">
        <f>AVERAGE('22.07 Kitebi-Kabusu'!D31,'23.07 Kitebi-Kabusu'!D31,'24.07 Kitebi-Kabusu'!D31,'25.07 Kabusu-Kitebi'!D31,'26.07 Kitebi-Kabusu-24'!D31,'27.07 Kitebi-Kabusu-24h'!D31,'28.07 Kitebi-Kabusu'!D31)</f>
        <v>6</v>
      </c>
      <c r="E31" s="49">
        <f>AVERAGE('22.07 Kitebi-Kabusu'!E31,'23.07 Kitebi-Kabusu'!E31,'24.07 Kitebi-Kabusu'!E31,'25.07 Kabusu-Kitebi'!E31,'26.07 Kitebi-Kabusu-24'!E31,'27.07 Kitebi-Kabusu-24h'!E31,'28.07 Kitebi-Kabusu'!E31)</f>
        <v>9.2857142857142865</v>
      </c>
      <c r="F31" s="49">
        <f>AVERAGE('22.07 Kitebi-Kabusu'!F31,'23.07 Kitebi-Kabusu'!F31,'24.07 Kitebi-Kabusu'!F31,'25.07 Kabusu-Kitebi'!F31,'26.07 Kitebi-Kabusu-24'!F31,'27.07 Kitebi-Kabusu-24h'!F31,'28.07 Kitebi-Kabusu'!F31)</f>
        <v>21.428571428571427</v>
      </c>
      <c r="G31" s="49">
        <f>AVERAGE('22.07 Kitebi-Kabusu'!G31,'23.07 Kitebi-Kabusu'!G31,'24.07 Kitebi-Kabusu'!G31,'25.07 Kabusu-Kitebi'!G31,'26.07 Kitebi-Kabusu-24'!G31,'27.07 Kitebi-Kabusu-24h'!G31,'28.07 Kitebi-Kabusu'!G31)</f>
        <v>0.7142857142857143</v>
      </c>
      <c r="H31" s="49">
        <f>AVERAGE('22.07 Kitebi-Kabusu'!H31,'23.07 Kitebi-Kabusu'!H31,'24.07 Kitebi-Kabusu'!H31,'25.07 Kabusu-Kitebi'!H31,'26.07 Kitebi-Kabusu-24'!H31,'27.07 Kitebi-Kabusu-24h'!H31,'28.07 Kitebi-Kabusu'!H31)</f>
        <v>0</v>
      </c>
      <c r="I31" s="49">
        <f>AVERAGE('22.07 Kitebi-Kabusu'!I31,'23.07 Kitebi-Kabusu'!I31,'24.07 Kitebi-Kabusu'!I31,'25.07 Kabusu-Kitebi'!I31,'26.07 Kitebi-Kabusu-24'!I31,'27.07 Kitebi-Kabusu-24h'!I31,'28.07 Kitebi-Kabusu'!I31)</f>
        <v>5.2857142857142856</v>
      </c>
      <c r="J31" s="49">
        <f>AVERAGE('22.07 Kitebi-Kabusu'!J31,'23.07 Kitebi-Kabusu'!J31,'24.07 Kitebi-Kabusu'!J31,'25.07 Kabusu-Kitebi'!J31,'26.07 Kitebi-Kabusu-24'!J31,'27.07 Kitebi-Kabusu-24h'!J31,'28.07 Kitebi-Kabusu'!J31)</f>
        <v>1.1428571428571428</v>
      </c>
      <c r="K31" s="49">
        <f>AVERAGE('22.07 Kitebi-Kabusu'!K31,'23.07 Kitebi-Kabusu'!K31,'24.07 Kitebi-Kabusu'!K31,'25.07 Kabusu-Kitebi'!K31,'26.07 Kitebi-Kabusu-24'!K31,'27.07 Kitebi-Kabusu-24h'!K31,'28.07 Kitebi-Kabusu'!K31)</f>
        <v>0.42857142857142855</v>
      </c>
      <c r="L31" s="49">
        <f>AVERAGE('22.07 Kitebi-Kabusu'!L31,'23.07 Kitebi-Kabusu'!L31,'24.07 Kitebi-Kabusu'!L31,'25.07 Kabusu-Kitebi'!L31,'26.07 Kitebi-Kabusu-24'!L31,'27.07 Kitebi-Kabusu-24h'!L31,'28.07 Kitebi-Kabusu'!L31)</f>
        <v>0.2857142857142857</v>
      </c>
      <c r="M31" s="49">
        <f>AVERAGE('22.07 Kitebi-Kabusu'!M31,'23.07 Kitebi-Kabusu'!M31,'24.07 Kitebi-Kabusu'!M31,'25.07 Kabusu-Kitebi'!M31,'26.07 Kitebi-Kabusu-24'!M31,'27.07 Kitebi-Kabusu-24h'!M31,'28.07 Kitebi-Kabusu'!M31)</f>
        <v>165.71428571428572</v>
      </c>
      <c r="N31" s="49">
        <f>AVERAGE('22.07 Kitebi-Kabusu'!N31,'23.07 Kitebi-Kabusu'!N31,'24.07 Kitebi-Kabusu'!N31,'25.07 Kabusu-Kitebi'!N31,'26.07 Kitebi-Kabusu-24'!N31,'27.07 Kitebi-Kabusu-24h'!N31,'28.07 Kitebi-Kabusu'!N31)</f>
        <v>0</v>
      </c>
      <c r="O31" s="15">
        <f t="shared" si="0"/>
        <v>96.857142857142861</v>
      </c>
      <c r="P31" s="15">
        <f t="shared" si="1"/>
        <v>262.57142857142856</v>
      </c>
      <c r="R31" s="1" t="s">
        <v>155</v>
      </c>
      <c r="S31" s="34">
        <f>SUM(C94:C97)</f>
        <v>26.5</v>
      </c>
      <c r="T31" s="34">
        <f t="shared" ref="T31:AF31" si="24">SUM(D94:D97)</f>
        <v>1.5</v>
      </c>
      <c r="U31" s="34">
        <f t="shared" si="24"/>
        <v>3.5</v>
      </c>
      <c r="V31" s="34">
        <f t="shared" si="24"/>
        <v>12</v>
      </c>
      <c r="W31" s="34">
        <f t="shared" si="24"/>
        <v>2.5</v>
      </c>
      <c r="X31" s="34">
        <f t="shared" si="24"/>
        <v>0.5</v>
      </c>
      <c r="Y31" s="34">
        <f t="shared" si="24"/>
        <v>3.5</v>
      </c>
      <c r="Z31" s="34">
        <f t="shared" si="24"/>
        <v>0.5</v>
      </c>
      <c r="AA31" s="34">
        <f t="shared" si="24"/>
        <v>0.5</v>
      </c>
      <c r="AB31" s="34">
        <f t="shared" si="24"/>
        <v>0</v>
      </c>
      <c r="AC31" s="34">
        <f t="shared" si="24"/>
        <v>170</v>
      </c>
      <c r="AD31" s="34">
        <f t="shared" si="24"/>
        <v>0</v>
      </c>
      <c r="AE31" s="31">
        <f t="shared" si="24"/>
        <v>51</v>
      </c>
      <c r="AF31" s="31">
        <f t="shared" si="24"/>
        <v>221</v>
      </c>
    </row>
    <row r="32" spans="2:32" ht="23.1" customHeight="1" x14ac:dyDescent="0.25">
      <c r="B32" s="24" t="s">
        <v>59</v>
      </c>
      <c r="C32" s="49">
        <f>AVERAGE('22.07 Kitebi-Kabusu'!C32,'23.07 Kitebi-Kabusu'!C32,'24.07 Kitebi-Kabusu'!C32,'25.07 Kabusu-Kitebi'!C32,'26.07 Kitebi-Kabusu-24'!C32,'27.07 Kitebi-Kabusu-24h'!C32,'28.07 Kitebi-Kabusu'!C32)</f>
        <v>49.714285714285715</v>
      </c>
      <c r="D32" s="49">
        <f>AVERAGE('22.07 Kitebi-Kabusu'!D32,'23.07 Kitebi-Kabusu'!D32,'24.07 Kitebi-Kabusu'!D32,'25.07 Kabusu-Kitebi'!D32,'26.07 Kitebi-Kabusu-24'!D32,'27.07 Kitebi-Kabusu-24h'!D32,'28.07 Kitebi-Kabusu'!D32)</f>
        <v>7.8571428571428568</v>
      </c>
      <c r="E32" s="49">
        <f>AVERAGE('22.07 Kitebi-Kabusu'!E32,'23.07 Kitebi-Kabusu'!E32,'24.07 Kitebi-Kabusu'!E32,'25.07 Kabusu-Kitebi'!E32,'26.07 Kitebi-Kabusu-24'!E32,'27.07 Kitebi-Kabusu-24h'!E32,'28.07 Kitebi-Kabusu'!E32)</f>
        <v>6.7142857142857144</v>
      </c>
      <c r="F32" s="49">
        <f>AVERAGE('22.07 Kitebi-Kabusu'!F32,'23.07 Kitebi-Kabusu'!F32,'24.07 Kitebi-Kabusu'!F32,'25.07 Kabusu-Kitebi'!F32,'26.07 Kitebi-Kabusu-24'!F32,'27.07 Kitebi-Kabusu-24h'!F32,'28.07 Kitebi-Kabusu'!F32)</f>
        <v>18.714285714285715</v>
      </c>
      <c r="G32" s="49">
        <f>AVERAGE('22.07 Kitebi-Kabusu'!G32,'23.07 Kitebi-Kabusu'!G32,'24.07 Kitebi-Kabusu'!G32,'25.07 Kabusu-Kitebi'!G32,'26.07 Kitebi-Kabusu-24'!G32,'27.07 Kitebi-Kabusu-24h'!G32,'28.07 Kitebi-Kabusu'!G32)</f>
        <v>0.14285714285714285</v>
      </c>
      <c r="H32" s="49">
        <f>AVERAGE('22.07 Kitebi-Kabusu'!H32,'23.07 Kitebi-Kabusu'!H32,'24.07 Kitebi-Kabusu'!H32,'25.07 Kabusu-Kitebi'!H32,'26.07 Kitebi-Kabusu-24'!H32,'27.07 Kitebi-Kabusu-24h'!H32,'28.07 Kitebi-Kabusu'!H32)</f>
        <v>0.14285714285714285</v>
      </c>
      <c r="I32" s="49">
        <f>AVERAGE('22.07 Kitebi-Kabusu'!I32,'23.07 Kitebi-Kabusu'!I32,'24.07 Kitebi-Kabusu'!I32,'25.07 Kabusu-Kitebi'!I32,'26.07 Kitebi-Kabusu-24'!I32,'27.07 Kitebi-Kabusu-24h'!I32,'28.07 Kitebi-Kabusu'!I32)</f>
        <v>5.4285714285714288</v>
      </c>
      <c r="J32" s="49">
        <f>AVERAGE('22.07 Kitebi-Kabusu'!J32,'23.07 Kitebi-Kabusu'!J32,'24.07 Kitebi-Kabusu'!J32,'25.07 Kabusu-Kitebi'!J32,'26.07 Kitebi-Kabusu-24'!J32,'27.07 Kitebi-Kabusu-24h'!J32,'28.07 Kitebi-Kabusu'!J32)</f>
        <v>1.5714285714285714</v>
      </c>
      <c r="K32" s="49">
        <f>AVERAGE('22.07 Kitebi-Kabusu'!K32,'23.07 Kitebi-Kabusu'!K32,'24.07 Kitebi-Kabusu'!K32,'25.07 Kabusu-Kitebi'!K32,'26.07 Kitebi-Kabusu-24'!K32,'27.07 Kitebi-Kabusu-24h'!K32,'28.07 Kitebi-Kabusu'!K32)</f>
        <v>0.42857142857142855</v>
      </c>
      <c r="L32" s="49">
        <f>AVERAGE('22.07 Kitebi-Kabusu'!L32,'23.07 Kitebi-Kabusu'!L32,'24.07 Kitebi-Kabusu'!L32,'25.07 Kabusu-Kitebi'!L32,'26.07 Kitebi-Kabusu-24'!L32,'27.07 Kitebi-Kabusu-24h'!L32,'28.07 Kitebi-Kabusu'!L32)</f>
        <v>0.42857142857142855</v>
      </c>
      <c r="M32" s="49">
        <f>AVERAGE('22.07 Kitebi-Kabusu'!M32,'23.07 Kitebi-Kabusu'!M32,'24.07 Kitebi-Kabusu'!M32,'25.07 Kabusu-Kitebi'!M32,'26.07 Kitebi-Kabusu-24'!M32,'27.07 Kitebi-Kabusu-24h'!M32,'28.07 Kitebi-Kabusu'!M32)</f>
        <v>165.28571428571428</v>
      </c>
      <c r="N32" s="49">
        <f>AVERAGE('22.07 Kitebi-Kabusu'!N32,'23.07 Kitebi-Kabusu'!N32,'24.07 Kitebi-Kabusu'!N32,'25.07 Kabusu-Kitebi'!N32,'26.07 Kitebi-Kabusu-24'!N32,'27.07 Kitebi-Kabusu-24h'!N32,'28.07 Kitebi-Kabusu'!N32)</f>
        <v>0</v>
      </c>
      <c r="O32" s="15">
        <f t="shared" si="0"/>
        <v>91.142857142857139</v>
      </c>
      <c r="P32" s="15">
        <f t="shared" si="1"/>
        <v>256.42857142857144</v>
      </c>
      <c r="R32" s="1" t="s">
        <v>156</v>
      </c>
      <c r="S32" s="34">
        <f>SUM(C98:C101)</f>
        <v>111</v>
      </c>
      <c r="T32" s="34">
        <f t="shared" ref="T32:AF32" si="25">SUM(D98:D101)</f>
        <v>5.5</v>
      </c>
      <c r="U32" s="34">
        <f t="shared" si="25"/>
        <v>9.5</v>
      </c>
      <c r="V32" s="34">
        <f t="shared" si="25"/>
        <v>98.5</v>
      </c>
      <c r="W32" s="34">
        <f t="shared" si="25"/>
        <v>0.5</v>
      </c>
      <c r="X32" s="34">
        <f t="shared" si="25"/>
        <v>0</v>
      </c>
      <c r="Y32" s="34">
        <f t="shared" si="25"/>
        <v>7.5</v>
      </c>
      <c r="Z32" s="34">
        <f t="shared" si="25"/>
        <v>1</v>
      </c>
      <c r="AA32" s="34">
        <f t="shared" si="25"/>
        <v>1</v>
      </c>
      <c r="AB32" s="34">
        <f t="shared" si="25"/>
        <v>1</v>
      </c>
      <c r="AC32" s="34">
        <f t="shared" si="25"/>
        <v>260.5</v>
      </c>
      <c r="AD32" s="34">
        <f t="shared" si="25"/>
        <v>0</v>
      </c>
      <c r="AE32" s="31">
        <f t="shared" si="25"/>
        <v>235.5</v>
      </c>
      <c r="AF32" s="31">
        <f t="shared" si="25"/>
        <v>496</v>
      </c>
    </row>
    <row r="33" spans="2:32" ht="23.1" customHeight="1" x14ac:dyDescent="0.25">
      <c r="B33" s="23" t="s">
        <v>60</v>
      </c>
      <c r="C33" s="49">
        <f>AVERAGE('22.07 Kitebi-Kabusu'!C33,'23.07 Kitebi-Kabusu'!C33,'24.07 Kitebi-Kabusu'!C33,'25.07 Kabusu-Kitebi'!C33,'26.07 Kitebi-Kabusu-24'!C33,'27.07 Kitebi-Kabusu-24h'!C33,'28.07 Kitebi-Kabusu'!C33)</f>
        <v>46.428571428571431</v>
      </c>
      <c r="D33" s="49">
        <f>AVERAGE('22.07 Kitebi-Kabusu'!D33,'23.07 Kitebi-Kabusu'!D33,'24.07 Kitebi-Kabusu'!D33,'25.07 Kabusu-Kitebi'!D33,'26.07 Kitebi-Kabusu-24'!D33,'27.07 Kitebi-Kabusu-24h'!D33,'28.07 Kitebi-Kabusu'!D33)</f>
        <v>5</v>
      </c>
      <c r="E33" s="49">
        <f>AVERAGE('22.07 Kitebi-Kabusu'!E33,'23.07 Kitebi-Kabusu'!E33,'24.07 Kitebi-Kabusu'!E33,'25.07 Kabusu-Kitebi'!E33,'26.07 Kitebi-Kabusu-24'!E33,'27.07 Kitebi-Kabusu-24h'!E33,'28.07 Kitebi-Kabusu'!E33)</f>
        <v>4.5714285714285712</v>
      </c>
      <c r="F33" s="49">
        <f>AVERAGE('22.07 Kitebi-Kabusu'!F33,'23.07 Kitebi-Kabusu'!F33,'24.07 Kitebi-Kabusu'!F33,'25.07 Kabusu-Kitebi'!F33,'26.07 Kitebi-Kabusu-24'!F33,'27.07 Kitebi-Kabusu-24h'!F33,'28.07 Kitebi-Kabusu'!F33)</f>
        <v>18.285714285714285</v>
      </c>
      <c r="G33" s="49">
        <f>AVERAGE('22.07 Kitebi-Kabusu'!G33,'23.07 Kitebi-Kabusu'!G33,'24.07 Kitebi-Kabusu'!G33,'25.07 Kabusu-Kitebi'!G33,'26.07 Kitebi-Kabusu-24'!G33,'27.07 Kitebi-Kabusu-24h'!G33,'28.07 Kitebi-Kabusu'!G33)</f>
        <v>0</v>
      </c>
      <c r="H33" s="49">
        <f>AVERAGE('22.07 Kitebi-Kabusu'!H33,'23.07 Kitebi-Kabusu'!H33,'24.07 Kitebi-Kabusu'!H33,'25.07 Kabusu-Kitebi'!H33,'26.07 Kitebi-Kabusu-24'!H33,'27.07 Kitebi-Kabusu-24h'!H33,'28.07 Kitebi-Kabusu'!H33)</f>
        <v>0</v>
      </c>
      <c r="I33" s="49">
        <f>AVERAGE('22.07 Kitebi-Kabusu'!I33,'23.07 Kitebi-Kabusu'!I33,'24.07 Kitebi-Kabusu'!I33,'25.07 Kabusu-Kitebi'!I33,'26.07 Kitebi-Kabusu-24'!I33,'27.07 Kitebi-Kabusu-24h'!I33,'28.07 Kitebi-Kabusu'!I33)</f>
        <v>6.1428571428571432</v>
      </c>
      <c r="J33" s="49">
        <f>AVERAGE('22.07 Kitebi-Kabusu'!J33,'23.07 Kitebi-Kabusu'!J33,'24.07 Kitebi-Kabusu'!J33,'25.07 Kabusu-Kitebi'!J33,'26.07 Kitebi-Kabusu-24'!J33,'27.07 Kitebi-Kabusu-24h'!J33,'28.07 Kitebi-Kabusu'!J33)</f>
        <v>0.7142857142857143</v>
      </c>
      <c r="K33" s="49">
        <f>AVERAGE('22.07 Kitebi-Kabusu'!K33,'23.07 Kitebi-Kabusu'!K33,'24.07 Kitebi-Kabusu'!K33,'25.07 Kabusu-Kitebi'!K33,'26.07 Kitebi-Kabusu-24'!K33,'27.07 Kitebi-Kabusu-24h'!K33,'28.07 Kitebi-Kabusu'!K33)</f>
        <v>0.5714285714285714</v>
      </c>
      <c r="L33" s="49">
        <f>AVERAGE('22.07 Kitebi-Kabusu'!L33,'23.07 Kitebi-Kabusu'!L33,'24.07 Kitebi-Kabusu'!L33,'25.07 Kabusu-Kitebi'!L33,'26.07 Kitebi-Kabusu-24'!L33,'27.07 Kitebi-Kabusu-24h'!L33,'28.07 Kitebi-Kabusu'!L33)</f>
        <v>0.42857142857142855</v>
      </c>
      <c r="M33" s="49">
        <f>AVERAGE('22.07 Kitebi-Kabusu'!M33,'23.07 Kitebi-Kabusu'!M33,'24.07 Kitebi-Kabusu'!M33,'25.07 Kabusu-Kitebi'!M33,'26.07 Kitebi-Kabusu-24'!M33,'27.07 Kitebi-Kabusu-24h'!M33,'28.07 Kitebi-Kabusu'!M33)</f>
        <v>161.85714285714286</v>
      </c>
      <c r="N33" s="49">
        <f>AVERAGE('22.07 Kitebi-Kabusu'!N33,'23.07 Kitebi-Kabusu'!N33,'24.07 Kitebi-Kabusu'!N33,'25.07 Kabusu-Kitebi'!N33,'26.07 Kitebi-Kabusu-24'!N33,'27.07 Kitebi-Kabusu-24h'!N33,'28.07 Kitebi-Kabusu'!N33)</f>
        <v>0</v>
      </c>
      <c r="O33" s="15">
        <f t="shared" si="0"/>
        <v>82.142857142857125</v>
      </c>
      <c r="P33" s="15">
        <f t="shared" si="1"/>
        <v>244</v>
      </c>
      <c r="R33" s="1" t="s">
        <v>157</v>
      </c>
      <c r="S33" s="34">
        <f>SUM(C102:C105)</f>
        <v>198.5</v>
      </c>
      <c r="T33" s="34">
        <f t="shared" ref="T33:AF33" si="26">SUM(D102:D105)</f>
        <v>9.5</v>
      </c>
      <c r="U33" s="34">
        <f t="shared" si="26"/>
        <v>9</v>
      </c>
      <c r="V33" s="34">
        <f t="shared" si="26"/>
        <v>103</v>
      </c>
      <c r="W33" s="34">
        <f t="shared" si="26"/>
        <v>2</v>
      </c>
      <c r="X33" s="34">
        <f t="shared" si="26"/>
        <v>0.5</v>
      </c>
      <c r="Y33" s="34">
        <f t="shared" si="26"/>
        <v>9.5</v>
      </c>
      <c r="Z33" s="34">
        <f t="shared" si="26"/>
        <v>3</v>
      </c>
      <c r="AA33" s="34">
        <f t="shared" si="26"/>
        <v>0.5</v>
      </c>
      <c r="AB33" s="34">
        <f t="shared" si="26"/>
        <v>0.5</v>
      </c>
      <c r="AC33" s="34">
        <f t="shared" si="26"/>
        <v>428</v>
      </c>
      <c r="AD33" s="34">
        <f t="shared" si="26"/>
        <v>0</v>
      </c>
      <c r="AE33" s="31">
        <f t="shared" si="26"/>
        <v>336</v>
      </c>
      <c r="AF33" s="31">
        <f t="shared" si="26"/>
        <v>764</v>
      </c>
    </row>
    <row r="34" spans="2:32" ht="23.1" customHeight="1" x14ac:dyDescent="0.25">
      <c r="B34" s="24" t="s">
        <v>61</v>
      </c>
      <c r="C34" s="49">
        <f>AVERAGE('22.07 Kitebi-Kabusu'!C34,'23.07 Kitebi-Kabusu'!C34,'24.07 Kitebi-Kabusu'!C34,'25.07 Kabusu-Kitebi'!C34,'26.07 Kitebi-Kabusu-24'!C34,'27.07 Kitebi-Kabusu-24h'!C34,'28.07 Kitebi-Kabusu'!C34)</f>
        <v>49</v>
      </c>
      <c r="D34" s="49">
        <f>AVERAGE('22.07 Kitebi-Kabusu'!D34,'23.07 Kitebi-Kabusu'!D34,'24.07 Kitebi-Kabusu'!D34,'25.07 Kabusu-Kitebi'!D34,'26.07 Kitebi-Kabusu-24'!D34,'27.07 Kitebi-Kabusu-24h'!D34,'28.07 Kitebi-Kabusu'!D34)</f>
        <v>6.4285714285714288</v>
      </c>
      <c r="E34" s="49">
        <f>AVERAGE('22.07 Kitebi-Kabusu'!E34,'23.07 Kitebi-Kabusu'!E34,'24.07 Kitebi-Kabusu'!E34,'25.07 Kabusu-Kitebi'!E34,'26.07 Kitebi-Kabusu-24'!E34,'27.07 Kitebi-Kabusu-24h'!E34,'28.07 Kitebi-Kabusu'!E34)</f>
        <v>7.5714285714285712</v>
      </c>
      <c r="F34" s="49">
        <f>AVERAGE('22.07 Kitebi-Kabusu'!F34,'23.07 Kitebi-Kabusu'!F34,'24.07 Kitebi-Kabusu'!F34,'25.07 Kabusu-Kitebi'!F34,'26.07 Kitebi-Kabusu-24'!F34,'27.07 Kitebi-Kabusu-24h'!F34,'28.07 Kitebi-Kabusu'!F34)</f>
        <v>22.142857142857142</v>
      </c>
      <c r="G34" s="49">
        <f>AVERAGE('22.07 Kitebi-Kabusu'!G34,'23.07 Kitebi-Kabusu'!G34,'24.07 Kitebi-Kabusu'!G34,'25.07 Kabusu-Kitebi'!G34,'26.07 Kitebi-Kabusu-24'!G34,'27.07 Kitebi-Kabusu-24h'!G34,'28.07 Kitebi-Kabusu'!G34)</f>
        <v>0.2857142857142857</v>
      </c>
      <c r="H34" s="49">
        <f>AVERAGE('22.07 Kitebi-Kabusu'!H34,'23.07 Kitebi-Kabusu'!H34,'24.07 Kitebi-Kabusu'!H34,'25.07 Kabusu-Kitebi'!H34,'26.07 Kitebi-Kabusu-24'!H34,'27.07 Kitebi-Kabusu-24h'!H34,'28.07 Kitebi-Kabusu'!H34)</f>
        <v>0.5714285714285714</v>
      </c>
      <c r="I34" s="49">
        <f>AVERAGE('22.07 Kitebi-Kabusu'!I34,'23.07 Kitebi-Kabusu'!I34,'24.07 Kitebi-Kabusu'!I34,'25.07 Kabusu-Kitebi'!I34,'26.07 Kitebi-Kabusu-24'!I34,'27.07 Kitebi-Kabusu-24h'!I34,'28.07 Kitebi-Kabusu'!I34)</f>
        <v>6.2857142857142856</v>
      </c>
      <c r="J34" s="49">
        <f>AVERAGE('22.07 Kitebi-Kabusu'!J34,'23.07 Kitebi-Kabusu'!J34,'24.07 Kitebi-Kabusu'!J34,'25.07 Kabusu-Kitebi'!J34,'26.07 Kitebi-Kabusu-24'!J34,'27.07 Kitebi-Kabusu-24h'!J34,'28.07 Kitebi-Kabusu'!J34)</f>
        <v>1</v>
      </c>
      <c r="K34" s="49">
        <f>AVERAGE('22.07 Kitebi-Kabusu'!K34,'23.07 Kitebi-Kabusu'!K34,'24.07 Kitebi-Kabusu'!K34,'25.07 Kabusu-Kitebi'!K34,'26.07 Kitebi-Kabusu-24'!K34,'27.07 Kitebi-Kabusu-24h'!K34,'28.07 Kitebi-Kabusu'!K34)</f>
        <v>0.7142857142857143</v>
      </c>
      <c r="L34" s="49">
        <f>AVERAGE('22.07 Kitebi-Kabusu'!L34,'23.07 Kitebi-Kabusu'!L34,'24.07 Kitebi-Kabusu'!L34,'25.07 Kabusu-Kitebi'!L34,'26.07 Kitebi-Kabusu-24'!L34,'27.07 Kitebi-Kabusu-24h'!L34,'28.07 Kitebi-Kabusu'!L34)</f>
        <v>0.7142857142857143</v>
      </c>
      <c r="M34" s="49">
        <f>AVERAGE('22.07 Kitebi-Kabusu'!M34,'23.07 Kitebi-Kabusu'!M34,'24.07 Kitebi-Kabusu'!M34,'25.07 Kabusu-Kitebi'!M34,'26.07 Kitebi-Kabusu-24'!M34,'27.07 Kitebi-Kabusu-24h'!M34,'28.07 Kitebi-Kabusu'!M34)</f>
        <v>160.14285714285714</v>
      </c>
      <c r="N34" s="49">
        <f>AVERAGE('22.07 Kitebi-Kabusu'!N34,'23.07 Kitebi-Kabusu'!N34,'24.07 Kitebi-Kabusu'!N34,'25.07 Kabusu-Kitebi'!N34,'26.07 Kitebi-Kabusu-24'!N34,'27.07 Kitebi-Kabusu-24h'!N34,'28.07 Kitebi-Kabusu'!N34)</f>
        <v>0</v>
      </c>
      <c r="O34" s="15">
        <f t="shared" si="0"/>
        <v>94.714285714285708</v>
      </c>
      <c r="P34" s="15">
        <f t="shared" si="1"/>
        <v>254.85714285714283</v>
      </c>
      <c r="R34" s="38" t="s">
        <v>90</v>
      </c>
      <c r="S34" s="39">
        <f t="shared" ref="S34:AF34" si="27">MAX(S10:S12)</f>
        <v>379</v>
      </c>
      <c r="T34" s="39">
        <f t="shared" si="27"/>
        <v>47.142857142857139</v>
      </c>
      <c r="U34" s="39">
        <f t="shared" si="27"/>
        <v>36.428571428571431</v>
      </c>
      <c r="V34" s="39">
        <f t="shared" si="27"/>
        <v>115.14285714285714</v>
      </c>
      <c r="W34" s="39">
        <f t="shared" si="27"/>
        <v>2.2857142857142856</v>
      </c>
      <c r="X34" s="39">
        <f t="shared" si="27"/>
        <v>0.76190476190476186</v>
      </c>
      <c r="Y34" s="39">
        <f t="shared" si="27"/>
        <v>27.142857142857146</v>
      </c>
      <c r="Z34" s="39">
        <f t="shared" si="27"/>
        <v>1.8571428571428572</v>
      </c>
      <c r="AA34" s="39">
        <f t="shared" si="27"/>
        <v>1.9999999999999998</v>
      </c>
      <c r="AB34" s="39">
        <f t="shared" si="27"/>
        <v>1.4285714285714284</v>
      </c>
      <c r="AC34" s="39">
        <f t="shared" si="27"/>
        <v>890.28571428571422</v>
      </c>
      <c r="AD34" s="39">
        <f t="shared" si="27"/>
        <v>0</v>
      </c>
      <c r="AE34" s="40">
        <f t="shared" si="27"/>
        <v>592.71428571428567</v>
      </c>
      <c r="AF34" s="40">
        <f t="shared" si="27"/>
        <v>1443.5714285714284</v>
      </c>
    </row>
    <row r="35" spans="2:32" ht="23.1" customHeight="1" x14ac:dyDescent="0.25">
      <c r="B35" s="24" t="s">
        <v>62</v>
      </c>
      <c r="C35" s="49">
        <f>AVERAGE('22.07 Kitebi-Kabusu'!C35,'23.07 Kitebi-Kabusu'!C35,'24.07 Kitebi-Kabusu'!C35,'25.07 Kabusu-Kitebi'!C35,'26.07 Kitebi-Kabusu-24'!C35,'27.07 Kitebi-Kabusu-24h'!C35,'28.07 Kitebi-Kabusu'!C35)</f>
        <v>43</v>
      </c>
      <c r="D35" s="49">
        <f>AVERAGE('22.07 Kitebi-Kabusu'!D35,'23.07 Kitebi-Kabusu'!D35,'24.07 Kitebi-Kabusu'!D35,'25.07 Kabusu-Kitebi'!D35,'26.07 Kitebi-Kabusu-24'!D35,'27.07 Kitebi-Kabusu-24h'!D35,'28.07 Kitebi-Kabusu'!D35)</f>
        <v>7.2857142857142856</v>
      </c>
      <c r="E35" s="49">
        <f>AVERAGE('22.07 Kitebi-Kabusu'!E35,'23.07 Kitebi-Kabusu'!E35,'24.07 Kitebi-Kabusu'!E35,'25.07 Kabusu-Kitebi'!E35,'26.07 Kitebi-Kabusu-24'!E35,'27.07 Kitebi-Kabusu-24h'!E35,'28.07 Kitebi-Kabusu'!E35)</f>
        <v>6.1428571428571432</v>
      </c>
      <c r="F35" s="49">
        <f>AVERAGE('22.07 Kitebi-Kabusu'!F35,'23.07 Kitebi-Kabusu'!F35,'24.07 Kitebi-Kabusu'!F35,'25.07 Kabusu-Kitebi'!F35,'26.07 Kitebi-Kabusu-24'!F35,'27.07 Kitebi-Kabusu-24h'!F35,'28.07 Kitebi-Kabusu'!F35)</f>
        <v>19.571428571428573</v>
      </c>
      <c r="G35" s="49">
        <f>AVERAGE('22.07 Kitebi-Kabusu'!G35,'23.07 Kitebi-Kabusu'!G35,'24.07 Kitebi-Kabusu'!G35,'25.07 Kabusu-Kitebi'!G35,'26.07 Kitebi-Kabusu-24'!G35,'27.07 Kitebi-Kabusu-24h'!G35,'28.07 Kitebi-Kabusu'!G35)</f>
        <v>0</v>
      </c>
      <c r="H35" s="49">
        <f>AVERAGE('22.07 Kitebi-Kabusu'!H35,'23.07 Kitebi-Kabusu'!H35,'24.07 Kitebi-Kabusu'!H35,'25.07 Kabusu-Kitebi'!H35,'26.07 Kitebi-Kabusu-24'!H35,'27.07 Kitebi-Kabusu-24h'!H35,'28.07 Kitebi-Kabusu'!H35)</f>
        <v>0</v>
      </c>
      <c r="I35" s="49">
        <f>AVERAGE('22.07 Kitebi-Kabusu'!I35,'23.07 Kitebi-Kabusu'!I35,'24.07 Kitebi-Kabusu'!I35,'25.07 Kabusu-Kitebi'!I35,'26.07 Kitebi-Kabusu-24'!I35,'27.07 Kitebi-Kabusu-24h'!I35,'28.07 Kitebi-Kabusu'!I35)</f>
        <v>5</v>
      </c>
      <c r="J35" s="49">
        <f>AVERAGE('22.07 Kitebi-Kabusu'!J35,'23.07 Kitebi-Kabusu'!J35,'24.07 Kitebi-Kabusu'!J35,'25.07 Kabusu-Kitebi'!J35,'26.07 Kitebi-Kabusu-24'!J35,'27.07 Kitebi-Kabusu-24h'!J35,'28.07 Kitebi-Kabusu'!J35)</f>
        <v>0.5714285714285714</v>
      </c>
      <c r="K35" s="49">
        <f>AVERAGE('22.07 Kitebi-Kabusu'!K35,'23.07 Kitebi-Kabusu'!K35,'24.07 Kitebi-Kabusu'!K35,'25.07 Kabusu-Kitebi'!K35,'26.07 Kitebi-Kabusu-24'!K35,'27.07 Kitebi-Kabusu-24h'!K35,'28.07 Kitebi-Kabusu'!K35)</f>
        <v>0.2857142857142857</v>
      </c>
      <c r="L35" s="49">
        <f>AVERAGE('22.07 Kitebi-Kabusu'!L35,'23.07 Kitebi-Kabusu'!L35,'24.07 Kitebi-Kabusu'!L35,'25.07 Kabusu-Kitebi'!L35,'26.07 Kitebi-Kabusu-24'!L35,'27.07 Kitebi-Kabusu-24h'!L35,'28.07 Kitebi-Kabusu'!L35)</f>
        <v>0.8571428571428571</v>
      </c>
      <c r="M35" s="49">
        <f>AVERAGE('22.07 Kitebi-Kabusu'!M35,'23.07 Kitebi-Kabusu'!M35,'24.07 Kitebi-Kabusu'!M35,'25.07 Kabusu-Kitebi'!M35,'26.07 Kitebi-Kabusu-24'!M35,'27.07 Kitebi-Kabusu-24h'!M35,'28.07 Kitebi-Kabusu'!M35)</f>
        <v>159.28571428571428</v>
      </c>
      <c r="N35" s="49">
        <f>AVERAGE('22.07 Kitebi-Kabusu'!N35,'23.07 Kitebi-Kabusu'!N35,'24.07 Kitebi-Kabusu'!N35,'25.07 Kabusu-Kitebi'!N35,'26.07 Kitebi-Kabusu-24'!N35,'27.07 Kitebi-Kabusu-24h'!N35,'28.07 Kitebi-Kabusu'!N35)</f>
        <v>0</v>
      </c>
      <c r="O35" s="15">
        <f t="shared" si="0"/>
        <v>82.714285714285722</v>
      </c>
      <c r="P35" s="15">
        <f t="shared" si="1"/>
        <v>242</v>
      </c>
      <c r="R35" s="38" t="s">
        <v>91</v>
      </c>
      <c r="S35" s="39">
        <f t="shared" ref="S35:AF35" si="28">MAX(S13:S18)</f>
        <v>268.42857142857139</v>
      </c>
      <c r="T35" s="39">
        <f t="shared" si="28"/>
        <v>44.857142857142861</v>
      </c>
      <c r="U35" s="39">
        <f t="shared" si="28"/>
        <v>32.714285714285715</v>
      </c>
      <c r="V35" s="39">
        <f t="shared" si="28"/>
        <v>100.71428571428571</v>
      </c>
      <c r="W35" s="39">
        <f t="shared" si="28"/>
        <v>1.8571428571428568</v>
      </c>
      <c r="X35" s="39">
        <f t="shared" si="28"/>
        <v>1.2857142857142856</v>
      </c>
      <c r="Y35" s="39">
        <f t="shared" si="28"/>
        <v>28.142857142857146</v>
      </c>
      <c r="Z35" s="39">
        <f t="shared" si="28"/>
        <v>6</v>
      </c>
      <c r="AA35" s="39">
        <f t="shared" si="28"/>
        <v>4.7142857142857144</v>
      </c>
      <c r="AB35" s="39">
        <f t="shared" si="28"/>
        <v>3.2857142857142856</v>
      </c>
      <c r="AC35" s="39">
        <f t="shared" si="28"/>
        <v>784.14285714285711</v>
      </c>
      <c r="AD35" s="39">
        <f t="shared" si="28"/>
        <v>0</v>
      </c>
      <c r="AE35" s="40">
        <f t="shared" si="28"/>
        <v>486.85714285714289</v>
      </c>
      <c r="AF35" s="40">
        <f t="shared" si="28"/>
        <v>1271</v>
      </c>
    </row>
    <row r="36" spans="2:32" ht="23.1" customHeight="1" x14ac:dyDescent="0.25">
      <c r="B36" s="24" t="s">
        <v>63</v>
      </c>
      <c r="C36" s="49">
        <f>AVERAGE('22.07 Kitebi-Kabusu'!C36,'23.07 Kitebi-Kabusu'!C36,'24.07 Kitebi-Kabusu'!C36,'25.07 Kabusu-Kitebi'!C36,'26.07 Kitebi-Kabusu-24'!C36,'27.07 Kitebi-Kabusu-24h'!C36,'28.07 Kitebi-Kabusu'!C36)</f>
        <v>42.285714285714285</v>
      </c>
      <c r="D36" s="49">
        <f>AVERAGE('22.07 Kitebi-Kabusu'!D36,'23.07 Kitebi-Kabusu'!D36,'24.07 Kitebi-Kabusu'!D36,'25.07 Kabusu-Kitebi'!D36,'26.07 Kitebi-Kabusu-24'!D36,'27.07 Kitebi-Kabusu-24h'!D36,'28.07 Kitebi-Kabusu'!D36)</f>
        <v>7.7142857142857144</v>
      </c>
      <c r="E36" s="49">
        <f>AVERAGE('22.07 Kitebi-Kabusu'!E36,'23.07 Kitebi-Kabusu'!E36,'24.07 Kitebi-Kabusu'!E36,'25.07 Kabusu-Kitebi'!E36,'26.07 Kitebi-Kabusu-24'!E36,'27.07 Kitebi-Kabusu-24h'!E36,'28.07 Kitebi-Kabusu'!E36)</f>
        <v>7.8571428571428568</v>
      </c>
      <c r="F36" s="49">
        <f>AVERAGE('22.07 Kitebi-Kabusu'!F36,'23.07 Kitebi-Kabusu'!F36,'24.07 Kitebi-Kabusu'!F36,'25.07 Kabusu-Kitebi'!F36,'26.07 Kitebi-Kabusu-24'!F36,'27.07 Kitebi-Kabusu-24h'!F36,'28.07 Kitebi-Kabusu'!F36)</f>
        <v>18.571428571428573</v>
      </c>
      <c r="G36" s="49">
        <f>AVERAGE('22.07 Kitebi-Kabusu'!G36,'23.07 Kitebi-Kabusu'!G36,'24.07 Kitebi-Kabusu'!G36,'25.07 Kabusu-Kitebi'!G36,'26.07 Kitebi-Kabusu-24'!G36,'27.07 Kitebi-Kabusu-24h'!G36,'28.07 Kitebi-Kabusu'!G36)</f>
        <v>0.14285714285714285</v>
      </c>
      <c r="H36" s="49">
        <f>AVERAGE('22.07 Kitebi-Kabusu'!H36,'23.07 Kitebi-Kabusu'!H36,'24.07 Kitebi-Kabusu'!H36,'25.07 Kabusu-Kitebi'!H36,'26.07 Kitebi-Kabusu-24'!H36,'27.07 Kitebi-Kabusu-24h'!H36,'28.07 Kitebi-Kabusu'!H36)</f>
        <v>0.14285714285714285</v>
      </c>
      <c r="I36" s="49">
        <f>AVERAGE('22.07 Kitebi-Kabusu'!I36,'23.07 Kitebi-Kabusu'!I36,'24.07 Kitebi-Kabusu'!I36,'25.07 Kabusu-Kitebi'!I36,'26.07 Kitebi-Kabusu-24'!I36,'27.07 Kitebi-Kabusu-24h'!I36,'28.07 Kitebi-Kabusu'!I36)</f>
        <v>6.8571428571428568</v>
      </c>
      <c r="J36" s="49">
        <f>AVERAGE('22.07 Kitebi-Kabusu'!J36,'23.07 Kitebi-Kabusu'!J36,'24.07 Kitebi-Kabusu'!J36,'25.07 Kabusu-Kitebi'!J36,'26.07 Kitebi-Kabusu-24'!J36,'27.07 Kitebi-Kabusu-24h'!J36,'28.07 Kitebi-Kabusu'!J36)</f>
        <v>0.8571428571428571</v>
      </c>
      <c r="K36" s="49">
        <f>AVERAGE('22.07 Kitebi-Kabusu'!K36,'23.07 Kitebi-Kabusu'!K36,'24.07 Kitebi-Kabusu'!K36,'25.07 Kabusu-Kitebi'!K36,'26.07 Kitebi-Kabusu-24'!K36,'27.07 Kitebi-Kabusu-24h'!K36,'28.07 Kitebi-Kabusu'!K36)</f>
        <v>0.7142857142857143</v>
      </c>
      <c r="L36" s="49">
        <f>AVERAGE('22.07 Kitebi-Kabusu'!L36,'23.07 Kitebi-Kabusu'!L36,'24.07 Kitebi-Kabusu'!L36,'25.07 Kabusu-Kitebi'!L36,'26.07 Kitebi-Kabusu-24'!L36,'27.07 Kitebi-Kabusu-24h'!L36,'28.07 Kitebi-Kabusu'!L36)</f>
        <v>1.1428571428571428</v>
      </c>
      <c r="M36" s="49">
        <f>AVERAGE('22.07 Kitebi-Kabusu'!M36,'23.07 Kitebi-Kabusu'!M36,'24.07 Kitebi-Kabusu'!M36,'25.07 Kabusu-Kitebi'!M36,'26.07 Kitebi-Kabusu-24'!M36,'27.07 Kitebi-Kabusu-24h'!M36,'28.07 Kitebi-Kabusu'!M36)</f>
        <v>158.71428571428572</v>
      </c>
      <c r="N36" s="49">
        <f>AVERAGE('22.07 Kitebi-Kabusu'!N36,'23.07 Kitebi-Kabusu'!N36,'24.07 Kitebi-Kabusu'!N36,'25.07 Kabusu-Kitebi'!N36,'26.07 Kitebi-Kabusu-24'!N36,'27.07 Kitebi-Kabusu-24h'!N36,'28.07 Kitebi-Kabusu'!N36)</f>
        <v>0</v>
      </c>
      <c r="O36" s="15">
        <f t="shared" si="0"/>
        <v>86.285714285714278</v>
      </c>
      <c r="P36" s="15">
        <f t="shared" si="1"/>
        <v>245</v>
      </c>
      <c r="R36" s="38" t="s">
        <v>92</v>
      </c>
      <c r="S36" s="39">
        <f t="shared" ref="S36:AF36" si="29">MAX(S19:S21)</f>
        <v>208.85714285714286</v>
      </c>
      <c r="T36" s="39">
        <f t="shared" si="29"/>
        <v>31.428571428571427</v>
      </c>
      <c r="U36" s="39">
        <f t="shared" si="29"/>
        <v>40.142857142857146</v>
      </c>
      <c r="V36" s="39">
        <f t="shared" si="29"/>
        <v>116</v>
      </c>
      <c r="W36" s="39">
        <f t="shared" si="29"/>
        <v>4.2857142857142856</v>
      </c>
      <c r="X36" s="39">
        <f t="shared" si="29"/>
        <v>0.71428571428571419</v>
      </c>
      <c r="Y36" s="39">
        <f t="shared" si="29"/>
        <v>22.571428571428569</v>
      </c>
      <c r="Z36" s="39">
        <f t="shared" si="29"/>
        <v>4.1428571428571432</v>
      </c>
      <c r="AA36" s="39">
        <f t="shared" si="29"/>
        <v>2.4285714285714284</v>
      </c>
      <c r="AB36" s="39">
        <f t="shared" si="29"/>
        <v>2.4285714285714284</v>
      </c>
      <c r="AC36" s="39">
        <f t="shared" si="29"/>
        <v>742.42857142857144</v>
      </c>
      <c r="AD36" s="39">
        <f t="shared" si="29"/>
        <v>0</v>
      </c>
      <c r="AE36" s="40">
        <f t="shared" si="29"/>
        <v>416.71428571428561</v>
      </c>
      <c r="AF36" s="40">
        <f t="shared" si="29"/>
        <v>1159.1428571428571</v>
      </c>
    </row>
    <row r="37" spans="2:32" ht="23.1" customHeight="1" x14ac:dyDescent="0.25">
      <c r="B37" s="23" t="s">
        <v>64</v>
      </c>
      <c r="C37" s="49">
        <f>AVERAGE('22.07 Kitebi-Kabusu'!C37,'23.07 Kitebi-Kabusu'!C37,'24.07 Kitebi-Kabusu'!C37,'25.07 Kabusu-Kitebi'!C37,'26.07 Kitebi-Kabusu-24'!C37,'27.07 Kitebi-Kabusu-24h'!C37,'28.07 Kitebi-Kabusu'!C37)</f>
        <v>40.428571428571431</v>
      </c>
      <c r="D37" s="49">
        <f>AVERAGE('22.07 Kitebi-Kabusu'!D37,'23.07 Kitebi-Kabusu'!D37,'24.07 Kitebi-Kabusu'!D37,'25.07 Kabusu-Kitebi'!D37,'26.07 Kitebi-Kabusu-24'!D37,'27.07 Kitebi-Kabusu-24h'!D37,'28.07 Kitebi-Kabusu'!D37)</f>
        <v>3.5714285714285716</v>
      </c>
      <c r="E37" s="49">
        <f>AVERAGE('22.07 Kitebi-Kabusu'!E37,'23.07 Kitebi-Kabusu'!E37,'24.07 Kitebi-Kabusu'!E37,'25.07 Kabusu-Kitebi'!E37,'26.07 Kitebi-Kabusu-24'!E37,'27.07 Kitebi-Kabusu-24h'!E37,'28.07 Kitebi-Kabusu'!E37)</f>
        <v>8.2857142857142865</v>
      </c>
      <c r="F37" s="49">
        <f>AVERAGE('22.07 Kitebi-Kabusu'!F37,'23.07 Kitebi-Kabusu'!F37,'24.07 Kitebi-Kabusu'!F37,'25.07 Kabusu-Kitebi'!F37,'26.07 Kitebi-Kabusu-24'!F37,'27.07 Kitebi-Kabusu-24h'!F37,'28.07 Kitebi-Kabusu'!F37)</f>
        <v>18.142857142857142</v>
      </c>
      <c r="G37" s="49">
        <f>AVERAGE('22.07 Kitebi-Kabusu'!G37,'23.07 Kitebi-Kabusu'!G37,'24.07 Kitebi-Kabusu'!G37,'25.07 Kabusu-Kitebi'!G37,'26.07 Kitebi-Kabusu-24'!G37,'27.07 Kitebi-Kabusu-24h'!G37,'28.07 Kitebi-Kabusu'!G37)</f>
        <v>0.42857142857142855</v>
      </c>
      <c r="H37" s="49">
        <f>AVERAGE('22.07 Kitebi-Kabusu'!H37,'23.07 Kitebi-Kabusu'!H37,'24.07 Kitebi-Kabusu'!H37,'25.07 Kabusu-Kitebi'!H37,'26.07 Kitebi-Kabusu-24'!H37,'27.07 Kitebi-Kabusu-24h'!H37,'28.07 Kitebi-Kabusu'!H37)</f>
        <v>0.42857142857142855</v>
      </c>
      <c r="I37" s="49">
        <f>AVERAGE('22.07 Kitebi-Kabusu'!I37,'23.07 Kitebi-Kabusu'!I37,'24.07 Kitebi-Kabusu'!I37,'25.07 Kabusu-Kitebi'!I37,'26.07 Kitebi-Kabusu-24'!I37,'27.07 Kitebi-Kabusu-24h'!I37,'28.07 Kitebi-Kabusu'!I37)</f>
        <v>7.2857142857142856</v>
      </c>
      <c r="J37" s="49">
        <f>AVERAGE('22.07 Kitebi-Kabusu'!J37,'23.07 Kitebi-Kabusu'!J37,'24.07 Kitebi-Kabusu'!J37,'25.07 Kabusu-Kitebi'!J37,'26.07 Kitebi-Kabusu-24'!J37,'27.07 Kitebi-Kabusu-24h'!J37,'28.07 Kitebi-Kabusu'!J37)</f>
        <v>0.8571428571428571</v>
      </c>
      <c r="K37" s="49">
        <f>AVERAGE('22.07 Kitebi-Kabusu'!K37,'23.07 Kitebi-Kabusu'!K37,'24.07 Kitebi-Kabusu'!K37,'25.07 Kabusu-Kitebi'!K37,'26.07 Kitebi-Kabusu-24'!K37,'27.07 Kitebi-Kabusu-24h'!K37,'28.07 Kitebi-Kabusu'!K37)</f>
        <v>1</v>
      </c>
      <c r="L37" s="49">
        <f>AVERAGE('22.07 Kitebi-Kabusu'!L37,'23.07 Kitebi-Kabusu'!L37,'24.07 Kitebi-Kabusu'!L37,'25.07 Kabusu-Kitebi'!L37,'26.07 Kitebi-Kabusu-24'!L37,'27.07 Kitebi-Kabusu-24h'!L37,'28.07 Kitebi-Kabusu'!L37)</f>
        <v>0.5714285714285714</v>
      </c>
      <c r="M37" s="49">
        <f>AVERAGE('22.07 Kitebi-Kabusu'!M37,'23.07 Kitebi-Kabusu'!M37,'24.07 Kitebi-Kabusu'!M37,'25.07 Kabusu-Kitebi'!M37,'26.07 Kitebi-Kabusu-24'!M37,'27.07 Kitebi-Kabusu-24h'!M37,'28.07 Kitebi-Kabusu'!M37)</f>
        <v>139.14285714285714</v>
      </c>
      <c r="N37" s="49">
        <f>AVERAGE('22.07 Kitebi-Kabusu'!N37,'23.07 Kitebi-Kabusu'!N37,'24.07 Kitebi-Kabusu'!N37,'25.07 Kabusu-Kitebi'!N37,'26.07 Kitebi-Kabusu-24'!N37,'27.07 Kitebi-Kabusu-24h'!N37,'28.07 Kitebi-Kabusu'!N37)</f>
        <v>0</v>
      </c>
      <c r="O37" s="15">
        <f t="shared" si="0"/>
        <v>81.000000000000014</v>
      </c>
      <c r="P37" s="15">
        <f t="shared" si="1"/>
        <v>220.14285714285717</v>
      </c>
      <c r="R37" s="37" t="s">
        <v>85</v>
      </c>
      <c r="S37" s="35">
        <f t="shared" ref="S37:AF37" si="30">SUM(S10:S12)</f>
        <v>1000.4285714285716</v>
      </c>
      <c r="T37" s="16">
        <f t="shared" si="30"/>
        <v>134.42857142857142</v>
      </c>
      <c r="U37" s="16">
        <f t="shared" si="30"/>
        <v>106.71428571428571</v>
      </c>
      <c r="V37" s="16">
        <f t="shared" si="30"/>
        <v>338.42857142857144</v>
      </c>
      <c r="W37" s="16">
        <f t="shared" si="30"/>
        <v>5.4285714285714288</v>
      </c>
      <c r="X37" s="16">
        <f t="shared" si="30"/>
        <v>1.7619047619047619</v>
      </c>
      <c r="Y37" s="16">
        <f t="shared" si="30"/>
        <v>64</v>
      </c>
      <c r="Z37" s="16">
        <f t="shared" si="30"/>
        <v>5.1428571428571423</v>
      </c>
      <c r="AA37" s="16">
        <f t="shared" si="30"/>
        <v>4.4285714285714288</v>
      </c>
      <c r="AB37" s="16">
        <f t="shared" si="30"/>
        <v>3.714285714285714</v>
      </c>
      <c r="AC37" s="16">
        <f t="shared" si="30"/>
        <v>2484.2857142857142</v>
      </c>
      <c r="AD37" s="16">
        <f t="shared" si="30"/>
        <v>0</v>
      </c>
      <c r="AE37" s="32">
        <f t="shared" si="30"/>
        <v>1664.4761904761904</v>
      </c>
      <c r="AF37" s="32">
        <f t="shared" si="30"/>
        <v>4148.7619047619046</v>
      </c>
    </row>
    <row r="38" spans="2:32" ht="23.1" customHeight="1" x14ac:dyDescent="0.25">
      <c r="B38" s="24" t="s">
        <v>65</v>
      </c>
      <c r="C38" s="49">
        <f>AVERAGE('22.07 Kitebi-Kabusu'!C38,'23.07 Kitebi-Kabusu'!C38,'24.07 Kitebi-Kabusu'!C38,'25.07 Kabusu-Kitebi'!C38,'26.07 Kitebi-Kabusu-24'!C38,'27.07 Kitebi-Kabusu-24h'!C38,'28.07 Kitebi-Kabusu'!C38)</f>
        <v>48.571428571428569</v>
      </c>
      <c r="D38" s="49">
        <f>AVERAGE('22.07 Kitebi-Kabusu'!D38,'23.07 Kitebi-Kabusu'!D38,'24.07 Kitebi-Kabusu'!D38,'25.07 Kabusu-Kitebi'!D38,'26.07 Kitebi-Kabusu-24'!D38,'27.07 Kitebi-Kabusu-24h'!D38,'28.07 Kitebi-Kabusu'!D38)</f>
        <v>5.2857142857142856</v>
      </c>
      <c r="E38" s="49">
        <f>AVERAGE('22.07 Kitebi-Kabusu'!E38,'23.07 Kitebi-Kabusu'!E38,'24.07 Kitebi-Kabusu'!E38,'25.07 Kabusu-Kitebi'!E38,'26.07 Kitebi-Kabusu-24'!E38,'27.07 Kitebi-Kabusu-24h'!E38,'28.07 Kitebi-Kabusu'!E38)</f>
        <v>7.1428571428571432</v>
      </c>
      <c r="F38" s="49">
        <f>AVERAGE('22.07 Kitebi-Kabusu'!F38,'23.07 Kitebi-Kabusu'!F38,'24.07 Kitebi-Kabusu'!F38,'25.07 Kabusu-Kitebi'!F38,'26.07 Kitebi-Kabusu-24'!F38,'27.07 Kitebi-Kabusu-24h'!F38,'28.07 Kitebi-Kabusu'!F38)</f>
        <v>18.857142857142858</v>
      </c>
      <c r="G38" s="49">
        <f>AVERAGE('22.07 Kitebi-Kabusu'!G38,'23.07 Kitebi-Kabusu'!G38,'24.07 Kitebi-Kabusu'!G38,'25.07 Kabusu-Kitebi'!G38,'26.07 Kitebi-Kabusu-24'!G38,'27.07 Kitebi-Kabusu-24h'!G38,'28.07 Kitebi-Kabusu'!G38)</f>
        <v>0.2857142857142857</v>
      </c>
      <c r="H38" s="49">
        <f>AVERAGE('22.07 Kitebi-Kabusu'!H38,'23.07 Kitebi-Kabusu'!H38,'24.07 Kitebi-Kabusu'!H38,'25.07 Kabusu-Kitebi'!H38,'26.07 Kitebi-Kabusu-24'!H38,'27.07 Kitebi-Kabusu-24h'!H38,'28.07 Kitebi-Kabusu'!H38)</f>
        <v>0.14285714285714285</v>
      </c>
      <c r="I38" s="49">
        <f>AVERAGE('22.07 Kitebi-Kabusu'!I38,'23.07 Kitebi-Kabusu'!I38,'24.07 Kitebi-Kabusu'!I38,'25.07 Kabusu-Kitebi'!I38,'26.07 Kitebi-Kabusu-24'!I38,'27.07 Kitebi-Kabusu-24h'!I38,'28.07 Kitebi-Kabusu'!I38)</f>
        <v>3.5714285714285716</v>
      </c>
      <c r="J38" s="49">
        <f>AVERAGE('22.07 Kitebi-Kabusu'!J38,'23.07 Kitebi-Kabusu'!J38,'24.07 Kitebi-Kabusu'!J38,'25.07 Kabusu-Kitebi'!J38,'26.07 Kitebi-Kabusu-24'!J38,'27.07 Kitebi-Kabusu-24h'!J38,'28.07 Kitebi-Kabusu'!J38)</f>
        <v>2</v>
      </c>
      <c r="K38" s="49">
        <f>AVERAGE('22.07 Kitebi-Kabusu'!K38,'23.07 Kitebi-Kabusu'!K38,'24.07 Kitebi-Kabusu'!K38,'25.07 Kabusu-Kitebi'!K38,'26.07 Kitebi-Kabusu-24'!K38,'27.07 Kitebi-Kabusu-24h'!K38,'28.07 Kitebi-Kabusu'!K38)</f>
        <v>0.42857142857142855</v>
      </c>
      <c r="L38" s="49">
        <f>AVERAGE('22.07 Kitebi-Kabusu'!L38,'23.07 Kitebi-Kabusu'!L38,'24.07 Kitebi-Kabusu'!L38,'25.07 Kabusu-Kitebi'!L38,'26.07 Kitebi-Kabusu-24'!L38,'27.07 Kitebi-Kabusu-24h'!L38,'28.07 Kitebi-Kabusu'!L38)</f>
        <v>0.7142857142857143</v>
      </c>
      <c r="M38" s="49">
        <f>AVERAGE('22.07 Kitebi-Kabusu'!M38,'23.07 Kitebi-Kabusu'!M38,'24.07 Kitebi-Kabusu'!M38,'25.07 Kabusu-Kitebi'!M38,'26.07 Kitebi-Kabusu-24'!M38,'27.07 Kitebi-Kabusu-24h'!M38,'28.07 Kitebi-Kabusu'!M38)</f>
        <v>163.85714285714286</v>
      </c>
      <c r="N38" s="49">
        <f>AVERAGE('22.07 Kitebi-Kabusu'!N38,'23.07 Kitebi-Kabusu'!N38,'24.07 Kitebi-Kabusu'!N38,'25.07 Kabusu-Kitebi'!N38,'26.07 Kitebi-Kabusu-24'!N38,'27.07 Kitebi-Kabusu-24h'!N38,'28.07 Kitebi-Kabusu'!N38)</f>
        <v>0</v>
      </c>
      <c r="O38" s="15">
        <f t="shared" si="0"/>
        <v>87</v>
      </c>
      <c r="P38" s="15">
        <f t="shared" si="1"/>
        <v>250.85714285714286</v>
      </c>
      <c r="R38" s="28" t="s">
        <v>86</v>
      </c>
      <c r="S38" s="16">
        <f t="shared" ref="S38:AF38" si="31">SUM(S13:S18)</f>
        <v>1240.2857142857142</v>
      </c>
      <c r="T38" s="16">
        <f t="shared" si="31"/>
        <v>184.28571428571428</v>
      </c>
      <c r="U38" s="16">
        <f t="shared" si="31"/>
        <v>175</v>
      </c>
      <c r="V38" s="16">
        <f t="shared" si="31"/>
        <v>492.57142857142861</v>
      </c>
      <c r="W38" s="16">
        <f t="shared" si="31"/>
        <v>7</v>
      </c>
      <c r="X38" s="16">
        <f t="shared" si="31"/>
        <v>4.8571428571428568</v>
      </c>
      <c r="Y38" s="16">
        <f t="shared" si="31"/>
        <v>144.71428571428572</v>
      </c>
      <c r="Z38" s="16">
        <f t="shared" si="31"/>
        <v>25.142857142857142</v>
      </c>
      <c r="AA38" s="16">
        <f t="shared" si="31"/>
        <v>17.714285714285715</v>
      </c>
      <c r="AB38" s="16">
        <f t="shared" si="31"/>
        <v>15.714285714285714</v>
      </c>
      <c r="AC38" s="16">
        <f t="shared" si="31"/>
        <v>3987.1428571428569</v>
      </c>
      <c r="AD38" s="16">
        <f t="shared" si="31"/>
        <v>0</v>
      </c>
      <c r="AE38" s="32">
        <f t="shared" si="31"/>
        <v>2307.2857142857142</v>
      </c>
      <c r="AF38" s="32">
        <f t="shared" si="31"/>
        <v>6294.4285714285725</v>
      </c>
    </row>
    <row r="39" spans="2:32" ht="23.1" customHeight="1" x14ac:dyDescent="0.25">
      <c r="B39" s="24" t="s">
        <v>66</v>
      </c>
      <c r="C39" s="49">
        <f>AVERAGE('22.07 Kitebi-Kabusu'!C39,'23.07 Kitebi-Kabusu'!C39,'24.07 Kitebi-Kabusu'!C39,'25.07 Kabusu-Kitebi'!C39,'26.07 Kitebi-Kabusu-24'!C39,'27.07 Kitebi-Kabusu-24h'!C39,'28.07 Kitebi-Kabusu'!C39)</f>
        <v>48</v>
      </c>
      <c r="D39" s="49">
        <f>AVERAGE('22.07 Kitebi-Kabusu'!D39,'23.07 Kitebi-Kabusu'!D39,'24.07 Kitebi-Kabusu'!D39,'25.07 Kabusu-Kitebi'!D39,'26.07 Kitebi-Kabusu-24'!D39,'27.07 Kitebi-Kabusu-24h'!D39,'28.07 Kitebi-Kabusu'!D39)</f>
        <v>6.7142857142857144</v>
      </c>
      <c r="E39" s="49">
        <f>AVERAGE('22.07 Kitebi-Kabusu'!E39,'23.07 Kitebi-Kabusu'!E39,'24.07 Kitebi-Kabusu'!E39,'25.07 Kabusu-Kitebi'!E39,'26.07 Kitebi-Kabusu-24'!E39,'27.07 Kitebi-Kabusu-24h'!E39,'28.07 Kitebi-Kabusu'!E39)</f>
        <v>7.8571428571428568</v>
      </c>
      <c r="F39" s="49">
        <f>AVERAGE('22.07 Kitebi-Kabusu'!F39,'23.07 Kitebi-Kabusu'!F39,'24.07 Kitebi-Kabusu'!F39,'25.07 Kabusu-Kitebi'!F39,'26.07 Kitebi-Kabusu-24'!F39,'27.07 Kitebi-Kabusu-24h'!F39,'28.07 Kitebi-Kabusu'!F39)</f>
        <v>18</v>
      </c>
      <c r="G39" s="49">
        <f>AVERAGE('22.07 Kitebi-Kabusu'!G39,'23.07 Kitebi-Kabusu'!G39,'24.07 Kitebi-Kabusu'!G39,'25.07 Kabusu-Kitebi'!G39,'26.07 Kitebi-Kabusu-24'!G39,'27.07 Kitebi-Kabusu-24h'!G39,'28.07 Kitebi-Kabusu'!G39)</f>
        <v>0.2857142857142857</v>
      </c>
      <c r="H39" s="49">
        <f>AVERAGE('22.07 Kitebi-Kabusu'!H39,'23.07 Kitebi-Kabusu'!H39,'24.07 Kitebi-Kabusu'!H39,'25.07 Kabusu-Kitebi'!H39,'26.07 Kitebi-Kabusu-24'!H39,'27.07 Kitebi-Kabusu-24h'!H39,'28.07 Kitebi-Kabusu'!H39)</f>
        <v>0</v>
      </c>
      <c r="I39" s="49">
        <f>AVERAGE('22.07 Kitebi-Kabusu'!I39,'23.07 Kitebi-Kabusu'!I39,'24.07 Kitebi-Kabusu'!I39,'25.07 Kabusu-Kitebi'!I39,'26.07 Kitebi-Kabusu-24'!I39,'27.07 Kitebi-Kabusu-24h'!I39,'28.07 Kitebi-Kabusu'!I39)</f>
        <v>5.4285714285714288</v>
      </c>
      <c r="J39" s="49">
        <f>AVERAGE('22.07 Kitebi-Kabusu'!J39,'23.07 Kitebi-Kabusu'!J39,'24.07 Kitebi-Kabusu'!J39,'25.07 Kabusu-Kitebi'!J39,'26.07 Kitebi-Kabusu-24'!J39,'27.07 Kitebi-Kabusu-24h'!J39,'28.07 Kitebi-Kabusu'!J39)</f>
        <v>0.8571428571428571</v>
      </c>
      <c r="K39" s="49">
        <f>AVERAGE('22.07 Kitebi-Kabusu'!K39,'23.07 Kitebi-Kabusu'!K39,'24.07 Kitebi-Kabusu'!K39,'25.07 Kabusu-Kitebi'!K39,'26.07 Kitebi-Kabusu-24'!K39,'27.07 Kitebi-Kabusu-24h'!K39,'28.07 Kitebi-Kabusu'!K39)</f>
        <v>0.42857142857142855</v>
      </c>
      <c r="L39" s="49">
        <f>AVERAGE('22.07 Kitebi-Kabusu'!L39,'23.07 Kitebi-Kabusu'!L39,'24.07 Kitebi-Kabusu'!L39,'25.07 Kabusu-Kitebi'!L39,'26.07 Kitebi-Kabusu-24'!L39,'27.07 Kitebi-Kabusu-24h'!L39,'28.07 Kitebi-Kabusu'!L39)</f>
        <v>0.2857142857142857</v>
      </c>
      <c r="M39" s="49">
        <f>AVERAGE('22.07 Kitebi-Kabusu'!M39,'23.07 Kitebi-Kabusu'!M39,'24.07 Kitebi-Kabusu'!M39,'25.07 Kabusu-Kitebi'!M39,'26.07 Kitebi-Kabusu-24'!M39,'27.07 Kitebi-Kabusu-24h'!M39,'28.07 Kitebi-Kabusu'!M39)</f>
        <v>154.28571428571428</v>
      </c>
      <c r="N39" s="49">
        <f>AVERAGE('22.07 Kitebi-Kabusu'!N39,'23.07 Kitebi-Kabusu'!N39,'24.07 Kitebi-Kabusu'!N39,'25.07 Kabusu-Kitebi'!N39,'26.07 Kitebi-Kabusu-24'!N39,'27.07 Kitebi-Kabusu-24h'!N39,'28.07 Kitebi-Kabusu'!N39)</f>
        <v>0</v>
      </c>
      <c r="O39" s="15">
        <f t="shared" si="0"/>
        <v>87.857142857142875</v>
      </c>
      <c r="P39" s="15">
        <f t="shared" si="1"/>
        <v>242.14285714285717</v>
      </c>
      <c r="R39" s="29" t="s">
        <v>87</v>
      </c>
      <c r="S39" s="16">
        <f t="shared" ref="S39:AF39" si="32">SUM(S19:S21)</f>
        <v>598.42857142857144</v>
      </c>
      <c r="T39" s="16">
        <f t="shared" si="32"/>
        <v>86.571428571428569</v>
      </c>
      <c r="U39" s="16">
        <f t="shared" si="32"/>
        <v>94.857142857142861</v>
      </c>
      <c r="V39" s="16">
        <f t="shared" si="32"/>
        <v>258.71428571428572</v>
      </c>
      <c r="W39" s="16">
        <f t="shared" si="32"/>
        <v>9.1428571428571423</v>
      </c>
      <c r="X39" s="16">
        <f t="shared" si="32"/>
        <v>1.4285714285714284</v>
      </c>
      <c r="Y39" s="16">
        <f t="shared" si="32"/>
        <v>66.428571428571416</v>
      </c>
      <c r="Z39" s="16">
        <f t="shared" si="32"/>
        <v>11.142857142857142</v>
      </c>
      <c r="AA39" s="16">
        <f t="shared" si="32"/>
        <v>5.5714285714285712</v>
      </c>
      <c r="AB39" s="16">
        <f t="shared" si="32"/>
        <v>6.4285714285714288</v>
      </c>
      <c r="AC39" s="16">
        <f t="shared" si="32"/>
        <v>2066</v>
      </c>
      <c r="AD39" s="16">
        <f t="shared" si="32"/>
        <v>0</v>
      </c>
      <c r="AE39" s="32">
        <f t="shared" si="32"/>
        <v>1138.7142857142858</v>
      </c>
      <c r="AF39" s="32">
        <f t="shared" si="32"/>
        <v>3204.7142857142858</v>
      </c>
    </row>
    <row r="40" spans="2:32" ht="23.1" customHeight="1" x14ac:dyDescent="0.25">
      <c r="B40" s="24" t="s">
        <v>67</v>
      </c>
      <c r="C40" s="49">
        <f>AVERAGE('22.07 Kitebi-Kabusu'!C40,'23.07 Kitebi-Kabusu'!C40,'24.07 Kitebi-Kabusu'!C40,'25.07 Kabusu-Kitebi'!C40,'26.07 Kitebi-Kabusu-24'!C40,'27.07 Kitebi-Kabusu-24h'!C40,'28.07 Kitebi-Kabusu'!C40)</f>
        <v>44</v>
      </c>
      <c r="D40" s="49">
        <f>AVERAGE('22.07 Kitebi-Kabusu'!D40,'23.07 Kitebi-Kabusu'!D40,'24.07 Kitebi-Kabusu'!D40,'25.07 Kabusu-Kitebi'!D40,'26.07 Kitebi-Kabusu-24'!D40,'27.07 Kitebi-Kabusu-24h'!D40,'28.07 Kitebi-Kabusu'!D40)</f>
        <v>7.5714285714285712</v>
      </c>
      <c r="E40" s="49">
        <f>AVERAGE('22.07 Kitebi-Kabusu'!E40,'23.07 Kitebi-Kabusu'!E40,'24.07 Kitebi-Kabusu'!E40,'25.07 Kabusu-Kitebi'!E40,'26.07 Kitebi-Kabusu-24'!E40,'27.07 Kitebi-Kabusu-24h'!E40,'28.07 Kitebi-Kabusu'!E40)</f>
        <v>5.2857142857142856</v>
      </c>
      <c r="F40" s="49">
        <f>AVERAGE('22.07 Kitebi-Kabusu'!F40,'23.07 Kitebi-Kabusu'!F40,'24.07 Kitebi-Kabusu'!F40,'25.07 Kabusu-Kitebi'!F40,'26.07 Kitebi-Kabusu-24'!F40,'27.07 Kitebi-Kabusu-24h'!F40,'28.07 Kitebi-Kabusu'!F40)</f>
        <v>17.142857142857142</v>
      </c>
      <c r="G40" s="49">
        <f>AVERAGE('22.07 Kitebi-Kabusu'!G40,'23.07 Kitebi-Kabusu'!G40,'24.07 Kitebi-Kabusu'!G40,'25.07 Kabusu-Kitebi'!G40,'26.07 Kitebi-Kabusu-24'!G40,'27.07 Kitebi-Kabusu-24h'!G40,'28.07 Kitebi-Kabusu'!G40)</f>
        <v>0</v>
      </c>
      <c r="H40" s="49">
        <f>AVERAGE('22.07 Kitebi-Kabusu'!H40,'23.07 Kitebi-Kabusu'!H40,'24.07 Kitebi-Kabusu'!H40,'25.07 Kabusu-Kitebi'!H40,'26.07 Kitebi-Kabusu-24'!H40,'27.07 Kitebi-Kabusu-24h'!H40,'28.07 Kitebi-Kabusu'!H40)</f>
        <v>0.14285714285714285</v>
      </c>
      <c r="I40" s="49">
        <f>AVERAGE('22.07 Kitebi-Kabusu'!I40,'23.07 Kitebi-Kabusu'!I40,'24.07 Kitebi-Kabusu'!I40,'25.07 Kabusu-Kitebi'!I40,'26.07 Kitebi-Kabusu-24'!I40,'27.07 Kitebi-Kabusu-24h'!I40,'28.07 Kitebi-Kabusu'!I40)</f>
        <v>5.5714285714285712</v>
      </c>
      <c r="J40" s="49">
        <f>AVERAGE('22.07 Kitebi-Kabusu'!J40,'23.07 Kitebi-Kabusu'!J40,'24.07 Kitebi-Kabusu'!J40,'25.07 Kabusu-Kitebi'!J40,'26.07 Kitebi-Kabusu-24'!J40,'27.07 Kitebi-Kabusu-24h'!J40,'28.07 Kitebi-Kabusu'!J40)</f>
        <v>2.1428571428571428</v>
      </c>
      <c r="K40" s="49">
        <f>AVERAGE('22.07 Kitebi-Kabusu'!K40,'23.07 Kitebi-Kabusu'!K40,'24.07 Kitebi-Kabusu'!K40,'25.07 Kabusu-Kitebi'!K40,'26.07 Kitebi-Kabusu-24'!K40,'27.07 Kitebi-Kabusu-24h'!K40,'28.07 Kitebi-Kabusu'!K40)</f>
        <v>1.8571428571428572</v>
      </c>
      <c r="L40" s="49">
        <f>AVERAGE('22.07 Kitebi-Kabusu'!L40,'23.07 Kitebi-Kabusu'!L40,'24.07 Kitebi-Kabusu'!L40,'25.07 Kabusu-Kitebi'!L40,'26.07 Kitebi-Kabusu-24'!L40,'27.07 Kitebi-Kabusu-24h'!L40,'28.07 Kitebi-Kabusu'!L40)</f>
        <v>0.42857142857142855</v>
      </c>
      <c r="M40" s="49">
        <f>AVERAGE('22.07 Kitebi-Kabusu'!M40,'23.07 Kitebi-Kabusu'!M40,'24.07 Kitebi-Kabusu'!M40,'25.07 Kabusu-Kitebi'!M40,'26.07 Kitebi-Kabusu-24'!M40,'27.07 Kitebi-Kabusu-24h'!M40,'28.07 Kitebi-Kabusu'!M40)</f>
        <v>156.85714285714286</v>
      </c>
      <c r="N40" s="49">
        <f>AVERAGE('22.07 Kitebi-Kabusu'!N40,'23.07 Kitebi-Kabusu'!N40,'24.07 Kitebi-Kabusu'!N40,'25.07 Kabusu-Kitebi'!N40,'26.07 Kitebi-Kabusu-24'!N40,'27.07 Kitebi-Kabusu-24h'!N40,'28.07 Kitebi-Kabusu'!N40)</f>
        <v>0</v>
      </c>
      <c r="O40" s="15">
        <f t="shared" si="0"/>
        <v>84.142857142857139</v>
      </c>
      <c r="P40" s="15">
        <f t="shared" si="1"/>
        <v>241</v>
      </c>
      <c r="R40" s="5" t="s">
        <v>17</v>
      </c>
      <c r="S40" s="16">
        <f t="shared" ref="S40:AF40" si="33">SUM(S10:S21)</f>
        <v>2839.1428571428573</v>
      </c>
      <c r="T40" s="16">
        <f t="shared" si="33"/>
        <v>405.28571428571439</v>
      </c>
      <c r="U40" s="16">
        <f t="shared" si="33"/>
        <v>376.57142857142861</v>
      </c>
      <c r="V40" s="16">
        <f t="shared" si="33"/>
        <v>1089.7142857142858</v>
      </c>
      <c r="W40" s="16">
        <f t="shared" si="33"/>
        <v>21.571428571428569</v>
      </c>
      <c r="X40" s="16">
        <f t="shared" si="33"/>
        <v>8.0476190476190474</v>
      </c>
      <c r="Y40" s="16">
        <f t="shared" si="33"/>
        <v>275.14285714285711</v>
      </c>
      <c r="Z40" s="16">
        <f t="shared" si="33"/>
        <v>41.428571428571431</v>
      </c>
      <c r="AA40" s="16">
        <f t="shared" si="33"/>
        <v>27.714285714285708</v>
      </c>
      <c r="AB40" s="16">
        <f t="shared" si="33"/>
        <v>25.857142857142854</v>
      </c>
      <c r="AC40" s="16">
        <f t="shared" si="33"/>
        <v>8537.4285714285706</v>
      </c>
      <c r="AD40" s="16">
        <f t="shared" si="33"/>
        <v>0</v>
      </c>
      <c r="AE40" s="32">
        <f t="shared" si="33"/>
        <v>5110.4761904761899</v>
      </c>
      <c r="AF40" s="32">
        <f t="shared" si="33"/>
        <v>13647.904761904761</v>
      </c>
    </row>
    <row r="41" spans="2:32" ht="23.1" customHeight="1" x14ac:dyDescent="0.25">
      <c r="B41" s="23" t="s">
        <v>68</v>
      </c>
      <c r="C41" s="49">
        <f>AVERAGE('22.07 Kitebi-Kabusu'!C41,'23.07 Kitebi-Kabusu'!C41,'24.07 Kitebi-Kabusu'!C41,'25.07 Kabusu-Kitebi'!C41,'26.07 Kitebi-Kabusu-24'!C41,'27.07 Kitebi-Kabusu-24h'!C41,'28.07 Kitebi-Kabusu'!C41)</f>
        <v>38.285714285714285</v>
      </c>
      <c r="D41" s="49">
        <f>AVERAGE('22.07 Kitebi-Kabusu'!D41,'23.07 Kitebi-Kabusu'!D41,'24.07 Kitebi-Kabusu'!D41,'25.07 Kabusu-Kitebi'!D41,'26.07 Kitebi-Kabusu-24'!D41,'27.07 Kitebi-Kabusu-24h'!D41,'28.07 Kitebi-Kabusu'!D41)</f>
        <v>7.5714285714285712</v>
      </c>
      <c r="E41" s="49">
        <f>AVERAGE('22.07 Kitebi-Kabusu'!E41,'23.07 Kitebi-Kabusu'!E41,'24.07 Kitebi-Kabusu'!E41,'25.07 Kabusu-Kitebi'!E41,'26.07 Kitebi-Kabusu-24'!E41,'27.07 Kitebi-Kabusu-24h'!E41,'28.07 Kitebi-Kabusu'!E41)</f>
        <v>6.5714285714285712</v>
      </c>
      <c r="F41" s="49">
        <f>AVERAGE('22.07 Kitebi-Kabusu'!F41,'23.07 Kitebi-Kabusu'!F41,'24.07 Kitebi-Kabusu'!F41,'25.07 Kabusu-Kitebi'!F41,'26.07 Kitebi-Kabusu-24'!F41,'27.07 Kitebi-Kabusu-24h'!F41,'28.07 Kitebi-Kabusu'!F41)</f>
        <v>17</v>
      </c>
      <c r="G41" s="49">
        <f>AVERAGE('22.07 Kitebi-Kabusu'!G41,'23.07 Kitebi-Kabusu'!G41,'24.07 Kitebi-Kabusu'!G41,'25.07 Kabusu-Kitebi'!G41,'26.07 Kitebi-Kabusu-24'!G41,'27.07 Kitebi-Kabusu-24h'!G41,'28.07 Kitebi-Kabusu'!G41)</f>
        <v>0.42857142857142855</v>
      </c>
      <c r="H41" s="49">
        <f>AVERAGE('22.07 Kitebi-Kabusu'!H41,'23.07 Kitebi-Kabusu'!H41,'24.07 Kitebi-Kabusu'!H41,'25.07 Kabusu-Kitebi'!H41,'26.07 Kitebi-Kabusu-24'!H41,'27.07 Kitebi-Kabusu-24h'!H41,'28.07 Kitebi-Kabusu'!H41)</f>
        <v>0.42857142857142855</v>
      </c>
      <c r="I41" s="49">
        <f>AVERAGE('22.07 Kitebi-Kabusu'!I41,'23.07 Kitebi-Kabusu'!I41,'24.07 Kitebi-Kabusu'!I41,'25.07 Kabusu-Kitebi'!I41,'26.07 Kitebi-Kabusu-24'!I41,'27.07 Kitebi-Kabusu-24h'!I41,'28.07 Kitebi-Kabusu'!I41)</f>
        <v>4.5714285714285712</v>
      </c>
      <c r="J41" s="49">
        <f>AVERAGE('22.07 Kitebi-Kabusu'!J41,'23.07 Kitebi-Kabusu'!J41,'24.07 Kitebi-Kabusu'!J41,'25.07 Kabusu-Kitebi'!J41,'26.07 Kitebi-Kabusu-24'!J41,'27.07 Kitebi-Kabusu-24h'!J41,'28.07 Kitebi-Kabusu'!J41)</f>
        <v>1</v>
      </c>
      <c r="K41" s="49">
        <f>AVERAGE('22.07 Kitebi-Kabusu'!K41,'23.07 Kitebi-Kabusu'!K41,'24.07 Kitebi-Kabusu'!K41,'25.07 Kabusu-Kitebi'!K41,'26.07 Kitebi-Kabusu-24'!K41,'27.07 Kitebi-Kabusu-24h'!K41,'28.07 Kitebi-Kabusu'!K41)</f>
        <v>0.42857142857142855</v>
      </c>
      <c r="L41" s="49">
        <f>AVERAGE('22.07 Kitebi-Kabusu'!L41,'23.07 Kitebi-Kabusu'!L41,'24.07 Kitebi-Kabusu'!L41,'25.07 Kabusu-Kitebi'!L41,'26.07 Kitebi-Kabusu-24'!L41,'27.07 Kitebi-Kabusu-24h'!L41,'28.07 Kitebi-Kabusu'!L41)</f>
        <v>1</v>
      </c>
      <c r="M41" s="49">
        <f>AVERAGE('22.07 Kitebi-Kabusu'!M41,'23.07 Kitebi-Kabusu'!M41,'24.07 Kitebi-Kabusu'!M41,'25.07 Kabusu-Kitebi'!M41,'26.07 Kitebi-Kabusu-24'!M41,'27.07 Kitebi-Kabusu-24h'!M41,'28.07 Kitebi-Kabusu'!M41)</f>
        <v>160</v>
      </c>
      <c r="N41" s="49">
        <f>AVERAGE('22.07 Kitebi-Kabusu'!N41,'23.07 Kitebi-Kabusu'!N41,'24.07 Kitebi-Kabusu'!N41,'25.07 Kabusu-Kitebi'!N41,'26.07 Kitebi-Kabusu-24'!N41,'27.07 Kitebi-Kabusu-24h'!N41,'28.07 Kitebi-Kabusu'!N41)</f>
        <v>0</v>
      </c>
      <c r="O41" s="15">
        <f t="shared" si="0"/>
        <v>77.285714285714278</v>
      </c>
      <c r="P41" s="15">
        <f t="shared" si="1"/>
        <v>237.28571428571428</v>
      </c>
      <c r="R41" s="5" t="s">
        <v>178</v>
      </c>
      <c r="S41" s="53">
        <f>SUM(S10:S33)</f>
        <v>3946.6428571428573</v>
      </c>
      <c r="T41" s="53">
        <f t="shared" ref="T41:AC41" si="34">SUM(T10:T33)</f>
        <v>533.28571428571445</v>
      </c>
      <c r="U41" s="53">
        <f t="shared" si="34"/>
        <v>469.07142857142861</v>
      </c>
      <c r="V41" s="53">
        <f t="shared" si="34"/>
        <v>1747.7142857142858</v>
      </c>
      <c r="W41" s="53">
        <f t="shared" si="34"/>
        <v>43.571428571428569</v>
      </c>
      <c r="X41" s="53">
        <f t="shared" si="34"/>
        <v>10.547619047619047</v>
      </c>
      <c r="Y41" s="53">
        <f t="shared" si="34"/>
        <v>344.64285714285711</v>
      </c>
      <c r="Z41" s="53">
        <f t="shared" si="34"/>
        <v>58.428571428571431</v>
      </c>
      <c r="AA41" s="53">
        <f t="shared" si="34"/>
        <v>32.714285714285708</v>
      </c>
      <c r="AB41" s="53">
        <f t="shared" si="34"/>
        <v>30.357142857142854</v>
      </c>
      <c r="AC41" s="53">
        <f t="shared" si="34"/>
        <v>13161.928571428571</v>
      </c>
      <c r="AD41" s="53">
        <v>0</v>
      </c>
      <c r="AE41" s="54">
        <f>SUM(AE10:AE33)</f>
        <v>7216.9761904761899</v>
      </c>
      <c r="AF41" s="54">
        <f>SUM(AF10:AF33)</f>
        <v>20378.904761904763</v>
      </c>
    </row>
    <row r="42" spans="2:32" ht="23.1" customHeight="1" x14ac:dyDescent="0.25">
      <c r="B42" s="24" t="s">
        <v>69</v>
      </c>
      <c r="C42" s="49">
        <f>AVERAGE('22.07 Kitebi-Kabusu'!C42,'23.07 Kitebi-Kabusu'!C42,'24.07 Kitebi-Kabusu'!C42,'25.07 Kabusu-Kitebi'!C42,'26.07 Kitebi-Kabusu-24'!C42,'27.07 Kitebi-Kabusu-24h'!C42,'28.07 Kitebi-Kabusu'!C42)</f>
        <v>45.428571428571431</v>
      </c>
      <c r="D42" s="49">
        <f>AVERAGE('22.07 Kitebi-Kabusu'!D42,'23.07 Kitebi-Kabusu'!D42,'24.07 Kitebi-Kabusu'!D42,'25.07 Kabusu-Kitebi'!D42,'26.07 Kitebi-Kabusu-24'!D42,'27.07 Kitebi-Kabusu-24h'!D42,'28.07 Kitebi-Kabusu'!D42)</f>
        <v>5.8571428571428568</v>
      </c>
      <c r="E42" s="49">
        <f>AVERAGE('22.07 Kitebi-Kabusu'!E42,'23.07 Kitebi-Kabusu'!E42,'24.07 Kitebi-Kabusu'!E42,'25.07 Kabusu-Kitebi'!E42,'26.07 Kitebi-Kabusu-24'!E42,'27.07 Kitebi-Kabusu-24h'!E42,'28.07 Kitebi-Kabusu'!E42)</f>
        <v>7</v>
      </c>
      <c r="F42" s="49">
        <f>AVERAGE('22.07 Kitebi-Kabusu'!F42,'23.07 Kitebi-Kabusu'!F42,'24.07 Kitebi-Kabusu'!F42,'25.07 Kabusu-Kitebi'!F42,'26.07 Kitebi-Kabusu-24'!F42,'27.07 Kitebi-Kabusu-24h'!F42,'28.07 Kitebi-Kabusu'!F42)</f>
        <v>15.285714285714286</v>
      </c>
      <c r="G42" s="49">
        <f>AVERAGE('22.07 Kitebi-Kabusu'!G42,'23.07 Kitebi-Kabusu'!G42,'24.07 Kitebi-Kabusu'!G42,'25.07 Kabusu-Kitebi'!G42,'26.07 Kitebi-Kabusu-24'!G42,'27.07 Kitebi-Kabusu-24h'!G42,'28.07 Kitebi-Kabusu'!G42)</f>
        <v>0.2857142857142857</v>
      </c>
      <c r="H42" s="49">
        <f>AVERAGE('22.07 Kitebi-Kabusu'!H42,'23.07 Kitebi-Kabusu'!H42,'24.07 Kitebi-Kabusu'!H42,'25.07 Kabusu-Kitebi'!H42,'26.07 Kitebi-Kabusu-24'!H42,'27.07 Kitebi-Kabusu-24h'!H42,'28.07 Kitebi-Kabusu'!H42)</f>
        <v>0.42857142857142855</v>
      </c>
      <c r="I42" s="49">
        <f>AVERAGE('22.07 Kitebi-Kabusu'!I42,'23.07 Kitebi-Kabusu'!I42,'24.07 Kitebi-Kabusu'!I42,'25.07 Kabusu-Kitebi'!I42,'26.07 Kitebi-Kabusu-24'!I42,'27.07 Kitebi-Kabusu-24h'!I42,'28.07 Kitebi-Kabusu'!I42)</f>
        <v>5.5714285714285712</v>
      </c>
      <c r="J42" s="49">
        <f>AVERAGE('22.07 Kitebi-Kabusu'!J42,'23.07 Kitebi-Kabusu'!J42,'24.07 Kitebi-Kabusu'!J42,'25.07 Kabusu-Kitebi'!J42,'26.07 Kitebi-Kabusu-24'!J42,'27.07 Kitebi-Kabusu-24h'!J42,'28.07 Kitebi-Kabusu'!J42)</f>
        <v>0.8571428571428571</v>
      </c>
      <c r="K42" s="49">
        <f>AVERAGE('22.07 Kitebi-Kabusu'!K42,'23.07 Kitebi-Kabusu'!K42,'24.07 Kitebi-Kabusu'!K42,'25.07 Kabusu-Kitebi'!K42,'26.07 Kitebi-Kabusu-24'!K42,'27.07 Kitebi-Kabusu-24h'!K42,'28.07 Kitebi-Kabusu'!K42)</f>
        <v>1.1428571428571428</v>
      </c>
      <c r="L42" s="49">
        <f>AVERAGE('22.07 Kitebi-Kabusu'!L42,'23.07 Kitebi-Kabusu'!L42,'24.07 Kitebi-Kabusu'!L42,'25.07 Kabusu-Kitebi'!L42,'26.07 Kitebi-Kabusu-24'!L42,'27.07 Kitebi-Kabusu-24h'!L42,'28.07 Kitebi-Kabusu'!L42)</f>
        <v>1</v>
      </c>
      <c r="M42" s="49">
        <f>AVERAGE('22.07 Kitebi-Kabusu'!M42,'23.07 Kitebi-Kabusu'!M42,'24.07 Kitebi-Kabusu'!M42,'25.07 Kabusu-Kitebi'!M42,'26.07 Kitebi-Kabusu-24'!M42,'27.07 Kitebi-Kabusu-24h'!M42,'28.07 Kitebi-Kabusu'!M42)</f>
        <v>154.85714285714286</v>
      </c>
      <c r="N42" s="49">
        <f>AVERAGE('22.07 Kitebi-Kabusu'!N42,'23.07 Kitebi-Kabusu'!N42,'24.07 Kitebi-Kabusu'!N42,'25.07 Kabusu-Kitebi'!N42,'26.07 Kitebi-Kabusu-24'!N42,'27.07 Kitebi-Kabusu-24h'!N42,'28.07 Kitebi-Kabusu'!N42)</f>
        <v>0</v>
      </c>
      <c r="O42" s="15">
        <f t="shared" si="0"/>
        <v>82.857142857142861</v>
      </c>
      <c r="P42" s="15">
        <f t="shared" si="1"/>
        <v>237.71428571428572</v>
      </c>
      <c r="R42" s="5" t="s">
        <v>160</v>
      </c>
      <c r="S42" s="48">
        <f>S41/S40</f>
        <v>1.3900825198752138</v>
      </c>
      <c r="T42" s="48">
        <f t="shared" ref="T42:AF42" si="35">T41/T40</f>
        <v>1.3158265773704618</v>
      </c>
      <c r="U42" s="48">
        <f t="shared" si="35"/>
        <v>1.2456373292867982</v>
      </c>
      <c r="V42" s="48">
        <f t="shared" si="35"/>
        <v>1.6038280020975353</v>
      </c>
      <c r="W42" s="48">
        <f t="shared" si="35"/>
        <v>2.0198675496688741</v>
      </c>
      <c r="X42" s="48">
        <f t="shared" si="35"/>
        <v>1.3106508875739644</v>
      </c>
      <c r="Y42" s="48">
        <f t="shared" si="35"/>
        <v>1.2525960539979233</v>
      </c>
      <c r="Z42" s="48">
        <f t="shared" si="35"/>
        <v>1.4103448275862069</v>
      </c>
      <c r="AA42" s="48">
        <f t="shared" si="35"/>
        <v>1.1804123711340206</v>
      </c>
      <c r="AB42" s="48">
        <f t="shared" si="35"/>
        <v>1.1740331491712708</v>
      </c>
      <c r="AC42" s="48">
        <f t="shared" si="35"/>
        <v>1.5416736387671095</v>
      </c>
      <c r="AD42" s="56" t="e">
        <f>AD41/AD40</f>
        <v>#DIV/0!</v>
      </c>
      <c r="AE42" s="55">
        <f t="shared" si="35"/>
        <v>1.4121925083861349</v>
      </c>
      <c r="AF42" s="55">
        <f t="shared" si="35"/>
        <v>1.4931892563309912</v>
      </c>
    </row>
    <row r="43" spans="2:32" ht="23.1" customHeight="1" x14ac:dyDescent="0.25">
      <c r="B43" s="23" t="s">
        <v>70</v>
      </c>
      <c r="C43" s="49">
        <f>AVERAGE('22.07 Kitebi-Kabusu'!C43,'23.07 Kitebi-Kabusu'!C43,'24.07 Kitebi-Kabusu'!C43,'25.07 Kabusu-Kitebi'!C43,'26.07 Kitebi-Kabusu-24'!C43,'27.07 Kitebi-Kabusu-24h'!C43,'28.07 Kitebi-Kabusu'!C43)</f>
        <v>47.285714285714285</v>
      </c>
      <c r="D43" s="49">
        <f>AVERAGE('22.07 Kitebi-Kabusu'!D43,'23.07 Kitebi-Kabusu'!D43,'24.07 Kitebi-Kabusu'!D43,'25.07 Kabusu-Kitebi'!D43,'26.07 Kitebi-Kabusu-24'!D43,'27.07 Kitebi-Kabusu-24h'!D43,'28.07 Kitebi-Kabusu'!D43)</f>
        <v>4.7142857142857144</v>
      </c>
      <c r="E43" s="49">
        <f>AVERAGE('22.07 Kitebi-Kabusu'!E43,'23.07 Kitebi-Kabusu'!E43,'24.07 Kitebi-Kabusu'!E43,'25.07 Kabusu-Kitebi'!E43,'26.07 Kitebi-Kabusu-24'!E43,'27.07 Kitebi-Kabusu-24h'!E43,'28.07 Kitebi-Kabusu'!E43)</f>
        <v>5.4285714285714288</v>
      </c>
      <c r="F43" s="49">
        <f>AVERAGE('22.07 Kitebi-Kabusu'!F43,'23.07 Kitebi-Kabusu'!F43,'24.07 Kitebi-Kabusu'!F43,'25.07 Kabusu-Kitebi'!F43,'26.07 Kitebi-Kabusu-24'!F43,'27.07 Kitebi-Kabusu-24h'!F43,'28.07 Kitebi-Kabusu'!F43)</f>
        <v>16.285714285714285</v>
      </c>
      <c r="G43" s="49">
        <f>AVERAGE('22.07 Kitebi-Kabusu'!G43,'23.07 Kitebi-Kabusu'!G43,'24.07 Kitebi-Kabusu'!G43,'25.07 Kabusu-Kitebi'!G43,'26.07 Kitebi-Kabusu-24'!G43,'27.07 Kitebi-Kabusu-24h'!G43,'28.07 Kitebi-Kabusu'!G43)</f>
        <v>0.5714285714285714</v>
      </c>
      <c r="H43" s="49">
        <f>AVERAGE('22.07 Kitebi-Kabusu'!H43,'23.07 Kitebi-Kabusu'!H43,'24.07 Kitebi-Kabusu'!H43,'25.07 Kabusu-Kitebi'!H43,'26.07 Kitebi-Kabusu-24'!H43,'27.07 Kitebi-Kabusu-24h'!H43,'28.07 Kitebi-Kabusu'!H43)</f>
        <v>0.2857142857142857</v>
      </c>
      <c r="I43" s="49">
        <f>AVERAGE('22.07 Kitebi-Kabusu'!I43,'23.07 Kitebi-Kabusu'!I43,'24.07 Kitebi-Kabusu'!I43,'25.07 Kabusu-Kitebi'!I43,'26.07 Kitebi-Kabusu-24'!I43,'27.07 Kitebi-Kabusu-24h'!I43,'28.07 Kitebi-Kabusu'!I43)</f>
        <v>5.2857142857142856</v>
      </c>
      <c r="J43" s="49">
        <f>AVERAGE('22.07 Kitebi-Kabusu'!J43,'23.07 Kitebi-Kabusu'!J43,'24.07 Kitebi-Kabusu'!J43,'25.07 Kabusu-Kitebi'!J43,'26.07 Kitebi-Kabusu-24'!J43,'27.07 Kitebi-Kabusu-24h'!J43,'28.07 Kitebi-Kabusu'!J43)</f>
        <v>1.1428571428571428</v>
      </c>
      <c r="K43" s="49">
        <f>AVERAGE('22.07 Kitebi-Kabusu'!K43,'23.07 Kitebi-Kabusu'!K43,'24.07 Kitebi-Kabusu'!K43,'25.07 Kabusu-Kitebi'!K43,'26.07 Kitebi-Kabusu-24'!K43,'27.07 Kitebi-Kabusu-24h'!K43,'28.07 Kitebi-Kabusu'!K43)</f>
        <v>0.5714285714285714</v>
      </c>
      <c r="L43" s="49">
        <f>AVERAGE('22.07 Kitebi-Kabusu'!L43,'23.07 Kitebi-Kabusu'!L43,'24.07 Kitebi-Kabusu'!L43,'25.07 Kabusu-Kitebi'!L43,'26.07 Kitebi-Kabusu-24'!L43,'27.07 Kitebi-Kabusu-24h'!L43,'28.07 Kitebi-Kabusu'!L43)</f>
        <v>0.2857142857142857</v>
      </c>
      <c r="M43" s="49">
        <f>AVERAGE('22.07 Kitebi-Kabusu'!M43,'23.07 Kitebi-Kabusu'!M43,'24.07 Kitebi-Kabusu'!M43,'25.07 Kabusu-Kitebi'!M43,'26.07 Kitebi-Kabusu-24'!M43,'27.07 Kitebi-Kabusu-24h'!M43,'28.07 Kitebi-Kabusu'!M43)</f>
        <v>145.28571428571428</v>
      </c>
      <c r="N43" s="49">
        <f>AVERAGE('22.07 Kitebi-Kabusu'!N43,'23.07 Kitebi-Kabusu'!N43,'24.07 Kitebi-Kabusu'!N43,'25.07 Kabusu-Kitebi'!N43,'26.07 Kitebi-Kabusu-24'!N43,'27.07 Kitebi-Kabusu-24h'!N43,'28.07 Kitebi-Kabusu'!N43)</f>
        <v>0</v>
      </c>
      <c r="O43" s="15">
        <f t="shared" si="0"/>
        <v>81.857142857142875</v>
      </c>
      <c r="P43" s="15">
        <f t="shared" si="1"/>
        <v>227.14285714285717</v>
      </c>
    </row>
    <row r="44" spans="2:32" ht="23.1" customHeight="1" x14ac:dyDescent="0.25">
      <c r="B44" s="25" t="s">
        <v>71</v>
      </c>
      <c r="C44" s="49">
        <f>AVERAGE('22.07 Kitebi-Kabusu'!C44,'23.07 Kitebi-Kabusu'!C44,'24.07 Kitebi-Kabusu'!C44,'25.07 Kabusu-Kitebi'!C44,'26.07 Kitebi-Kabusu-24'!C44,'27.07 Kitebi-Kabusu-24h'!C44,'28.07 Kitebi-Kabusu'!C44)</f>
        <v>43.142857142857146</v>
      </c>
      <c r="D44" s="49">
        <f>AVERAGE('22.07 Kitebi-Kabusu'!D44,'23.07 Kitebi-Kabusu'!D44,'24.07 Kitebi-Kabusu'!D44,'25.07 Kabusu-Kitebi'!D44,'26.07 Kitebi-Kabusu-24'!D44,'27.07 Kitebi-Kabusu-24h'!D44,'28.07 Kitebi-Kabusu'!D44)</f>
        <v>5.7142857142857144</v>
      </c>
      <c r="E44" s="49">
        <f>AVERAGE('22.07 Kitebi-Kabusu'!E44,'23.07 Kitebi-Kabusu'!E44,'24.07 Kitebi-Kabusu'!E44,'25.07 Kabusu-Kitebi'!E44,'26.07 Kitebi-Kabusu-24'!E44,'27.07 Kitebi-Kabusu-24h'!E44,'28.07 Kitebi-Kabusu'!E44)</f>
        <v>7.5714285714285712</v>
      </c>
      <c r="F44" s="49">
        <f>AVERAGE('22.07 Kitebi-Kabusu'!F44,'23.07 Kitebi-Kabusu'!F44,'24.07 Kitebi-Kabusu'!F44,'25.07 Kabusu-Kitebi'!F44,'26.07 Kitebi-Kabusu-24'!F44,'27.07 Kitebi-Kabusu-24h'!F44,'28.07 Kitebi-Kabusu'!F44)</f>
        <v>16.857142857142858</v>
      </c>
      <c r="G44" s="49">
        <f>AVERAGE('22.07 Kitebi-Kabusu'!G44,'23.07 Kitebi-Kabusu'!G44,'24.07 Kitebi-Kabusu'!G44,'25.07 Kabusu-Kitebi'!G44,'26.07 Kitebi-Kabusu-24'!G44,'27.07 Kitebi-Kabusu-24h'!G44,'28.07 Kitebi-Kabusu'!G44)</f>
        <v>0</v>
      </c>
      <c r="H44" s="49">
        <f>AVERAGE('22.07 Kitebi-Kabusu'!H44,'23.07 Kitebi-Kabusu'!H44,'24.07 Kitebi-Kabusu'!H44,'25.07 Kabusu-Kitebi'!H44,'26.07 Kitebi-Kabusu-24'!H44,'27.07 Kitebi-Kabusu-24h'!H44,'28.07 Kitebi-Kabusu'!H44)</f>
        <v>0.42857142857142855</v>
      </c>
      <c r="I44" s="49">
        <f>AVERAGE('22.07 Kitebi-Kabusu'!I44,'23.07 Kitebi-Kabusu'!I44,'24.07 Kitebi-Kabusu'!I44,'25.07 Kabusu-Kitebi'!I44,'26.07 Kitebi-Kabusu-24'!I44,'27.07 Kitebi-Kabusu-24h'!I44,'28.07 Kitebi-Kabusu'!I44)</f>
        <v>5.4285714285714288</v>
      </c>
      <c r="J44" s="49">
        <f>AVERAGE('22.07 Kitebi-Kabusu'!J44,'23.07 Kitebi-Kabusu'!J44,'24.07 Kitebi-Kabusu'!J44,'25.07 Kabusu-Kitebi'!J44,'26.07 Kitebi-Kabusu-24'!J44,'27.07 Kitebi-Kabusu-24h'!J44,'28.07 Kitebi-Kabusu'!J44)</f>
        <v>1.2857142857142858</v>
      </c>
      <c r="K44" s="49">
        <f>AVERAGE('22.07 Kitebi-Kabusu'!K44,'23.07 Kitebi-Kabusu'!K44,'24.07 Kitebi-Kabusu'!K44,'25.07 Kabusu-Kitebi'!K44,'26.07 Kitebi-Kabusu-24'!K44,'27.07 Kitebi-Kabusu-24h'!K44,'28.07 Kitebi-Kabusu'!K44)</f>
        <v>0.42857142857142855</v>
      </c>
      <c r="L44" s="49">
        <f>AVERAGE('22.07 Kitebi-Kabusu'!L44,'23.07 Kitebi-Kabusu'!L44,'24.07 Kitebi-Kabusu'!L44,'25.07 Kabusu-Kitebi'!L44,'26.07 Kitebi-Kabusu-24'!L44,'27.07 Kitebi-Kabusu-24h'!L44,'28.07 Kitebi-Kabusu'!L44)</f>
        <v>0.2857142857142857</v>
      </c>
      <c r="M44" s="49">
        <f>AVERAGE('22.07 Kitebi-Kabusu'!M44,'23.07 Kitebi-Kabusu'!M44,'24.07 Kitebi-Kabusu'!M44,'25.07 Kabusu-Kitebi'!M44,'26.07 Kitebi-Kabusu-24'!M44,'27.07 Kitebi-Kabusu-24h'!M44,'28.07 Kitebi-Kabusu'!M44)</f>
        <v>135.14285714285714</v>
      </c>
      <c r="N44" s="49">
        <f>AVERAGE('22.07 Kitebi-Kabusu'!N44,'23.07 Kitebi-Kabusu'!N44,'24.07 Kitebi-Kabusu'!N44,'25.07 Kabusu-Kitebi'!N44,'26.07 Kitebi-Kabusu-24'!N44,'27.07 Kitebi-Kabusu-24h'!N44,'28.07 Kitebi-Kabusu'!N44)</f>
        <v>0</v>
      </c>
      <c r="O44" s="15">
        <f t="shared" si="0"/>
        <v>81.142857142857167</v>
      </c>
      <c r="P44" s="15">
        <f t="shared" si="1"/>
        <v>216.28571428571431</v>
      </c>
    </row>
    <row r="45" spans="2:32" ht="23.1" customHeight="1" x14ac:dyDescent="0.25">
      <c r="B45" s="23" t="s">
        <v>72</v>
      </c>
      <c r="C45" s="49">
        <f>AVERAGE('22.07 Kitebi-Kabusu'!C45,'23.07 Kitebi-Kabusu'!C45,'24.07 Kitebi-Kabusu'!C45,'25.07 Kabusu-Kitebi'!C45,'26.07 Kitebi-Kabusu-24'!C45,'27.07 Kitebi-Kabusu-24h'!C45,'28.07 Kitebi-Kabusu'!C45)</f>
        <v>44.571428571428569</v>
      </c>
      <c r="D45" s="49">
        <f>AVERAGE('22.07 Kitebi-Kabusu'!D45,'23.07 Kitebi-Kabusu'!D45,'24.07 Kitebi-Kabusu'!D45,'25.07 Kabusu-Kitebi'!D45,'26.07 Kitebi-Kabusu-24'!D45,'27.07 Kitebi-Kabusu-24h'!D45,'28.07 Kitebi-Kabusu'!D45)</f>
        <v>9.1428571428571423</v>
      </c>
      <c r="E45" s="49">
        <f>AVERAGE('22.07 Kitebi-Kabusu'!E45,'23.07 Kitebi-Kabusu'!E45,'24.07 Kitebi-Kabusu'!E45,'25.07 Kabusu-Kitebi'!E45,'26.07 Kitebi-Kabusu-24'!E45,'27.07 Kitebi-Kabusu-24h'!E45,'28.07 Kitebi-Kabusu'!E45)</f>
        <v>6.2857142857142856</v>
      </c>
      <c r="F45" s="49">
        <f>AVERAGE('22.07 Kitebi-Kabusu'!F45,'23.07 Kitebi-Kabusu'!F45,'24.07 Kitebi-Kabusu'!F45,'25.07 Kabusu-Kitebi'!F45,'26.07 Kitebi-Kabusu-24'!F45,'27.07 Kitebi-Kabusu-24h'!F45,'28.07 Kitebi-Kabusu'!F45)</f>
        <v>15.857142857142858</v>
      </c>
      <c r="G45" s="49">
        <f>AVERAGE('22.07 Kitebi-Kabusu'!G45,'23.07 Kitebi-Kabusu'!G45,'24.07 Kitebi-Kabusu'!G45,'25.07 Kabusu-Kitebi'!G45,'26.07 Kitebi-Kabusu-24'!G45,'27.07 Kitebi-Kabusu-24h'!G45,'28.07 Kitebi-Kabusu'!G45)</f>
        <v>0.2857142857142857</v>
      </c>
      <c r="H45" s="49">
        <f>AVERAGE('22.07 Kitebi-Kabusu'!H45,'23.07 Kitebi-Kabusu'!H45,'24.07 Kitebi-Kabusu'!H45,'25.07 Kabusu-Kitebi'!H45,'26.07 Kitebi-Kabusu-24'!H45,'27.07 Kitebi-Kabusu-24h'!H45,'28.07 Kitebi-Kabusu'!H45)</f>
        <v>0.14285714285714285</v>
      </c>
      <c r="I45" s="49">
        <f>AVERAGE('22.07 Kitebi-Kabusu'!I45,'23.07 Kitebi-Kabusu'!I45,'24.07 Kitebi-Kabusu'!I45,'25.07 Kabusu-Kitebi'!I45,'26.07 Kitebi-Kabusu-24'!I45,'27.07 Kitebi-Kabusu-24h'!I45,'28.07 Kitebi-Kabusu'!I45)</f>
        <v>4.7142857142857144</v>
      </c>
      <c r="J45" s="49">
        <f>AVERAGE('22.07 Kitebi-Kabusu'!J45,'23.07 Kitebi-Kabusu'!J45,'24.07 Kitebi-Kabusu'!J45,'25.07 Kabusu-Kitebi'!J45,'26.07 Kitebi-Kabusu-24'!J45,'27.07 Kitebi-Kabusu-24h'!J45,'28.07 Kitebi-Kabusu'!J45)</f>
        <v>0.5714285714285714</v>
      </c>
      <c r="K45" s="49">
        <f>AVERAGE('22.07 Kitebi-Kabusu'!K45,'23.07 Kitebi-Kabusu'!K45,'24.07 Kitebi-Kabusu'!K45,'25.07 Kabusu-Kitebi'!K45,'26.07 Kitebi-Kabusu-24'!K45,'27.07 Kitebi-Kabusu-24h'!K45,'28.07 Kitebi-Kabusu'!K45)</f>
        <v>0.42857142857142855</v>
      </c>
      <c r="L45" s="49">
        <f>AVERAGE('22.07 Kitebi-Kabusu'!L45,'23.07 Kitebi-Kabusu'!L45,'24.07 Kitebi-Kabusu'!L45,'25.07 Kabusu-Kitebi'!L45,'26.07 Kitebi-Kabusu-24'!L45,'27.07 Kitebi-Kabusu-24h'!L45,'28.07 Kitebi-Kabusu'!L45)</f>
        <v>0.5714285714285714</v>
      </c>
      <c r="M45" s="49">
        <f>AVERAGE('22.07 Kitebi-Kabusu'!M45,'23.07 Kitebi-Kabusu'!M45,'24.07 Kitebi-Kabusu'!M45,'25.07 Kabusu-Kitebi'!M45,'26.07 Kitebi-Kabusu-24'!M45,'27.07 Kitebi-Kabusu-24h'!M45,'28.07 Kitebi-Kabusu'!M45)</f>
        <v>127</v>
      </c>
      <c r="N45" s="49">
        <f>AVERAGE('22.07 Kitebi-Kabusu'!N45,'23.07 Kitebi-Kabusu'!N45,'24.07 Kitebi-Kabusu'!N45,'25.07 Kabusu-Kitebi'!N45,'26.07 Kitebi-Kabusu-24'!N45,'27.07 Kitebi-Kabusu-24h'!N45,'28.07 Kitebi-Kabusu'!N45)</f>
        <v>0</v>
      </c>
      <c r="O45" s="15">
        <f t="shared" si="0"/>
        <v>82.571428571428555</v>
      </c>
      <c r="P45" s="15">
        <f t="shared" si="1"/>
        <v>209.57142857142856</v>
      </c>
    </row>
    <row r="46" spans="2:32" ht="23.1" customHeight="1" x14ac:dyDescent="0.25">
      <c r="B46" s="24" t="s">
        <v>73</v>
      </c>
      <c r="C46" s="49">
        <f>AVERAGE('22.07 Kitebi-Kabusu'!C46,'23.07 Kitebi-Kabusu'!C46,'24.07 Kitebi-Kabusu'!C46,'25.07 Kabusu-Kitebi'!C46,'26.07 Kitebi-Kabusu-24'!C46,'27.07 Kitebi-Kabusu-24h'!C46,'28.07 Kitebi-Kabusu'!C46)</f>
        <v>47.428571428571431</v>
      </c>
      <c r="D46" s="49">
        <f>AVERAGE('22.07 Kitebi-Kabusu'!D46,'23.07 Kitebi-Kabusu'!D46,'24.07 Kitebi-Kabusu'!D46,'25.07 Kabusu-Kitebi'!D46,'26.07 Kitebi-Kabusu-24'!D46,'27.07 Kitebi-Kabusu-24h'!D46,'28.07 Kitebi-Kabusu'!D46)</f>
        <v>7</v>
      </c>
      <c r="E46" s="49">
        <f>AVERAGE('22.07 Kitebi-Kabusu'!E46,'23.07 Kitebi-Kabusu'!E46,'24.07 Kitebi-Kabusu'!E46,'25.07 Kabusu-Kitebi'!E46,'26.07 Kitebi-Kabusu-24'!E46,'27.07 Kitebi-Kabusu-24h'!E46,'28.07 Kitebi-Kabusu'!E46)</f>
        <v>5.4285714285714288</v>
      </c>
      <c r="F46" s="49">
        <f>AVERAGE('22.07 Kitebi-Kabusu'!F46,'23.07 Kitebi-Kabusu'!F46,'24.07 Kitebi-Kabusu'!F46,'25.07 Kabusu-Kitebi'!F46,'26.07 Kitebi-Kabusu-24'!F46,'27.07 Kitebi-Kabusu-24h'!F46,'28.07 Kitebi-Kabusu'!F46)</f>
        <v>15.428571428571429</v>
      </c>
      <c r="G46" s="49">
        <f>AVERAGE('22.07 Kitebi-Kabusu'!G46,'23.07 Kitebi-Kabusu'!G46,'24.07 Kitebi-Kabusu'!G46,'25.07 Kabusu-Kitebi'!G46,'26.07 Kitebi-Kabusu-24'!G46,'27.07 Kitebi-Kabusu-24h'!G46,'28.07 Kitebi-Kabusu'!G46)</f>
        <v>0.14285714285714285</v>
      </c>
      <c r="H46" s="49">
        <f>AVERAGE('22.07 Kitebi-Kabusu'!H46,'23.07 Kitebi-Kabusu'!H46,'24.07 Kitebi-Kabusu'!H46,'25.07 Kabusu-Kitebi'!H46,'26.07 Kitebi-Kabusu-24'!H46,'27.07 Kitebi-Kabusu-24h'!H46,'28.07 Kitebi-Kabusu'!H46)</f>
        <v>0.2857142857142857</v>
      </c>
      <c r="I46" s="49">
        <f>AVERAGE('22.07 Kitebi-Kabusu'!I46,'23.07 Kitebi-Kabusu'!I46,'24.07 Kitebi-Kabusu'!I46,'25.07 Kabusu-Kitebi'!I46,'26.07 Kitebi-Kabusu-24'!I46,'27.07 Kitebi-Kabusu-24h'!I46,'28.07 Kitebi-Kabusu'!I46)</f>
        <v>5</v>
      </c>
      <c r="J46" s="49">
        <f>AVERAGE('22.07 Kitebi-Kabusu'!J46,'23.07 Kitebi-Kabusu'!J46,'24.07 Kitebi-Kabusu'!J46,'25.07 Kabusu-Kitebi'!J46,'26.07 Kitebi-Kabusu-24'!J46,'27.07 Kitebi-Kabusu-24h'!J46,'28.07 Kitebi-Kabusu'!J46)</f>
        <v>1.2857142857142858</v>
      </c>
      <c r="K46" s="49">
        <f>AVERAGE('22.07 Kitebi-Kabusu'!K46,'23.07 Kitebi-Kabusu'!K46,'24.07 Kitebi-Kabusu'!K46,'25.07 Kabusu-Kitebi'!K46,'26.07 Kitebi-Kabusu-24'!K46,'27.07 Kitebi-Kabusu-24h'!K46,'28.07 Kitebi-Kabusu'!K46)</f>
        <v>0.2857142857142857</v>
      </c>
      <c r="L46" s="49">
        <f>AVERAGE('22.07 Kitebi-Kabusu'!L46,'23.07 Kitebi-Kabusu'!L46,'24.07 Kitebi-Kabusu'!L46,'25.07 Kabusu-Kitebi'!L46,'26.07 Kitebi-Kabusu-24'!L46,'27.07 Kitebi-Kabusu-24h'!L46,'28.07 Kitebi-Kabusu'!L46)</f>
        <v>0.2857142857142857</v>
      </c>
      <c r="M46" s="49">
        <f>AVERAGE('22.07 Kitebi-Kabusu'!M46,'23.07 Kitebi-Kabusu'!M46,'24.07 Kitebi-Kabusu'!M46,'25.07 Kabusu-Kitebi'!M46,'26.07 Kitebi-Kabusu-24'!M46,'27.07 Kitebi-Kabusu-24h'!M46,'28.07 Kitebi-Kabusu'!M46)</f>
        <v>149.71428571428572</v>
      </c>
      <c r="N46" s="49">
        <f>AVERAGE('22.07 Kitebi-Kabusu'!N46,'23.07 Kitebi-Kabusu'!N46,'24.07 Kitebi-Kabusu'!N46,'25.07 Kabusu-Kitebi'!N46,'26.07 Kitebi-Kabusu-24'!N46,'27.07 Kitebi-Kabusu-24h'!N46,'28.07 Kitebi-Kabusu'!N46)</f>
        <v>0</v>
      </c>
      <c r="O46" s="15">
        <f t="shared" si="0"/>
        <v>82.571428571428598</v>
      </c>
      <c r="P46" s="15">
        <f t="shared" si="1"/>
        <v>232.28571428571433</v>
      </c>
      <c r="R46" s="8"/>
      <c r="T46"/>
    </row>
    <row r="47" spans="2:32" ht="23.1" customHeight="1" x14ac:dyDescent="0.25">
      <c r="B47" s="24" t="s">
        <v>74</v>
      </c>
      <c r="C47" s="49">
        <f>AVERAGE('22.07 Kitebi-Kabusu'!C47,'23.07 Kitebi-Kabusu'!C47,'24.07 Kitebi-Kabusu'!C47,'25.07 Kabusu-Kitebi'!C47,'26.07 Kitebi-Kabusu-24'!C47,'27.07 Kitebi-Kabusu-24h'!C47,'28.07 Kitebi-Kabusu'!C47)</f>
        <v>45.571428571428569</v>
      </c>
      <c r="D47" s="49">
        <f>AVERAGE('22.07 Kitebi-Kabusu'!D47,'23.07 Kitebi-Kabusu'!D47,'24.07 Kitebi-Kabusu'!D47,'25.07 Kabusu-Kitebi'!D47,'26.07 Kitebi-Kabusu-24'!D47,'27.07 Kitebi-Kabusu-24h'!D47,'28.07 Kitebi-Kabusu'!D47)</f>
        <v>7</v>
      </c>
      <c r="E47" s="49">
        <f>AVERAGE('22.07 Kitebi-Kabusu'!E47,'23.07 Kitebi-Kabusu'!E47,'24.07 Kitebi-Kabusu'!E47,'25.07 Kabusu-Kitebi'!E47,'26.07 Kitebi-Kabusu-24'!E47,'27.07 Kitebi-Kabusu-24h'!E47,'28.07 Kitebi-Kabusu'!E47)</f>
        <v>6.7142857142857144</v>
      </c>
      <c r="F47" s="49">
        <f>AVERAGE('22.07 Kitebi-Kabusu'!F47,'23.07 Kitebi-Kabusu'!F47,'24.07 Kitebi-Kabusu'!F47,'25.07 Kabusu-Kitebi'!F47,'26.07 Kitebi-Kabusu-24'!F47,'27.07 Kitebi-Kabusu-24h'!F47,'28.07 Kitebi-Kabusu'!F47)</f>
        <v>15.714285714285714</v>
      </c>
      <c r="G47" s="49">
        <f>AVERAGE('22.07 Kitebi-Kabusu'!G47,'23.07 Kitebi-Kabusu'!G47,'24.07 Kitebi-Kabusu'!G47,'25.07 Kabusu-Kitebi'!G47,'26.07 Kitebi-Kabusu-24'!G47,'27.07 Kitebi-Kabusu-24h'!G47,'28.07 Kitebi-Kabusu'!G47)</f>
        <v>0.8571428571428571</v>
      </c>
      <c r="H47" s="49">
        <f>AVERAGE('22.07 Kitebi-Kabusu'!H47,'23.07 Kitebi-Kabusu'!H47,'24.07 Kitebi-Kabusu'!H47,'25.07 Kabusu-Kitebi'!H47,'26.07 Kitebi-Kabusu-24'!H47,'27.07 Kitebi-Kabusu-24h'!H47,'28.07 Kitebi-Kabusu'!H47)</f>
        <v>0.14285714285714285</v>
      </c>
      <c r="I47" s="49">
        <f>AVERAGE('22.07 Kitebi-Kabusu'!I47,'23.07 Kitebi-Kabusu'!I47,'24.07 Kitebi-Kabusu'!I47,'25.07 Kabusu-Kitebi'!I47,'26.07 Kitebi-Kabusu-24'!I47,'27.07 Kitebi-Kabusu-24h'!I47,'28.07 Kitebi-Kabusu'!I47)</f>
        <v>5.2857142857142856</v>
      </c>
      <c r="J47" s="49">
        <f>AVERAGE('22.07 Kitebi-Kabusu'!J47,'23.07 Kitebi-Kabusu'!J47,'24.07 Kitebi-Kabusu'!J47,'25.07 Kabusu-Kitebi'!J47,'26.07 Kitebi-Kabusu-24'!J47,'27.07 Kitebi-Kabusu-24h'!J47,'28.07 Kitebi-Kabusu'!J47)</f>
        <v>0.8571428571428571</v>
      </c>
      <c r="K47" s="49">
        <f>AVERAGE('22.07 Kitebi-Kabusu'!K47,'23.07 Kitebi-Kabusu'!K47,'24.07 Kitebi-Kabusu'!K47,'25.07 Kabusu-Kitebi'!K47,'26.07 Kitebi-Kabusu-24'!K47,'27.07 Kitebi-Kabusu-24h'!K47,'28.07 Kitebi-Kabusu'!K47)</f>
        <v>0.5714285714285714</v>
      </c>
      <c r="L47" s="49">
        <f>AVERAGE('22.07 Kitebi-Kabusu'!L47,'23.07 Kitebi-Kabusu'!L47,'24.07 Kitebi-Kabusu'!L47,'25.07 Kabusu-Kitebi'!L47,'26.07 Kitebi-Kabusu-24'!L47,'27.07 Kitebi-Kabusu-24h'!L47,'28.07 Kitebi-Kabusu'!L47)</f>
        <v>0.2857142857142857</v>
      </c>
      <c r="M47" s="49">
        <f>AVERAGE('22.07 Kitebi-Kabusu'!M47,'23.07 Kitebi-Kabusu'!M47,'24.07 Kitebi-Kabusu'!M47,'25.07 Kabusu-Kitebi'!M47,'26.07 Kitebi-Kabusu-24'!M47,'27.07 Kitebi-Kabusu-24h'!M47,'28.07 Kitebi-Kabusu'!M47)</f>
        <v>148.42857142857142</v>
      </c>
      <c r="N47" s="49">
        <f>AVERAGE('22.07 Kitebi-Kabusu'!N47,'23.07 Kitebi-Kabusu'!N47,'24.07 Kitebi-Kabusu'!N47,'25.07 Kabusu-Kitebi'!N47,'26.07 Kitebi-Kabusu-24'!N47,'27.07 Kitebi-Kabusu-24h'!N47,'28.07 Kitebi-Kabusu'!N47)</f>
        <v>0</v>
      </c>
      <c r="O47" s="15">
        <f t="shared" si="0"/>
        <v>83.000000000000014</v>
      </c>
      <c r="P47" s="15">
        <f t="shared" si="1"/>
        <v>231.42857142857144</v>
      </c>
      <c r="R47" s="8"/>
      <c r="T47"/>
    </row>
    <row r="48" spans="2:32" ht="23.1" customHeight="1" x14ac:dyDescent="0.25">
      <c r="B48" s="24" t="s">
        <v>75</v>
      </c>
      <c r="C48" s="49">
        <f>AVERAGE('22.07 Kitebi-Kabusu'!C48,'23.07 Kitebi-Kabusu'!C48,'24.07 Kitebi-Kabusu'!C48,'25.07 Kabusu-Kitebi'!C48,'26.07 Kitebi-Kabusu-24'!C48,'27.07 Kitebi-Kabusu-24h'!C48,'28.07 Kitebi-Kabusu'!C48)</f>
        <v>48</v>
      </c>
      <c r="D48" s="49">
        <f>AVERAGE('22.07 Kitebi-Kabusu'!D48,'23.07 Kitebi-Kabusu'!D48,'24.07 Kitebi-Kabusu'!D48,'25.07 Kabusu-Kitebi'!D48,'26.07 Kitebi-Kabusu-24'!D48,'27.07 Kitebi-Kabusu-24h'!D48,'28.07 Kitebi-Kabusu'!D48)</f>
        <v>6.7142857142857144</v>
      </c>
      <c r="E48" s="49">
        <f>AVERAGE('22.07 Kitebi-Kabusu'!E48,'23.07 Kitebi-Kabusu'!E48,'24.07 Kitebi-Kabusu'!E48,'25.07 Kabusu-Kitebi'!E48,'26.07 Kitebi-Kabusu-24'!E48,'27.07 Kitebi-Kabusu-24h'!E48,'28.07 Kitebi-Kabusu'!E48)</f>
        <v>9.5714285714285712</v>
      </c>
      <c r="F48" s="49">
        <f>AVERAGE('22.07 Kitebi-Kabusu'!F48,'23.07 Kitebi-Kabusu'!F48,'24.07 Kitebi-Kabusu'!F48,'25.07 Kabusu-Kitebi'!F48,'26.07 Kitebi-Kabusu-24'!F48,'27.07 Kitebi-Kabusu-24h'!F48,'28.07 Kitebi-Kabusu'!F48)</f>
        <v>19.857142857142858</v>
      </c>
      <c r="G48" s="49">
        <f>AVERAGE('22.07 Kitebi-Kabusu'!G48,'23.07 Kitebi-Kabusu'!G48,'24.07 Kitebi-Kabusu'!G48,'25.07 Kabusu-Kitebi'!G48,'26.07 Kitebi-Kabusu-24'!G48,'27.07 Kitebi-Kabusu-24h'!G48,'28.07 Kitebi-Kabusu'!G48)</f>
        <v>0.2857142857142857</v>
      </c>
      <c r="H48" s="49">
        <f>AVERAGE('22.07 Kitebi-Kabusu'!H48,'23.07 Kitebi-Kabusu'!H48,'24.07 Kitebi-Kabusu'!H48,'25.07 Kabusu-Kitebi'!H48,'26.07 Kitebi-Kabusu-24'!H48,'27.07 Kitebi-Kabusu-24h'!H48,'28.07 Kitebi-Kabusu'!H48)</f>
        <v>0</v>
      </c>
      <c r="I48" s="49">
        <f>AVERAGE('22.07 Kitebi-Kabusu'!I48,'23.07 Kitebi-Kabusu'!I48,'24.07 Kitebi-Kabusu'!I48,'25.07 Kabusu-Kitebi'!I48,'26.07 Kitebi-Kabusu-24'!I48,'27.07 Kitebi-Kabusu-24h'!I48,'28.07 Kitebi-Kabusu'!I48)</f>
        <v>6</v>
      </c>
      <c r="J48" s="49">
        <f>AVERAGE('22.07 Kitebi-Kabusu'!J48,'23.07 Kitebi-Kabusu'!J48,'24.07 Kitebi-Kabusu'!J48,'25.07 Kabusu-Kitebi'!J48,'26.07 Kitebi-Kabusu-24'!J48,'27.07 Kitebi-Kabusu-24h'!J48,'28.07 Kitebi-Kabusu'!J48)</f>
        <v>0.8571428571428571</v>
      </c>
      <c r="K48" s="49">
        <f>AVERAGE('22.07 Kitebi-Kabusu'!K48,'23.07 Kitebi-Kabusu'!K48,'24.07 Kitebi-Kabusu'!K48,'25.07 Kabusu-Kitebi'!K48,'26.07 Kitebi-Kabusu-24'!K48,'27.07 Kitebi-Kabusu-24h'!K48,'28.07 Kitebi-Kabusu'!K48)</f>
        <v>0.14285714285714285</v>
      </c>
      <c r="L48" s="49">
        <f>AVERAGE('22.07 Kitebi-Kabusu'!L48,'23.07 Kitebi-Kabusu'!L48,'24.07 Kitebi-Kabusu'!L48,'25.07 Kabusu-Kitebi'!L48,'26.07 Kitebi-Kabusu-24'!L48,'27.07 Kitebi-Kabusu-24h'!L48,'28.07 Kitebi-Kabusu'!L48)</f>
        <v>0.42857142857142855</v>
      </c>
      <c r="M48" s="49">
        <f>AVERAGE('22.07 Kitebi-Kabusu'!M48,'23.07 Kitebi-Kabusu'!M48,'24.07 Kitebi-Kabusu'!M48,'25.07 Kabusu-Kitebi'!M48,'26.07 Kitebi-Kabusu-24'!M48,'27.07 Kitebi-Kabusu-24h'!M48,'28.07 Kitebi-Kabusu'!M48)</f>
        <v>161.28571428571428</v>
      </c>
      <c r="N48" s="49">
        <f>AVERAGE('22.07 Kitebi-Kabusu'!N48,'23.07 Kitebi-Kabusu'!N48,'24.07 Kitebi-Kabusu'!N48,'25.07 Kabusu-Kitebi'!N48,'26.07 Kitebi-Kabusu-24'!N48,'27.07 Kitebi-Kabusu-24h'!N48,'28.07 Kitebi-Kabusu'!N48)</f>
        <v>0</v>
      </c>
      <c r="O48" s="15">
        <f t="shared" si="0"/>
        <v>91.857142857142875</v>
      </c>
      <c r="P48" s="15">
        <f t="shared" si="1"/>
        <v>253.14285714285717</v>
      </c>
      <c r="R48" s="8"/>
      <c r="T48"/>
    </row>
    <row r="49" spans="2:20" ht="23.1" customHeight="1" x14ac:dyDescent="0.25">
      <c r="B49" s="23" t="s">
        <v>76</v>
      </c>
      <c r="C49" s="49">
        <f>AVERAGE('22.07 Kitebi-Kabusu'!C49,'23.07 Kitebi-Kabusu'!C49,'24.07 Kitebi-Kabusu'!C49,'25.07 Kabusu-Kitebi'!C49,'26.07 Kitebi-Kabusu-24'!C49,'27.07 Kitebi-Kabusu-24h'!C49,'28.07 Kitebi-Kabusu'!C49)</f>
        <v>46.142857142857146</v>
      </c>
      <c r="D49" s="49">
        <f>AVERAGE('22.07 Kitebi-Kabusu'!D49,'23.07 Kitebi-Kabusu'!D49,'24.07 Kitebi-Kabusu'!D49,'25.07 Kabusu-Kitebi'!D49,'26.07 Kitebi-Kabusu-24'!D49,'27.07 Kitebi-Kabusu-24h'!D49,'28.07 Kitebi-Kabusu'!D49)</f>
        <v>5.4285714285714288</v>
      </c>
      <c r="E49" s="49">
        <f>AVERAGE('22.07 Kitebi-Kabusu'!E49,'23.07 Kitebi-Kabusu'!E49,'24.07 Kitebi-Kabusu'!E49,'25.07 Kabusu-Kitebi'!E49,'26.07 Kitebi-Kabusu-24'!E49,'27.07 Kitebi-Kabusu-24h'!E49,'28.07 Kitebi-Kabusu'!E49)</f>
        <v>6.7142857142857144</v>
      </c>
      <c r="F49" s="49">
        <f>AVERAGE('22.07 Kitebi-Kabusu'!F49,'23.07 Kitebi-Kabusu'!F49,'24.07 Kitebi-Kabusu'!F49,'25.07 Kabusu-Kitebi'!F49,'26.07 Kitebi-Kabusu-24'!F49,'27.07 Kitebi-Kabusu-24h'!F49,'28.07 Kitebi-Kabusu'!F49)</f>
        <v>13.571428571428571</v>
      </c>
      <c r="G49" s="49">
        <f>AVERAGE('22.07 Kitebi-Kabusu'!G49,'23.07 Kitebi-Kabusu'!G49,'24.07 Kitebi-Kabusu'!G49,'25.07 Kabusu-Kitebi'!G49,'26.07 Kitebi-Kabusu-24'!G49,'27.07 Kitebi-Kabusu-24h'!G49,'28.07 Kitebi-Kabusu'!G49)</f>
        <v>0.5714285714285714</v>
      </c>
      <c r="H49" s="49">
        <f>AVERAGE('22.07 Kitebi-Kabusu'!H49,'23.07 Kitebi-Kabusu'!H49,'24.07 Kitebi-Kabusu'!H49,'25.07 Kabusu-Kitebi'!H49,'26.07 Kitebi-Kabusu-24'!H49,'27.07 Kitebi-Kabusu-24h'!H49,'28.07 Kitebi-Kabusu'!H49)</f>
        <v>0</v>
      </c>
      <c r="I49" s="49">
        <f>AVERAGE('22.07 Kitebi-Kabusu'!I49,'23.07 Kitebi-Kabusu'!I49,'24.07 Kitebi-Kabusu'!I49,'25.07 Kabusu-Kitebi'!I49,'26.07 Kitebi-Kabusu-24'!I49,'27.07 Kitebi-Kabusu-24h'!I49,'28.07 Kitebi-Kabusu'!I49)</f>
        <v>5.5714285714285712</v>
      </c>
      <c r="J49" s="49">
        <f>AVERAGE('22.07 Kitebi-Kabusu'!J49,'23.07 Kitebi-Kabusu'!J49,'24.07 Kitebi-Kabusu'!J49,'25.07 Kabusu-Kitebi'!J49,'26.07 Kitebi-Kabusu-24'!J49,'27.07 Kitebi-Kabusu-24h'!J49,'28.07 Kitebi-Kabusu'!J49)</f>
        <v>0.5714285714285714</v>
      </c>
      <c r="K49" s="49">
        <f>AVERAGE('22.07 Kitebi-Kabusu'!K49,'23.07 Kitebi-Kabusu'!K49,'24.07 Kitebi-Kabusu'!K49,'25.07 Kabusu-Kitebi'!K49,'26.07 Kitebi-Kabusu-24'!K49,'27.07 Kitebi-Kabusu-24h'!K49,'28.07 Kitebi-Kabusu'!K49)</f>
        <v>0.2857142857142857</v>
      </c>
      <c r="L49" s="49">
        <f>AVERAGE('22.07 Kitebi-Kabusu'!L49,'23.07 Kitebi-Kabusu'!L49,'24.07 Kitebi-Kabusu'!L49,'25.07 Kabusu-Kitebi'!L49,'26.07 Kitebi-Kabusu-24'!L49,'27.07 Kitebi-Kabusu-24h'!L49,'28.07 Kitebi-Kabusu'!L49)</f>
        <v>0.5714285714285714</v>
      </c>
      <c r="M49" s="49">
        <f>AVERAGE('22.07 Kitebi-Kabusu'!M49,'23.07 Kitebi-Kabusu'!M49,'24.07 Kitebi-Kabusu'!M49,'25.07 Kabusu-Kitebi'!M49,'26.07 Kitebi-Kabusu-24'!M49,'27.07 Kitebi-Kabusu-24h'!M49,'28.07 Kitebi-Kabusu'!M49)</f>
        <v>170.85714285714286</v>
      </c>
      <c r="N49" s="49">
        <f>AVERAGE('22.07 Kitebi-Kabusu'!N49,'23.07 Kitebi-Kabusu'!N49,'24.07 Kitebi-Kabusu'!N49,'25.07 Kabusu-Kitebi'!N49,'26.07 Kitebi-Kabusu-24'!N49,'27.07 Kitebi-Kabusu-24h'!N49,'28.07 Kitebi-Kabusu'!N49)</f>
        <v>0</v>
      </c>
      <c r="O49" s="15">
        <f t="shared" si="0"/>
        <v>79.428571428571431</v>
      </c>
      <c r="P49" s="15">
        <f t="shared" si="1"/>
        <v>250.28571428571428</v>
      </c>
      <c r="R49" s="8"/>
      <c r="T49"/>
    </row>
    <row r="50" spans="2:20" ht="23.1" customHeight="1" x14ac:dyDescent="0.25">
      <c r="B50" s="24" t="s">
        <v>77</v>
      </c>
      <c r="C50" s="49">
        <f>AVERAGE('22.07 Kitebi-Kabusu'!C50,'23.07 Kitebi-Kabusu'!C50,'24.07 Kitebi-Kabusu'!C50,'25.07 Kabusu-Kitebi'!C50,'26.07 Kitebi-Kabusu-24'!C50,'27.07 Kitebi-Kabusu-24h'!C50,'28.07 Kitebi-Kabusu'!C50)</f>
        <v>52.428571428571431</v>
      </c>
      <c r="D50" s="49">
        <f>AVERAGE('22.07 Kitebi-Kabusu'!D50,'23.07 Kitebi-Kabusu'!D50,'24.07 Kitebi-Kabusu'!D50,'25.07 Kabusu-Kitebi'!D50,'26.07 Kitebi-Kabusu-24'!D50,'27.07 Kitebi-Kabusu-24h'!D50,'28.07 Kitebi-Kabusu'!D50)</f>
        <v>6.8571428571428568</v>
      </c>
      <c r="E50" s="49">
        <f>AVERAGE('22.07 Kitebi-Kabusu'!E50,'23.07 Kitebi-Kabusu'!E50,'24.07 Kitebi-Kabusu'!E50,'25.07 Kabusu-Kitebi'!E50,'26.07 Kitebi-Kabusu-24'!E50,'27.07 Kitebi-Kabusu-24h'!E50,'28.07 Kitebi-Kabusu'!E50)</f>
        <v>19.285714285714285</v>
      </c>
      <c r="F50" s="49">
        <f>AVERAGE('22.07 Kitebi-Kabusu'!F50,'23.07 Kitebi-Kabusu'!F50,'24.07 Kitebi-Kabusu'!F50,'25.07 Kabusu-Kitebi'!F50,'26.07 Kitebi-Kabusu-24'!F50,'27.07 Kitebi-Kabusu-24h'!F50,'28.07 Kitebi-Kabusu'!F50)</f>
        <v>17.142857142857142</v>
      </c>
      <c r="G50" s="49">
        <f>AVERAGE('22.07 Kitebi-Kabusu'!G50,'23.07 Kitebi-Kabusu'!G50,'24.07 Kitebi-Kabusu'!G50,'25.07 Kabusu-Kitebi'!G50,'26.07 Kitebi-Kabusu-24'!G50,'27.07 Kitebi-Kabusu-24h'!G50,'28.07 Kitebi-Kabusu'!G50)</f>
        <v>0.2857142857142857</v>
      </c>
      <c r="H50" s="49">
        <f>AVERAGE('22.07 Kitebi-Kabusu'!H50,'23.07 Kitebi-Kabusu'!H50,'24.07 Kitebi-Kabusu'!H50,'25.07 Kabusu-Kitebi'!H50,'26.07 Kitebi-Kabusu-24'!H50,'27.07 Kitebi-Kabusu-24h'!H50,'28.07 Kitebi-Kabusu'!H50)</f>
        <v>0.14285714285714285</v>
      </c>
      <c r="I50" s="49">
        <f>AVERAGE('22.07 Kitebi-Kabusu'!I50,'23.07 Kitebi-Kabusu'!I50,'24.07 Kitebi-Kabusu'!I50,'25.07 Kabusu-Kitebi'!I50,'26.07 Kitebi-Kabusu-24'!I50,'27.07 Kitebi-Kabusu-24h'!I50,'28.07 Kitebi-Kabusu'!I50)</f>
        <v>5.5714285714285712</v>
      </c>
      <c r="J50" s="49">
        <f>AVERAGE('22.07 Kitebi-Kabusu'!J50,'23.07 Kitebi-Kabusu'!J50,'24.07 Kitebi-Kabusu'!J50,'25.07 Kabusu-Kitebi'!J50,'26.07 Kitebi-Kabusu-24'!J50,'27.07 Kitebi-Kabusu-24h'!J50,'28.07 Kitebi-Kabusu'!J50)</f>
        <v>1</v>
      </c>
      <c r="K50" s="49">
        <f>AVERAGE('22.07 Kitebi-Kabusu'!K50,'23.07 Kitebi-Kabusu'!K50,'24.07 Kitebi-Kabusu'!K50,'25.07 Kabusu-Kitebi'!K50,'26.07 Kitebi-Kabusu-24'!K50,'27.07 Kitebi-Kabusu-24h'!K50,'28.07 Kitebi-Kabusu'!K50)</f>
        <v>0.42857142857142855</v>
      </c>
      <c r="L50" s="49">
        <f>AVERAGE('22.07 Kitebi-Kabusu'!L50,'23.07 Kitebi-Kabusu'!L50,'24.07 Kitebi-Kabusu'!L50,'25.07 Kabusu-Kitebi'!L50,'26.07 Kitebi-Kabusu-24'!L50,'27.07 Kitebi-Kabusu-24h'!L50,'28.07 Kitebi-Kabusu'!L50)</f>
        <v>1.1428571428571428</v>
      </c>
      <c r="M50" s="49">
        <f>AVERAGE('22.07 Kitebi-Kabusu'!M50,'23.07 Kitebi-Kabusu'!M50,'24.07 Kitebi-Kabusu'!M50,'25.07 Kabusu-Kitebi'!M50,'26.07 Kitebi-Kabusu-24'!M50,'27.07 Kitebi-Kabusu-24h'!M50,'28.07 Kitebi-Kabusu'!M50)</f>
        <v>170.28571428571428</v>
      </c>
      <c r="N50" s="49">
        <f>AVERAGE('22.07 Kitebi-Kabusu'!N50,'23.07 Kitebi-Kabusu'!N50,'24.07 Kitebi-Kabusu'!N50,'25.07 Kabusu-Kitebi'!N50,'26.07 Kitebi-Kabusu-24'!N50,'27.07 Kitebi-Kabusu-24h'!N50,'28.07 Kitebi-Kabusu'!N50)</f>
        <v>0</v>
      </c>
      <c r="O50" s="15">
        <f t="shared" si="0"/>
        <v>104.28571428571428</v>
      </c>
      <c r="P50" s="15">
        <f t="shared" si="1"/>
        <v>274.57142857142856</v>
      </c>
      <c r="R50" s="8"/>
      <c r="T50"/>
    </row>
    <row r="51" spans="2:20" ht="23.1" customHeight="1" x14ac:dyDescent="0.25">
      <c r="B51" s="24" t="s">
        <v>78</v>
      </c>
      <c r="C51" s="49">
        <f>AVERAGE('22.07 Kitebi-Kabusu'!C51,'23.07 Kitebi-Kabusu'!C51,'24.07 Kitebi-Kabusu'!C51,'25.07 Kabusu-Kitebi'!C51,'26.07 Kitebi-Kabusu-24'!C51,'27.07 Kitebi-Kabusu-24h'!C51,'28.07 Kitebi-Kabusu'!C51)</f>
        <v>48.714285714285715</v>
      </c>
      <c r="D51" s="49">
        <f>AVERAGE('22.07 Kitebi-Kabusu'!D51,'23.07 Kitebi-Kabusu'!D51,'24.07 Kitebi-Kabusu'!D51,'25.07 Kabusu-Kitebi'!D51,'26.07 Kitebi-Kabusu-24'!D51,'27.07 Kitebi-Kabusu-24h'!D51,'28.07 Kitebi-Kabusu'!D51)</f>
        <v>7</v>
      </c>
      <c r="E51" s="49">
        <f>AVERAGE('22.07 Kitebi-Kabusu'!E51,'23.07 Kitebi-Kabusu'!E51,'24.07 Kitebi-Kabusu'!E51,'25.07 Kabusu-Kitebi'!E51,'26.07 Kitebi-Kabusu-24'!E51,'27.07 Kitebi-Kabusu-24h'!E51,'28.07 Kitebi-Kabusu'!E51)</f>
        <v>6.7142857142857144</v>
      </c>
      <c r="F51" s="49">
        <f>AVERAGE('22.07 Kitebi-Kabusu'!F51,'23.07 Kitebi-Kabusu'!F51,'24.07 Kitebi-Kabusu'!F51,'25.07 Kabusu-Kitebi'!F51,'26.07 Kitebi-Kabusu-24'!F51,'27.07 Kitebi-Kabusu-24h'!F51,'28.07 Kitebi-Kabusu'!F51)</f>
        <v>19.428571428571427</v>
      </c>
      <c r="G51" s="49">
        <f>AVERAGE('22.07 Kitebi-Kabusu'!G51,'23.07 Kitebi-Kabusu'!G51,'24.07 Kitebi-Kabusu'!G51,'25.07 Kabusu-Kitebi'!G51,'26.07 Kitebi-Kabusu-24'!G51,'27.07 Kitebi-Kabusu-24h'!G51,'28.07 Kitebi-Kabusu'!G51)</f>
        <v>0.42857142857142855</v>
      </c>
      <c r="H51" s="49">
        <f>AVERAGE('22.07 Kitebi-Kabusu'!H51,'23.07 Kitebi-Kabusu'!H51,'24.07 Kitebi-Kabusu'!H51,'25.07 Kabusu-Kitebi'!H51,'26.07 Kitebi-Kabusu-24'!H51,'27.07 Kitebi-Kabusu-24h'!H51,'28.07 Kitebi-Kabusu'!H51)</f>
        <v>0</v>
      </c>
      <c r="I51" s="49">
        <f>AVERAGE('22.07 Kitebi-Kabusu'!I51,'23.07 Kitebi-Kabusu'!I51,'24.07 Kitebi-Kabusu'!I51,'25.07 Kabusu-Kitebi'!I51,'26.07 Kitebi-Kabusu-24'!I51,'27.07 Kitebi-Kabusu-24h'!I51,'28.07 Kitebi-Kabusu'!I51)</f>
        <v>6.2857142857142856</v>
      </c>
      <c r="J51" s="49">
        <f>AVERAGE('22.07 Kitebi-Kabusu'!J51,'23.07 Kitebi-Kabusu'!J51,'24.07 Kitebi-Kabusu'!J51,'25.07 Kabusu-Kitebi'!J51,'26.07 Kitebi-Kabusu-24'!J51,'27.07 Kitebi-Kabusu-24h'!J51,'28.07 Kitebi-Kabusu'!J51)</f>
        <v>0.8571428571428571</v>
      </c>
      <c r="K51" s="49">
        <f>AVERAGE('22.07 Kitebi-Kabusu'!K51,'23.07 Kitebi-Kabusu'!K51,'24.07 Kitebi-Kabusu'!K51,'25.07 Kabusu-Kitebi'!K51,'26.07 Kitebi-Kabusu-24'!K51,'27.07 Kitebi-Kabusu-24h'!K51,'28.07 Kitebi-Kabusu'!K51)</f>
        <v>0.5714285714285714</v>
      </c>
      <c r="L51" s="49">
        <f>AVERAGE('22.07 Kitebi-Kabusu'!L51,'23.07 Kitebi-Kabusu'!L51,'24.07 Kitebi-Kabusu'!L51,'25.07 Kabusu-Kitebi'!L51,'26.07 Kitebi-Kabusu-24'!L51,'27.07 Kitebi-Kabusu-24h'!L51,'28.07 Kitebi-Kabusu'!L51)</f>
        <v>0.2857142857142857</v>
      </c>
      <c r="M51" s="49">
        <f>AVERAGE('22.07 Kitebi-Kabusu'!M51,'23.07 Kitebi-Kabusu'!M51,'24.07 Kitebi-Kabusu'!M51,'25.07 Kabusu-Kitebi'!M51,'26.07 Kitebi-Kabusu-24'!M51,'27.07 Kitebi-Kabusu-24h'!M51,'28.07 Kitebi-Kabusu'!M51)</f>
        <v>169</v>
      </c>
      <c r="N51" s="49">
        <f>AVERAGE('22.07 Kitebi-Kabusu'!N51,'23.07 Kitebi-Kabusu'!N51,'24.07 Kitebi-Kabusu'!N51,'25.07 Kabusu-Kitebi'!N51,'26.07 Kitebi-Kabusu-24'!N51,'27.07 Kitebi-Kabusu-24h'!N51,'28.07 Kitebi-Kabusu'!N51)</f>
        <v>0</v>
      </c>
      <c r="O51" s="15">
        <f t="shared" si="0"/>
        <v>90.285714285714306</v>
      </c>
      <c r="P51" s="15">
        <f t="shared" si="1"/>
        <v>259.28571428571433</v>
      </c>
      <c r="R51" s="8"/>
      <c r="T51"/>
    </row>
    <row r="52" spans="2:20" ht="23.1" customHeight="1" x14ac:dyDescent="0.25">
      <c r="B52" s="24" t="s">
        <v>79</v>
      </c>
      <c r="C52" s="49">
        <f>AVERAGE('22.07 Kitebi-Kabusu'!C52,'23.07 Kitebi-Kabusu'!C52,'24.07 Kitebi-Kabusu'!C52,'25.07 Kabusu-Kitebi'!C52,'26.07 Kitebi-Kabusu-24'!C52,'27.07 Kitebi-Kabusu-24h'!C52,'28.07 Kitebi-Kabusu'!C52)</f>
        <v>52.428571428571431</v>
      </c>
      <c r="D52" s="49">
        <f>AVERAGE('22.07 Kitebi-Kabusu'!D52,'23.07 Kitebi-Kabusu'!D52,'24.07 Kitebi-Kabusu'!D52,'25.07 Kabusu-Kitebi'!D52,'26.07 Kitebi-Kabusu-24'!D52,'27.07 Kitebi-Kabusu-24h'!D52,'28.07 Kitebi-Kabusu'!D52)</f>
        <v>11.714285714285714</v>
      </c>
      <c r="E52" s="49">
        <f>AVERAGE('22.07 Kitebi-Kabusu'!E52,'23.07 Kitebi-Kabusu'!E52,'24.07 Kitebi-Kabusu'!E52,'25.07 Kabusu-Kitebi'!E52,'26.07 Kitebi-Kabusu-24'!E52,'27.07 Kitebi-Kabusu-24h'!E52,'28.07 Kitebi-Kabusu'!E52)</f>
        <v>7</v>
      </c>
      <c r="F52" s="49">
        <f>AVERAGE('22.07 Kitebi-Kabusu'!F52,'23.07 Kitebi-Kabusu'!F52,'24.07 Kitebi-Kabusu'!F52,'25.07 Kabusu-Kitebi'!F52,'26.07 Kitebi-Kabusu-24'!F52,'27.07 Kitebi-Kabusu-24h'!F52,'28.07 Kitebi-Kabusu'!F52)</f>
        <v>20.571428571428573</v>
      </c>
      <c r="G52" s="49">
        <f>AVERAGE('22.07 Kitebi-Kabusu'!G52,'23.07 Kitebi-Kabusu'!G52,'24.07 Kitebi-Kabusu'!G52,'25.07 Kabusu-Kitebi'!G52,'26.07 Kitebi-Kabusu-24'!G52,'27.07 Kitebi-Kabusu-24h'!G52,'28.07 Kitebi-Kabusu'!G52)</f>
        <v>1.2857142857142858</v>
      </c>
      <c r="H52" s="49">
        <f>AVERAGE('22.07 Kitebi-Kabusu'!H52,'23.07 Kitebi-Kabusu'!H52,'24.07 Kitebi-Kabusu'!H52,'25.07 Kabusu-Kitebi'!H52,'26.07 Kitebi-Kabusu-24'!H52,'27.07 Kitebi-Kabusu-24h'!H52,'28.07 Kitebi-Kabusu'!H52)</f>
        <v>0.14285714285714285</v>
      </c>
      <c r="I52" s="49">
        <f>AVERAGE('22.07 Kitebi-Kabusu'!I52,'23.07 Kitebi-Kabusu'!I52,'24.07 Kitebi-Kabusu'!I52,'25.07 Kabusu-Kitebi'!I52,'26.07 Kitebi-Kabusu-24'!I52,'27.07 Kitebi-Kabusu-24h'!I52,'28.07 Kitebi-Kabusu'!I52)</f>
        <v>3.8571428571428572</v>
      </c>
      <c r="J52" s="49">
        <f>AVERAGE('22.07 Kitebi-Kabusu'!J52,'23.07 Kitebi-Kabusu'!J52,'24.07 Kitebi-Kabusu'!J52,'25.07 Kabusu-Kitebi'!J52,'26.07 Kitebi-Kabusu-24'!J52,'27.07 Kitebi-Kabusu-24h'!J52,'28.07 Kitebi-Kabusu'!J52)</f>
        <v>0.5714285714285714</v>
      </c>
      <c r="K52" s="49">
        <f>AVERAGE('22.07 Kitebi-Kabusu'!K52,'23.07 Kitebi-Kabusu'!K52,'24.07 Kitebi-Kabusu'!K52,'25.07 Kabusu-Kitebi'!K52,'26.07 Kitebi-Kabusu-24'!K52,'27.07 Kitebi-Kabusu-24h'!K52,'28.07 Kitebi-Kabusu'!K52)</f>
        <v>0.2857142857142857</v>
      </c>
      <c r="L52" s="49">
        <f>AVERAGE('22.07 Kitebi-Kabusu'!L52,'23.07 Kitebi-Kabusu'!L52,'24.07 Kitebi-Kabusu'!L52,'25.07 Kabusu-Kitebi'!L52,'26.07 Kitebi-Kabusu-24'!L52,'27.07 Kitebi-Kabusu-24h'!L52,'28.07 Kitebi-Kabusu'!L52)</f>
        <v>0.8571428571428571</v>
      </c>
      <c r="M52" s="49">
        <f>AVERAGE('22.07 Kitebi-Kabusu'!M52,'23.07 Kitebi-Kabusu'!M52,'24.07 Kitebi-Kabusu'!M52,'25.07 Kabusu-Kitebi'!M52,'26.07 Kitebi-Kabusu-24'!M52,'27.07 Kitebi-Kabusu-24h'!M52,'28.07 Kitebi-Kabusu'!M52)</f>
        <v>181</v>
      </c>
      <c r="N52" s="49">
        <f>AVERAGE('22.07 Kitebi-Kabusu'!N52,'23.07 Kitebi-Kabusu'!N52,'24.07 Kitebi-Kabusu'!N52,'25.07 Kabusu-Kitebi'!N52,'26.07 Kitebi-Kabusu-24'!N52,'27.07 Kitebi-Kabusu-24h'!N52,'28.07 Kitebi-Kabusu'!N52)</f>
        <v>0</v>
      </c>
      <c r="O52" s="15">
        <f t="shared" si="0"/>
        <v>98.714285714285722</v>
      </c>
      <c r="P52" s="15">
        <f t="shared" si="1"/>
        <v>279.71428571428572</v>
      </c>
      <c r="R52" s="8"/>
      <c r="T52"/>
    </row>
    <row r="53" spans="2:20" ht="23.1" customHeight="1" x14ac:dyDescent="0.25">
      <c r="B53" s="23" t="s">
        <v>80</v>
      </c>
      <c r="C53" s="49">
        <f>AVERAGE('22.07 Kitebi-Kabusu'!C53,'23.07 Kitebi-Kabusu'!C53,'24.07 Kitebi-Kabusu'!C53,'25.07 Kabusu-Kitebi'!C53,'26.07 Kitebi-Kabusu-24'!C53,'27.07 Kitebi-Kabusu-24h'!C53,'28.07 Kitebi-Kabusu'!C53)</f>
        <v>48.857142857142854</v>
      </c>
      <c r="D53" s="49">
        <f>AVERAGE('22.07 Kitebi-Kabusu'!D53,'23.07 Kitebi-Kabusu'!D53,'24.07 Kitebi-Kabusu'!D53,'25.07 Kabusu-Kitebi'!D53,'26.07 Kitebi-Kabusu-24'!D53,'27.07 Kitebi-Kabusu-24h'!D53,'28.07 Kitebi-Kabusu'!D53)</f>
        <v>5.8571428571428568</v>
      </c>
      <c r="E53" s="49">
        <f>AVERAGE('22.07 Kitebi-Kabusu'!E53,'23.07 Kitebi-Kabusu'!E53,'24.07 Kitebi-Kabusu'!E53,'25.07 Kabusu-Kitebi'!E53,'26.07 Kitebi-Kabusu-24'!E53,'27.07 Kitebi-Kabusu-24h'!E53,'28.07 Kitebi-Kabusu'!E53)</f>
        <v>7.1428571428571432</v>
      </c>
      <c r="F53" s="49">
        <f>AVERAGE('22.07 Kitebi-Kabusu'!F53,'23.07 Kitebi-Kabusu'!F53,'24.07 Kitebi-Kabusu'!F53,'25.07 Kabusu-Kitebi'!F53,'26.07 Kitebi-Kabusu-24'!F53,'27.07 Kitebi-Kabusu-24h'!F53,'28.07 Kitebi-Kabusu'!F53)</f>
        <v>21</v>
      </c>
      <c r="G53" s="49">
        <f>AVERAGE('22.07 Kitebi-Kabusu'!G53,'23.07 Kitebi-Kabusu'!G53,'24.07 Kitebi-Kabusu'!G53,'25.07 Kabusu-Kitebi'!G53,'26.07 Kitebi-Kabusu-24'!G53,'27.07 Kitebi-Kabusu-24h'!G53,'28.07 Kitebi-Kabusu'!G53)</f>
        <v>1</v>
      </c>
      <c r="H53" s="49">
        <f>AVERAGE('22.07 Kitebi-Kabusu'!H53,'23.07 Kitebi-Kabusu'!H53,'24.07 Kitebi-Kabusu'!H53,'25.07 Kabusu-Kitebi'!H53,'26.07 Kitebi-Kabusu-24'!H53,'27.07 Kitebi-Kabusu-24h'!H53,'28.07 Kitebi-Kabusu'!H53)</f>
        <v>0</v>
      </c>
      <c r="I53" s="49">
        <f>AVERAGE('22.07 Kitebi-Kabusu'!I53,'23.07 Kitebi-Kabusu'!I53,'24.07 Kitebi-Kabusu'!I53,'25.07 Kabusu-Kitebi'!I53,'26.07 Kitebi-Kabusu-24'!I53,'27.07 Kitebi-Kabusu-24h'!I53,'28.07 Kitebi-Kabusu'!I53)</f>
        <v>6.2857142857142856</v>
      </c>
      <c r="J53" s="49">
        <f>AVERAGE('22.07 Kitebi-Kabusu'!J53,'23.07 Kitebi-Kabusu'!J53,'24.07 Kitebi-Kabusu'!J53,'25.07 Kabusu-Kitebi'!J53,'26.07 Kitebi-Kabusu-24'!J53,'27.07 Kitebi-Kabusu-24h'!J53,'28.07 Kitebi-Kabusu'!J53)</f>
        <v>1</v>
      </c>
      <c r="K53" s="49">
        <f>AVERAGE('22.07 Kitebi-Kabusu'!K53,'23.07 Kitebi-Kabusu'!K53,'24.07 Kitebi-Kabusu'!K53,'25.07 Kabusu-Kitebi'!K53,'26.07 Kitebi-Kabusu-24'!K53,'27.07 Kitebi-Kabusu-24h'!K53,'28.07 Kitebi-Kabusu'!K53)</f>
        <v>0.5714285714285714</v>
      </c>
      <c r="L53" s="49">
        <f>AVERAGE('22.07 Kitebi-Kabusu'!L53,'23.07 Kitebi-Kabusu'!L53,'24.07 Kitebi-Kabusu'!L53,'25.07 Kabusu-Kitebi'!L53,'26.07 Kitebi-Kabusu-24'!L53,'27.07 Kitebi-Kabusu-24h'!L53,'28.07 Kitebi-Kabusu'!L53)</f>
        <v>0.14285714285714285</v>
      </c>
      <c r="M53" s="49">
        <f>AVERAGE('22.07 Kitebi-Kabusu'!M53,'23.07 Kitebi-Kabusu'!M53,'24.07 Kitebi-Kabusu'!M53,'25.07 Kabusu-Kitebi'!M53,'26.07 Kitebi-Kabusu-24'!M53,'27.07 Kitebi-Kabusu-24h'!M53,'28.07 Kitebi-Kabusu'!M53)</f>
        <v>173</v>
      </c>
      <c r="N53" s="49">
        <f>AVERAGE('22.07 Kitebi-Kabusu'!N53,'23.07 Kitebi-Kabusu'!N53,'24.07 Kitebi-Kabusu'!N53,'25.07 Kabusu-Kitebi'!N53,'26.07 Kitebi-Kabusu-24'!N53,'27.07 Kitebi-Kabusu-24h'!N53,'28.07 Kitebi-Kabusu'!N53)</f>
        <v>0</v>
      </c>
      <c r="O53" s="15">
        <f t="shared" si="0"/>
        <v>91.857142857142861</v>
      </c>
      <c r="P53" s="15">
        <f t="shared" si="1"/>
        <v>264.85714285714289</v>
      </c>
      <c r="R53" s="8"/>
      <c r="T53"/>
    </row>
    <row r="54" spans="2:20" ht="23.1" customHeight="1" x14ac:dyDescent="0.25">
      <c r="B54" s="23" t="s">
        <v>81</v>
      </c>
      <c r="C54" s="49">
        <f>AVERAGE('22.07 Kitebi-Kabusu'!C54,'23.07 Kitebi-Kabusu'!C54,'24.07 Kitebi-Kabusu'!C54,'25.07 Kabusu-Kitebi'!C54,'26.07 Kitebi-Kabusu-24'!C54,'27.07 Kitebi-Kabusu-24h'!C54,'28.07 Kitebi-Kabusu'!C54)</f>
        <v>58</v>
      </c>
      <c r="D54" s="49">
        <f>AVERAGE('22.07 Kitebi-Kabusu'!D54,'23.07 Kitebi-Kabusu'!D54,'24.07 Kitebi-Kabusu'!D54,'25.07 Kabusu-Kitebi'!D54,'26.07 Kitebi-Kabusu-24'!D54,'27.07 Kitebi-Kabusu-24h'!D54,'28.07 Kitebi-Kabusu'!D54)</f>
        <v>8.8571428571428577</v>
      </c>
      <c r="E54" s="49">
        <f>AVERAGE('22.07 Kitebi-Kabusu'!E54,'23.07 Kitebi-Kabusu'!E54,'24.07 Kitebi-Kabusu'!E54,'25.07 Kabusu-Kitebi'!E54,'26.07 Kitebi-Kabusu-24'!E54,'27.07 Kitebi-Kabusu-24h'!E54,'28.07 Kitebi-Kabusu'!E54)</f>
        <v>5.5714285714285712</v>
      </c>
      <c r="F54" s="49">
        <f>AVERAGE('22.07 Kitebi-Kabusu'!F54,'23.07 Kitebi-Kabusu'!F54,'24.07 Kitebi-Kabusu'!F54,'25.07 Kabusu-Kitebi'!F54,'26.07 Kitebi-Kabusu-24'!F54,'27.07 Kitebi-Kabusu-24h'!F54,'28.07 Kitebi-Kabusu'!F54)</f>
        <v>25.571428571428573</v>
      </c>
      <c r="G54" s="49">
        <f>AVERAGE('22.07 Kitebi-Kabusu'!G54,'23.07 Kitebi-Kabusu'!G54,'24.07 Kitebi-Kabusu'!G54,'25.07 Kabusu-Kitebi'!G54,'26.07 Kitebi-Kabusu-24'!G54,'27.07 Kitebi-Kabusu-24h'!G54,'28.07 Kitebi-Kabusu'!G54)</f>
        <v>1</v>
      </c>
      <c r="H54" s="49">
        <f>AVERAGE('22.07 Kitebi-Kabusu'!H54,'23.07 Kitebi-Kabusu'!H54,'24.07 Kitebi-Kabusu'!H54,'25.07 Kabusu-Kitebi'!H54,'26.07 Kitebi-Kabusu-24'!H54,'27.07 Kitebi-Kabusu-24h'!H54,'28.07 Kitebi-Kabusu'!H54)</f>
        <v>0.14285714285714285</v>
      </c>
      <c r="I54" s="49">
        <f>AVERAGE('22.07 Kitebi-Kabusu'!I54,'23.07 Kitebi-Kabusu'!I54,'24.07 Kitebi-Kabusu'!I54,'25.07 Kabusu-Kitebi'!I54,'26.07 Kitebi-Kabusu-24'!I54,'27.07 Kitebi-Kabusu-24h'!I54,'28.07 Kitebi-Kabusu'!I54)</f>
        <v>5.5714285714285712</v>
      </c>
      <c r="J54" s="49">
        <f>AVERAGE('22.07 Kitebi-Kabusu'!J54,'23.07 Kitebi-Kabusu'!J54,'24.07 Kitebi-Kabusu'!J54,'25.07 Kabusu-Kitebi'!J54,'26.07 Kitebi-Kabusu-24'!J54,'27.07 Kitebi-Kabusu-24h'!J54,'28.07 Kitebi-Kabusu'!J54)</f>
        <v>0.7142857142857143</v>
      </c>
      <c r="K54" s="49">
        <f>AVERAGE('22.07 Kitebi-Kabusu'!K54,'23.07 Kitebi-Kabusu'!K54,'24.07 Kitebi-Kabusu'!K54,'25.07 Kabusu-Kitebi'!K54,'26.07 Kitebi-Kabusu-24'!K54,'27.07 Kitebi-Kabusu-24h'!K54,'28.07 Kitebi-Kabusu'!K54)</f>
        <v>0.5714285714285714</v>
      </c>
      <c r="L54" s="49">
        <f>AVERAGE('22.07 Kitebi-Kabusu'!L54,'23.07 Kitebi-Kabusu'!L54,'24.07 Kitebi-Kabusu'!L54,'25.07 Kabusu-Kitebi'!L54,'26.07 Kitebi-Kabusu-24'!L54,'27.07 Kitebi-Kabusu-24h'!L54,'28.07 Kitebi-Kabusu'!L54)</f>
        <v>1</v>
      </c>
      <c r="M54" s="49">
        <f>AVERAGE('22.07 Kitebi-Kabusu'!M54,'23.07 Kitebi-Kabusu'!M54,'24.07 Kitebi-Kabusu'!M54,'25.07 Kabusu-Kitebi'!M54,'26.07 Kitebi-Kabusu-24'!M54,'27.07 Kitebi-Kabusu-24h'!M54,'28.07 Kitebi-Kabusu'!M54)</f>
        <v>187.57142857142858</v>
      </c>
      <c r="N54" s="49">
        <f>AVERAGE('22.07 Kitebi-Kabusu'!N54,'23.07 Kitebi-Kabusu'!N54,'24.07 Kitebi-Kabusu'!N54,'25.07 Kabusu-Kitebi'!N54,'26.07 Kitebi-Kabusu-24'!N54,'27.07 Kitebi-Kabusu-24h'!N54,'28.07 Kitebi-Kabusu'!N54)</f>
        <v>0</v>
      </c>
      <c r="O54" s="15">
        <f t="shared" si="0"/>
        <v>106.99999999999999</v>
      </c>
      <c r="P54" s="15">
        <f t="shared" si="1"/>
        <v>294.57142857142856</v>
      </c>
      <c r="R54" s="8"/>
      <c r="T54"/>
    </row>
    <row r="55" spans="2:20" ht="23.1" customHeight="1" x14ac:dyDescent="0.25">
      <c r="B55" s="23" t="s">
        <v>82</v>
      </c>
      <c r="C55" s="49">
        <f>AVERAGE('22.07 Kitebi-Kabusu'!C55,'23.07 Kitebi-Kabusu'!C55,'24.07 Kitebi-Kabusu'!C55,'25.07 Kabusu-Kitebi'!C55,'26.07 Kitebi-Kabusu-24'!C55,'27.07 Kitebi-Kabusu-24h'!C55,'28.07 Kitebi-Kabusu'!C55)</f>
        <v>54.857142857142854</v>
      </c>
      <c r="D55" s="49">
        <f>AVERAGE('22.07 Kitebi-Kabusu'!D55,'23.07 Kitebi-Kabusu'!D55,'24.07 Kitebi-Kabusu'!D55,'25.07 Kabusu-Kitebi'!D55,'26.07 Kitebi-Kabusu-24'!D55,'27.07 Kitebi-Kabusu-24h'!D55,'28.07 Kitebi-Kabusu'!D55)</f>
        <v>6.8571428571428568</v>
      </c>
      <c r="E55" s="49">
        <f>AVERAGE('22.07 Kitebi-Kabusu'!E55,'23.07 Kitebi-Kabusu'!E55,'24.07 Kitebi-Kabusu'!E55,'25.07 Kabusu-Kitebi'!E55,'26.07 Kitebi-Kabusu-24'!E55,'27.07 Kitebi-Kabusu-24h'!E55,'28.07 Kitebi-Kabusu'!E55)</f>
        <v>7.5714285714285712</v>
      </c>
      <c r="F55" s="49">
        <f>AVERAGE('22.07 Kitebi-Kabusu'!F55,'23.07 Kitebi-Kabusu'!F55,'24.07 Kitebi-Kabusu'!F55,'25.07 Kabusu-Kitebi'!F55,'26.07 Kitebi-Kabusu-24'!F55,'27.07 Kitebi-Kabusu-24h'!F55,'28.07 Kitebi-Kabusu'!F55)</f>
        <v>27.857142857142858</v>
      </c>
      <c r="G55" s="49">
        <f>AVERAGE('22.07 Kitebi-Kabusu'!G55,'23.07 Kitebi-Kabusu'!G55,'24.07 Kitebi-Kabusu'!G55,'25.07 Kabusu-Kitebi'!G55,'26.07 Kitebi-Kabusu-24'!G55,'27.07 Kitebi-Kabusu-24h'!G55,'28.07 Kitebi-Kabusu'!G55)</f>
        <v>0.5714285714285714</v>
      </c>
      <c r="H55" s="49">
        <f>AVERAGE('22.07 Kitebi-Kabusu'!H55,'23.07 Kitebi-Kabusu'!H55,'24.07 Kitebi-Kabusu'!H55,'25.07 Kabusu-Kitebi'!H55,'26.07 Kitebi-Kabusu-24'!H55,'27.07 Kitebi-Kabusu-24h'!H55,'28.07 Kitebi-Kabusu'!H55)</f>
        <v>0.42857142857142855</v>
      </c>
      <c r="I55" s="49">
        <f>AVERAGE('22.07 Kitebi-Kabusu'!I55,'23.07 Kitebi-Kabusu'!I55,'24.07 Kitebi-Kabusu'!I55,'25.07 Kabusu-Kitebi'!I55,'26.07 Kitebi-Kabusu-24'!I55,'27.07 Kitebi-Kabusu-24h'!I55,'28.07 Kitebi-Kabusu'!I55)</f>
        <v>6.4285714285714288</v>
      </c>
      <c r="J55" s="49">
        <f>AVERAGE('22.07 Kitebi-Kabusu'!J55,'23.07 Kitebi-Kabusu'!J55,'24.07 Kitebi-Kabusu'!J55,'25.07 Kabusu-Kitebi'!J55,'26.07 Kitebi-Kabusu-24'!J55,'27.07 Kitebi-Kabusu-24h'!J55,'28.07 Kitebi-Kabusu'!J55)</f>
        <v>2.4285714285714284</v>
      </c>
      <c r="K55" s="49">
        <f>AVERAGE('22.07 Kitebi-Kabusu'!K55,'23.07 Kitebi-Kabusu'!K55,'24.07 Kitebi-Kabusu'!K55,'25.07 Kabusu-Kitebi'!K55,'26.07 Kitebi-Kabusu-24'!K55,'27.07 Kitebi-Kabusu-24h'!K55,'28.07 Kitebi-Kabusu'!K55)</f>
        <v>0.7142857142857143</v>
      </c>
      <c r="L55" s="49">
        <f>AVERAGE('22.07 Kitebi-Kabusu'!L55,'23.07 Kitebi-Kabusu'!L55,'24.07 Kitebi-Kabusu'!L55,'25.07 Kabusu-Kitebi'!L55,'26.07 Kitebi-Kabusu-24'!L55,'27.07 Kitebi-Kabusu-24h'!L55,'28.07 Kitebi-Kabusu'!L55)</f>
        <v>0.42857142857142855</v>
      </c>
      <c r="M55" s="49">
        <f>AVERAGE('22.07 Kitebi-Kabusu'!M55,'23.07 Kitebi-Kabusu'!M55,'24.07 Kitebi-Kabusu'!M55,'25.07 Kabusu-Kitebi'!M55,'26.07 Kitebi-Kabusu-24'!M55,'27.07 Kitebi-Kabusu-24h'!M55,'28.07 Kitebi-Kabusu'!M55)</f>
        <v>181</v>
      </c>
      <c r="N55" s="49">
        <f>AVERAGE('22.07 Kitebi-Kabusu'!N55,'23.07 Kitebi-Kabusu'!N55,'24.07 Kitebi-Kabusu'!N55,'25.07 Kabusu-Kitebi'!N55,'26.07 Kitebi-Kabusu-24'!N55,'27.07 Kitebi-Kabusu-24h'!N55,'28.07 Kitebi-Kabusu'!N55)</f>
        <v>0</v>
      </c>
      <c r="O55" s="15">
        <f t="shared" si="0"/>
        <v>108.14285714285714</v>
      </c>
      <c r="P55" s="15">
        <f t="shared" si="1"/>
        <v>289.14285714285711</v>
      </c>
      <c r="R55" s="8"/>
      <c r="T55"/>
    </row>
    <row r="56" spans="2:20" ht="23.1" customHeight="1" x14ac:dyDescent="0.25">
      <c r="B56" s="23" t="s">
        <v>83</v>
      </c>
      <c r="C56" s="49">
        <f>AVERAGE('22.07 Kitebi-Kabusu'!C56,'23.07 Kitebi-Kabusu'!C56,'24.07 Kitebi-Kabusu'!C56,'25.07 Kabusu-Kitebi'!C56,'26.07 Kitebi-Kabusu-24'!C56,'27.07 Kitebi-Kabusu-24h'!C56,'28.07 Kitebi-Kabusu'!C56)</f>
        <v>52.857142857142854</v>
      </c>
      <c r="D56" s="49">
        <f>AVERAGE('22.07 Kitebi-Kabusu'!D56,'23.07 Kitebi-Kabusu'!D56,'24.07 Kitebi-Kabusu'!D56,'25.07 Kabusu-Kitebi'!D56,'26.07 Kitebi-Kabusu-24'!D56,'27.07 Kitebi-Kabusu-24h'!D56,'28.07 Kitebi-Kabusu'!D56)</f>
        <v>7.8571428571428568</v>
      </c>
      <c r="E56" s="49">
        <f>AVERAGE('22.07 Kitebi-Kabusu'!E56,'23.07 Kitebi-Kabusu'!E56,'24.07 Kitebi-Kabusu'!E56,'25.07 Kabusu-Kitebi'!E56,'26.07 Kitebi-Kabusu-24'!E56,'27.07 Kitebi-Kabusu-24h'!E56,'28.07 Kitebi-Kabusu'!E56)</f>
        <v>7.1428571428571432</v>
      </c>
      <c r="F56" s="49">
        <f>AVERAGE('22.07 Kitebi-Kabusu'!F56,'23.07 Kitebi-Kabusu'!F56,'24.07 Kitebi-Kabusu'!F56,'25.07 Kabusu-Kitebi'!F56,'26.07 Kitebi-Kabusu-24'!F56,'27.07 Kitebi-Kabusu-24h'!F56,'28.07 Kitebi-Kabusu'!F56)</f>
        <v>31.142857142857142</v>
      </c>
      <c r="G56" s="49">
        <f>AVERAGE('22.07 Kitebi-Kabusu'!G56,'23.07 Kitebi-Kabusu'!G56,'24.07 Kitebi-Kabusu'!G56,'25.07 Kabusu-Kitebi'!G56,'26.07 Kitebi-Kabusu-24'!G56,'27.07 Kitebi-Kabusu-24h'!G56,'28.07 Kitebi-Kabusu'!G56)</f>
        <v>1.1428571428571428</v>
      </c>
      <c r="H56" s="49">
        <f>AVERAGE('22.07 Kitebi-Kabusu'!H56,'23.07 Kitebi-Kabusu'!H56,'24.07 Kitebi-Kabusu'!H56,'25.07 Kabusu-Kitebi'!H56,'26.07 Kitebi-Kabusu-24'!H56,'27.07 Kitebi-Kabusu-24h'!H56,'28.07 Kitebi-Kabusu'!H56)</f>
        <v>0</v>
      </c>
      <c r="I56" s="49">
        <f>AVERAGE('22.07 Kitebi-Kabusu'!I56,'23.07 Kitebi-Kabusu'!I56,'24.07 Kitebi-Kabusu'!I56,'25.07 Kabusu-Kitebi'!I56,'26.07 Kitebi-Kabusu-24'!I56,'27.07 Kitebi-Kabusu-24h'!I56,'28.07 Kitebi-Kabusu'!I56)</f>
        <v>5</v>
      </c>
      <c r="J56" s="49">
        <f>AVERAGE('22.07 Kitebi-Kabusu'!J56,'23.07 Kitebi-Kabusu'!J56,'24.07 Kitebi-Kabusu'!J56,'25.07 Kabusu-Kitebi'!J56,'26.07 Kitebi-Kabusu-24'!J56,'27.07 Kitebi-Kabusu-24h'!J56,'28.07 Kitebi-Kabusu'!J56)</f>
        <v>0.5714285714285714</v>
      </c>
      <c r="K56" s="49">
        <f>AVERAGE('22.07 Kitebi-Kabusu'!K56,'23.07 Kitebi-Kabusu'!K56,'24.07 Kitebi-Kabusu'!K56,'25.07 Kabusu-Kitebi'!K56,'26.07 Kitebi-Kabusu-24'!K56,'27.07 Kitebi-Kabusu-24h'!K56,'28.07 Kitebi-Kabusu'!K56)</f>
        <v>0.42857142857142855</v>
      </c>
      <c r="L56" s="49">
        <f>AVERAGE('22.07 Kitebi-Kabusu'!L56,'23.07 Kitebi-Kabusu'!L56,'24.07 Kitebi-Kabusu'!L56,'25.07 Kabusu-Kitebi'!L56,'26.07 Kitebi-Kabusu-24'!L56,'27.07 Kitebi-Kabusu-24h'!L56,'28.07 Kitebi-Kabusu'!L56)</f>
        <v>0.5714285714285714</v>
      </c>
      <c r="M56" s="49">
        <f>AVERAGE('22.07 Kitebi-Kabusu'!M56,'23.07 Kitebi-Kabusu'!M56,'24.07 Kitebi-Kabusu'!M56,'25.07 Kabusu-Kitebi'!M56,'26.07 Kitebi-Kabusu-24'!M56,'27.07 Kitebi-Kabusu-24h'!M56,'28.07 Kitebi-Kabusu'!M56)</f>
        <v>200.85714285714286</v>
      </c>
      <c r="N56" s="49">
        <f>AVERAGE('22.07 Kitebi-Kabusu'!N56,'23.07 Kitebi-Kabusu'!N56,'24.07 Kitebi-Kabusu'!N56,'25.07 Kabusu-Kitebi'!N56,'26.07 Kitebi-Kabusu-24'!N56,'27.07 Kitebi-Kabusu-24h'!N56,'28.07 Kitebi-Kabusu'!N56)</f>
        <v>0</v>
      </c>
      <c r="O56" s="15">
        <f t="shared" si="0"/>
        <v>106.71428571428569</v>
      </c>
      <c r="P56" s="15">
        <f t="shared" si="1"/>
        <v>307.57142857142856</v>
      </c>
      <c r="R56" s="8"/>
      <c r="T56"/>
    </row>
    <row r="57" spans="2:20" ht="23.1" customHeight="1" x14ac:dyDescent="0.25">
      <c r="B57" s="23" t="s">
        <v>84</v>
      </c>
      <c r="C57" s="49">
        <f>AVERAGE('22.07 Kitebi-Kabusu'!C57,'23.07 Kitebi-Kabusu'!C57,'24.07 Kitebi-Kabusu'!C57,'25.07 Kabusu-Kitebi'!C57,'26.07 Kitebi-Kabusu-24'!C57,'27.07 Kitebi-Kabusu-24h'!C57,'28.07 Kitebi-Kabusu'!C57)</f>
        <v>43.142857142857146</v>
      </c>
      <c r="D57" s="49">
        <f>AVERAGE('22.07 Kitebi-Kabusu'!D57,'23.07 Kitebi-Kabusu'!D57,'24.07 Kitebi-Kabusu'!D57,'25.07 Kabusu-Kitebi'!D57,'26.07 Kitebi-Kabusu-24'!D57,'27.07 Kitebi-Kabusu-24h'!D57,'28.07 Kitebi-Kabusu'!D57)</f>
        <v>5.4285714285714288</v>
      </c>
      <c r="E57" s="49">
        <f>AVERAGE('22.07 Kitebi-Kabusu'!E57,'23.07 Kitebi-Kabusu'!E57,'24.07 Kitebi-Kabusu'!E57,'25.07 Kabusu-Kitebi'!E57,'26.07 Kitebi-Kabusu-24'!E57,'27.07 Kitebi-Kabusu-24h'!E57,'28.07 Kitebi-Kabusu'!E57)</f>
        <v>6</v>
      </c>
      <c r="F57" s="49">
        <f>AVERAGE('22.07 Kitebi-Kabusu'!F57,'23.07 Kitebi-Kabusu'!F57,'24.07 Kitebi-Kabusu'!F57,'25.07 Kabusu-Kitebi'!F57,'26.07 Kitebi-Kabusu-24'!F57,'27.07 Kitebi-Kabusu-24h'!F57,'28.07 Kitebi-Kabusu'!F57)</f>
        <v>31.428571428571427</v>
      </c>
      <c r="G57" s="49">
        <f>AVERAGE('22.07 Kitebi-Kabusu'!G57,'23.07 Kitebi-Kabusu'!G57,'24.07 Kitebi-Kabusu'!G57,'25.07 Kabusu-Kitebi'!G57,'26.07 Kitebi-Kabusu-24'!G57,'27.07 Kitebi-Kabusu-24h'!G57,'28.07 Kitebi-Kabusu'!G57)</f>
        <v>1.5714285714285714</v>
      </c>
      <c r="H57" s="49">
        <f>AVERAGE('22.07 Kitebi-Kabusu'!H57,'23.07 Kitebi-Kabusu'!H57,'24.07 Kitebi-Kabusu'!H57,'25.07 Kabusu-Kitebi'!H57,'26.07 Kitebi-Kabusu-24'!H57,'27.07 Kitebi-Kabusu-24h'!H57,'28.07 Kitebi-Kabusu'!H57)</f>
        <v>0.14285714285714285</v>
      </c>
      <c r="I57" s="49">
        <f>AVERAGE('22.07 Kitebi-Kabusu'!I57,'23.07 Kitebi-Kabusu'!I57,'24.07 Kitebi-Kabusu'!I57,'25.07 Kabusu-Kitebi'!I57,'26.07 Kitebi-Kabusu-24'!I57,'27.07 Kitebi-Kabusu-24h'!I57,'28.07 Kitebi-Kabusu'!I57)</f>
        <v>5.5714285714285712</v>
      </c>
      <c r="J57" s="49">
        <f>AVERAGE('22.07 Kitebi-Kabusu'!J57,'23.07 Kitebi-Kabusu'!J57,'24.07 Kitebi-Kabusu'!J57,'25.07 Kabusu-Kitebi'!J57,'26.07 Kitebi-Kabusu-24'!J57,'27.07 Kitebi-Kabusu-24h'!J57,'28.07 Kitebi-Kabusu'!J57)</f>
        <v>0.42857142857142855</v>
      </c>
      <c r="K57" s="49">
        <f>AVERAGE('22.07 Kitebi-Kabusu'!K57,'23.07 Kitebi-Kabusu'!K57,'24.07 Kitebi-Kabusu'!K57,'25.07 Kabusu-Kitebi'!K57,'26.07 Kitebi-Kabusu-24'!K57,'27.07 Kitebi-Kabusu-24h'!K57,'28.07 Kitebi-Kabusu'!K57)</f>
        <v>0.7142857142857143</v>
      </c>
      <c r="L57" s="49">
        <f>AVERAGE('22.07 Kitebi-Kabusu'!L57,'23.07 Kitebi-Kabusu'!L57,'24.07 Kitebi-Kabusu'!L57,'25.07 Kabusu-Kitebi'!L57,'26.07 Kitebi-Kabusu-24'!L57,'27.07 Kitebi-Kabusu-24h'!L57,'28.07 Kitebi-Kabusu'!L57)</f>
        <v>0.42857142857142855</v>
      </c>
      <c r="M57" s="49">
        <f>AVERAGE('22.07 Kitebi-Kabusu'!M57,'23.07 Kitebi-Kabusu'!M57,'24.07 Kitebi-Kabusu'!M57,'25.07 Kabusu-Kitebi'!M57,'26.07 Kitebi-Kabusu-24'!M57,'27.07 Kitebi-Kabusu-24h'!M57,'28.07 Kitebi-Kabusu'!M57)</f>
        <v>173</v>
      </c>
      <c r="N57" s="49">
        <f>AVERAGE('22.07 Kitebi-Kabusu'!N57,'23.07 Kitebi-Kabusu'!N57,'24.07 Kitebi-Kabusu'!N57,'25.07 Kabusu-Kitebi'!N57,'26.07 Kitebi-Kabusu-24'!N57,'27.07 Kitebi-Kabusu-24h'!N57,'28.07 Kitebi-Kabusu'!N57)</f>
        <v>0</v>
      </c>
      <c r="O57" s="15">
        <f>SUM(C57:L57,N57)</f>
        <v>94.857142857142847</v>
      </c>
      <c r="P57" s="15">
        <f t="shared" si="1"/>
        <v>267.85714285714283</v>
      </c>
      <c r="R57" s="8"/>
      <c r="T57"/>
    </row>
    <row r="58" spans="2:20" ht="23.1" customHeight="1" x14ac:dyDescent="0.25">
      <c r="B58" s="23" t="s">
        <v>99</v>
      </c>
      <c r="C58" s="49">
        <f>AVERAGE('26.07 Kitebi-Kabusu-24'!C58,'27.07 Kitebi-Kabusu-24h'!C58)</f>
        <v>43.5</v>
      </c>
      <c r="D58" s="49">
        <f>AVERAGE('26.07 Kitebi-Kabusu-24'!D58,'27.07 Kitebi-Kabusu-24h'!D58)</f>
        <v>3.5</v>
      </c>
      <c r="E58" s="49">
        <f>AVERAGE('26.07 Kitebi-Kabusu-24'!E58,'27.07 Kitebi-Kabusu-24h'!E58)</f>
        <v>6</v>
      </c>
      <c r="F58" s="49">
        <f>AVERAGE('26.07 Kitebi-Kabusu-24'!F58,'27.07 Kitebi-Kabusu-24h'!F58)</f>
        <v>32.5</v>
      </c>
      <c r="G58" s="49">
        <f>AVERAGE('26.07 Kitebi-Kabusu-24'!G58,'27.07 Kitebi-Kabusu-24h'!G58)</f>
        <v>1</v>
      </c>
      <c r="H58" s="49">
        <f>AVERAGE('26.07 Kitebi-Kabusu-24'!H58,'27.07 Kitebi-Kabusu-24h'!H58)</f>
        <v>0</v>
      </c>
      <c r="I58" s="49">
        <f>AVERAGE('26.07 Kitebi-Kabusu-24'!I58,'27.07 Kitebi-Kabusu-24h'!I58)</f>
        <v>2</v>
      </c>
      <c r="J58" s="49">
        <f>AVERAGE('26.07 Kitebi-Kabusu-24'!J58,'27.07 Kitebi-Kabusu-24h'!J58)</f>
        <v>0</v>
      </c>
      <c r="K58" s="49">
        <f>AVERAGE('26.07 Kitebi-Kabusu-24'!K58,'27.07 Kitebi-Kabusu-24h'!K58)</f>
        <v>0</v>
      </c>
      <c r="L58" s="49">
        <f>AVERAGE('26.07 Kitebi-Kabusu-24'!L58,'27.07 Kitebi-Kabusu-24h'!L58)</f>
        <v>0.5</v>
      </c>
      <c r="M58" s="49">
        <f>AVERAGE('26.07 Kitebi-Kabusu-24'!M58,'27.07 Kitebi-Kabusu-24h'!M58)</f>
        <v>212.5</v>
      </c>
      <c r="N58" s="49">
        <f>AVERAGE('26.07 Kitebi-Kabusu-24'!N58,'27.07 Kitebi-Kabusu-24h'!N58)</f>
        <v>0</v>
      </c>
      <c r="O58" s="15">
        <f t="shared" ref="O58:O103" si="36">SUM(C58:L58,N58)</f>
        <v>89</v>
      </c>
      <c r="P58" s="15">
        <f t="shared" ref="P58:P105" si="37">SUM(C58:N58)</f>
        <v>301.5</v>
      </c>
      <c r="R58" s="8"/>
      <c r="T58"/>
    </row>
    <row r="59" spans="2:20" ht="23.1" customHeight="1" x14ac:dyDescent="0.25">
      <c r="B59" s="23" t="s">
        <v>100</v>
      </c>
      <c r="C59" s="49">
        <f>AVERAGE('26.07 Kitebi-Kabusu-24'!C59,'27.07 Kitebi-Kabusu-24h'!C59)</f>
        <v>39</v>
      </c>
      <c r="D59" s="49">
        <f>AVERAGE('26.07 Kitebi-Kabusu-24'!D59,'27.07 Kitebi-Kabusu-24h'!D59)</f>
        <v>3</v>
      </c>
      <c r="E59" s="49">
        <f>AVERAGE('26.07 Kitebi-Kabusu-24'!E59,'27.07 Kitebi-Kabusu-24h'!E59)</f>
        <v>2</v>
      </c>
      <c r="F59" s="49">
        <f>AVERAGE('26.07 Kitebi-Kabusu-24'!F59,'27.07 Kitebi-Kabusu-24h'!F59)</f>
        <v>40</v>
      </c>
      <c r="G59" s="49">
        <f>AVERAGE('26.07 Kitebi-Kabusu-24'!G59,'27.07 Kitebi-Kabusu-24h'!G59)</f>
        <v>0.5</v>
      </c>
      <c r="H59" s="49">
        <f>AVERAGE('26.07 Kitebi-Kabusu-24'!H59,'27.07 Kitebi-Kabusu-24h'!H59)</f>
        <v>0</v>
      </c>
      <c r="I59" s="49">
        <f>AVERAGE('26.07 Kitebi-Kabusu-24'!I59,'27.07 Kitebi-Kabusu-24h'!I59)</f>
        <v>2.5</v>
      </c>
      <c r="J59" s="49">
        <f>AVERAGE('26.07 Kitebi-Kabusu-24'!J59,'27.07 Kitebi-Kabusu-24h'!J59)</f>
        <v>0</v>
      </c>
      <c r="K59" s="49">
        <f>AVERAGE('26.07 Kitebi-Kabusu-24'!K59,'27.07 Kitebi-Kabusu-24h'!K59)</f>
        <v>0</v>
      </c>
      <c r="L59" s="49">
        <f>AVERAGE('26.07 Kitebi-Kabusu-24'!L59,'27.07 Kitebi-Kabusu-24h'!L59)</f>
        <v>0</v>
      </c>
      <c r="M59" s="49">
        <f>AVERAGE('26.07 Kitebi-Kabusu-24'!M59,'27.07 Kitebi-Kabusu-24h'!M59)</f>
        <v>193.5</v>
      </c>
      <c r="N59" s="49">
        <f>AVERAGE('26.07 Kitebi-Kabusu-24'!N59,'27.07 Kitebi-Kabusu-24h'!N59)</f>
        <v>0</v>
      </c>
      <c r="O59" s="15">
        <f t="shared" si="36"/>
        <v>87</v>
      </c>
      <c r="P59" s="15">
        <f t="shared" si="37"/>
        <v>280.5</v>
      </c>
      <c r="R59" s="8"/>
      <c r="T59"/>
    </row>
    <row r="60" spans="2:20" ht="23.1" customHeight="1" x14ac:dyDescent="0.25">
      <c r="B60" s="23" t="s">
        <v>101</v>
      </c>
      <c r="C60" s="49">
        <f>AVERAGE('26.07 Kitebi-Kabusu-24'!C60,'27.07 Kitebi-Kabusu-24h'!C60)</f>
        <v>42.5</v>
      </c>
      <c r="D60" s="49">
        <f>AVERAGE('26.07 Kitebi-Kabusu-24'!D60,'27.07 Kitebi-Kabusu-24h'!D60)</f>
        <v>5.5</v>
      </c>
      <c r="E60" s="49">
        <f>AVERAGE('26.07 Kitebi-Kabusu-24'!E60,'27.07 Kitebi-Kabusu-24h'!E60)</f>
        <v>4.5</v>
      </c>
      <c r="F60" s="49">
        <f>AVERAGE('26.07 Kitebi-Kabusu-24'!F60,'27.07 Kitebi-Kabusu-24h'!F60)</f>
        <v>14.5</v>
      </c>
      <c r="G60" s="49">
        <f>AVERAGE('26.07 Kitebi-Kabusu-24'!G60,'27.07 Kitebi-Kabusu-24h'!G60)</f>
        <v>2.5</v>
      </c>
      <c r="H60" s="49">
        <f>AVERAGE('26.07 Kitebi-Kabusu-24'!H60,'27.07 Kitebi-Kabusu-24h'!H60)</f>
        <v>0.5</v>
      </c>
      <c r="I60" s="49">
        <f>AVERAGE('26.07 Kitebi-Kabusu-24'!I60,'27.07 Kitebi-Kabusu-24h'!I60)</f>
        <v>2</v>
      </c>
      <c r="J60" s="49">
        <f>AVERAGE('26.07 Kitebi-Kabusu-24'!J60,'27.07 Kitebi-Kabusu-24h'!J60)</f>
        <v>0</v>
      </c>
      <c r="K60" s="49">
        <f>AVERAGE('26.07 Kitebi-Kabusu-24'!K60,'27.07 Kitebi-Kabusu-24h'!K60)</f>
        <v>0</v>
      </c>
      <c r="L60" s="49">
        <f>AVERAGE('26.07 Kitebi-Kabusu-24'!L60,'27.07 Kitebi-Kabusu-24h'!L60)</f>
        <v>0</v>
      </c>
      <c r="M60" s="49">
        <f>AVERAGE('26.07 Kitebi-Kabusu-24'!M60,'27.07 Kitebi-Kabusu-24h'!M60)</f>
        <v>182</v>
      </c>
      <c r="N60" s="49">
        <f>AVERAGE('26.07 Kitebi-Kabusu-24'!N60,'27.07 Kitebi-Kabusu-24h'!N60)</f>
        <v>0</v>
      </c>
      <c r="O60" s="15">
        <f t="shared" si="36"/>
        <v>72</v>
      </c>
      <c r="P60" s="15">
        <f t="shared" si="37"/>
        <v>254</v>
      </c>
      <c r="R60" s="8"/>
      <c r="T60"/>
    </row>
    <row r="61" spans="2:20" ht="23.1" customHeight="1" x14ac:dyDescent="0.25">
      <c r="B61" s="23" t="s">
        <v>102</v>
      </c>
      <c r="C61" s="49">
        <f>AVERAGE('26.07 Kitebi-Kabusu-24'!C61,'27.07 Kitebi-Kabusu-24h'!C61)</f>
        <v>30.5</v>
      </c>
      <c r="D61" s="49">
        <f>AVERAGE('26.07 Kitebi-Kabusu-24'!D61,'27.07 Kitebi-Kabusu-24h'!D61)</f>
        <v>7</v>
      </c>
      <c r="E61" s="49">
        <f>AVERAGE('26.07 Kitebi-Kabusu-24'!E61,'27.07 Kitebi-Kabusu-24h'!E61)</f>
        <v>3</v>
      </c>
      <c r="F61" s="49">
        <f>AVERAGE('26.07 Kitebi-Kabusu-24'!F61,'27.07 Kitebi-Kabusu-24h'!F61)</f>
        <v>21.5</v>
      </c>
      <c r="G61" s="49">
        <f>AVERAGE('26.07 Kitebi-Kabusu-24'!G61,'27.07 Kitebi-Kabusu-24h'!G61)</f>
        <v>0.5</v>
      </c>
      <c r="H61" s="49">
        <f>AVERAGE('26.07 Kitebi-Kabusu-24'!H61,'27.07 Kitebi-Kabusu-24h'!H61)</f>
        <v>0</v>
      </c>
      <c r="I61" s="49">
        <f>AVERAGE('26.07 Kitebi-Kabusu-24'!I61,'27.07 Kitebi-Kabusu-24h'!I61)</f>
        <v>1.5</v>
      </c>
      <c r="J61" s="49">
        <f>AVERAGE('26.07 Kitebi-Kabusu-24'!J61,'27.07 Kitebi-Kabusu-24h'!J61)</f>
        <v>1</v>
      </c>
      <c r="K61" s="49">
        <f>AVERAGE('26.07 Kitebi-Kabusu-24'!K61,'27.07 Kitebi-Kabusu-24h'!K61)</f>
        <v>0</v>
      </c>
      <c r="L61" s="49">
        <f>AVERAGE('26.07 Kitebi-Kabusu-24'!L61,'27.07 Kitebi-Kabusu-24h'!L61)</f>
        <v>0.5</v>
      </c>
      <c r="M61" s="49">
        <f>AVERAGE('26.07 Kitebi-Kabusu-24'!M61,'27.07 Kitebi-Kabusu-24h'!M61)</f>
        <v>154</v>
      </c>
      <c r="N61" s="49">
        <f>AVERAGE('26.07 Kitebi-Kabusu-24'!N61,'27.07 Kitebi-Kabusu-24h'!N61)</f>
        <v>0</v>
      </c>
      <c r="O61" s="15">
        <f t="shared" si="36"/>
        <v>65.5</v>
      </c>
      <c r="P61" s="15">
        <f t="shared" si="37"/>
        <v>219.5</v>
      </c>
      <c r="R61" s="8"/>
      <c r="T61"/>
    </row>
    <row r="62" spans="2:20" ht="23.1" customHeight="1" x14ac:dyDescent="0.25">
      <c r="B62" s="23" t="s">
        <v>107</v>
      </c>
      <c r="C62" s="49">
        <f>AVERAGE('26.07 Kitebi-Kabusu-24'!C62,'27.07 Kitebi-Kabusu-24h'!C62)</f>
        <v>35</v>
      </c>
      <c r="D62" s="49">
        <f>AVERAGE('26.07 Kitebi-Kabusu-24'!D62,'27.07 Kitebi-Kabusu-24h'!D62)</f>
        <v>5.5</v>
      </c>
      <c r="E62" s="49">
        <f>AVERAGE('26.07 Kitebi-Kabusu-24'!E62,'27.07 Kitebi-Kabusu-24h'!E62)</f>
        <v>4</v>
      </c>
      <c r="F62" s="49">
        <f>AVERAGE('26.07 Kitebi-Kabusu-24'!F62,'27.07 Kitebi-Kabusu-24h'!F62)</f>
        <v>31</v>
      </c>
      <c r="G62" s="49">
        <f>AVERAGE('26.07 Kitebi-Kabusu-24'!G62,'27.07 Kitebi-Kabusu-24h'!G62)</f>
        <v>1.5</v>
      </c>
      <c r="H62" s="49">
        <f>AVERAGE('26.07 Kitebi-Kabusu-24'!H62,'27.07 Kitebi-Kabusu-24h'!H62)</f>
        <v>0.5</v>
      </c>
      <c r="I62" s="49">
        <f>AVERAGE('26.07 Kitebi-Kabusu-24'!I62,'27.07 Kitebi-Kabusu-24h'!I62)</f>
        <v>2.5</v>
      </c>
      <c r="J62" s="49">
        <f>AVERAGE('26.07 Kitebi-Kabusu-24'!J62,'27.07 Kitebi-Kabusu-24h'!J62)</f>
        <v>0</v>
      </c>
      <c r="K62" s="49">
        <f>AVERAGE('26.07 Kitebi-Kabusu-24'!K62,'27.07 Kitebi-Kabusu-24h'!K62)</f>
        <v>0.5</v>
      </c>
      <c r="L62" s="49">
        <f>AVERAGE('26.07 Kitebi-Kabusu-24'!L62,'27.07 Kitebi-Kabusu-24h'!L62)</f>
        <v>0.5</v>
      </c>
      <c r="M62" s="49">
        <f>AVERAGE('26.07 Kitebi-Kabusu-24'!M62,'27.07 Kitebi-Kabusu-24h'!M62)</f>
        <v>183.5</v>
      </c>
      <c r="N62" s="49">
        <f>AVERAGE('26.07 Kitebi-Kabusu-24'!N62,'27.07 Kitebi-Kabusu-24h'!N62)</f>
        <v>0</v>
      </c>
      <c r="O62" s="15">
        <f t="shared" si="36"/>
        <v>81</v>
      </c>
      <c r="P62" s="15">
        <f t="shared" si="37"/>
        <v>264.5</v>
      </c>
      <c r="R62" s="8"/>
      <c r="T62"/>
    </row>
    <row r="63" spans="2:20" ht="23.1" customHeight="1" x14ac:dyDescent="0.25">
      <c r="B63" s="23" t="s">
        <v>108</v>
      </c>
      <c r="C63" s="49">
        <f>AVERAGE('26.07 Kitebi-Kabusu-24'!C63,'27.07 Kitebi-Kabusu-24h'!C63)</f>
        <v>36</v>
      </c>
      <c r="D63" s="49">
        <f>AVERAGE('26.07 Kitebi-Kabusu-24'!D63,'27.07 Kitebi-Kabusu-24h'!D63)</f>
        <v>2.5</v>
      </c>
      <c r="E63" s="49">
        <f>AVERAGE('26.07 Kitebi-Kabusu-24'!E63,'27.07 Kitebi-Kabusu-24h'!E63)</f>
        <v>3</v>
      </c>
      <c r="F63" s="49">
        <f>AVERAGE('26.07 Kitebi-Kabusu-24'!F63,'27.07 Kitebi-Kabusu-24h'!F63)</f>
        <v>22.5</v>
      </c>
      <c r="G63" s="49">
        <f>AVERAGE('26.07 Kitebi-Kabusu-24'!G63,'27.07 Kitebi-Kabusu-24h'!G63)</f>
        <v>0.5</v>
      </c>
      <c r="H63" s="49">
        <f>AVERAGE('26.07 Kitebi-Kabusu-24'!H63,'27.07 Kitebi-Kabusu-24h'!H63)</f>
        <v>0.5</v>
      </c>
      <c r="I63" s="49">
        <f>AVERAGE('26.07 Kitebi-Kabusu-24'!I63,'27.07 Kitebi-Kabusu-24h'!I63)</f>
        <v>1</v>
      </c>
      <c r="J63" s="49">
        <f>AVERAGE('26.07 Kitebi-Kabusu-24'!J63,'27.07 Kitebi-Kabusu-24h'!J63)</f>
        <v>2.5</v>
      </c>
      <c r="K63" s="49">
        <f>AVERAGE('26.07 Kitebi-Kabusu-24'!K63,'27.07 Kitebi-Kabusu-24h'!K63)</f>
        <v>0.5</v>
      </c>
      <c r="L63" s="49">
        <f>AVERAGE('26.07 Kitebi-Kabusu-24'!L63,'27.07 Kitebi-Kabusu-24h'!L63)</f>
        <v>0</v>
      </c>
      <c r="M63" s="49">
        <f>AVERAGE('26.07 Kitebi-Kabusu-24'!M63,'27.07 Kitebi-Kabusu-24h'!M63)</f>
        <v>193</v>
      </c>
      <c r="N63" s="49">
        <f>AVERAGE('26.07 Kitebi-Kabusu-24'!N63,'27.07 Kitebi-Kabusu-24h'!N63)</f>
        <v>0</v>
      </c>
      <c r="O63" s="15">
        <f t="shared" si="36"/>
        <v>69</v>
      </c>
      <c r="P63" s="15">
        <f t="shared" si="37"/>
        <v>262</v>
      </c>
      <c r="R63" s="8"/>
      <c r="T63"/>
    </row>
    <row r="64" spans="2:20" ht="23.1" customHeight="1" x14ac:dyDescent="0.25">
      <c r="B64" s="23" t="s">
        <v>109</v>
      </c>
      <c r="C64" s="49">
        <f>AVERAGE('26.07 Kitebi-Kabusu-24'!C64,'27.07 Kitebi-Kabusu-24h'!C64)</f>
        <v>40.5</v>
      </c>
      <c r="D64" s="49">
        <f>AVERAGE('26.07 Kitebi-Kabusu-24'!D64,'27.07 Kitebi-Kabusu-24h'!D64)</f>
        <v>23.5</v>
      </c>
      <c r="E64" s="49">
        <f>AVERAGE('26.07 Kitebi-Kabusu-24'!E64,'27.07 Kitebi-Kabusu-24h'!E64)</f>
        <v>2.5</v>
      </c>
      <c r="F64" s="49">
        <f>AVERAGE('26.07 Kitebi-Kabusu-24'!F64,'27.07 Kitebi-Kabusu-24h'!F64)</f>
        <v>28</v>
      </c>
      <c r="G64" s="49">
        <f>AVERAGE('26.07 Kitebi-Kabusu-24'!G64,'27.07 Kitebi-Kabusu-24h'!G64)</f>
        <v>0</v>
      </c>
      <c r="H64" s="49">
        <f>AVERAGE('26.07 Kitebi-Kabusu-24'!H64,'27.07 Kitebi-Kabusu-24h'!H64)</f>
        <v>0</v>
      </c>
      <c r="I64" s="49">
        <f>AVERAGE('26.07 Kitebi-Kabusu-24'!I64,'27.07 Kitebi-Kabusu-24h'!I64)</f>
        <v>3</v>
      </c>
      <c r="J64" s="49">
        <f>AVERAGE('26.07 Kitebi-Kabusu-24'!J64,'27.07 Kitebi-Kabusu-24h'!J64)</f>
        <v>0</v>
      </c>
      <c r="K64" s="49">
        <f>AVERAGE('26.07 Kitebi-Kabusu-24'!K64,'27.07 Kitebi-Kabusu-24h'!K64)</f>
        <v>0</v>
      </c>
      <c r="L64" s="49">
        <f>AVERAGE('26.07 Kitebi-Kabusu-24'!L64,'27.07 Kitebi-Kabusu-24h'!L64)</f>
        <v>0</v>
      </c>
      <c r="M64" s="49">
        <f>AVERAGE('26.07 Kitebi-Kabusu-24'!M64,'27.07 Kitebi-Kabusu-24h'!M64)</f>
        <v>182.5</v>
      </c>
      <c r="N64" s="49">
        <f>AVERAGE('26.07 Kitebi-Kabusu-24'!N64,'27.07 Kitebi-Kabusu-24h'!N64)</f>
        <v>0</v>
      </c>
      <c r="O64" s="15">
        <f t="shared" si="36"/>
        <v>97.5</v>
      </c>
      <c r="P64" s="15">
        <f t="shared" si="37"/>
        <v>280</v>
      </c>
      <c r="R64" s="8"/>
      <c r="T64"/>
    </row>
    <row r="65" spans="2:20" ht="23.1" customHeight="1" x14ac:dyDescent="0.25">
      <c r="B65" s="23" t="s">
        <v>158</v>
      </c>
      <c r="C65" s="49">
        <f>AVERAGE('26.07 Kitebi-Kabusu-24'!C65,'27.07 Kitebi-Kabusu-24h'!C65)</f>
        <v>34</v>
      </c>
      <c r="D65" s="49">
        <f>AVERAGE('26.07 Kitebi-Kabusu-24'!D65,'27.07 Kitebi-Kabusu-24h'!D65)</f>
        <v>5</v>
      </c>
      <c r="E65" s="49">
        <f>AVERAGE('26.07 Kitebi-Kabusu-24'!E65,'27.07 Kitebi-Kabusu-24h'!E65)</f>
        <v>2.5</v>
      </c>
      <c r="F65" s="49">
        <f>AVERAGE('26.07 Kitebi-Kabusu-24'!F65,'27.07 Kitebi-Kabusu-24h'!F65)</f>
        <v>32.5</v>
      </c>
      <c r="G65" s="49">
        <f>AVERAGE('26.07 Kitebi-Kabusu-24'!G65,'27.07 Kitebi-Kabusu-24h'!G65)</f>
        <v>1.5</v>
      </c>
      <c r="H65" s="49">
        <f>AVERAGE('26.07 Kitebi-Kabusu-24'!H65,'27.07 Kitebi-Kabusu-24h'!H65)</f>
        <v>0</v>
      </c>
      <c r="I65" s="49">
        <f>AVERAGE('26.07 Kitebi-Kabusu-24'!I65,'27.07 Kitebi-Kabusu-24h'!I65)</f>
        <v>1</v>
      </c>
      <c r="J65" s="49">
        <f>AVERAGE('26.07 Kitebi-Kabusu-24'!J65,'27.07 Kitebi-Kabusu-24h'!J65)</f>
        <v>1</v>
      </c>
      <c r="K65" s="49">
        <f>AVERAGE('26.07 Kitebi-Kabusu-24'!K65,'27.07 Kitebi-Kabusu-24h'!K65)</f>
        <v>0</v>
      </c>
      <c r="L65" s="49">
        <f>AVERAGE('26.07 Kitebi-Kabusu-24'!L65,'27.07 Kitebi-Kabusu-24h'!L65)</f>
        <v>0</v>
      </c>
      <c r="M65" s="49">
        <f>AVERAGE('26.07 Kitebi-Kabusu-24'!M65,'27.07 Kitebi-Kabusu-24h'!M65)</f>
        <v>172</v>
      </c>
      <c r="N65" s="49">
        <f>AVERAGE('26.07 Kitebi-Kabusu-24'!N65,'27.07 Kitebi-Kabusu-24h'!N65)</f>
        <v>0</v>
      </c>
      <c r="O65" s="15">
        <f t="shared" si="36"/>
        <v>77.5</v>
      </c>
      <c r="P65" s="15">
        <f t="shared" si="37"/>
        <v>249.5</v>
      </c>
      <c r="R65" s="8"/>
      <c r="T65"/>
    </row>
    <row r="66" spans="2:20" ht="23.1" customHeight="1" x14ac:dyDescent="0.25">
      <c r="B66" s="23" t="s">
        <v>103</v>
      </c>
      <c r="C66" s="49">
        <f>AVERAGE('26.07 Kitebi-Kabusu-24'!C66,'27.07 Kitebi-Kabusu-24h'!C66)</f>
        <v>33</v>
      </c>
      <c r="D66" s="49">
        <f>AVERAGE('26.07 Kitebi-Kabusu-24'!D66,'27.07 Kitebi-Kabusu-24h'!D66)</f>
        <v>6.5</v>
      </c>
      <c r="E66" s="49">
        <f>AVERAGE('26.07 Kitebi-Kabusu-24'!E66,'27.07 Kitebi-Kabusu-24h'!E66)</f>
        <v>5</v>
      </c>
      <c r="F66" s="49">
        <f>AVERAGE('26.07 Kitebi-Kabusu-24'!F66,'27.07 Kitebi-Kabusu-24h'!F66)</f>
        <v>17.5</v>
      </c>
      <c r="G66" s="49">
        <f>AVERAGE('26.07 Kitebi-Kabusu-24'!G66,'27.07 Kitebi-Kabusu-24h'!G66)</f>
        <v>5</v>
      </c>
      <c r="H66" s="49">
        <f>AVERAGE('26.07 Kitebi-Kabusu-24'!H66,'27.07 Kitebi-Kabusu-24h'!H66)</f>
        <v>0</v>
      </c>
      <c r="I66" s="49">
        <f>AVERAGE('26.07 Kitebi-Kabusu-24'!I66,'27.07 Kitebi-Kabusu-24h'!I66)</f>
        <v>3</v>
      </c>
      <c r="J66" s="49">
        <f>AVERAGE('26.07 Kitebi-Kabusu-24'!J66,'27.07 Kitebi-Kabusu-24h'!J66)</f>
        <v>0</v>
      </c>
      <c r="K66" s="49">
        <f>AVERAGE('26.07 Kitebi-Kabusu-24'!K66,'27.07 Kitebi-Kabusu-24h'!K66)</f>
        <v>0</v>
      </c>
      <c r="L66" s="49">
        <f>AVERAGE('26.07 Kitebi-Kabusu-24'!L66,'27.07 Kitebi-Kabusu-24h'!L66)</f>
        <v>0</v>
      </c>
      <c r="M66" s="49">
        <f>AVERAGE('26.07 Kitebi-Kabusu-24'!M66,'27.07 Kitebi-Kabusu-24h'!M66)</f>
        <v>152.5</v>
      </c>
      <c r="N66" s="49">
        <f>AVERAGE('26.07 Kitebi-Kabusu-24'!N66,'27.07 Kitebi-Kabusu-24h'!N66)</f>
        <v>0</v>
      </c>
      <c r="O66" s="15">
        <f t="shared" si="36"/>
        <v>70</v>
      </c>
      <c r="P66" s="15">
        <f t="shared" si="37"/>
        <v>222.5</v>
      </c>
      <c r="R66" s="8"/>
      <c r="T66"/>
    </row>
    <row r="67" spans="2:20" ht="23.1" customHeight="1" x14ac:dyDescent="0.25">
      <c r="B67" s="23" t="s">
        <v>104</v>
      </c>
      <c r="C67" s="49">
        <f>AVERAGE('26.07 Kitebi-Kabusu-24'!C67,'27.07 Kitebi-Kabusu-24h'!C67)</f>
        <v>27</v>
      </c>
      <c r="D67" s="49">
        <f>AVERAGE('26.07 Kitebi-Kabusu-24'!D67,'27.07 Kitebi-Kabusu-24h'!D67)</f>
        <v>4</v>
      </c>
      <c r="E67" s="49">
        <f>AVERAGE('26.07 Kitebi-Kabusu-24'!E67,'27.07 Kitebi-Kabusu-24h'!E67)</f>
        <v>2.5</v>
      </c>
      <c r="F67" s="49">
        <f>AVERAGE('26.07 Kitebi-Kabusu-24'!F67,'27.07 Kitebi-Kabusu-24h'!F67)</f>
        <v>23</v>
      </c>
      <c r="G67" s="49">
        <f>AVERAGE('26.07 Kitebi-Kabusu-24'!G67,'27.07 Kitebi-Kabusu-24h'!G67)</f>
        <v>2</v>
      </c>
      <c r="H67" s="49">
        <f>AVERAGE('26.07 Kitebi-Kabusu-24'!H67,'27.07 Kitebi-Kabusu-24h'!H67)</f>
        <v>0</v>
      </c>
      <c r="I67" s="49">
        <f>AVERAGE('26.07 Kitebi-Kabusu-24'!I67,'27.07 Kitebi-Kabusu-24h'!I67)</f>
        <v>0.5</v>
      </c>
      <c r="J67" s="49">
        <f>AVERAGE('26.07 Kitebi-Kabusu-24'!J67,'27.07 Kitebi-Kabusu-24h'!J67)</f>
        <v>2</v>
      </c>
      <c r="K67" s="49">
        <f>AVERAGE('26.07 Kitebi-Kabusu-24'!K67,'27.07 Kitebi-Kabusu-24h'!K67)</f>
        <v>0</v>
      </c>
      <c r="L67" s="49">
        <f>AVERAGE('26.07 Kitebi-Kabusu-24'!L67,'27.07 Kitebi-Kabusu-24h'!L67)</f>
        <v>0</v>
      </c>
      <c r="M67" s="49">
        <f>AVERAGE('26.07 Kitebi-Kabusu-24'!M67,'27.07 Kitebi-Kabusu-24h'!M67)</f>
        <v>152</v>
      </c>
      <c r="N67" s="49">
        <f>AVERAGE('26.07 Kitebi-Kabusu-24'!N67,'27.07 Kitebi-Kabusu-24h'!N67)</f>
        <v>0</v>
      </c>
      <c r="O67" s="15">
        <f t="shared" si="36"/>
        <v>61</v>
      </c>
      <c r="P67" s="15">
        <f t="shared" si="37"/>
        <v>213</v>
      </c>
      <c r="R67" s="8"/>
      <c r="T67"/>
    </row>
    <row r="68" spans="2:20" ht="23.1" customHeight="1" x14ac:dyDescent="0.25">
      <c r="B68" s="23" t="s">
        <v>105</v>
      </c>
      <c r="C68" s="49">
        <f>AVERAGE('26.07 Kitebi-Kabusu-24'!C68,'27.07 Kitebi-Kabusu-24h'!C68)</f>
        <v>23</v>
      </c>
      <c r="D68" s="49">
        <f>AVERAGE('26.07 Kitebi-Kabusu-24'!D68,'27.07 Kitebi-Kabusu-24h'!D68)</f>
        <v>1.5</v>
      </c>
      <c r="E68" s="49">
        <f>AVERAGE('26.07 Kitebi-Kabusu-24'!E68,'27.07 Kitebi-Kabusu-24h'!E68)</f>
        <v>1.5</v>
      </c>
      <c r="F68" s="49">
        <f>AVERAGE('26.07 Kitebi-Kabusu-24'!F68,'27.07 Kitebi-Kabusu-24h'!F68)</f>
        <v>17</v>
      </c>
      <c r="G68" s="49">
        <f>AVERAGE('26.07 Kitebi-Kabusu-24'!G68,'27.07 Kitebi-Kabusu-24h'!G68)</f>
        <v>0</v>
      </c>
      <c r="H68" s="49">
        <f>AVERAGE('26.07 Kitebi-Kabusu-24'!H68,'27.07 Kitebi-Kabusu-24h'!H68)</f>
        <v>0</v>
      </c>
      <c r="I68" s="49">
        <f>AVERAGE('26.07 Kitebi-Kabusu-24'!I68,'27.07 Kitebi-Kabusu-24h'!I68)</f>
        <v>0</v>
      </c>
      <c r="J68" s="49">
        <f>AVERAGE('26.07 Kitebi-Kabusu-24'!J68,'27.07 Kitebi-Kabusu-24h'!J68)</f>
        <v>0.5</v>
      </c>
      <c r="K68" s="49">
        <f>AVERAGE('26.07 Kitebi-Kabusu-24'!K68,'27.07 Kitebi-Kabusu-24h'!K68)</f>
        <v>0</v>
      </c>
      <c r="L68" s="49">
        <f>AVERAGE('26.07 Kitebi-Kabusu-24'!L68,'27.07 Kitebi-Kabusu-24h'!L68)</f>
        <v>0</v>
      </c>
      <c r="M68" s="49">
        <f>AVERAGE('26.07 Kitebi-Kabusu-24'!M68,'27.07 Kitebi-Kabusu-24h'!M68)</f>
        <v>151</v>
      </c>
      <c r="N68" s="49">
        <f>AVERAGE('26.07 Kitebi-Kabusu-24'!N68,'27.07 Kitebi-Kabusu-24h'!N68)</f>
        <v>0</v>
      </c>
      <c r="O68" s="15">
        <f t="shared" si="36"/>
        <v>43.5</v>
      </c>
      <c r="P68" s="15">
        <f t="shared" si="37"/>
        <v>194.5</v>
      </c>
      <c r="R68" s="8"/>
      <c r="T68"/>
    </row>
    <row r="69" spans="2:20" ht="23.1" customHeight="1" x14ac:dyDescent="0.25">
      <c r="B69" s="23" t="s">
        <v>106</v>
      </c>
      <c r="C69" s="49">
        <f>AVERAGE('26.07 Kitebi-Kabusu-24'!C69,'27.07 Kitebi-Kabusu-24h'!C69)</f>
        <v>20</v>
      </c>
      <c r="D69" s="49">
        <f>AVERAGE('26.07 Kitebi-Kabusu-24'!D69,'27.07 Kitebi-Kabusu-24h'!D69)</f>
        <v>0.5</v>
      </c>
      <c r="E69" s="49">
        <f>AVERAGE('26.07 Kitebi-Kabusu-24'!E69,'27.07 Kitebi-Kabusu-24h'!E69)</f>
        <v>2.5</v>
      </c>
      <c r="F69" s="49">
        <f>AVERAGE('26.07 Kitebi-Kabusu-24'!F69,'27.07 Kitebi-Kabusu-24h'!F69)</f>
        <v>34</v>
      </c>
      <c r="G69" s="49">
        <f>AVERAGE('26.07 Kitebi-Kabusu-24'!G69,'27.07 Kitebi-Kabusu-24h'!G69)</f>
        <v>0.5</v>
      </c>
      <c r="H69" s="49">
        <f>AVERAGE('26.07 Kitebi-Kabusu-24'!H69,'27.07 Kitebi-Kabusu-24h'!H69)</f>
        <v>0</v>
      </c>
      <c r="I69" s="49">
        <f>AVERAGE('26.07 Kitebi-Kabusu-24'!I69,'27.07 Kitebi-Kabusu-24h'!I69)</f>
        <v>2</v>
      </c>
      <c r="J69" s="49">
        <f>AVERAGE('26.07 Kitebi-Kabusu-24'!J69,'27.07 Kitebi-Kabusu-24h'!J69)</f>
        <v>0</v>
      </c>
      <c r="K69" s="49">
        <f>AVERAGE('26.07 Kitebi-Kabusu-24'!K69,'27.07 Kitebi-Kabusu-24h'!K69)</f>
        <v>0.5</v>
      </c>
      <c r="L69" s="49">
        <f>AVERAGE('26.07 Kitebi-Kabusu-24'!L69,'27.07 Kitebi-Kabusu-24h'!L69)</f>
        <v>0</v>
      </c>
      <c r="M69" s="49">
        <f>AVERAGE('26.07 Kitebi-Kabusu-24'!M69,'27.07 Kitebi-Kabusu-24h'!M69)</f>
        <v>141.5</v>
      </c>
      <c r="N69" s="49">
        <f>AVERAGE('26.07 Kitebi-Kabusu-24'!N69,'27.07 Kitebi-Kabusu-24h'!N69)</f>
        <v>0</v>
      </c>
      <c r="O69" s="15">
        <f t="shared" si="36"/>
        <v>60</v>
      </c>
      <c r="P69" s="15">
        <f t="shared" si="37"/>
        <v>201.5</v>
      </c>
      <c r="R69" s="8"/>
      <c r="T69"/>
    </row>
    <row r="70" spans="2:20" ht="23.1" customHeight="1" x14ac:dyDescent="0.25">
      <c r="B70" s="23" t="s">
        <v>110</v>
      </c>
      <c r="C70" s="49">
        <f>AVERAGE('26.07 Kitebi-Kabusu-24'!C70,'27.07 Kitebi-Kabusu-24h'!C70)</f>
        <v>27</v>
      </c>
      <c r="D70" s="49">
        <f>AVERAGE('26.07 Kitebi-Kabusu-24'!D70,'27.07 Kitebi-Kabusu-24h'!D70)</f>
        <v>3</v>
      </c>
      <c r="E70" s="49">
        <f>AVERAGE('26.07 Kitebi-Kabusu-24'!E70,'27.07 Kitebi-Kabusu-24h'!E70)</f>
        <v>1.5</v>
      </c>
      <c r="F70" s="49">
        <f>AVERAGE('26.07 Kitebi-Kabusu-24'!F70,'27.07 Kitebi-Kabusu-24h'!F70)</f>
        <v>17</v>
      </c>
      <c r="G70" s="49">
        <f>AVERAGE('26.07 Kitebi-Kabusu-24'!G70,'27.07 Kitebi-Kabusu-24h'!G70)</f>
        <v>0</v>
      </c>
      <c r="H70" s="49">
        <f>AVERAGE('26.07 Kitebi-Kabusu-24'!H70,'27.07 Kitebi-Kabusu-24h'!H70)</f>
        <v>0</v>
      </c>
      <c r="I70" s="49">
        <f>AVERAGE('26.07 Kitebi-Kabusu-24'!I70,'27.07 Kitebi-Kabusu-24h'!I70)</f>
        <v>0</v>
      </c>
      <c r="J70" s="49">
        <f>AVERAGE('26.07 Kitebi-Kabusu-24'!J70,'27.07 Kitebi-Kabusu-24h'!J70)</f>
        <v>0</v>
      </c>
      <c r="K70" s="49">
        <f>AVERAGE('26.07 Kitebi-Kabusu-24'!K70,'27.07 Kitebi-Kabusu-24h'!K70)</f>
        <v>0</v>
      </c>
      <c r="L70" s="49">
        <f>AVERAGE('26.07 Kitebi-Kabusu-24'!L70,'27.07 Kitebi-Kabusu-24h'!L70)</f>
        <v>0</v>
      </c>
      <c r="M70" s="49">
        <f>AVERAGE('26.07 Kitebi-Kabusu-24'!M70,'27.07 Kitebi-Kabusu-24h'!M70)</f>
        <v>128.5</v>
      </c>
      <c r="N70" s="49">
        <f>AVERAGE('26.07 Kitebi-Kabusu-24'!N70,'27.07 Kitebi-Kabusu-24h'!N70)</f>
        <v>0</v>
      </c>
      <c r="O70" s="15">
        <f t="shared" si="36"/>
        <v>48.5</v>
      </c>
      <c r="P70" s="15">
        <f t="shared" si="37"/>
        <v>177</v>
      </c>
      <c r="R70" s="8"/>
      <c r="T70"/>
    </row>
    <row r="71" spans="2:20" ht="23.1" customHeight="1" x14ac:dyDescent="0.25">
      <c r="B71" s="23" t="s">
        <v>111</v>
      </c>
      <c r="C71" s="49">
        <f>AVERAGE('26.07 Kitebi-Kabusu-24'!C71,'27.07 Kitebi-Kabusu-24h'!C71)</f>
        <v>28</v>
      </c>
      <c r="D71" s="49">
        <f>AVERAGE('26.07 Kitebi-Kabusu-24'!D71,'27.07 Kitebi-Kabusu-24h'!D71)</f>
        <v>4</v>
      </c>
      <c r="E71" s="49">
        <f>AVERAGE('26.07 Kitebi-Kabusu-24'!E71,'27.07 Kitebi-Kabusu-24h'!E71)</f>
        <v>0.5</v>
      </c>
      <c r="F71" s="49">
        <f>AVERAGE('26.07 Kitebi-Kabusu-24'!F71,'27.07 Kitebi-Kabusu-24h'!F71)</f>
        <v>11.5</v>
      </c>
      <c r="G71" s="49">
        <f>AVERAGE('26.07 Kitebi-Kabusu-24'!G71,'27.07 Kitebi-Kabusu-24h'!G71)</f>
        <v>0</v>
      </c>
      <c r="H71" s="49">
        <f>AVERAGE('26.07 Kitebi-Kabusu-24'!H71,'27.07 Kitebi-Kabusu-24h'!H71)</f>
        <v>0</v>
      </c>
      <c r="I71" s="49">
        <f>AVERAGE('26.07 Kitebi-Kabusu-24'!I71,'27.07 Kitebi-Kabusu-24h'!I71)</f>
        <v>1.5</v>
      </c>
      <c r="J71" s="49">
        <f>AVERAGE('26.07 Kitebi-Kabusu-24'!J71,'27.07 Kitebi-Kabusu-24h'!J71)</f>
        <v>0.5</v>
      </c>
      <c r="K71" s="49">
        <f>AVERAGE('26.07 Kitebi-Kabusu-24'!K71,'27.07 Kitebi-Kabusu-24h'!K71)</f>
        <v>0</v>
      </c>
      <c r="L71" s="49">
        <f>AVERAGE('26.07 Kitebi-Kabusu-24'!L71,'27.07 Kitebi-Kabusu-24h'!L71)</f>
        <v>0.5</v>
      </c>
      <c r="M71" s="49">
        <f>AVERAGE('26.07 Kitebi-Kabusu-24'!M71,'27.07 Kitebi-Kabusu-24h'!M71)</f>
        <v>114</v>
      </c>
      <c r="N71" s="49">
        <f>AVERAGE('26.07 Kitebi-Kabusu-24'!N71,'27.07 Kitebi-Kabusu-24h'!N71)</f>
        <v>0</v>
      </c>
      <c r="O71" s="15">
        <f t="shared" si="36"/>
        <v>46.5</v>
      </c>
      <c r="P71" s="15">
        <f t="shared" si="37"/>
        <v>160.5</v>
      </c>
      <c r="R71" s="8"/>
      <c r="T71"/>
    </row>
    <row r="72" spans="2:20" ht="23.1" customHeight="1" x14ac:dyDescent="0.25">
      <c r="B72" s="23" t="s">
        <v>112</v>
      </c>
      <c r="C72" s="49">
        <f>AVERAGE('26.07 Kitebi-Kabusu-24'!C72,'27.07 Kitebi-Kabusu-24h'!C72)</f>
        <v>28.5</v>
      </c>
      <c r="D72" s="49">
        <f>AVERAGE('26.07 Kitebi-Kabusu-24'!D72,'27.07 Kitebi-Kabusu-24h'!D72)</f>
        <v>3.5</v>
      </c>
      <c r="E72" s="49">
        <f>AVERAGE('26.07 Kitebi-Kabusu-24'!E72,'27.07 Kitebi-Kabusu-24h'!E72)</f>
        <v>2.5</v>
      </c>
      <c r="F72" s="49">
        <f>AVERAGE('26.07 Kitebi-Kabusu-24'!F72,'27.07 Kitebi-Kabusu-24h'!F72)</f>
        <v>16</v>
      </c>
      <c r="G72" s="49">
        <f>AVERAGE('26.07 Kitebi-Kabusu-24'!G72,'27.07 Kitebi-Kabusu-24h'!G72)</f>
        <v>0</v>
      </c>
      <c r="H72" s="49">
        <f>AVERAGE('26.07 Kitebi-Kabusu-24'!H72,'27.07 Kitebi-Kabusu-24h'!H72)</f>
        <v>0</v>
      </c>
      <c r="I72" s="49">
        <f>AVERAGE('26.07 Kitebi-Kabusu-24'!I72,'27.07 Kitebi-Kabusu-24h'!I72)</f>
        <v>3.5</v>
      </c>
      <c r="J72" s="49">
        <f>AVERAGE('26.07 Kitebi-Kabusu-24'!J72,'27.07 Kitebi-Kabusu-24h'!J72)</f>
        <v>0</v>
      </c>
      <c r="K72" s="49">
        <f>AVERAGE('26.07 Kitebi-Kabusu-24'!K72,'27.07 Kitebi-Kabusu-24h'!K72)</f>
        <v>0</v>
      </c>
      <c r="L72" s="49">
        <f>AVERAGE('26.07 Kitebi-Kabusu-24'!L72,'27.07 Kitebi-Kabusu-24h'!L72)</f>
        <v>0</v>
      </c>
      <c r="M72" s="49">
        <f>AVERAGE('26.07 Kitebi-Kabusu-24'!M72,'27.07 Kitebi-Kabusu-24h'!M72)</f>
        <v>109.5</v>
      </c>
      <c r="N72" s="49">
        <f>AVERAGE('26.07 Kitebi-Kabusu-24'!N72,'27.07 Kitebi-Kabusu-24h'!N72)</f>
        <v>0</v>
      </c>
      <c r="O72" s="15">
        <f t="shared" si="36"/>
        <v>54</v>
      </c>
      <c r="P72" s="15">
        <f t="shared" si="37"/>
        <v>163.5</v>
      </c>
      <c r="R72" s="8"/>
      <c r="T72"/>
    </row>
    <row r="73" spans="2:20" ht="23.1" customHeight="1" x14ac:dyDescent="0.25">
      <c r="B73" s="23" t="s">
        <v>113</v>
      </c>
      <c r="C73" s="49">
        <f>AVERAGE('26.07 Kitebi-Kabusu-24'!C73,'27.07 Kitebi-Kabusu-24h'!C73)</f>
        <v>37</v>
      </c>
      <c r="D73" s="49">
        <f>AVERAGE('26.07 Kitebi-Kabusu-24'!D73,'27.07 Kitebi-Kabusu-24h'!D73)</f>
        <v>3.5</v>
      </c>
      <c r="E73" s="49">
        <f>AVERAGE('26.07 Kitebi-Kabusu-24'!E73,'27.07 Kitebi-Kabusu-24h'!E73)</f>
        <v>5</v>
      </c>
      <c r="F73" s="49">
        <f>AVERAGE('26.07 Kitebi-Kabusu-24'!F73,'27.07 Kitebi-Kabusu-24h'!F73)</f>
        <v>11.5</v>
      </c>
      <c r="G73" s="49">
        <f>AVERAGE('26.07 Kitebi-Kabusu-24'!G73,'27.07 Kitebi-Kabusu-24h'!G73)</f>
        <v>0</v>
      </c>
      <c r="H73" s="49">
        <f>AVERAGE('26.07 Kitebi-Kabusu-24'!H73,'27.07 Kitebi-Kabusu-24h'!H73)</f>
        <v>0</v>
      </c>
      <c r="I73" s="49">
        <f>AVERAGE('26.07 Kitebi-Kabusu-24'!I73,'27.07 Kitebi-Kabusu-24h'!I73)</f>
        <v>1</v>
      </c>
      <c r="J73" s="49">
        <f>AVERAGE('26.07 Kitebi-Kabusu-24'!J73,'27.07 Kitebi-Kabusu-24h'!J73)</f>
        <v>0.5</v>
      </c>
      <c r="K73" s="49">
        <f>AVERAGE('26.07 Kitebi-Kabusu-24'!K73,'27.07 Kitebi-Kabusu-24h'!K73)</f>
        <v>0</v>
      </c>
      <c r="L73" s="49">
        <f>AVERAGE('26.07 Kitebi-Kabusu-24'!L73,'27.07 Kitebi-Kabusu-24h'!L73)</f>
        <v>0</v>
      </c>
      <c r="M73" s="49">
        <f>AVERAGE('26.07 Kitebi-Kabusu-24'!M73,'27.07 Kitebi-Kabusu-24h'!M73)</f>
        <v>119.5</v>
      </c>
      <c r="N73" s="49">
        <f>AVERAGE('26.07 Kitebi-Kabusu-24'!N73,'27.07 Kitebi-Kabusu-24h'!N73)</f>
        <v>0</v>
      </c>
      <c r="O73" s="15">
        <f t="shared" si="36"/>
        <v>58.5</v>
      </c>
      <c r="P73" s="15">
        <f t="shared" si="37"/>
        <v>178</v>
      </c>
      <c r="R73" s="8"/>
      <c r="T73"/>
    </row>
    <row r="74" spans="2:20" ht="23.1" customHeight="1" x14ac:dyDescent="0.25">
      <c r="B74" s="23" t="s">
        <v>114</v>
      </c>
      <c r="C74" s="49">
        <f>AVERAGE('26.07 Kitebi-Kabusu-24'!C74,'27.07 Kitebi-Kabusu-24h'!C74)</f>
        <v>23.5</v>
      </c>
      <c r="D74" s="49">
        <f>AVERAGE('26.07 Kitebi-Kabusu-24'!D74,'27.07 Kitebi-Kabusu-24h'!D74)</f>
        <v>2.5</v>
      </c>
      <c r="E74" s="49">
        <f>AVERAGE('26.07 Kitebi-Kabusu-24'!E74,'27.07 Kitebi-Kabusu-24h'!E74)</f>
        <v>3.5</v>
      </c>
      <c r="F74" s="49">
        <f>AVERAGE('26.07 Kitebi-Kabusu-24'!F74,'27.07 Kitebi-Kabusu-24h'!F74)</f>
        <v>9</v>
      </c>
      <c r="G74" s="49">
        <f>AVERAGE('26.07 Kitebi-Kabusu-24'!G74,'27.07 Kitebi-Kabusu-24h'!G74)</f>
        <v>0</v>
      </c>
      <c r="H74" s="49">
        <f>AVERAGE('26.07 Kitebi-Kabusu-24'!H74,'27.07 Kitebi-Kabusu-24h'!H74)</f>
        <v>0</v>
      </c>
      <c r="I74" s="49">
        <f>AVERAGE('26.07 Kitebi-Kabusu-24'!I74,'27.07 Kitebi-Kabusu-24h'!I74)</f>
        <v>1.5</v>
      </c>
      <c r="J74" s="49">
        <f>AVERAGE('26.07 Kitebi-Kabusu-24'!J74,'27.07 Kitebi-Kabusu-24h'!J74)</f>
        <v>0.5</v>
      </c>
      <c r="K74" s="49">
        <f>AVERAGE('26.07 Kitebi-Kabusu-24'!K74,'27.07 Kitebi-Kabusu-24h'!K74)</f>
        <v>0</v>
      </c>
      <c r="L74" s="49">
        <f>AVERAGE('26.07 Kitebi-Kabusu-24'!L74,'27.07 Kitebi-Kabusu-24h'!L74)</f>
        <v>0</v>
      </c>
      <c r="M74" s="49">
        <f>AVERAGE('26.07 Kitebi-Kabusu-24'!M74,'27.07 Kitebi-Kabusu-24h'!M74)</f>
        <v>101</v>
      </c>
      <c r="N74" s="49">
        <f>AVERAGE('26.07 Kitebi-Kabusu-24'!N74,'27.07 Kitebi-Kabusu-24h'!N74)</f>
        <v>0</v>
      </c>
      <c r="O74" s="15">
        <f t="shared" si="36"/>
        <v>40.5</v>
      </c>
      <c r="P74" s="15">
        <f t="shared" si="37"/>
        <v>141.5</v>
      </c>
      <c r="R74" s="8"/>
      <c r="T74"/>
    </row>
    <row r="75" spans="2:20" ht="23.1" customHeight="1" x14ac:dyDescent="0.25">
      <c r="B75" s="23" t="s">
        <v>115</v>
      </c>
      <c r="C75" s="49">
        <f>AVERAGE('26.07 Kitebi-Kabusu-24'!C75,'27.07 Kitebi-Kabusu-24h'!C75)</f>
        <v>17</v>
      </c>
      <c r="D75" s="49">
        <f>AVERAGE('26.07 Kitebi-Kabusu-24'!D75,'27.07 Kitebi-Kabusu-24h'!D75)</f>
        <v>2.5</v>
      </c>
      <c r="E75" s="49">
        <f>AVERAGE('26.07 Kitebi-Kabusu-24'!E75,'27.07 Kitebi-Kabusu-24h'!E75)</f>
        <v>2.5</v>
      </c>
      <c r="F75" s="49">
        <f>AVERAGE('26.07 Kitebi-Kabusu-24'!F75,'27.07 Kitebi-Kabusu-24h'!F75)</f>
        <v>8.5</v>
      </c>
      <c r="G75" s="49">
        <f>AVERAGE('26.07 Kitebi-Kabusu-24'!G75,'27.07 Kitebi-Kabusu-24h'!G75)</f>
        <v>0</v>
      </c>
      <c r="H75" s="49">
        <f>AVERAGE('26.07 Kitebi-Kabusu-24'!H75,'27.07 Kitebi-Kabusu-24h'!H75)</f>
        <v>0</v>
      </c>
      <c r="I75" s="49">
        <f>AVERAGE('26.07 Kitebi-Kabusu-24'!I75,'27.07 Kitebi-Kabusu-24h'!I75)</f>
        <v>2</v>
      </c>
      <c r="J75" s="49">
        <f>AVERAGE('26.07 Kitebi-Kabusu-24'!J75,'27.07 Kitebi-Kabusu-24h'!J75)</f>
        <v>0</v>
      </c>
      <c r="K75" s="49">
        <f>AVERAGE('26.07 Kitebi-Kabusu-24'!K75,'27.07 Kitebi-Kabusu-24h'!K75)</f>
        <v>0</v>
      </c>
      <c r="L75" s="49">
        <f>AVERAGE('26.07 Kitebi-Kabusu-24'!L75,'27.07 Kitebi-Kabusu-24h'!L75)</f>
        <v>0</v>
      </c>
      <c r="M75" s="49">
        <f>AVERAGE('26.07 Kitebi-Kabusu-24'!M75,'27.07 Kitebi-Kabusu-24h'!M75)</f>
        <v>93</v>
      </c>
      <c r="N75" s="49">
        <f>AVERAGE('26.07 Kitebi-Kabusu-24'!N75,'27.07 Kitebi-Kabusu-24h'!N75)</f>
        <v>0</v>
      </c>
      <c r="O75" s="15">
        <f t="shared" si="36"/>
        <v>32.5</v>
      </c>
      <c r="P75" s="15">
        <f t="shared" si="37"/>
        <v>125.5</v>
      </c>
      <c r="R75" s="8"/>
      <c r="T75"/>
    </row>
    <row r="76" spans="2:20" ht="23.1" customHeight="1" x14ac:dyDescent="0.25">
      <c r="B76" s="23" t="s">
        <v>116</v>
      </c>
      <c r="C76" s="49">
        <f>AVERAGE('26.07 Kitebi-Kabusu-24'!C76,'27.07 Kitebi-Kabusu-24h'!C76)</f>
        <v>12.5</v>
      </c>
      <c r="D76" s="49">
        <f>AVERAGE('26.07 Kitebi-Kabusu-24'!D76,'27.07 Kitebi-Kabusu-24h'!D76)</f>
        <v>1</v>
      </c>
      <c r="E76" s="49">
        <f>AVERAGE('26.07 Kitebi-Kabusu-24'!E76,'27.07 Kitebi-Kabusu-24h'!E76)</f>
        <v>2.5</v>
      </c>
      <c r="F76" s="49">
        <f>AVERAGE('26.07 Kitebi-Kabusu-24'!F76,'27.07 Kitebi-Kabusu-24h'!F76)</f>
        <v>6.5</v>
      </c>
      <c r="G76" s="49">
        <f>AVERAGE('26.07 Kitebi-Kabusu-24'!G76,'27.07 Kitebi-Kabusu-24h'!G76)</f>
        <v>0</v>
      </c>
      <c r="H76" s="49">
        <f>AVERAGE('26.07 Kitebi-Kabusu-24'!H76,'27.07 Kitebi-Kabusu-24h'!H76)</f>
        <v>0</v>
      </c>
      <c r="I76" s="49">
        <f>AVERAGE('26.07 Kitebi-Kabusu-24'!I76,'27.07 Kitebi-Kabusu-24h'!I76)</f>
        <v>0.5</v>
      </c>
      <c r="J76" s="49">
        <f>AVERAGE('26.07 Kitebi-Kabusu-24'!J76,'27.07 Kitebi-Kabusu-24h'!J76)</f>
        <v>2</v>
      </c>
      <c r="K76" s="49">
        <f>AVERAGE('26.07 Kitebi-Kabusu-24'!K76,'27.07 Kitebi-Kabusu-24h'!K76)</f>
        <v>0</v>
      </c>
      <c r="L76" s="49">
        <f>AVERAGE('26.07 Kitebi-Kabusu-24'!L76,'27.07 Kitebi-Kabusu-24h'!L76)</f>
        <v>0</v>
      </c>
      <c r="M76" s="49">
        <f>AVERAGE('26.07 Kitebi-Kabusu-24'!M76,'27.07 Kitebi-Kabusu-24h'!M76)</f>
        <v>95.5</v>
      </c>
      <c r="N76" s="49">
        <f>AVERAGE('26.07 Kitebi-Kabusu-24'!N76,'27.07 Kitebi-Kabusu-24h'!N76)</f>
        <v>0</v>
      </c>
      <c r="O76" s="15">
        <f t="shared" si="36"/>
        <v>25</v>
      </c>
      <c r="P76" s="15">
        <f t="shared" si="37"/>
        <v>120.5</v>
      </c>
      <c r="R76" s="8"/>
      <c r="T76"/>
    </row>
    <row r="77" spans="2:20" ht="23.1" customHeight="1" x14ac:dyDescent="0.25">
      <c r="B77" s="23" t="s">
        <v>117</v>
      </c>
      <c r="C77" s="49">
        <f>AVERAGE('26.07 Kitebi-Kabusu-24'!C77,'27.07 Kitebi-Kabusu-24h'!C77)</f>
        <v>15</v>
      </c>
      <c r="D77" s="49">
        <f>AVERAGE('26.07 Kitebi-Kabusu-24'!D77,'27.07 Kitebi-Kabusu-24h'!D77)</f>
        <v>3</v>
      </c>
      <c r="E77" s="49">
        <f>AVERAGE('26.07 Kitebi-Kabusu-24'!E77,'27.07 Kitebi-Kabusu-24h'!E77)</f>
        <v>2.5</v>
      </c>
      <c r="F77" s="49">
        <f>AVERAGE('26.07 Kitebi-Kabusu-24'!F77,'27.07 Kitebi-Kabusu-24h'!F77)</f>
        <v>7.5</v>
      </c>
      <c r="G77" s="49">
        <f>AVERAGE('26.07 Kitebi-Kabusu-24'!G77,'27.07 Kitebi-Kabusu-24h'!G77)</f>
        <v>0</v>
      </c>
      <c r="H77" s="49">
        <f>AVERAGE('26.07 Kitebi-Kabusu-24'!H77,'27.07 Kitebi-Kabusu-24h'!H77)</f>
        <v>0</v>
      </c>
      <c r="I77" s="49">
        <f>AVERAGE('26.07 Kitebi-Kabusu-24'!I77,'27.07 Kitebi-Kabusu-24h'!I77)</f>
        <v>1</v>
      </c>
      <c r="J77" s="49">
        <f>AVERAGE('26.07 Kitebi-Kabusu-24'!J77,'27.07 Kitebi-Kabusu-24h'!J77)</f>
        <v>0</v>
      </c>
      <c r="K77" s="49">
        <f>AVERAGE('26.07 Kitebi-Kabusu-24'!K77,'27.07 Kitebi-Kabusu-24h'!K77)</f>
        <v>0</v>
      </c>
      <c r="L77" s="49">
        <f>AVERAGE('26.07 Kitebi-Kabusu-24'!L77,'27.07 Kitebi-Kabusu-24h'!L77)</f>
        <v>0</v>
      </c>
      <c r="M77" s="49">
        <f>AVERAGE('26.07 Kitebi-Kabusu-24'!M77,'27.07 Kitebi-Kabusu-24h'!M77)</f>
        <v>99.5</v>
      </c>
      <c r="N77" s="49">
        <f>AVERAGE('26.07 Kitebi-Kabusu-24'!N77,'27.07 Kitebi-Kabusu-24h'!N77)</f>
        <v>0</v>
      </c>
      <c r="O77" s="15">
        <f t="shared" si="36"/>
        <v>29</v>
      </c>
      <c r="P77" s="15">
        <f t="shared" si="37"/>
        <v>128.5</v>
      </c>
      <c r="R77" s="8"/>
      <c r="T77"/>
    </row>
    <row r="78" spans="2:20" ht="23.1" customHeight="1" x14ac:dyDescent="0.25">
      <c r="B78" s="24" t="s">
        <v>118</v>
      </c>
      <c r="C78" s="49">
        <f>AVERAGE('26.07 Kitebi-Kabusu-24'!C78,'27.07 Kitebi-Kabusu-24h'!C78)</f>
        <v>13.5</v>
      </c>
      <c r="D78" s="49">
        <f>AVERAGE('26.07 Kitebi-Kabusu-24'!D78,'27.07 Kitebi-Kabusu-24h'!D78)</f>
        <v>2.5</v>
      </c>
      <c r="E78" s="49">
        <f>AVERAGE('26.07 Kitebi-Kabusu-24'!E78,'27.07 Kitebi-Kabusu-24h'!E78)</f>
        <v>2</v>
      </c>
      <c r="F78" s="49">
        <f>AVERAGE('26.07 Kitebi-Kabusu-24'!F78,'27.07 Kitebi-Kabusu-24h'!F78)</f>
        <v>2</v>
      </c>
      <c r="G78" s="49">
        <f>AVERAGE('26.07 Kitebi-Kabusu-24'!G78,'27.07 Kitebi-Kabusu-24h'!G78)</f>
        <v>0</v>
      </c>
      <c r="H78" s="49">
        <f>AVERAGE('26.07 Kitebi-Kabusu-24'!H78,'27.07 Kitebi-Kabusu-24h'!H78)</f>
        <v>0</v>
      </c>
      <c r="I78" s="49">
        <f>AVERAGE('26.07 Kitebi-Kabusu-24'!I78,'27.07 Kitebi-Kabusu-24h'!I78)</f>
        <v>1.5</v>
      </c>
      <c r="J78" s="49">
        <f>AVERAGE('26.07 Kitebi-Kabusu-24'!J78,'27.07 Kitebi-Kabusu-24h'!J78)</f>
        <v>0</v>
      </c>
      <c r="K78" s="49">
        <f>AVERAGE('26.07 Kitebi-Kabusu-24'!K78,'27.07 Kitebi-Kabusu-24h'!K78)</f>
        <v>0.5</v>
      </c>
      <c r="L78" s="49">
        <f>AVERAGE('26.07 Kitebi-Kabusu-24'!L78,'27.07 Kitebi-Kabusu-24h'!L78)</f>
        <v>0</v>
      </c>
      <c r="M78" s="49">
        <f>AVERAGE('26.07 Kitebi-Kabusu-24'!M78,'27.07 Kitebi-Kabusu-24h'!M78)</f>
        <v>90</v>
      </c>
      <c r="N78" s="49">
        <f>AVERAGE('26.07 Kitebi-Kabusu-24'!N78,'27.07 Kitebi-Kabusu-24h'!N78)</f>
        <v>0</v>
      </c>
      <c r="O78" s="15">
        <f t="shared" si="36"/>
        <v>22</v>
      </c>
      <c r="P78" s="15">
        <f t="shared" si="37"/>
        <v>112</v>
      </c>
      <c r="R78" s="8"/>
      <c r="T78"/>
    </row>
    <row r="79" spans="2:20" ht="23.1" customHeight="1" x14ac:dyDescent="0.25">
      <c r="B79" s="23" t="s">
        <v>119</v>
      </c>
      <c r="C79" s="49">
        <f>AVERAGE('26.07 Kitebi-Kabusu-24'!C79,'27.07 Kitebi-Kabusu-24h'!C79)</f>
        <v>19</v>
      </c>
      <c r="D79" s="49">
        <f>AVERAGE('26.07 Kitebi-Kabusu-24'!D79,'27.07 Kitebi-Kabusu-24h'!D79)</f>
        <v>2</v>
      </c>
      <c r="E79" s="49">
        <f>AVERAGE('26.07 Kitebi-Kabusu-24'!E79,'27.07 Kitebi-Kabusu-24h'!E79)</f>
        <v>1</v>
      </c>
      <c r="F79" s="49">
        <f>AVERAGE('26.07 Kitebi-Kabusu-24'!F79,'27.07 Kitebi-Kabusu-24h'!F79)</f>
        <v>3.5</v>
      </c>
      <c r="G79" s="49">
        <f>AVERAGE('26.07 Kitebi-Kabusu-24'!G79,'27.07 Kitebi-Kabusu-24h'!G79)</f>
        <v>0</v>
      </c>
      <c r="H79" s="49">
        <f>AVERAGE('26.07 Kitebi-Kabusu-24'!H79,'27.07 Kitebi-Kabusu-24h'!H79)</f>
        <v>0</v>
      </c>
      <c r="I79" s="49">
        <f>AVERAGE('26.07 Kitebi-Kabusu-24'!I79,'27.07 Kitebi-Kabusu-24h'!I79)</f>
        <v>1</v>
      </c>
      <c r="J79" s="49">
        <f>AVERAGE('26.07 Kitebi-Kabusu-24'!J79,'27.07 Kitebi-Kabusu-24h'!J79)</f>
        <v>0</v>
      </c>
      <c r="K79" s="49">
        <f>AVERAGE('26.07 Kitebi-Kabusu-24'!K79,'27.07 Kitebi-Kabusu-24h'!K79)</f>
        <v>0</v>
      </c>
      <c r="L79" s="49">
        <f>AVERAGE('26.07 Kitebi-Kabusu-24'!L79,'27.07 Kitebi-Kabusu-24h'!L79)</f>
        <v>0</v>
      </c>
      <c r="M79" s="49">
        <f>AVERAGE('26.07 Kitebi-Kabusu-24'!M79,'27.07 Kitebi-Kabusu-24h'!M79)</f>
        <v>87.5</v>
      </c>
      <c r="N79" s="49">
        <f>AVERAGE('26.07 Kitebi-Kabusu-24'!N79,'27.07 Kitebi-Kabusu-24h'!N79)</f>
        <v>0</v>
      </c>
      <c r="O79" s="15">
        <f t="shared" si="36"/>
        <v>26.5</v>
      </c>
      <c r="P79" s="15">
        <f t="shared" si="37"/>
        <v>114</v>
      </c>
      <c r="R79" s="8"/>
      <c r="T79"/>
    </row>
    <row r="80" spans="2:20" ht="23.1" customHeight="1" x14ac:dyDescent="0.25">
      <c r="B80" s="25" t="s">
        <v>120</v>
      </c>
      <c r="C80" s="49">
        <f>AVERAGE('26.07 Kitebi-Kabusu-24'!C80,'27.07 Kitebi-Kabusu-24h'!C80)</f>
        <v>18.5</v>
      </c>
      <c r="D80" s="49">
        <f>AVERAGE('26.07 Kitebi-Kabusu-24'!D80,'27.07 Kitebi-Kabusu-24h'!D80)</f>
        <v>3</v>
      </c>
      <c r="E80" s="49">
        <f>AVERAGE('26.07 Kitebi-Kabusu-24'!E80,'27.07 Kitebi-Kabusu-24h'!E80)</f>
        <v>0</v>
      </c>
      <c r="F80" s="49">
        <f>AVERAGE('26.07 Kitebi-Kabusu-24'!F80,'27.07 Kitebi-Kabusu-24h'!F80)</f>
        <v>2</v>
      </c>
      <c r="G80" s="49">
        <f>AVERAGE('26.07 Kitebi-Kabusu-24'!G80,'27.07 Kitebi-Kabusu-24h'!G80)</f>
        <v>0</v>
      </c>
      <c r="H80" s="49">
        <f>AVERAGE('26.07 Kitebi-Kabusu-24'!H80,'27.07 Kitebi-Kabusu-24h'!H80)</f>
        <v>0</v>
      </c>
      <c r="I80" s="49">
        <f>AVERAGE('26.07 Kitebi-Kabusu-24'!I80,'27.07 Kitebi-Kabusu-24h'!I80)</f>
        <v>1.5</v>
      </c>
      <c r="J80" s="49">
        <f>AVERAGE('26.07 Kitebi-Kabusu-24'!J80,'27.07 Kitebi-Kabusu-24h'!J80)</f>
        <v>0</v>
      </c>
      <c r="K80" s="49">
        <f>AVERAGE('26.07 Kitebi-Kabusu-24'!K80,'27.07 Kitebi-Kabusu-24h'!K80)</f>
        <v>0</v>
      </c>
      <c r="L80" s="49">
        <f>AVERAGE('26.07 Kitebi-Kabusu-24'!L80,'27.07 Kitebi-Kabusu-24h'!L80)</f>
        <v>0</v>
      </c>
      <c r="M80" s="49">
        <f>AVERAGE('26.07 Kitebi-Kabusu-24'!M80,'27.07 Kitebi-Kabusu-24h'!M80)</f>
        <v>68.5</v>
      </c>
      <c r="N80" s="49">
        <f>AVERAGE('26.07 Kitebi-Kabusu-24'!N80,'27.07 Kitebi-Kabusu-24h'!N80)</f>
        <v>0</v>
      </c>
      <c r="O80" s="15">
        <f t="shared" si="36"/>
        <v>25</v>
      </c>
      <c r="P80" s="15">
        <f t="shared" si="37"/>
        <v>93.5</v>
      </c>
      <c r="R80" s="8"/>
      <c r="T80"/>
    </row>
    <row r="81" spans="2:20" ht="23.1" customHeight="1" x14ac:dyDescent="0.25">
      <c r="B81" s="23" t="s">
        <v>121</v>
      </c>
      <c r="C81" s="49">
        <f>AVERAGE('26.07 Kitebi-Kabusu-24'!C81,'27.07 Kitebi-Kabusu-24h'!C81)</f>
        <v>15</v>
      </c>
      <c r="D81" s="49">
        <f>AVERAGE('26.07 Kitebi-Kabusu-24'!D81,'27.07 Kitebi-Kabusu-24h'!D81)</f>
        <v>0.5</v>
      </c>
      <c r="E81" s="49">
        <f>AVERAGE('26.07 Kitebi-Kabusu-24'!E81,'27.07 Kitebi-Kabusu-24h'!E81)</f>
        <v>0.5</v>
      </c>
      <c r="F81" s="49">
        <f>AVERAGE('26.07 Kitebi-Kabusu-24'!F81,'27.07 Kitebi-Kabusu-24h'!F81)</f>
        <v>1.5</v>
      </c>
      <c r="G81" s="49">
        <f>AVERAGE('26.07 Kitebi-Kabusu-24'!G81,'27.07 Kitebi-Kabusu-24h'!G81)</f>
        <v>0</v>
      </c>
      <c r="H81" s="49">
        <f>AVERAGE('26.07 Kitebi-Kabusu-24'!H81,'27.07 Kitebi-Kabusu-24h'!H81)</f>
        <v>0</v>
      </c>
      <c r="I81" s="49">
        <f>AVERAGE('26.07 Kitebi-Kabusu-24'!I81,'27.07 Kitebi-Kabusu-24h'!I81)</f>
        <v>1</v>
      </c>
      <c r="J81" s="49">
        <f>AVERAGE('26.07 Kitebi-Kabusu-24'!J81,'27.07 Kitebi-Kabusu-24h'!J81)</f>
        <v>0</v>
      </c>
      <c r="K81" s="49">
        <f>AVERAGE('26.07 Kitebi-Kabusu-24'!K81,'27.07 Kitebi-Kabusu-24h'!K81)</f>
        <v>0</v>
      </c>
      <c r="L81" s="49">
        <f>AVERAGE('26.07 Kitebi-Kabusu-24'!L81,'27.07 Kitebi-Kabusu-24h'!L81)</f>
        <v>0</v>
      </c>
      <c r="M81" s="49">
        <f>AVERAGE('26.07 Kitebi-Kabusu-24'!M81,'27.07 Kitebi-Kabusu-24h'!M81)</f>
        <v>55.5</v>
      </c>
      <c r="N81" s="49">
        <f>AVERAGE('26.07 Kitebi-Kabusu-24'!N81,'27.07 Kitebi-Kabusu-24h'!N81)</f>
        <v>0</v>
      </c>
      <c r="O81" s="15">
        <f t="shared" si="36"/>
        <v>18.5</v>
      </c>
      <c r="P81" s="15">
        <f t="shared" si="37"/>
        <v>74</v>
      </c>
      <c r="R81" s="8"/>
      <c r="T81"/>
    </row>
    <row r="82" spans="2:20" ht="23.1" customHeight="1" x14ac:dyDescent="0.25">
      <c r="B82" s="24" t="s">
        <v>122</v>
      </c>
      <c r="C82" s="49">
        <f>AVERAGE('26.07 Kitebi-Kabusu-24'!C82,'27.07 Kitebi-Kabusu-24h'!C82)</f>
        <v>9</v>
      </c>
      <c r="D82" s="49">
        <f>AVERAGE('26.07 Kitebi-Kabusu-24'!D82,'27.07 Kitebi-Kabusu-24h'!D82)</f>
        <v>1.5</v>
      </c>
      <c r="E82" s="49">
        <f>AVERAGE('26.07 Kitebi-Kabusu-24'!E82,'27.07 Kitebi-Kabusu-24h'!E82)</f>
        <v>1</v>
      </c>
      <c r="F82" s="49">
        <f>AVERAGE('26.07 Kitebi-Kabusu-24'!F82,'27.07 Kitebi-Kabusu-24h'!F82)</f>
        <v>1</v>
      </c>
      <c r="G82" s="49">
        <f>AVERAGE('26.07 Kitebi-Kabusu-24'!G82,'27.07 Kitebi-Kabusu-24h'!G82)</f>
        <v>0.5</v>
      </c>
      <c r="H82" s="49">
        <f>AVERAGE('26.07 Kitebi-Kabusu-24'!H82,'27.07 Kitebi-Kabusu-24h'!H82)</f>
        <v>0</v>
      </c>
      <c r="I82" s="49">
        <f>AVERAGE('26.07 Kitebi-Kabusu-24'!I82,'27.07 Kitebi-Kabusu-24h'!I82)</f>
        <v>0.5</v>
      </c>
      <c r="J82" s="49">
        <f>AVERAGE('26.07 Kitebi-Kabusu-24'!J82,'27.07 Kitebi-Kabusu-24h'!J82)</f>
        <v>0.5</v>
      </c>
      <c r="K82" s="49">
        <f>AVERAGE('26.07 Kitebi-Kabusu-24'!K82,'27.07 Kitebi-Kabusu-24h'!K82)</f>
        <v>0</v>
      </c>
      <c r="L82" s="49">
        <f>AVERAGE('26.07 Kitebi-Kabusu-24'!L82,'27.07 Kitebi-Kabusu-24h'!L82)</f>
        <v>0</v>
      </c>
      <c r="M82" s="49">
        <f>AVERAGE('26.07 Kitebi-Kabusu-24'!M82,'27.07 Kitebi-Kabusu-24h'!M82)</f>
        <v>73.5</v>
      </c>
      <c r="N82" s="49">
        <f>AVERAGE('26.07 Kitebi-Kabusu-24'!N82,'27.07 Kitebi-Kabusu-24h'!N82)</f>
        <v>0</v>
      </c>
      <c r="O82" s="15">
        <f t="shared" si="36"/>
        <v>14</v>
      </c>
      <c r="P82" s="15">
        <f t="shared" si="37"/>
        <v>87.5</v>
      </c>
      <c r="R82" s="8"/>
      <c r="T82"/>
    </row>
    <row r="83" spans="2:20" ht="23.1" customHeight="1" x14ac:dyDescent="0.25">
      <c r="B83" s="23" t="s">
        <v>123</v>
      </c>
      <c r="C83" s="49">
        <f>AVERAGE('26.07 Kitebi-Kabusu-24'!C83,'27.07 Kitebi-Kabusu-24h'!C83)</f>
        <v>9</v>
      </c>
      <c r="D83" s="49">
        <f>AVERAGE('26.07 Kitebi-Kabusu-24'!D83,'27.07 Kitebi-Kabusu-24h'!D83)</f>
        <v>1</v>
      </c>
      <c r="E83" s="49">
        <f>AVERAGE('26.07 Kitebi-Kabusu-24'!E83,'27.07 Kitebi-Kabusu-24h'!E83)</f>
        <v>1</v>
      </c>
      <c r="F83" s="49">
        <f>AVERAGE('26.07 Kitebi-Kabusu-24'!F83,'27.07 Kitebi-Kabusu-24h'!F83)</f>
        <v>1</v>
      </c>
      <c r="G83" s="49">
        <f>AVERAGE('26.07 Kitebi-Kabusu-24'!G83,'27.07 Kitebi-Kabusu-24h'!G83)</f>
        <v>0</v>
      </c>
      <c r="H83" s="49">
        <f>AVERAGE('26.07 Kitebi-Kabusu-24'!H83,'27.07 Kitebi-Kabusu-24h'!H83)</f>
        <v>0</v>
      </c>
      <c r="I83" s="49">
        <f>AVERAGE('26.07 Kitebi-Kabusu-24'!I83,'27.07 Kitebi-Kabusu-24h'!I83)</f>
        <v>1.5</v>
      </c>
      <c r="J83" s="49">
        <f>AVERAGE('26.07 Kitebi-Kabusu-24'!J83,'27.07 Kitebi-Kabusu-24h'!J83)</f>
        <v>0</v>
      </c>
      <c r="K83" s="49">
        <f>AVERAGE('26.07 Kitebi-Kabusu-24'!K83,'27.07 Kitebi-Kabusu-24h'!K83)</f>
        <v>0</v>
      </c>
      <c r="L83" s="49">
        <f>AVERAGE('26.07 Kitebi-Kabusu-24'!L83,'27.07 Kitebi-Kabusu-24h'!L83)</f>
        <v>0.5</v>
      </c>
      <c r="M83" s="49">
        <f>AVERAGE('26.07 Kitebi-Kabusu-24'!M83,'27.07 Kitebi-Kabusu-24h'!M83)</f>
        <v>34.5</v>
      </c>
      <c r="N83" s="49">
        <f>AVERAGE('26.07 Kitebi-Kabusu-24'!N83,'27.07 Kitebi-Kabusu-24h'!N83)</f>
        <v>0</v>
      </c>
      <c r="O83" s="15">
        <f t="shared" si="36"/>
        <v>14</v>
      </c>
      <c r="P83" s="15">
        <f t="shared" si="37"/>
        <v>48.5</v>
      </c>
      <c r="R83" s="8"/>
      <c r="T83"/>
    </row>
    <row r="84" spans="2:20" ht="23.1" customHeight="1" x14ac:dyDescent="0.25">
      <c r="B84" s="25" t="s">
        <v>124</v>
      </c>
      <c r="C84" s="49">
        <f>AVERAGE('26.07 Kitebi-Kabusu-24'!C84,'27.07 Kitebi-Kabusu-24h'!C84)</f>
        <v>7.5</v>
      </c>
      <c r="D84" s="49">
        <f>AVERAGE('26.07 Kitebi-Kabusu-24'!D84,'27.07 Kitebi-Kabusu-24h'!D84)</f>
        <v>1</v>
      </c>
      <c r="E84" s="49">
        <f>AVERAGE('26.07 Kitebi-Kabusu-24'!E84,'27.07 Kitebi-Kabusu-24h'!E84)</f>
        <v>0</v>
      </c>
      <c r="F84" s="49">
        <f>AVERAGE('26.07 Kitebi-Kabusu-24'!F84,'27.07 Kitebi-Kabusu-24h'!F84)</f>
        <v>0</v>
      </c>
      <c r="G84" s="49">
        <f>AVERAGE('26.07 Kitebi-Kabusu-24'!G84,'27.07 Kitebi-Kabusu-24h'!G84)</f>
        <v>0</v>
      </c>
      <c r="H84" s="49">
        <f>AVERAGE('26.07 Kitebi-Kabusu-24'!H84,'27.07 Kitebi-Kabusu-24h'!H84)</f>
        <v>0</v>
      </c>
      <c r="I84" s="49">
        <f>AVERAGE('26.07 Kitebi-Kabusu-24'!I84,'27.07 Kitebi-Kabusu-24h'!I84)</f>
        <v>0.5</v>
      </c>
      <c r="J84" s="49">
        <f>AVERAGE('26.07 Kitebi-Kabusu-24'!J84,'27.07 Kitebi-Kabusu-24h'!J84)</f>
        <v>0</v>
      </c>
      <c r="K84" s="49">
        <f>AVERAGE('26.07 Kitebi-Kabusu-24'!K84,'27.07 Kitebi-Kabusu-24h'!K84)</f>
        <v>0</v>
      </c>
      <c r="L84" s="49">
        <f>AVERAGE('26.07 Kitebi-Kabusu-24'!L84,'27.07 Kitebi-Kabusu-24h'!L84)</f>
        <v>0</v>
      </c>
      <c r="M84" s="49">
        <f>AVERAGE('26.07 Kitebi-Kabusu-24'!M84,'27.07 Kitebi-Kabusu-24h'!M84)</f>
        <v>51.5</v>
      </c>
      <c r="N84" s="49">
        <f>AVERAGE('26.07 Kitebi-Kabusu-24'!N84,'27.07 Kitebi-Kabusu-24h'!N84)</f>
        <v>0</v>
      </c>
      <c r="O84" s="15">
        <f t="shared" si="36"/>
        <v>9</v>
      </c>
      <c r="P84" s="15">
        <f t="shared" si="37"/>
        <v>60.5</v>
      </c>
      <c r="R84" s="8"/>
      <c r="T84"/>
    </row>
    <row r="85" spans="2:20" ht="23.1" customHeight="1" x14ac:dyDescent="0.25">
      <c r="B85" s="23" t="s">
        <v>125</v>
      </c>
      <c r="C85" s="49">
        <f>AVERAGE('26.07 Kitebi-Kabusu-24'!C85,'27.07 Kitebi-Kabusu-24h'!C85)</f>
        <v>4.5</v>
      </c>
      <c r="D85" s="49">
        <f>AVERAGE('26.07 Kitebi-Kabusu-24'!D85,'27.07 Kitebi-Kabusu-24h'!D85)</f>
        <v>0.5</v>
      </c>
      <c r="E85" s="49">
        <f>AVERAGE('26.07 Kitebi-Kabusu-24'!E85,'27.07 Kitebi-Kabusu-24h'!E85)</f>
        <v>0.5</v>
      </c>
      <c r="F85" s="49">
        <f>AVERAGE('26.07 Kitebi-Kabusu-24'!F85,'27.07 Kitebi-Kabusu-24h'!F85)</f>
        <v>0.5</v>
      </c>
      <c r="G85" s="49">
        <f>AVERAGE('26.07 Kitebi-Kabusu-24'!G85,'27.07 Kitebi-Kabusu-24h'!G85)</f>
        <v>0</v>
      </c>
      <c r="H85" s="49">
        <f>AVERAGE('26.07 Kitebi-Kabusu-24'!H85,'27.07 Kitebi-Kabusu-24h'!H85)</f>
        <v>0</v>
      </c>
      <c r="I85" s="49">
        <f>AVERAGE('26.07 Kitebi-Kabusu-24'!I85,'27.07 Kitebi-Kabusu-24h'!I85)</f>
        <v>2.5</v>
      </c>
      <c r="J85" s="49">
        <f>AVERAGE('26.07 Kitebi-Kabusu-24'!J85,'27.07 Kitebi-Kabusu-24h'!J85)</f>
        <v>0</v>
      </c>
      <c r="K85" s="49">
        <f>AVERAGE('26.07 Kitebi-Kabusu-24'!K85,'27.07 Kitebi-Kabusu-24h'!K85)</f>
        <v>0</v>
      </c>
      <c r="L85" s="49">
        <f>AVERAGE('26.07 Kitebi-Kabusu-24'!L85,'27.07 Kitebi-Kabusu-24h'!L85)</f>
        <v>0</v>
      </c>
      <c r="M85" s="49">
        <f>AVERAGE('26.07 Kitebi-Kabusu-24'!M85,'27.07 Kitebi-Kabusu-24h'!M85)</f>
        <v>50</v>
      </c>
      <c r="N85" s="49">
        <f>AVERAGE('26.07 Kitebi-Kabusu-24'!N85,'27.07 Kitebi-Kabusu-24h'!N85)</f>
        <v>0</v>
      </c>
      <c r="O85" s="15">
        <f t="shared" si="36"/>
        <v>8.5</v>
      </c>
      <c r="P85" s="15">
        <f t="shared" si="37"/>
        <v>58.5</v>
      </c>
      <c r="R85" s="8"/>
      <c r="T85"/>
    </row>
    <row r="86" spans="2:20" ht="23.1" customHeight="1" x14ac:dyDescent="0.25">
      <c r="B86" s="24" t="s">
        <v>126</v>
      </c>
      <c r="C86" s="49">
        <f>AVERAGE('26.07 Kitebi-Kabusu-24'!C86,'27.07 Kitebi-Kabusu-24h'!C86)</f>
        <v>6.5</v>
      </c>
      <c r="D86" s="49">
        <f>AVERAGE('26.07 Kitebi-Kabusu-24'!D86,'27.07 Kitebi-Kabusu-24h'!D86)</f>
        <v>1.5</v>
      </c>
      <c r="E86" s="49">
        <f>AVERAGE('26.07 Kitebi-Kabusu-24'!E86,'27.07 Kitebi-Kabusu-24h'!E86)</f>
        <v>1</v>
      </c>
      <c r="F86" s="49">
        <f>AVERAGE('26.07 Kitebi-Kabusu-24'!F86,'27.07 Kitebi-Kabusu-24h'!F86)</f>
        <v>1.5</v>
      </c>
      <c r="G86" s="49">
        <f>AVERAGE('26.07 Kitebi-Kabusu-24'!G86,'27.07 Kitebi-Kabusu-24h'!G86)</f>
        <v>1</v>
      </c>
      <c r="H86" s="49">
        <f>AVERAGE('26.07 Kitebi-Kabusu-24'!H86,'27.07 Kitebi-Kabusu-24h'!H86)</f>
        <v>0</v>
      </c>
      <c r="I86" s="49">
        <f>AVERAGE('26.07 Kitebi-Kabusu-24'!I86,'27.07 Kitebi-Kabusu-24h'!I86)</f>
        <v>1</v>
      </c>
      <c r="J86" s="49">
        <f>AVERAGE('26.07 Kitebi-Kabusu-24'!J86,'27.07 Kitebi-Kabusu-24h'!J86)</f>
        <v>0</v>
      </c>
      <c r="K86" s="49">
        <f>AVERAGE('26.07 Kitebi-Kabusu-24'!K86,'27.07 Kitebi-Kabusu-24h'!K86)</f>
        <v>0.5</v>
      </c>
      <c r="L86" s="49">
        <f>AVERAGE('26.07 Kitebi-Kabusu-24'!L86,'27.07 Kitebi-Kabusu-24h'!L86)</f>
        <v>0</v>
      </c>
      <c r="M86" s="49">
        <f>AVERAGE('26.07 Kitebi-Kabusu-24'!M86,'27.07 Kitebi-Kabusu-24h'!M86)</f>
        <v>54.5</v>
      </c>
      <c r="N86" s="49">
        <f>AVERAGE('26.07 Kitebi-Kabusu-24'!N86,'27.07 Kitebi-Kabusu-24h'!N86)</f>
        <v>0</v>
      </c>
      <c r="O86" s="15">
        <f t="shared" si="36"/>
        <v>13</v>
      </c>
      <c r="P86" s="15">
        <f t="shared" si="37"/>
        <v>67.5</v>
      </c>
      <c r="R86" s="8"/>
      <c r="T86"/>
    </row>
    <row r="87" spans="2:20" ht="23.1" customHeight="1" x14ac:dyDescent="0.25">
      <c r="B87" s="23" t="s">
        <v>127</v>
      </c>
      <c r="C87" s="49">
        <f>AVERAGE('26.07 Kitebi-Kabusu-24'!C87,'27.07 Kitebi-Kabusu-24h'!C87)</f>
        <v>5.5</v>
      </c>
      <c r="D87" s="49">
        <f>AVERAGE('26.07 Kitebi-Kabusu-24'!D87,'27.07 Kitebi-Kabusu-24h'!D87)</f>
        <v>1.5</v>
      </c>
      <c r="E87" s="49">
        <f>AVERAGE('26.07 Kitebi-Kabusu-24'!E87,'27.07 Kitebi-Kabusu-24h'!E87)</f>
        <v>0</v>
      </c>
      <c r="F87" s="49">
        <f>AVERAGE('26.07 Kitebi-Kabusu-24'!F87,'27.07 Kitebi-Kabusu-24h'!F87)</f>
        <v>1</v>
      </c>
      <c r="G87" s="49">
        <f>AVERAGE('26.07 Kitebi-Kabusu-24'!G87,'27.07 Kitebi-Kabusu-24h'!G87)</f>
        <v>0</v>
      </c>
      <c r="H87" s="49">
        <f>AVERAGE('26.07 Kitebi-Kabusu-24'!H87,'27.07 Kitebi-Kabusu-24h'!H87)</f>
        <v>0</v>
      </c>
      <c r="I87" s="49">
        <f>AVERAGE('26.07 Kitebi-Kabusu-24'!I87,'27.07 Kitebi-Kabusu-24h'!I87)</f>
        <v>1</v>
      </c>
      <c r="J87" s="49">
        <f>AVERAGE('26.07 Kitebi-Kabusu-24'!J87,'27.07 Kitebi-Kabusu-24h'!J87)</f>
        <v>0</v>
      </c>
      <c r="K87" s="49">
        <f>AVERAGE('26.07 Kitebi-Kabusu-24'!K87,'27.07 Kitebi-Kabusu-24h'!K87)</f>
        <v>0</v>
      </c>
      <c r="L87" s="49">
        <f>AVERAGE('26.07 Kitebi-Kabusu-24'!L87,'27.07 Kitebi-Kabusu-24h'!L87)</f>
        <v>0</v>
      </c>
      <c r="M87" s="49">
        <f>AVERAGE('26.07 Kitebi-Kabusu-24'!M87,'27.07 Kitebi-Kabusu-24h'!M87)</f>
        <v>39.5</v>
      </c>
      <c r="N87" s="49">
        <f>AVERAGE('26.07 Kitebi-Kabusu-24'!N87,'27.07 Kitebi-Kabusu-24h'!N87)</f>
        <v>0</v>
      </c>
      <c r="O87" s="15">
        <f t="shared" si="36"/>
        <v>9</v>
      </c>
      <c r="P87" s="15">
        <f t="shared" si="37"/>
        <v>48.5</v>
      </c>
      <c r="R87" s="8"/>
      <c r="T87"/>
    </row>
    <row r="88" spans="2:20" ht="23.1" customHeight="1" x14ac:dyDescent="0.25">
      <c r="B88" s="25" t="s">
        <v>128</v>
      </c>
      <c r="C88" s="49">
        <f>AVERAGE('26.07 Kitebi-Kabusu-24'!C88,'27.07 Kitebi-Kabusu-24h'!C88)</f>
        <v>6.5</v>
      </c>
      <c r="D88" s="49">
        <f>AVERAGE('26.07 Kitebi-Kabusu-24'!D88,'27.07 Kitebi-Kabusu-24h'!D88)</f>
        <v>1</v>
      </c>
      <c r="E88" s="49">
        <f>AVERAGE('26.07 Kitebi-Kabusu-24'!E88,'27.07 Kitebi-Kabusu-24h'!E88)</f>
        <v>0</v>
      </c>
      <c r="F88" s="49">
        <f>AVERAGE('26.07 Kitebi-Kabusu-24'!F88,'27.07 Kitebi-Kabusu-24h'!F88)</f>
        <v>2.5</v>
      </c>
      <c r="G88" s="49">
        <f>AVERAGE('26.07 Kitebi-Kabusu-24'!G88,'27.07 Kitebi-Kabusu-24h'!G88)</f>
        <v>0</v>
      </c>
      <c r="H88" s="49">
        <f>AVERAGE('26.07 Kitebi-Kabusu-24'!H88,'27.07 Kitebi-Kabusu-24h'!H88)</f>
        <v>0</v>
      </c>
      <c r="I88" s="49">
        <f>AVERAGE('26.07 Kitebi-Kabusu-24'!I88,'27.07 Kitebi-Kabusu-24h'!I88)</f>
        <v>1</v>
      </c>
      <c r="J88" s="49">
        <f>AVERAGE('26.07 Kitebi-Kabusu-24'!J88,'27.07 Kitebi-Kabusu-24h'!J88)</f>
        <v>0.5</v>
      </c>
      <c r="K88" s="49">
        <f>AVERAGE('26.07 Kitebi-Kabusu-24'!K88,'27.07 Kitebi-Kabusu-24h'!K88)</f>
        <v>0</v>
      </c>
      <c r="L88" s="49">
        <f>AVERAGE('26.07 Kitebi-Kabusu-24'!L88,'27.07 Kitebi-Kabusu-24h'!L88)</f>
        <v>0.5</v>
      </c>
      <c r="M88" s="49">
        <f>AVERAGE('26.07 Kitebi-Kabusu-24'!M88,'27.07 Kitebi-Kabusu-24h'!M88)</f>
        <v>39</v>
      </c>
      <c r="N88" s="49">
        <f>AVERAGE('26.07 Kitebi-Kabusu-24'!N88,'27.07 Kitebi-Kabusu-24h'!N88)</f>
        <v>0</v>
      </c>
      <c r="O88" s="15">
        <f t="shared" si="36"/>
        <v>12</v>
      </c>
      <c r="P88" s="15">
        <f t="shared" si="37"/>
        <v>51</v>
      </c>
      <c r="R88" s="8"/>
      <c r="T88"/>
    </row>
    <row r="89" spans="2:20" ht="23.1" customHeight="1" x14ac:dyDescent="0.25">
      <c r="B89" s="23" t="s">
        <v>129</v>
      </c>
      <c r="C89" s="49">
        <f>AVERAGE('26.07 Kitebi-Kabusu-24'!C89,'27.07 Kitebi-Kabusu-24h'!C89)</f>
        <v>7.5</v>
      </c>
      <c r="D89" s="49">
        <f>AVERAGE('26.07 Kitebi-Kabusu-24'!D89,'27.07 Kitebi-Kabusu-24h'!D89)</f>
        <v>0</v>
      </c>
      <c r="E89" s="49">
        <f>AVERAGE('26.07 Kitebi-Kabusu-24'!E89,'27.07 Kitebi-Kabusu-24h'!E89)</f>
        <v>0</v>
      </c>
      <c r="F89" s="49">
        <f>AVERAGE('26.07 Kitebi-Kabusu-24'!F89,'27.07 Kitebi-Kabusu-24h'!F89)</f>
        <v>0</v>
      </c>
      <c r="G89" s="49">
        <f>AVERAGE('26.07 Kitebi-Kabusu-24'!G89,'27.07 Kitebi-Kabusu-24h'!G89)</f>
        <v>0</v>
      </c>
      <c r="H89" s="49">
        <f>AVERAGE('26.07 Kitebi-Kabusu-24'!H89,'27.07 Kitebi-Kabusu-24h'!H89)</f>
        <v>0</v>
      </c>
      <c r="I89" s="49">
        <f>AVERAGE('26.07 Kitebi-Kabusu-24'!I89,'27.07 Kitebi-Kabusu-24h'!I89)</f>
        <v>0</v>
      </c>
      <c r="J89" s="49">
        <f>AVERAGE('26.07 Kitebi-Kabusu-24'!J89,'27.07 Kitebi-Kabusu-24h'!J89)</f>
        <v>0</v>
      </c>
      <c r="K89" s="49">
        <f>AVERAGE('26.07 Kitebi-Kabusu-24'!K89,'27.07 Kitebi-Kabusu-24h'!K89)</f>
        <v>0.5</v>
      </c>
      <c r="L89" s="49">
        <f>AVERAGE('26.07 Kitebi-Kabusu-24'!L89,'27.07 Kitebi-Kabusu-24h'!L89)</f>
        <v>0</v>
      </c>
      <c r="M89" s="49">
        <f>AVERAGE('26.07 Kitebi-Kabusu-24'!M89,'27.07 Kitebi-Kabusu-24h'!M89)</f>
        <v>36.5</v>
      </c>
      <c r="N89" s="49">
        <f>AVERAGE('26.07 Kitebi-Kabusu-24'!N89,'27.07 Kitebi-Kabusu-24h'!N89)</f>
        <v>0</v>
      </c>
      <c r="O89" s="15">
        <f t="shared" si="36"/>
        <v>8</v>
      </c>
      <c r="P89" s="15">
        <f t="shared" si="37"/>
        <v>44.5</v>
      </c>
      <c r="R89" s="8"/>
      <c r="T89"/>
    </row>
    <row r="90" spans="2:20" ht="23.1" customHeight="1" x14ac:dyDescent="0.25">
      <c r="B90" s="24" t="s">
        <v>130</v>
      </c>
      <c r="C90" s="49">
        <f>AVERAGE('26.07 Kitebi-Kabusu-24'!C90,'27.07 Kitebi-Kabusu-24h'!C90)</f>
        <v>11</v>
      </c>
      <c r="D90" s="49">
        <f>AVERAGE('26.07 Kitebi-Kabusu-24'!D90,'27.07 Kitebi-Kabusu-24h'!D90)</f>
        <v>2</v>
      </c>
      <c r="E90" s="49">
        <f>AVERAGE('26.07 Kitebi-Kabusu-24'!E90,'27.07 Kitebi-Kabusu-24h'!E90)</f>
        <v>0.5</v>
      </c>
      <c r="F90" s="49">
        <f>AVERAGE('26.07 Kitebi-Kabusu-24'!F90,'27.07 Kitebi-Kabusu-24h'!F90)</f>
        <v>1</v>
      </c>
      <c r="G90" s="49">
        <f>AVERAGE('26.07 Kitebi-Kabusu-24'!G90,'27.07 Kitebi-Kabusu-24h'!G90)</f>
        <v>0</v>
      </c>
      <c r="H90" s="49">
        <f>AVERAGE('26.07 Kitebi-Kabusu-24'!H90,'27.07 Kitebi-Kabusu-24h'!H90)</f>
        <v>0</v>
      </c>
      <c r="I90" s="49">
        <f>AVERAGE('26.07 Kitebi-Kabusu-24'!I90,'27.07 Kitebi-Kabusu-24h'!I90)</f>
        <v>1</v>
      </c>
      <c r="J90" s="49">
        <f>AVERAGE('26.07 Kitebi-Kabusu-24'!J90,'27.07 Kitebi-Kabusu-24h'!J90)</f>
        <v>0.5</v>
      </c>
      <c r="K90" s="49">
        <f>AVERAGE('26.07 Kitebi-Kabusu-24'!K90,'27.07 Kitebi-Kabusu-24h'!K90)</f>
        <v>0</v>
      </c>
      <c r="L90" s="49">
        <f>AVERAGE('26.07 Kitebi-Kabusu-24'!L90,'27.07 Kitebi-Kabusu-24h'!L90)</f>
        <v>0</v>
      </c>
      <c r="M90" s="49">
        <f>AVERAGE('26.07 Kitebi-Kabusu-24'!M90,'27.07 Kitebi-Kabusu-24h'!M90)</f>
        <v>31</v>
      </c>
      <c r="N90" s="49">
        <f>AVERAGE('26.07 Kitebi-Kabusu-24'!N90,'27.07 Kitebi-Kabusu-24h'!N90)</f>
        <v>0</v>
      </c>
      <c r="O90" s="15">
        <f t="shared" si="36"/>
        <v>16</v>
      </c>
      <c r="P90" s="15">
        <f t="shared" si="37"/>
        <v>47</v>
      </c>
      <c r="R90" s="8"/>
      <c r="T90"/>
    </row>
    <row r="91" spans="2:20" ht="23.1" customHeight="1" x14ac:dyDescent="0.25">
      <c r="B91" s="23" t="s">
        <v>131</v>
      </c>
      <c r="C91" s="49">
        <f>AVERAGE('26.07 Kitebi-Kabusu-24'!C91,'27.07 Kitebi-Kabusu-24h'!C91)</f>
        <v>13.5</v>
      </c>
      <c r="D91" s="49">
        <f>AVERAGE('26.07 Kitebi-Kabusu-24'!D91,'27.07 Kitebi-Kabusu-24h'!D91)</f>
        <v>0.5</v>
      </c>
      <c r="E91" s="49">
        <f>AVERAGE('26.07 Kitebi-Kabusu-24'!E91,'27.07 Kitebi-Kabusu-24h'!E91)</f>
        <v>0.5</v>
      </c>
      <c r="F91" s="49">
        <f>AVERAGE('26.07 Kitebi-Kabusu-24'!F91,'27.07 Kitebi-Kabusu-24h'!F91)</f>
        <v>14</v>
      </c>
      <c r="G91" s="49">
        <f>AVERAGE('26.07 Kitebi-Kabusu-24'!G91,'27.07 Kitebi-Kabusu-24h'!G91)</f>
        <v>0</v>
      </c>
      <c r="H91" s="49">
        <f>AVERAGE('26.07 Kitebi-Kabusu-24'!H91,'27.07 Kitebi-Kabusu-24h'!H91)</f>
        <v>0</v>
      </c>
      <c r="I91" s="49">
        <f>AVERAGE('26.07 Kitebi-Kabusu-24'!I91,'27.07 Kitebi-Kabusu-24h'!I91)</f>
        <v>0.5</v>
      </c>
      <c r="J91" s="49">
        <f>AVERAGE('26.07 Kitebi-Kabusu-24'!J91,'27.07 Kitebi-Kabusu-24h'!J91)</f>
        <v>0</v>
      </c>
      <c r="K91" s="49">
        <f>AVERAGE('26.07 Kitebi-Kabusu-24'!K91,'27.07 Kitebi-Kabusu-24h'!K91)</f>
        <v>0</v>
      </c>
      <c r="L91" s="49">
        <f>AVERAGE('26.07 Kitebi-Kabusu-24'!L91,'27.07 Kitebi-Kabusu-24h'!L91)</f>
        <v>0</v>
      </c>
      <c r="M91" s="49">
        <f>AVERAGE('26.07 Kitebi-Kabusu-24'!M91,'27.07 Kitebi-Kabusu-24h'!M91)</f>
        <v>38.5</v>
      </c>
      <c r="N91" s="49">
        <f>AVERAGE('26.07 Kitebi-Kabusu-24'!N91,'27.07 Kitebi-Kabusu-24h'!N91)</f>
        <v>0</v>
      </c>
      <c r="O91" s="15">
        <f t="shared" si="36"/>
        <v>29</v>
      </c>
      <c r="P91" s="15">
        <f t="shared" si="37"/>
        <v>67.5</v>
      </c>
      <c r="R91" s="8"/>
      <c r="T91"/>
    </row>
    <row r="92" spans="2:20" ht="23.1" customHeight="1" x14ac:dyDescent="0.25">
      <c r="B92" s="25" t="s">
        <v>132</v>
      </c>
      <c r="C92" s="49">
        <f>AVERAGE('26.07 Kitebi-Kabusu-24'!C92,'27.07 Kitebi-Kabusu-24h'!C92)</f>
        <v>26.5</v>
      </c>
      <c r="D92" s="49">
        <f>AVERAGE('26.07 Kitebi-Kabusu-24'!D92,'27.07 Kitebi-Kabusu-24h'!D92)</f>
        <v>1.5</v>
      </c>
      <c r="E92" s="49">
        <f>AVERAGE('26.07 Kitebi-Kabusu-24'!E92,'27.07 Kitebi-Kabusu-24h'!E92)</f>
        <v>2</v>
      </c>
      <c r="F92" s="49">
        <f>AVERAGE('26.07 Kitebi-Kabusu-24'!F92,'27.07 Kitebi-Kabusu-24h'!F92)</f>
        <v>8.5</v>
      </c>
      <c r="G92" s="49">
        <f>AVERAGE('26.07 Kitebi-Kabusu-24'!G92,'27.07 Kitebi-Kabusu-24h'!G92)</f>
        <v>0</v>
      </c>
      <c r="H92" s="49">
        <f>AVERAGE('26.07 Kitebi-Kabusu-24'!H92,'27.07 Kitebi-Kabusu-24h'!H92)</f>
        <v>0</v>
      </c>
      <c r="I92" s="49">
        <f>AVERAGE('26.07 Kitebi-Kabusu-24'!I92,'27.07 Kitebi-Kabusu-24h'!I92)</f>
        <v>1.5</v>
      </c>
      <c r="J92" s="49">
        <f>AVERAGE('26.07 Kitebi-Kabusu-24'!J92,'27.07 Kitebi-Kabusu-24h'!J92)</f>
        <v>0</v>
      </c>
      <c r="K92" s="49">
        <f>AVERAGE('26.07 Kitebi-Kabusu-24'!K92,'27.07 Kitebi-Kabusu-24h'!K92)</f>
        <v>0</v>
      </c>
      <c r="L92" s="49">
        <f>AVERAGE('26.07 Kitebi-Kabusu-24'!L92,'27.07 Kitebi-Kabusu-24h'!L92)</f>
        <v>0</v>
      </c>
      <c r="M92" s="49">
        <f>AVERAGE('26.07 Kitebi-Kabusu-24'!M92,'27.07 Kitebi-Kabusu-24h'!M92)</f>
        <v>43</v>
      </c>
      <c r="N92" s="49">
        <f>AVERAGE('26.07 Kitebi-Kabusu-24'!N92,'27.07 Kitebi-Kabusu-24h'!N92)</f>
        <v>0</v>
      </c>
      <c r="O92" s="15">
        <f t="shared" si="36"/>
        <v>40</v>
      </c>
      <c r="P92" s="15">
        <f t="shared" si="37"/>
        <v>83</v>
      </c>
      <c r="R92" s="8"/>
      <c r="T92"/>
    </row>
    <row r="93" spans="2:20" ht="23.1" customHeight="1" x14ac:dyDescent="0.25">
      <c r="B93" s="23" t="s">
        <v>133</v>
      </c>
      <c r="C93" s="49">
        <f>AVERAGE('26.07 Kitebi-Kabusu-24'!C93,'27.07 Kitebi-Kabusu-24h'!C93)</f>
        <v>6</v>
      </c>
      <c r="D93" s="49">
        <f>AVERAGE('26.07 Kitebi-Kabusu-24'!D93,'27.07 Kitebi-Kabusu-24h'!D93)</f>
        <v>0.5</v>
      </c>
      <c r="E93" s="49">
        <f>AVERAGE('26.07 Kitebi-Kabusu-24'!E93,'27.07 Kitebi-Kabusu-24h'!E93)</f>
        <v>1</v>
      </c>
      <c r="F93" s="49">
        <f>AVERAGE('26.07 Kitebi-Kabusu-24'!F93,'27.07 Kitebi-Kabusu-24h'!F93)</f>
        <v>3</v>
      </c>
      <c r="G93" s="49">
        <f>AVERAGE('26.07 Kitebi-Kabusu-24'!G93,'27.07 Kitebi-Kabusu-24h'!G93)</f>
        <v>0</v>
      </c>
      <c r="H93" s="49">
        <f>AVERAGE('26.07 Kitebi-Kabusu-24'!H93,'27.07 Kitebi-Kabusu-24h'!H93)</f>
        <v>0</v>
      </c>
      <c r="I93" s="49">
        <f>AVERAGE('26.07 Kitebi-Kabusu-24'!I93,'27.07 Kitebi-Kabusu-24h'!I93)</f>
        <v>1</v>
      </c>
      <c r="J93" s="49">
        <f>AVERAGE('26.07 Kitebi-Kabusu-24'!J93,'27.07 Kitebi-Kabusu-24h'!J93)</f>
        <v>0.5</v>
      </c>
      <c r="K93" s="49">
        <f>AVERAGE('26.07 Kitebi-Kabusu-24'!K93,'27.07 Kitebi-Kabusu-24h'!K93)</f>
        <v>0</v>
      </c>
      <c r="L93" s="49">
        <f>AVERAGE('26.07 Kitebi-Kabusu-24'!L93,'27.07 Kitebi-Kabusu-24h'!L93)</f>
        <v>0</v>
      </c>
      <c r="M93" s="49">
        <f>AVERAGE('26.07 Kitebi-Kabusu-24'!M93,'27.07 Kitebi-Kabusu-24h'!M93)</f>
        <v>42.5</v>
      </c>
      <c r="N93" s="49">
        <f>AVERAGE('26.07 Kitebi-Kabusu-24'!N93,'27.07 Kitebi-Kabusu-24h'!N93)</f>
        <v>0</v>
      </c>
      <c r="O93" s="15">
        <f t="shared" si="36"/>
        <v>12</v>
      </c>
      <c r="P93" s="15">
        <f t="shared" si="37"/>
        <v>54.5</v>
      </c>
      <c r="R93" s="8"/>
      <c r="T93"/>
    </row>
    <row r="94" spans="2:20" ht="23.1" customHeight="1" x14ac:dyDescent="0.25">
      <c r="B94" s="24" t="s">
        <v>134</v>
      </c>
      <c r="C94" s="49">
        <f>AVERAGE('26.07 Kitebi-Kabusu-24'!C94,'27.07 Kitebi-Kabusu-24h'!C94)</f>
        <v>7</v>
      </c>
      <c r="D94" s="49">
        <f>AVERAGE('26.07 Kitebi-Kabusu-24'!D94,'27.07 Kitebi-Kabusu-24h'!D94)</f>
        <v>0.5</v>
      </c>
      <c r="E94" s="49">
        <f>AVERAGE('26.07 Kitebi-Kabusu-24'!E94,'27.07 Kitebi-Kabusu-24h'!E94)</f>
        <v>0.5</v>
      </c>
      <c r="F94" s="49">
        <f>AVERAGE('26.07 Kitebi-Kabusu-24'!F94,'27.07 Kitebi-Kabusu-24h'!F94)</f>
        <v>3</v>
      </c>
      <c r="G94" s="49">
        <f>AVERAGE('26.07 Kitebi-Kabusu-24'!G94,'27.07 Kitebi-Kabusu-24h'!G94)</f>
        <v>0</v>
      </c>
      <c r="H94" s="49">
        <f>AVERAGE('26.07 Kitebi-Kabusu-24'!H94,'27.07 Kitebi-Kabusu-24h'!H94)</f>
        <v>0</v>
      </c>
      <c r="I94" s="49">
        <f>AVERAGE('26.07 Kitebi-Kabusu-24'!I94,'27.07 Kitebi-Kabusu-24h'!I94)</f>
        <v>1.5</v>
      </c>
      <c r="J94" s="49">
        <f>AVERAGE('26.07 Kitebi-Kabusu-24'!J94,'27.07 Kitebi-Kabusu-24h'!J94)</f>
        <v>0</v>
      </c>
      <c r="K94" s="49">
        <f>AVERAGE('26.07 Kitebi-Kabusu-24'!K94,'27.07 Kitebi-Kabusu-24h'!K94)</f>
        <v>0</v>
      </c>
      <c r="L94" s="49">
        <f>AVERAGE('26.07 Kitebi-Kabusu-24'!L94,'27.07 Kitebi-Kabusu-24h'!L94)</f>
        <v>0</v>
      </c>
      <c r="M94" s="49">
        <f>AVERAGE('26.07 Kitebi-Kabusu-24'!M94,'27.07 Kitebi-Kabusu-24h'!M94)</f>
        <v>41</v>
      </c>
      <c r="N94" s="49">
        <f>AVERAGE('26.07 Kitebi-Kabusu-24'!N94,'27.07 Kitebi-Kabusu-24h'!N94)</f>
        <v>0</v>
      </c>
      <c r="O94" s="15">
        <f t="shared" si="36"/>
        <v>12.5</v>
      </c>
      <c r="P94" s="15">
        <f t="shared" si="37"/>
        <v>53.5</v>
      </c>
      <c r="R94" s="8"/>
      <c r="T94"/>
    </row>
    <row r="95" spans="2:20" ht="23.1" customHeight="1" x14ac:dyDescent="0.25">
      <c r="B95" s="23" t="s">
        <v>135</v>
      </c>
      <c r="C95" s="49">
        <f>AVERAGE('26.07 Kitebi-Kabusu-24'!C95,'27.07 Kitebi-Kabusu-24h'!C95)</f>
        <v>6</v>
      </c>
      <c r="D95" s="49">
        <f>AVERAGE('26.07 Kitebi-Kabusu-24'!D95,'27.07 Kitebi-Kabusu-24h'!D95)</f>
        <v>1</v>
      </c>
      <c r="E95" s="49">
        <f>AVERAGE('26.07 Kitebi-Kabusu-24'!E95,'27.07 Kitebi-Kabusu-24h'!E95)</f>
        <v>0.5</v>
      </c>
      <c r="F95" s="49">
        <f>AVERAGE('26.07 Kitebi-Kabusu-24'!F95,'27.07 Kitebi-Kabusu-24h'!F95)</f>
        <v>2.5</v>
      </c>
      <c r="G95" s="49">
        <f>AVERAGE('26.07 Kitebi-Kabusu-24'!G95,'27.07 Kitebi-Kabusu-24h'!G95)</f>
        <v>0</v>
      </c>
      <c r="H95" s="49">
        <f>AVERAGE('26.07 Kitebi-Kabusu-24'!H95,'27.07 Kitebi-Kabusu-24h'!H95)</f>
        <v>0</v>
      </c>
      <c r="I95" s="49">
        <f>AVERAGE('26.07 Kitebi-Kabusu-24'!I95,'27.07 Kitebi-Kabusu-24h'!I95)</f>
        <v>0.5</v>
      </c>
      <c r="J95" s="49">
        <f>AVERAGE('26.07 Kitebi-Kabusu-24'!J95,'27.07 Kitebi-Kabusu-24h'!J95)</f>
        <v>0</v>
      </c>
      <c r="K95" s="49">
        <f>AVERAGE('26.07 Kitebi-Kabusu-24'!K95,'27.07 Kitebi-Kabusu-24h'!K95)</f>
        <v>0</v>
      </c>
      <c r="L95" s="49">
        <f>AVERAGE('26.07 Kitebi-Kabusu-24'!L95,'27.07 Kitebi-Kabusu-24h'!L95)</f>
        <v>0</v>
      </c>
      <c r="M95" s="49">
        <f>AVERAGE('26.07 Kitebi-Kabusu-24'!M95,'27.07 Kitebi-Kabusu-24h'!M95)</f>
        <v>38</v>
      </c>
      <c r="N95" s="49">
        <f>AVERAGE('26.07 Kitebi-Kabusu-24'!N95,'27.07 Kitebi-Kabusu-24h'!N95)</f>
        <v>0</v>
      </c>
      <c r="O95" s="15">
        <f t="shared" si="36"/>
        <v>10.5</v>
      </c>
      <c r="P95" s="15">
        <f t="shared" si="37"/>
        <v>48.5</v>
      </c>
      <c r="R95" s="8"/>
      <c r="T95"/>
    </row>
    <row r="96" spans="2:20" ht="23.1" customHeight="1" x14ac:dyDescent="0.25">
      <c r="B96" s="25" t="s">
        <v>136</v>
      </c>
      <c r="C96" s="49">
        <f>AVERAGE('26.07 Kitebi-Kabusu-24'!C96,'27.07 Kitebi-Kabusu-24h'!C96)</f>
        <v>4.5</v>
      </c>
      <c r="D96" s="49">
        <f>AVERAGE('26.07 Kitebi-Kabusu-24'!D96,'27.07 Kitebi-Kabusu-24h'!D96)</f>
        <v>0</v>
      </c>
      <c r="E96" s="49">
        <f>AVERAGE('26.07 Kitebi-Kabusu-24'!E96,'27.07 Kitebi-Kabusu-24h'!E96)</f>
        <v>1</v>
      </c>
      <c r="F96" s="49">
        <f>AVERAGE('26.07 Kitebi-Kabusu-24'!F96,'27.07 Kitebi-Kabusu-24h'!F96)</f>
        <v>3</v>
      </c>
      <c r="G96" s="49">
        <f>AVERAGE('26.07 Kitebi-Kabusu-24'!G96,'27.07 Kitebi-Kabusu-24h'!G96)</f>
        <v>2.5</v>
      </c>
      <c r="H96" s="49">
        <f>AVERAGE('26.07 Kitebi-Kabusu-24'!H96,'27.07 Kitebi-Kabusu-24h'!H96)</f>
        <v>0.5</v>
      </c>
      <c r="I96" s="49">
        <f>AVERAGE('26.07 Kitebi-Kabusu-24'!I96,'27.07 Kitebi-Kabusu-24h'!I96)</f>
        <v>1</v>
      </c>
      <c r="J96" s="49">
        <f>AVERAGE('26.07 Kitebi-Kabusu-24'!J96,'27.07 Kitebi-Kabusu-24h'!J96)</f>
        <v>0</v>
      </c>
      <c r="K96" s="49">
        <f>AVERAGE('26.07 Kitebi-Kabusu-24'!K96,'27.07 Kitebi-Kabusu-24h'!K96)</f>
        <v>0.5</v>
      </c>
      <c r="L96" s="49">
        <f>AVERAGE('26.07 Kitebi-Kabusu-24'!L96,'27.07 Kitebi-Kabusu-24h'!L96)</f>
        <v>0</v>
      </c>
      <c r="M96" s="49">
        <f>AVERAGE('26.07 Kitebi-Kabusu-24'!M96,'27.07 Kitebi-Kabusu-24h'!M96)</f>
        <v>40.5</v>
      </c>
      <c r="N96" s="49">
        <f>AVERAGE('26.07 Kitebi-Kabusu-24'!N96,'27.07 Kitebi-Kabusu-24h'!N96)</f>
        <v>0</v>
      </c>
      <c r="O96" s="15">
        <f t="shared" si="36"/>
        <v>13</v>
      </c>
      <c r="P96" s="15">
        <f t="shared" si="37"/>
        <v>53.5</v>
      </c>
      <c r="R96" s="8"/>
      <c r="T96"/>
    </row>
    <row r="97" spans="2:20" ht="23.1" customHeight="1" x14ac:dyDescent="0.25">
      <c r="B97" s="23" t="s">
        <v>137</v>
      </c>
      <c r="C97" s="49">
        <f>AVERAGE('26.07 Kitebi-Kabusu-24'!C97,'27.07 Kitebi-Kabusu-24h'!C97)</f>
        <v>9</v>
      </c>
      <c r="D97" s="49">
        <f>AVERAGE('26.07 Kitebi-Kabusu-24'!D97,'27.07 Kitebi-Kabusu-24h'!D97)</f>
        <v>0</v>
      </c>
      <c r="E97" s="49">
        <f>AVERAGE('26.07 Kitebi-Kabusu-24'!E97,'27.07 Kitebi-Kabusu-24h'!E97)</f>
        <v>1.5</v>
      </c>
      <c r="F97" s="49">
        <f>AVERAGE('26.07 Kitebi-Kabusu-24'!F97,'27.07 Kitebi-Kabusu-24h'!F97)</f>
        <v>3.5</v>
      </c>
      <c r="G97" s="49">
        <f>AVERAGE('26.07 Kitebi-Kabusu-24'!G97,'27.07 Kitebi-Kabusu-24h'!G97)</f>
        <v>0</v>
      </c>
      <c r="H97" s="49">
        <f>AVERAGE('26.07 Kitebi-Kabusu-24'!H97,'27.07 Kitebi-Kabusu-24h'!H97)</f>
        <v>0</v>
      </c>
      <c r="I97" s="49">
        <f>AVERAGE('26.07 Kitebi-Kabusu-24'!I97,'27.07 Kitebi-Kabusu-24h'!I97)</f>
        <v>0.5</v>
      </c>
      <c r="J97" s="49">
        <f>AVERAGE('26.07 Kitebi-Kabusu-24'!J97,'27.07 Kitebi-Kabusu-24h'!J97)</f>
        <v>0.5</v>
      </c>
      <c r="K97" s="49">
        <f>AVERAGE('26.07 Kitebi-Kabusu-24'!K97,'27.07 Kitebi-Kabusu-24h'!K97)</f>
        <v>0</v>
      </c>
      <c r="L97" s="49">
        <f>AVERAGE('26.07 Kitebi-Kabusu-24'!L97,'27.07 Kitebi-Kabusu-24h'!L97)</f>
        <v>0</v>
      </c>
      <c r="M97" s="49">
        <f>AVERAGE('26.07 Kitebi-Kabusu-24'!M97,'27.07 Kitebi-Kabusu-24h'!M97)</f>
        <v>50.5</v>
      </c>
      <c r="N97" s="49">
        <f>AVERAGE('26.07 Kitebi-Kabusu-24'!N97,'27.07 Kitebi-Kabusu-24h'!N97)</f>
        <v>0</v>
      </c>
      <c r="O97" s="15">
        <f t="shared" si="36"/>
        <v>15</v>
      </c>
      <c r="P97" s="15">
        <f t="shared" si="37"/>
        <v>65.5</v>
      </c>
      <c r="R97" s="8"/>
      <c r="T97"/>
    </row>
    <row r="98" spans="2:20" ht="23.1" customHeight="1" x14ac:dyDescent="0.25">
      <c r="B98" s="24" t="s">
        <v>138</v>
      </c>
      <c r="C98" s="49">
        <f>AVERAGE('26.07 Kitebi-Kabusu-24'!C98,'27.07 Kitebi-Kabusu-24h'!C98)</f>
        <v>8.5</v>
      </c>
      <c r="D98" s="49">
        <f>AVERAGE('26.07 Kitebi-Kabusu-24'!D98,'27.07 Kitebi-Kabusu-24h'!D98)</f>
        <v>0</v>
      </c>
      <c r="E98" s="49">
        <f>AVERAGE('26.07 Kitebi-Kabusu-24'!E98,'27.07 Kitebi-Kabusu-24h'!E98)</f>
        <v>2</v>
      </c>
      <c r="F98" s="49">
        <f>AVERAGE('26.07 Kitebi-Kabusu-24'!F98,'27.07 Kitebi-Kabusu-24h'!F98)</f>
        <v>13.5</v>
      </c>
      <c r="G98" s="49">
        <f>AVERAGE('26.07 Kitebi-Kabusu-24'!G98,'27.07 Kitebi-Kabusu-24h'!G98)</f>
        <v>0</v>
      </c>
      <c r="H98" s="49">
        <f>AVERAGE('26.07 Kitebi-Kabusu-24'!H98,'27.07 Kitebi-Kabusu-24h'!H98)</f>
        <v>0</v>
      </c>
      <c r="I98" s="49">
        <f>AVERAGE('26.07 Kitebi-Kabusu-24'!I98,'27.07 Kitebi-Kabusu-24h'!I98)</f>
        <v>0.5</v>
      </c>
      <c r="J98" s="49">
        <f>AVERAGE('26.07 Kitebi-Kabusu-24'!J98,'27.07 Kitebi-Kabusu-24h'!J98)</f>
        <v>0</v>
      </c>
      <c r="K98" s="49">
        <f>AVERAGE('26.07 Kitebi-Kabusu-24'!K98,'27.07 Kitebi-Kabusu-24h'!K98)</f>
        <v>0</v>
      </c>
      <c r="L98" s="49">
        <f>AVERAGE('26.07 Kitebi-Kabusu-24'!L98,'27.07 Kitebi-Kabusu-24h'!L98)</f>
        <v>0</v>
      </c>
      <c r="M98" s="49">
        <f>AVERAGE('26.07 Kitebi-Kabusu-24'!M98,'27.07 Kitebi-Kabusu-24h'!M98)</f>
        <v>46.5</v>
      </c>
      <c r="N98" s="49">
        <f>AVERAGE('26.07 Kitebi-Kabusu-24'!N98,'27.07 Kitebi-Kabusu-24h'!N98)</f>
        <v>0</v>
      </c>
      <c r="O98" s="15">
        <f t="shared" si="36"/>
        <v>24.5</v>
      </c>
      <c r="P98" s="15">
        <f t="shared" si="37"/>
        <v>71</v>
      </c>
      <c r="R98" s="8"/>
      <c r="T98"/>
    </row>
    <row r="99" spans="2:20" ht="23.1" customHeight="1" x14ac:dyDescent="0.25">
      <c r="B99" s="23" t="s">
        <v>139</v>
      </c>
      <c r="C99" s="49">
        <f>AVERAGE('26.07 Kitebi-Kabusu-24'!C99,'27.07 Kitebi-Kabusu-24h'!C99)</f>
        <v>27</v>
      </c>
      <c r="D99" s="49">
        <f>AVERAGE('26.07 Kitebi-Kabusu-24'!D99,'27.07 Kitebi-Kabusu-24h'!D99)</f>
        <v>1</v>
      </c>
      <c r="E99" s="49">
        <f>AVERAGE('26.07 Kitebi-Kabusu-24'!E99,'27.07 Kitebi-Kabusu-24h'!E99)</f>
        <v>1.5</v>
      </c>
      <c r="F99" s="49">
        <f>AVERAGE('26.07 Kitebi-Kabusu-24'!F99,'27.07 Kitebi-Kabusu-24h'!F99)</f>
        <v>27.5</v>
      </c>
      <c r="G99" s="49">
        <f>AVERAGE('26.07 Kitebi-Kabusu-24'!G99,'27.07 Kitebi-Kabusu-24h'!G99)</f>
        <v>0</v>
      </c>
      <c r="H99" s="49">
        <f>AVERAGE('26.07 Kitebi-Kabusu-24'!H99,'27.07 Kitebi-Kabusu-24h'!H99)</f>
        <v>0</v>
      </c>
      <c r="I99" s="49">
        <f>AVERAGE('26.07 Kitebi-Kabusu-24'!I99,'27.07 Kitebi-Kabusu-24h'!I99)</f>
        <v>1.5</v>
      </c>
      <c r="J99" s="49">
        <f>AVERAGE('26.07 Kitebi-Kabusu-24'!J99,'27.07 Kitebi-Kabusu-24h'!J99)</f>
        <v>0.5</v>
      </c>
      <c r="K99" s="49">
        <f>AVERAGE('26.07 Kitebi-Kabusu-24'!K99,'27.07 Kitebi-Kabusu-24h'!K99)</f>
        <v>0</v>
      </c>
      <c r="L99" s="49">
        <f>AVERAGE('26.07 Kitebi-Kabusu-24'!L99,'27.07 Kitebi-Kabusu-24h'!L99)</f>
        <v>0</v>
      </c>
      <c r="M99" s="49">
        <f>AVERAGE('26.07 Kitebi-Kabusu-24'!M99,'27.07 Kitebi-Kabusu-24h'!M99)</f>
        <v>67</v>
      </c>
      <c r="N99" s="49">
        <f>AVERAGE('26.07 Kitebi-Kabusu-24'!N99,'27.07 Kitebi-Kabusu-24h'!N99)</f>
        <v>0</v>
      </c>
      <c r="O99" s="15">
        <f t="shared" si="36"/>
        <v>59</v>
      </c>
      <c r="P99" s="15">
        <f t="shared" si="37"/>
        <v>126</v>
      </c>
      <c r="R99" s="8"/>
      <c r="T99"/>
    </row>
    <row r="100" spans="2:20" ht="23.1" customHeight="1" x14ac:dyDescent="0.25">
      <c r="B100" s="25" t="s">
        <v>140</v>
      </c>
      <c r="C100" s="49">
        <f>AVERAGE('26.07 Kitebi-Kabusu-24'!C100,'27.07 Kitebi-Kabusu-24h'!C100)</f>
        <v>45</v>
      </c>
      <c r="D100" s="49">
        <f>AVERAGE('26.07 Kitebi-Kabusu-24'!D100,'27.07 Kitebi-Kabusu-24h'!D100)</f>
        <v>2</v>
      </c>
      <c r="E100" s="49">
        <f>AVERAGE('26.07 Kitebi-Kabusu-24'!E100,'27.07 Kitebi-Kabusu-24h'!E100)</f>
        <v>2.5</v>
      </c>
      <c r="F100" s="49">
        <f>AVERAGE('26.07 Kitebi-Kabusu-24'!F100,'27.07 Kitebi-Kabusu-24h'!F100)</f>
        <v>32.5</v>
      </c>
      <c r="G100" s="49">
        <f>AVERAGE('26.07 Kitebi-Kabusu-24'!G100,'27.07 Kitebi-Kabusu-24h'!G100)</f>
        <v>0</v>
      </c>
      <c r="H100" s="49">
        <f>AVERAGE('26.07 Kitebi-Kabusu-24'!H100,'27.07 Kitebi-Kabusu-24h'!H100)</f>
        <v>0</v>
      </c>
      <c r="I100" s="49">
        <f>AVERAGE('26.07 Kitebi-Kabusu-24'!I100,'27.07 Kitebi-Kabusu-24h'!I100)</f>
        <v>1.5</v>
      </c>
      <c r="J100" s="49">
        <f>AVERAGE('26.07 Kitebi-Kabusu-24'!J100,'27.07 Kitebi-Kabusu-24h'!J100)</f>
        <v>0.5</v>
      </c>
      <c r="K100" s="49">
        <f>AVERAGE('26.07 Kitebi-Kabusu-24'!K100,'27.07 Kitebi-Kabusu-24h'!K100)</f>
        <v>0</v>
      </c>
      <c r="L100" s="49">
        <f>AVERAGE('26.07 Kitebi-Kabusu-24'!L100,'27.07 Kitebi-Kabusu-24h'!L100)</f>
        <v>0</v>
      </c>
      <c r="M100" s="49">
        <f>AVERAGE('26.07 Kitebi-Kabusu-24'!M100,'27.07 Kitebi-Kabusu-24h'!M100)</f>
        <v>69</v>
      </c>
      <c r="N100" s="49">
        <f>AVERAGE('26.07 Kitebi-Kabusu-24'!N100,'27.07 Kitebi-Kabusu-24h'!N100)</f>
        <v>0</v>
      </c>
      <c r="O100" s="15">
        <f t="shared" si="36"/>
        <v>84</v>
      </c>
      <c r="P100" s="15">
        <f t="shared" si="37"/>
        <v>153</v>
      </c>
      <c r="R100" s="8"/>
      <c r="T100"/>
    </row>
    <row r="101" spans="2:20" ht="23.1" customHeight="1" x14ac:dyDescent="0.25">
      <c r="B101" s="23" t="s">
        <v>141</v>
      </c>
      <c r="C101" s="49">
        <f>AVERAGE('26.07 Kitebi-Kabusu-24'!C101,'27.07 Kitebi-Kabusu-24h'!C101)</f>
        <v>30.5</v>
      </c>
      <c r="D101" s="49">
        <f>AVERAGE('26.07 Kitebi-Kabusu-24'!D101,'27.07 Kitebi-Kabusu-24h'!D101)</f>
        <v>2.5</v>
      </c>
      <c r="E101" s="49">
        <f>AVERAGE('26.07 Kitebi-Kabusu-24'!E101,'27.07 Kitebi-Kabusu-24h'!E101)</f>
        <v>3.5</v>
      </c>
      <c r="F101" s="49">
        <f>AVERAGE('26.07 Kitebi-Kabusu-24'!F101,'27.07 Kitebi-Kabusu-24h'!F101)</f>
        <v>25</v>
      </c>
      <c r="G101" s="49">
        <f>AVERAGE('26.07 Kitebi-Kabusu-24'!G101,'27.07 Kitebi-Kabusu-24h'!G101)</f>
        <v>0.5</v>
      </c>
      <c r="H101" s="49">
        <f>AVERAGE('26.07 Kitebi-Kabusu-24'!H101,'27.07 Kitebi-Kabusu-24h'!H101)</f>
        <v>0</v>
      </c>
      <c r="I101" s="49">
        <f>AVERAGE('26.07 Kitebi-Kabusu-24'!I101,'27.07 Kitebi-Kabusu-24h'!I101)</f>
        <v>4</v>
      </c>
      <c r="J101" s="49">
        <f>AVERAGE('26.07 Kitebi-Kabusu-24'!J101,'27.07 Kitebi-Kabusu-24h'!J101)</f>
        <v>0</v>
      </c>
      <c r="K101" s="49">
        <f>AVERAGE('26.07 Kitebi-Kabusu-24'!K101,'27.07 Kitebi-Kabusu-24h'!K101)</f>
        <v>1</v>
      </c>
      <c r="L101" s="49">
        <f>AVERAGE('26.07 Kitebi-Kabusu-24'!L101,'27.07 Kitebi-Kabusu-24h'!L101)</f>
        <v>1</v>
      </c>
      <c r="M101" s="49">
        <f>AVERAGE('26.07 Kitebi-Kabusu-24'!M101,'27.07 Kitebi-Kabusu-24h'!M101)</f>
        <v>78</v>
      </c>
      <c r="N101" s="49">
        <f>AVERAGE('26.07 Kitebi-Kabusu-24'!N101,'27.07 Kitebi-Kabusu-24h'!N101)</f>
        <v>0</v>
      </c>
      <c r="O101" s="15">
        <f t="shared" si="36"/>
        <v>68</v>
      </c>
      <c r="P101" s="15">
        <f t="shared" si="37"/>
        <v>146</v>
      </c>
      <c r="R101" s="8"/>
      <c r="T101"/>
    </row>
    <row r="102" spans="2:20" ht="23.1" customHeight="1" x14ac:dyDescent="0.25">
      <c r="B102" s="24" t="s">
        <v>142</v>
      </c>
      <c r="C102" s="49">
        <f>AVERAGE('26.07 Kitebi-Kabusu-24'!C102,'27.07 Kitebi-Kabusu-24h'!C102)</f>
        <v>39.5</v>
      </c>
      <c r="D102" s="49">
        <f>AVERAGE('26.07 Kitebi-Kabusu-24'!D102,'27.07 Kitebi-Kabusu-24h'!D102)</f>
        <v>0</v>
      </c>
      <c r="E102" s="49">
        <f>AVERAGE('26.07 Kitebi-Kabusu-24'!E102,'27.07 Kitebi-Kabusu-24h'!E102)</f>
        <v>2.5</v>
      </c>
      <c r="F102" s="49">
        <f>AVERAGE('26.07 Kitebi-Kabusu-24'!F102,'27.07 Kitebi-Kabusu-24h'!F102)</f>
        <v>26.5</v>
      </c>
      <c r="G102" s="49">
        <f>AVERAGE('26.07 Kitebi-Kabusu-24'!G102,'27.07 Kitebi-Kabusu-24h'!G102)</f>
        <v>0.5</v>
      </c>
      <c r="H102" s="49">
        <f>AVERAGE('26.07 Kitebi-Kabusu-24'!H102,'27.07 Kitebi-Kabusu-24h'!H102)</f>
        <v>0</v>
      </c>
      <c r="I102" s="49">
        <f>AVERAGE('26.07 Kitebi-Kabusu-24'!I102,'27.07 Kitebi-Kabusu-24h'!I102)</f>
        <v>3.5</v>
      </c>
      <c r="J102" s="49">
        <f>AVERAGE('26.07 Kitebi-Kabusu-24'!J102,'27.07 Kitebi-Kabusu-24h'!J102)</f>
        <v>0.5</v>
      </c>
      <c r="K102" s="49">
        <f>AVERAGE('26.07 Kitebi-Kabusu-24'!K102,'27.07 Kitebi-Kabusu-24h'!K102)</f>
        <v>0</v>
      </c>
      <c r="L102" s="49">
        <f>AVERAGE('26.07 Kitebi-Kabusu-24'!L102,'27.07 Kitebi-Kabusu-24h'!L102)</f>
        <v>0</v>
      </c>
      <c r="M102" s="49">
        <f>AVERAGE('26.07 Kitebi-Kabusu-24'!M102,'27.07 Kitebi-Kabusu-24h'!M102)</f>
        <v>90.5</v>
      </c>
      <c r="N102" s="49">
        <f>AVERAGE('26.07 Kitebi-Kabusu-24'!N102,'27.07 Kitebi-Kabusu-24h'!N102)</f>
        <v>0</v>
      </c>
      <c r="O102" s="15">
        <f t="shared" si="36"/>
        <v>73</v>
      </c>
      <c r="P102" s="15">
        <f t="shared" si="37"/>
        <v>163.5</v>
      </c>
      <c r="R102" s="8"/>
      <c r="T102"/>
    </row>
    <row r="103" spans="2:20" ht="23.1" customHeight="1" x14ac:dyDescent="0.25">
      <c r="B103" s="23" t="s">
        <v>143</v>
      </c>
      <c r="C103" s="49">
        <f>AVERAGE('26.07 Kitebi-Kabusu-24'!C103,'27.07 Kitebi-Kabusu-24h'!C103)</f>
        <v>45.5</v>
      </c>
      <c r="D103" s="49">
        <f>AVERAGE('26.07 Kitebi-Kabusu-24'!D103,'27.07 Kitebi-Kabusu-24h'!D103)</f>
        <v>3</v>
      </c>
      <c r="E103" s="49">
        <f>AVERAGE('26.07 Kitebi-Kabusu-24'!E103,'27.07 Kitebi-Kabusu-24h'!E103)</f>
        <v>1</v>
      </c>
      <c r="F103" s="49">
        <f>AVERAGE('26.07 Kitebi-Kabusu-24'!F103,'27.07 Kitebi-Kabusu-24h'!F103)</f>
        <v>20.5</v>
      </c>
      <c r="G103" s="49">
        <f>AVERAGE('26.07 Kitebi-Kabusu-24'!G103,'27.07 Kitebi-Kabusu-24h'!G103)</f>
        <v>0</v>
      </c>
      <c r="H103" s="49">
        <f>AVERAGE('26.07 Kitebi-Kabusu-24'!H103,'27.07 Kitebi-Kabusu-24h'!H103)</f>
        <v>0.5</v>
      </c>
      <c r="I103" s="49">
        <f>AVERAGE('26.07 Kitebi-Kabusu-24'!I103,'27.07 Kitebi-Kabusu-24h'!I103)</f>
        <v>2.5</v>
      </c>
      <c r="J103" s="49">
        <f>AVERAGE('26.07 Kitebi-Kabusu-24'!J103,'27.07 Kitebi-Kabusu-24h'!J103)</f>
        <v>2</v>
      </c>
      <c r="K103" s="49">
        <f>AVERAGE('26.07 Kitebi-Kabusu-24'!K103,'27.07 Kitebi-Kabusu-24h'!K103)</f>
        <v>0.5</v>
      </c>
      <c r="L103" s="49">
        <f>AVERAGE('26.07 Kitebi-Kabusu-24'!L103,'27.07 Kitebi-Kabusu-24h'!L103)</f>
        <v>0</v>
      </c>
      <c r="M103" s="49">
        <f>AVERAGE('26.07 Kitebi-Kabusu-24'!M103,'27.07 Kitebi-Kabusu-24h'!M103)</f>
        <v>106.5</v>
      </c>
      <c r="N103" s="49">
        <f>AVERAGE('26.07 Kitebi-Kabusu-24'!N103,'27.07 Kitebi-Kabusu-24h'!N103)</f>
        <v>0</v>
      </c>
      <c r="O103" s="15">
        <f t="shared" si="36"/>
        <v>75.5</v>
      </c>
      <c r="P103" s="15">
        <f t="shared" si="37"/>
        <v>182</v>
      </c>
      <c r="R103" s="8"/>
      <c r="T103"/>
    </row>
    <row r="104" spans="2:20" ht="23.1" customHeight="1" x14ac:dyDescent="0.25">
      <c r="B104" s="25" t="s">
        <v>144</v>
      </c>
      <c r="C104" s="49">
        <f>AVERAGE('26.07 Kitebi-Kabusu-24'!C104,'27.07 Kitebi-Kabusu-24h'!C104)</f>
        <v>52.5</v>
      </c>
      <c r="D104" s="49">
        <f>AVERAGE('26.07 Kitebi-Kabusu-24'!D104,'27.07 Kitebi-Kabusu-24h'!D104)</f>
        <v>1.5</v>
      </c>
      <c r="E104" s="49">
        <f>AVERAGE('26.07 Kitebi-Kabusu-24'!E104,'27.07 Kitebi-Kabusu-24h'!E104)</f>
        <v>3</v>
      </c>
      <c r="F104" s="49">
        <f>AVERAGE('26.07 Kitebi-Kabusu-24'!F104,'27.07 Kitebi-Kabusu-24h'!F104)</f>
        <v>28</v>
      </c>
      <c r="G104" s="49">
        <f>AVERAGE('26.07 Kitebi-Kabusu-24'!G104,'27.07 Kitebi-Kabusu-24h'!G104)</f>
        <v>1</v>
      </c>
      <c r="H104" s="49">
        <f>AVERAGE('26.07 Kitebi-Kabusu-24'!H104,'27.07 Kitebi-Kabusu-24h'!H104)</f>
        <v>0</v>
      </c>
      <c r="I104" s="49">
        <f>AVERAGE('26.07 Kitebi-Kabusu-24'!I104,'27.07 Kitebi-Kabusu-24h'!I104)</f>
        <v>0.5</v>
      </c>
      <c r="J104" s="49">
        <f>AVERAGE('26.07 Kitebi-Kabusu-24'!J104,'27.07 Kitebi-Kabusu-24h'!J104)</f>
        <v>0</v>
      </c>
      <c r="K104" s="49">
        <f>AVERAGE('26.07 Kitebi-Kabusu-24'!K104,'27.07 Kitebi-Kabusu-24h'!K104)</f>
        <v>0</v>
      </c>
      <c r="L104" s="49">
        <f>AVERAGE('26.07 Kitebi-Kabusu-24'!L104,'27.07 Kitebi-Kabusu-24h'!L104)</f>
        <v>0.5</v>
      </c>
      <c r="M104" s="49">
        <f>AVERAGE('26.07 Kitebi-Kabusu-24'!M104,'27.07 Kitebi-Kabusu-24h'!M104)</f>
        <v>106</v>
      </c>
      <c r="N104" s="49">
        <f>AVERAGE('26.07 Kitebi-Kabusu-24'!N104,'27.07 Kitebi-Kabusu-24h'!N104)</f>
        <v>0</v>
      </c>
      <c r="O104" s="15">
        <f>SUM(C104:L104,N104)</f>
        <v>87</v>
      </c>
      <c r="P104" s="15">
        <f>SUM(C104:N104)</f>
        <v>193</v>
      </c>
      <c r="R104" s="8"/>
      <c r="T104"/>
    </row>
    <row r="105" spans="2:20" ht="23.1" customHeight="1" x14ac:dyDescent="0.25">
      <c r="B105" s="23" t="s">
        <v>145</v>
      </c>
      <c r="C105" s="49">
        <f>AVERAGE('26.07 Kitebi-Kabusu-24'!C105,'27.07 Kitebi-Kabusu-24h'!C105)</f>
        <v>61</v>
      </c>
      <c r="D105" s="49">
        <f>AVERAGE('26.07 Kitebi-Kabusu-24'!D105,'27.07 Kitebi-Kabusu-24h'!D105)</f>
        <v>5</v>
      </c>
      <c r="E105" s="49">
        <f>AVERAGE('26.07 Kitebi-Kabusu-24'!E105,'27.07 Kitebi-Kabusu-24h'!E105)</f>
        <v>2.5</v>
      </c>
      <c r="F105" s="49">
        <f>AVERAGE('26.07 Kitebi-Kabusu-24'!F105,'27.07 Kitebi-Kabusu-24h'!F105)</f>
        <v>28</v>
      </c>
      <c r="G105" s="49">
        <f>AVERAGE('26.07 Kitebi-Kabusu-24'!G105,'27.07 Kitebi-Kabusu-24h'!G105)</f>
        <v>0.5</v>
      </c>
      <c r="H105" s="49">
        <f>AVERAGE('26.07 Kitebi-Kabusu-24'!H105,'27.07 Kitebi-Kabusu-24h'!H105)</f>
        <v>0</v>
      </c>
      <c r="I105" s="49">
        <f>AVERAGE('26.07 Kitebi-Kabusu-24'!I105,'27.07 Kitebi-Kabusu-24h'!I105)</f>
        <v>3</v>
      </c>
      <c r="J105" s="49">
        <f>AVERAGE('26.07 Kitebi-Kabusu-24'!J105,'27.07 Kitebi-Kabusu-24h'!J105)</f>
        <v>0.5</v>
      </c>
      <c r="K105" s="49">
        <f>AVERAGE('26.07 Kitebi-Kabusu-24'!K105,'27.07 Kitebi-Kabusu-24h'!K105)</f>
        <v>0</v>
      </c>
      <c r="L105" s="49">
        <f>AVERAGE('26.07 Kitebi-Kabusu-24'!L105,'27.07 Kitebi-Kabusu-24h'!L105)</f>
        <v>0</v>
      </c>
      <c r="M105" s="49">
        <f>AVERAGE('26.07 Kitebi-Kabusu-24'!M105,'27.07 Kitebi-Kabusu-24h'!M105)</f>
        <v>125</v>
      </c>
      <c r="N105" s="49">
        <f>AVERAGE('26.07 Kitebi-Kabusu-24'!N105,'27.07 Kitebi-Kabusu-24h'!N105)</f>
        <v>0</v>
      </c>
      <c r="O105" s="15">
        <f>SUM(C105:L105,N105)</f>
        <v>100.5</v>
      </c>
      <c r="P105" s="15">
        <f t="shared" si="37"/>
        <v>225.5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3946.6428571428578</v>
      </c>
      <c r="D106" s="16">
        <f t="shared" ref="D106:P106" si="38">SUM(D10:D105)</f>
        <v>533.28571428571422</v>
      </c>
      <c r="E106" s="16">
        <f t="shared" si="38"/>
        <v>469.07142857142867</v>
      </c>
      <c r="F106" s="16">
        <f t="shared" si="38"/>
        <v>1747.7142857142856</v>
      </c>
      <c r="G106" s="16">
        <f t="shared" si="38"/>
        <v>43.571428571428584</v>
      </c>
      <c r="H106" s="16">
        <f t="shared" si="38"/>
        <v>10.547619047619051</v>
      </c>
      <c r="I106" s="16">
        <f t="shared" si="38"/>
        <v>344.64285714285717</v>
      </c>
      <c r="J106" s="16">
        <f t="shared" si="38"/>
        <v>58.428571428571423</v>
      </c>
      <c r="K106" s="16">
        <f t="shared" si="38"/>
        <v>32.714285714285708</v>
      </c>
      <c r="L106" s="16">
        <f t="shared" si="38"/>
        <v>30.357142857142851</v>
      </c>
      <c r="M106" s="16">
        <f t="shared" si="38"/>
        <v>13161.928571428572</v>
      </c>
      <c r="N106" s="16">
        <f t="shared" si="38"/>
        <v>0</v>
      </c>
      <c r="O106" s="16">
        <f>SUM(O10:O105)</f>
        <v>7216.9761904761908</v>
      </c>
      <c r="P106" s="16">
        <f t="shared" si="38"/>
        <v>20378.904761904763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9">C106/$P$106</f>
        <v>0.19366314840042342</v>
      </c>
      <c r="D107" s="43">
        <f t="shared" si="39"/>
        <v>2.6168516930439267E-2</v>
      </c>
      <c r="E107" s="43">
        <f t="shared" si="39"/>
        <v>2.3017499421670872E-2</v>
      </c>
      <c r="F107" s="43">
        <f t="shared" si="39"/>
        <v>8.5760952619071532E-2</v>
      </c>
      <c r="G107" s="43">
        <f t="shared" si="39"/>
        <v>2.1380652729129333E-3</v>
      </c>
      <c r="H107" s="43">
        <f t="shared" si="39"/>
        <v>5.1757536388001612E-4</v>
      </c>
      <c r="I107" s="43">
        <f t="shared" si="39"/>
        <v>1.6911745806237541E-2</v>
      </c>
      <c r="J107" s="43">
        <f t="shared" si="39"/>
        <v>2.8671104807258671E-3</v>
      </c>
      <c r="K107" s="43">
        <f t="shared" si="39"/>
        <v>1.6053014672034803E-3</v>
      </c>
      <c r="L107" s="43">
        <f t="shared" si="39"/>
        <v>1.4896356409639282E-3</v>
      </c>
      <c r="M107" s="43">
        <f t="shared" si="39"/>
        <v>0.64586044859647118</v>
      </c>
      <c r="N107" s="43">
        <f t="shared" si="39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0.54685546314410804</v>
      </c>
      <c r="D108" s="44">
        <f t="shared" ref="D108:N108" si="40">D106/$O$106</f>
        <v>7.3893234536295038E-2</v>
      </c>
      <c r="E108" s="44">
        <f t="shared" si="40"/>
        <v>6.4995562710936192E-2</v>
      </c>
      <c r="F108" s="44">
        <f t="shared" si="40"/>
        <v>0.24216711259497281</v>
      </c>
      <c r="G108" s="44">
        <f t="shared" si="40"/>
        <v>6.03735240652826E-3</v>
      </c>
      <c r="H108" s="44">
        <f t="shared" si="40"/>
        <v>1.4615011563344367E-3</v>
      </c>
      <c r="I108" s="44">
        <f t="shared" si="40"/>
        <v>4.7754467805735813E-2</v>
      </c>
      <c r="J108" s="44">
        <f t="shared" si="40"/>
        <v>8.0959906041641223E-3</v>
      </c>
      <c r="K108" s="44">
        <f t="shared" si="40"/>
        <v>4.5329629544097402E-3</v>
      </c>
      <c r="L108" s="44">
        <f t="shared" si="40"/>
        <v>4.206352086515589E-3</v>
      </c>
      <c r="M108" s="44"/>
      <c r="N108" s="44">
        <f t="shared" si="40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O57" zoomScale="60" workbookViewId="0">
      <selection activeCell="AE58" sqref="AE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3" t="str">
        <f>'28.07 Kabusu-Kitebi'!C3:G3</f>
        <v>MCC - C1 - STN06-WANKULUKUKU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6" t="s">
        <v>169</v>
      </c>
      <c r="E5" s="67"/>
      <c r="F5" s="41" t="s">
        <v>1</v>
      </c>
      <c r="G5" s="64" t="str">
        <f>'28.07 Kabusu-Kitebi'!G5:H5</f>
        <v>kobil head office</v>
      </c>
      <c r="H5" s="65"/>
      <c r="I5" s="14"/>
      <c r="J5" s="2" t="s">
        <v>5</v>
      </c>
      <c r="K5" s="64" t="str">
        <f>'28.07 Kabusu-Kitebi'!K5:L5</f>
        <v>Ocaka Francis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'28.07 Kabusu-Kitebi'!D6:E6</f>
        <v>Kabusu</v>
      </c>
      <c r="E6" s="65"/>
      <c r="F6" s="2" t="s">
        <v>2</v>
      </c>
      <c r="G6" s="64" t="str">
        <f>'28.07 Kabusu-Kitebi'!G6:H6</f>
        <v>Kitebi</v>
      </c>
      <c r="H6" s="65"/>
      <c r="J6" s="2" t="s">
        <v>21</v>
      </c>
      <c r="K6" s="64" t="str">
        <f>'28.07 Kabusu-Kitebi'!K6:L6</f>
        <v>Oloya Felix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AVERAGE('22.07 Kabusu-Kitebi'!C10,'23.07 Kabusu-Kitebi'!C10,'24.07 Kabusu-Kitebi'!C10,'25.07 Kitebi-Kabusu'!C10,'26.07 Kabusu-Kitebi-24'!C10,'27.07 Kabusu-Kitebi-24h'!C10,'28.07 Kabusu-Kitebi'!C10)</f>
        <v>46.857142857142854</v>
      </c>
      <c r="D10" s="49">
        <f>AVERAGE('22.07 Kabusu-Kitebi'!D10,'23.07 Kabusu-Kitebi'!D10,'24.07 Kabusu-Kitebi'!D10,'25.07 Kitebi-Kabusu'!D10,'26.07 Kabusu-Kitebi-24'!D10,'27.07 Kabusu-Kitebi-24h'!D10,'28.07 Kabusu-Kitebi'!D10)</f>
        <v>5.8571428571428568</v>
      </c>
      <c r="E10" s="49">
        <f>AVERAGE('22.07 Kabusu-Kitebi'!E10,'23.07 Kabusu-Kitebi'!E10,'24.07 Kabusu-Kitebi'!E10,'25.07 Kitebi-Kabusu'!E10,'26.07 Kabusu-Kitebi-24'!E10,'27.07 Kabusu-Kitebi-24h'!E10,'28.07 Kabusu-Kitebi'!E10)</f>
        <v>5.7142857142857144</v>
      </c>
      <c r="F10" s="49">
        <f>AVERAGE('22.07 Kabusu-Kitebi'!F10,'23.07 Kabusu-Kitebi'!F10,'24.07 Kabusu-Kitebi'!F10,'25.07 Kitebi-Kabusu'!F10,'26.07 Kabusu-Kitebi-24'!F10,'27.07 Kabusu-Kitebi-24h'!F10,'28.07 Kabusu-Kitebi'!F10)</f>
        <v>22</v>
      </c>
      <c r="G10" s="49">
        <f>AVERAGE('22.07 Kabusu-Kitebi'!G10,'23.07 Kabusu-Kitebi'!G10,'24.07 Kabusu-Kitebi'!G10,'25.07 Kitebi-Kabusu'!G10,'26.07 Kabusu-Kitebi-24'!G10,'27.07 Kabusu-Kitebi-24h'!G10,'28.07 Kabusu-Kitebi'!G10)</f>
        <v>0.2857142857142857</v>
      </c>
      <c r="H10" s="49">
        <f>AVERAGE('22.07 Kabusu-Kitebi'!H10,'23.07 Kabusu-Kitebi'!H10,'24.07 Kabusu-Kitebi'!H10,'25.07 Kitebi-Kabusu'!H10,'26.07 Kabusu-Kitebi-24'!H10,'27.07 Kabusu-Kitebi-24h'!H10,'28.07 Kabusu-Kitebi'!H10)</f>
        <v>0.2857142857142857</v>
      </c>
      <c r="I10" s="49">
        <f>AVERAGE('22.07 Kabusu-Kitebi'!I10,'23.07 Kabusu-Kitebi'!I10,'24.07 Kabusu-Kitebi'!I10,'25.07 Kitebi-Kabusu'!I10,'26.07 Kabusu-Kitebi-24'!I10,'27.07 Kabusu-Kitebi-24h'!I10,'28.07 Kabusu-Kitebi'!I10)</f>
        <v>2.7142857142857144</v>
      </c>
      <c r="J10" s="49">
        <f>AVERAGE('22.07 Kabusu-Kitebi'!J10,'23.07 Kabusu-Kitebi'!J10,'24.07 Kabusu-Kitebi'!J10,'25.07 Kitebi-Kabusu'!J10,'26.07 Kabusu-Kitebi-24'!J10,'27.07 Kabusu-Kitebi-24h'!J10,'28.07 Kabusu-Kitebi'!J10)</f>
        <v>0.5714285714285714</v>
      </c>
      <c r="K10" s="49">
        <f>AVERAGE('22.07 Kabusu-Kitebi'!K10,'23.07 Kabusu-Kitebi'!K10,'24.07 Kabusu-Kitebi'!K10,'25.07 Kitebi-Kabusu'!K10,'26.07 Kabusu-Kitebi-24'!K10,'27.07 Kabusu-Kitebi-24h'!K10,'28.07 Kabusu-Kitebi'!K10)</f>
        <v>0.5714285714285714</v>
      </c>
      <c r="L10" s="49">
        <f>AVERAGE('22.07 Kabusu-Kitebi'!L10,'23.07 Kabusu-Kitebi'!L10,'24.07 Kabusu-Kitebi'!L10,'25.07 Kitebi-Kabusu'!L10,'26.07 Kabusu-Kitebi-24'!L10,'27.07 Kabusu-Kitebi-24h'!L10,'28.07 Kabusu-Kitebi'!L10)</f>
        <v>0.2857142857142857</v>
      </c>
      <c r="M10" s="49">
        <f>AVERAGE('22.07 Kabusu-Kitebi'!M10,'23.07 Kabusu-Kitebi'!M10,'24.07 Kabusu-Kitebi'!M10,'25.07 Kitebi-Kabusu'!M10,'26.07 Kabusu-Kitebi-24'!M10,'27.07 Kabusu-Kitebi-24h'!M10,'28.07 Kabusu-Kitebi'!M10)</f>
        <v>95.142857142857139</v>
      </c>
      <c r="N10" s="49">
        <f>AVERAGE('22.07 Kabusu-Kitebi'!N10,'23.07 Kabusu-Kitebi'!N10,'24.07 Kabusu-Kitebi'!N10,'25.07 Kitebi-Kabusu'!N10,'26.07 Kabusu-Kitebi-24'!N10,'27.07 Kabusu-Kitebi-24h'!N10,'28.07 Kabusu-Kitebi'!N10)</f>
        <v>0</v>
      </c>
      <c r="O10" s="15">
        <f t="shared" ref="O10:O56" si="0">SUM(C10:L10,N10)</f>
        <v>85.142857142857139</v>
      </c>
      <c r="P10" s="15">
        <f t="shared" ref="P10:P57" si="1">SUM(C10:N10)</f>
        <v>180.28571428571428</v>
      </c>
      <c r="R10" s="1" t="s">
        <v>6</v>
      </c>
      <c r="S10" s="17">
        <f t="shared" ref="S10:AF10" si="2">SUM(C10:C13)</f>
        <v>158.14285714285714</v>
      </c>
      <c r="T10" s="17">
        <f t="shared" si="2"/>
        <v>24.285714285714285</v>
      </c>
      <c r="U10" s="17">
        <f t="shared" si="2"/>
        <v>18.142857142857142</v>
      </c>
      <c r="V10" s="17">
        <f t="shared" si="2"/>
        <v>95.428571428571416</v>
      </c>
      <c r="W10" s="17">
        <f t="shared" si="2"/>
        <v>2</v>
      </c>
      <c r="X10" s="17">
        <f t="shared" si="2"/>
        <v>2.2857142857142856</v>
      </c>
      <c r="Y10" s="17">
        <f t="shared" si="2"/>
        <v>10.857142857142858</v>
      </c>
      <c r="Z10" s="17">
        <f t="shared" si="2"/>
        <v>1.1428571428571428</v>
      </c>
      <c r="AA10" s="17">
        <f t="shared" si="2"/>
        <v>29.285714285714285</v>
      </c>
      <c r="AB10" s="17">
        <f t="shared" si="2"/>
        <v>2.5714285714285712</v>
      </c>
      <c r="AC10" s="17">
        <f t="shared" si="2"/>
        <v>449.28571428571428</v>
      </c>
      <c r="AD10" s="17">
        <f t="shared" si="2"/>
        <v>0</v>
      </c>
      <c r="AE10" s="31">
        <f t="shared" si="2"/>
        <v>344.14285714285717</v>
      </c>
      <c r="AF10" s="31">
        <f t="shared" si="2"/>
        <v>793.42857142857133</v>
      </c>
    </row>
    <row r="11" spans="2:32" s="6" customFormat="1" ht="23.1" customHeight="1" x14ac:dyDescent="0.25">
      <c r="B11" s="23" t="s">
        <v>38</v>
      </c>
      <c r="C11" s="49">
        <f>AVERAGE('22.07 Kabusu-Kitebi'!C11,'23.07 Kabusu-Kitebi'!C11,'24.07 Kabusu-Kitebi'!C11,'25.07 Kitebi-Kabusu'!C11,'26.07 Kabusu-Kitebi-24'!C11,'27.07 Kabusu-Kitebi-24h'!C11,'28.07 Kabusu-Kitebi'!C11)</f>
        <v>36.714285714285715</v>
      </c>
      <c r="D11" s="49">
        <f>AVERAGE('22.07 Kabusu-Kitebi'!D11,'23.07 Kabusu-Kitebi'!D11,'24.07 Kabusu-Kitebi'!D11,'25.07 Kitebi-Kabusu'!D11,'26.07 Kabusu-Kitebi-24'!D11,'27.07 Kabusu-Kitebi-24h'!D11,'28.07 Kabusu-Kitebi'!D11)</f>
        <v>4.8571428571428568</v>
      </c>
      <c r="E11" s="49">
        <f>AVERAGE('22.07 Kabusu-Kitebi'!E11,'23.07 Kabusu-Kitebi'!E11,'24.07 Kabusu-Kitebi'!E11,'25.07 Kitebi-Kabusu'!E11,'26.07 Kabusu-Kitebi-24'!E11,'27.07 Kabusu-Kitebi-24h'!E11,'28.07 Kabusu-Kitebi'!E11)</f>
        <v>4.4285714285714288</v>
      </c>
      <c r="F11" s="49">
        <f>AVERAGE('22.07 Kabusu-Kitebi'!F11,'23.07 Kabusu-Kitebi'!F11,'24.07 Kabusu-Kitebi'!F11,'25.07 Kitebi-Kabusu'!F11,'26.07 Kabusu-Kitebi-24'!F11,'27.07 Kabusu-Kitebi-24h'!F11,'28.07 Kabusu-Kitebi'!F11)</f>
        <v>23.857142857142858</v>
      </c>
      <c r="G11" s="49">
        <f>AVERAGE('22.07 Kabusu-Kitebi'!G11,'23.07 Kabusu-Kitebi'!G11,'24.07 Kabusu-Kitebi'!G11,'25.07 Kitebi-Kabusu'!G11,'26.07 Kabusu-Kitebi-24'!G11,'27.07 Kabusu-Kitebi-24h'!G11,'28.07 Kabusu-Kitebi'!G11)</f>
        <v>0.5714285714285714</v>
      </c>
      <c r="H11" s="49">
        <f>AVERAGE('22.07 Kabusu-Kitebi'!H11,'23.07 Kabusu-Kitebi'!H11,'24.07 Kabusu-Kitebi'!H11,'25.07 Kitebi-Kabusu'!H11,'26.07 Kabusu-Kitebi-24'!H11,'27.07 Kabusu-Kitebi-24h'!H11,'28.07 Kabusu-Kitebi'!H11)</f>
        <v>0.7142857142857143</v>
      </c>
      <c r="I11" s="49">
        <f>AVERAGE('22.07 Kabusu-Kitebi'!I11,'23.07 Kabusu-Kitebi'!I11,'24.07 Kabusu-Kitebi'!I11,'25.07 Kitebi-Kabusu'!I11,'26.07 Kabusu-Kitebi-24'!I11,'27.07 Kabusu-Kitebi-24h'!I11,'28.07 Kabusu-Kitebi'!I11)</f>
        <v>2.1428571428571428</v>
      </c>
      <c r="J11" s="49">
        <f>AVERAGE('22.07 Kabusu-Kitebi'!J11,'23.07 Kabusu-Kitebi'!J11,'24.07 Kabusu-Kitebi'!J11,'25.07 Kitebi-Kabusu'!J11,'26.07 Kabusu-Kitebi-24'!J11,'27.07 Kabusu-Kitebi-24h'!J11,'28.07 Kabusu-Kitebi'!J11)</f>
        <v>0.2857142857142857</v>
      </c>
      <c r="K11" s="49">
        <f>AVERAGE('22.07 Kabusu-Kitebi'!K11,'23.07 Kabusu-Kitebi'!K11,'24.07 Kabusu-Kitebi'!K11,'25.07 Kitebi-Kabusu'!K11,'26.07 Kabusu-Kitebi-24'!K11,'27.07 Kabusu-Kitebi-24h'!K11,'28.07 Kabusu-Kitebi'!K11)</f>
        <v>0.8571428571428571</v>
      </c>
      <c r="L11" s="49">
        <f>AVERAGE('22.07 Kabusu-Kitebi'!L11,'23.07 Kabusu-Kitebi'!L11,'24.07 Kabusu-Kitebi'!L11,'25.07 Kitebi-Kabusu'!L11,'26.07 Kabusu-Kitebi-24'!L11,'27.07 Kabusu-Kitebi-24h'!L11,'28.07 Kabusu-Kitebi'!L11)</f>
        <v>0.7142857142857143</v>
      </c>
      <c r="M11" s="49">
        <f>AVERAGE('22.07 Kabusu-Kitebi'!M11,'23.07 Kabusu-Kitebi'!M11,'24.07 Kabusu-Kitebi'!M11,'25.07 Kitebi-Kabusu'!M11,'26.07 Kabusu-Kitebi-24'!M11,'27.07 Kabusu-Kitebi-24h'!M11,'28.07 Kabusu-Kitebi'!M11)</f>
        <v>110.71428571428571</v>
      </c>
      <c r="N11" s="49">
        <f>AVERAGE('22.07 Kabusu-Kitebi'!N11,'23.07 Kabusu-Kitebi'!N11,'24.07 Kabusu-Kitebi'!N11,'25.07 Kitebi-Kabusu'!N11,'26.07 Kabusu-Kitebi-24'!N11,'27.07 Kabusu-Kitebi-24h'!N11,'28.07 Kabusu-Kitebi'!N11)</f>
        <v>0</v>
      </c>
      <c r="O11" s="15">
        <f t="shared" si="0"/>
        <v>75.142857142857139</v>
      </c>
      <c r="P11" s="15">
        <f t="shared" si="1"/>
        <v>185.85714285714283</v>
      </c>
      <c r="R11" s="1" t="s">
        <v>7</v>
      </c>
      <c r="S11" s="17">
        <f t="shared" ref="S11:AF11" si="3">SUM(C14:C17)</f>
        <v>115.85714285714286</v>
      </c>
      <c r="T11" s="17">
        <f t="shared" si="3"/>
        <v>20.285714285714285</v>
      </c>
      <c r="U11" s="17">
        <f t="shared" si="3"/>
        <v>17.142857142857142</v>
      </c>
      <c r="V11" s="17">
        <f t="shared" si="3"/>
        <v>84.571428571428555</v>
      </c>
      <c r="W11" s="17">
        <f t="shared" si="3"/>
        <v>3.1428571428571432</v>
      </c>
      <c r="X11" s="17">
        <f t="shared" si="3"/>
        <v>2.714285714285714</v>
      </c>
      <c r="Y11" s="17">
        <f t="shared" si="3"/>
        <v>15.142857142857142</v>
      </c>
      <c r="Z11" s="17">
        <f t="shared" si="3"/>
        <v>4.2857142857142865</v>
      </c>
      <c r="AA11" s="17">
        <f t="shared" si="3"/>
        <v>4</v>
      </c>
      <c r="AB11" s="17">
        <f t="shared" si="3"/>
        <v>3.4285714285714288</v>
      </c>
      <c r="AC11" s="17">
        <f t="shared" si="3"/>
        <v>565.71428571428578</v>
      </c>
      <c r="AD11" s="17">
        <f t="shared" si="3"/>
        <v>0</v>
      </c>
      <c r="AE11" s="31">
        <f t="shared" si="3"/>
        <v>270.57142857142856</v>
      </c>
      <c r="AF11" s="31">
        <f t="shared" si="3"/>
        <v>836.28571428571445</v>
      </c>
    </row>
    <row r="12" spans="2:32" ht="23.1" customHeight="1" x14ac:dyDescent="0.25">
      <c r="B12" s="23" t="s">
        <v>39</v>
      </c>
      <c r="C12" s="49">
        <f>AVERAGE('22.07 Kabusu-Kitebi'!C12,'23.07 Kabusu-Kitebi'!C12,'24.07 Kabusu-Kitebi'!C12,'25.07 Kitebi-Kabusu'!C12,'26.07 Kabusu-Kitebi-24'!C12,'27.07 Kabusu-Kitebi-24h'!C12,'28.07 Kabusu-Kitebi'!C12)</f>
        <v>36.571428571428569</v>
      </c>
      <c r="D12" s="49">
        <f>AVERAGE('22.07 Kabusu-Kitebi'!D12,'23.07 Kabusu-Kitebi'!D12,'24.07 Kabusu-Kitebi'!D12,'25.07 Kitebi-Kabusu'!D12,'26.07 Kabusu-Kitebi-24'!D12,'27.07 Kabusu-Kitebi-24h'!D12,'28.07 Kabusu-Kitebi'!D12)</f>
        <v>5.4285714285714288</v>
      </c>
      <c r="E12" s="49">
        <f>AVERAGE('22.07 Kabusu-Kitebi'!E12,'23.07 Kabusu-Kitebi'!E12,'24.07 Kabusu-Kitebi'!E12,'25.07 Kitebi-Kabusu'!E12,'26.07 Kabusu-Kitebi-24'!E12,'27.07 Kabusu-Kitebi-24h'!E12,'28.07 Kabusu-Kitebi'!E12)</f>
        <v>5.5714285714285712</v>
      </c>
      <c r="F12" s="49">
        <f>AVERAGE('22.07 Kabusu-Kitebi'!F12,'23.07 Kabusu-Kitebi'!F12,'24.07 Kabusu-Kitebi'!F12,'25.07 Kitebi-Kabusu'!F12,'26.07 Kabusu-Kitebi-24'!F12,'27.07 Kabusu-Kitebi-24h'!F12,'28.07 Kabusu-Kitebi'!F12)</f>
        <v>24.285714285714285</v>
      </c>
      <c r="G12" s="49">
        <f>AVERAGE('22.07 Kabusu-Kitebi'!G12,'23.07 Kabusu-Kitebi'!G12,'24.07 Kabusu-Kitebi'!G12,'25.07 Kitebi-Kabusu'!G12,'26.07 Kabusu-Kitebi-24'!G12,'27.07 Kabusu-Kitebi-24h'!G12,'28.07 Kabusu-Kitebi'!G12)</f>
        <v>0.7142857142857143</v>
      </c>
      <c r="H12" s="49">
        <f>AVERAGE('22.07 Kabusu-Kitebi'!H12,'23.07 Kabusu-Kitebi'!H12,'24.07 Kabusu-Kitebi'!H12,'25.07 Kitebi-Kabusu'!H12,'26.07 Kabusu-Kitebi-24'!H12,'27.07 Kabusu-Kitebi-24h'!H12,'28.07 Kabusu-Kitebi'!H12)</f>
        <v>0.2857142857142857</v>
      </c>
      <c r="I12" s="49">
        <f>AVERAGE('22.07 Kabusu-Kitebi'!I12,'23.07 Kabusu-Kitebi'!I12,'24.07 Kabusu-Kitebi'!I12,'25.07 Kitebi-Kabusu'!I12,'26.07 Kabusu-Kitebi-24'!I12,'27.07 Kabusu-Kitebi-24h'!I12,'28.07 Kabusu-Kitebi'!I12)</f>
        <v>2.7142857142857144</v>
      </c>
      <c r="J12" s="49">
        <f>AVERAGE('22.07 Kabusu-Kitebi'!J12,'23.07 Kabusu-Kitebi'!J12,'24.07 Kabusu-Kitebi'!J12,'25.07 Kitebi-Kabusu'!J12,'26.07 Kabusu-Kitebi-24'!J12,'27.07 Kabusu-Kitebi-24h'!J12,'28.07 Kabusu-Kitebi'!J12)</f>
        <v>0.2857142857142857</v>
      </c>
      <c r="K12" s="49">
        <f>AVERAGE('22.07 Kabusu-Kitebi'!K12,'23.07 Kabusu-Kitebi'!K12,'24.07 Kabusu-Kitebi'!K12,'25.07 Kitebi-Kabusu'!K12,'26.07 Kabusu-Kitebi-24'!K12,'27.07 Kabusu-Kitebi-24h'!K12,'28.07 Kabusu-Kitebi'!K12)</f>
        <v>0.8571428571428571</v>
      </c>
      <c r="L12" s="49">
        <f>AVERAGE('22.07 Kabusu-Kitebi'!L12,'23.07 Kabusu-Kitebi'!L12,'24.07 Kabusu-Kitebi'!L12,'25.07 Kitebi-Kabusu'!L12,'26.07 Kabusu-Kitebi-24'!L12,'27.07 Kabusu-Kitebi-24h'!L12,'28.07 Kabusu-Kitebi'!L12)</f>
        <v>1.1428571428571428</v>
      </c>
      <c r="M12" s="49">
        <f>AVERAGE('22.07 Kabusu-Kitebi'!M12,'23.07 Kabusu-Kitebi'!M12,'24.07 Kabusu-Kitebi'!M12,'25.07 Kitebi-Kabusu'!M12,'26.07 Kabusu-Kitebi-24'!M12,'27.07 Kabusu-Kitebi-24h'!M12,'28.07 Kabusu-Kitebi'!M12)</f>
        <v>116.42857142857143</v>
      </c>
      <c r="N12" s="49">
        <f>AVERAGE('22.07 Kabusu-Kitebi'!N12,'23.07 Kabusu-Kitebi'!N12,'24.07 Kabusu-Kitebi'!N12,'25.07 Kitebi-Kabusu'!N12,'26.07 Kabusu-Kitebi-24'!N12,'27.07 Kabusu-Kitebi-24h'!N12,'28.07 Kabusu-Kitebi'!N12)</f>
        <v>0</v>
      </c>
      <c r="O12" s="15">
        <f t="shared" si="0"/>
        <v>77.857142857142861</v>
      </c>
      <c r="P12" s="15">
        <f t="shared" si="1"/>
        <v>194.28571428571428</v>
      </c>
      <c r="R12" s="1" t="s">
        <v>8</v>
      </c>
      <c r="S12" s="17">
        <f t="shared" ref="S12:AF12" si="4">SUM(C18:C21)</f>
        <v>110.57142857142858</v>
      </c>
      <c r="T12" s="17">
        <f t="shared" si="4"/>
        <v>14.714285714285714</v>
      </c>
      <c r="U12" s="17">
        <f t="shared" si="4"/>
        <v>20.428571428571431</v>
      </c>
      <c r="V12" s="17">
        <f t="shared" si="4"/>
        <v>87.142857142857139</v>
      </c>
      <c r="W12" s="17">
        <f t="shared" si="4"/>
        <v>2.8571428571428572</v>
      </c>
      <c r="X12" s="17">
        <f t="shared" si="4"/>
        <v>0.71428571428571419</v>
      </c>
      <c r="Y12" s="17">
        <f t="shared" si="4"/>
        <v>15.285714285714285</v>
      </c>
      <c r="Z12" s="17">
        <f t="shared" si="4"/>
        <v>5.2857142857142856</v>
      </c>
      <c r="AA12" s="17">
        <f t="shared" si="4"/>
        <v>3.8571428571428572</v>
      </c>
      <c r="AB12" s="17">
        <f t="shared" si="4"/>
        <v>2.1428571428571428</v>
      </c>
      <c r="AC12" s="17">
        <f t="shared" si="4"/>
        <v>560.71428571428578</v>
      </c>
      <c r="AD12" s="17">
        <f t="shared" si="4"/>
        <v>0</v>
      </c>
      <c r="AE12" s="31">
        <f t="shared" si="4"/>
        <v>263</v>
      </c>
      <c r="AF12" s="31">
        <f t="shared" si="4"/>
        <v>823.71428571428578</v>
      </c>
    </row>
    <row r="13" spans="2:32" ht="23.1" customHeight="1" x14ac:dyDescent="0.25">
      <c r="B13" s="23" t="s">
        <v>40</v>
      </c>
      <c r="C13" s="49">
        <f>AVERAGE('22.07 Kabusu-Kitebi'!C13,'23.07 Kabusu-Kitebi'!C13,'24.07 Kabusu-Kitebi'!C13,'25.07 Kitebi-Kabusu'!C13,'26.07 Kabusu-Kitebi-24'!C13,'27.07 Kabusu-Kitebi-24h'!C13,'28.07 Kabusu-Kitebi'!C13)</f>
        <v>38</v>
      </c>
      <c r="D13" s="49">
        <f>AVERAGE('22.07 Kabusu-Kitebi'!D13,'23.07 Kabusu-Kitebi'!D13,'24.07 Kabusu-Kitebi'!D13,'25.07 Kitebi-Kabusu'!D13,'26.07 Kabusu-Kitebi-24'!D13,'27.07 Kabusu-Kitebi-24h'!D13,'28.07 Kabusu-Kitebi'!D13)</f>
        <v>8.1428571428571423</v>
      </c>
      <c r="E13" s="49">
        <f>AVERAGE('22.07 Kabusu-Kitebi'!E13,'23.07 Kabusu-Kitebi'!E13,'24.07 Kabusu-Kitebi'!E13,'25.07 Kitebi-Kabusu'!E13,'26.07 Kabusu-Kitebi-24'!E13,'27.07 Kabusu-Kitebi-24h'!E13,'28.07 Kabusu-Kitebi'!E13)</f>
        <v>2.4285714285714284</v>
      </c>
      <c r="F13" s="49">
        <f>AVERAGE('22.07 Kabusu-Kitebi'!F13,'23.07 Kabusu-Kitebi'!F13,'24.07 Kabusu-Kitebi'!F13,'25.07 Kitebi-Kabusu'!F13,'26.07 Kabusu-Kitebi-24'!F13,'27.07 Kabusu-Kitebi-24h'!F13,'28.07 Kabusu-Kitebi'!F13)</f>
        <v>25.285714285714285</v>
      </c>
      <c r="G13" s="49">
        <f>AVERAGE('22.07 Kabusu-Kitebi'!G13,'23.07 Kabusu-Kitebi'!G13,'24.07 Kabusu-Kitebi'!G13,'25.07 Kitebi-Kabusu'!G13,'26.07 Kabusu-Kitebi-24'!G13,'27.07 Kabusu-Kitebi-24h'!G13,'28.07 Kabusu-Kitebi'!G13)</f>
        <v>0.42857142857142855</v>
      </c>
      <c r="H13" s="49">
        <f>AVERAGE('22.07 Kabusu-Kitebi'!H13,'23.07 Kabusu-Kitebi'!H13,'24.07 Kabusu-Kitebi'!H13,'25.07 Kitebi-Kabusu'!H13,'26.07 Kabusu-Kitebi-24'!H13,'27.07 Kabusu-Kitebi-24h'!H13,'28.07 Kabusu-Kitebi'!H13)</f>
        <v>1</v>
      </c>
      <c r="I13" s="49">
        <f>AVERAGE('22.07 Kabusu-Kitebi'!I13,'23.07 Kabusu-Kitebi'!I13,'24.07 Kabusu-Kitebi'!I13,'25.07 Kitebi-Kabusu'!I13,'26.07 Kabusu-Kitebi-24'!I13,'27.07 Kabusu-Kitebi-24h'!I13,'28.07 Kabusu-Kitebi'!I13)</f>
        <v>3.2857142857142856</v>
      </c>
      <c r="J13" s="49">
        <f>AVERAGE('22.07 Kabusu-Kitebi'!J13,'23.07 Kabusu-Kitebi'!J13,'24.07 Kabusu-Kitebi'!J13,'25.07 Kitebi-Kabusu'!J13,'26.07 Kabusu-Kitebi-24'!J13,'27.07 Kabusu-Kitebi-24h'!J13,'28.07 Kabusu-Kitebi'!J13)</f>
        <v>0</v>
      </c>
      <c r="K13" s="49">
        <f>AVERAGE('22.07 Kabusu-Kitebi'!K13,'23.07 Kabusu-Kitebi'!K13,'24.07 Kabusu-Kitebi'!K13,'25.07 Kitebi-Kabusu'!K13,'26.07 Kabusu-Kitebi-24'!K13,'27.07 Kabusu-Kitebi-24h'!K13,'28.07 Kabusu-Kitebi'!K13)</f>
        <v>27</v>
      </c>
      <c r="L13" s="49">
        <f>AVERAGE('22.07 Kabusu-Kitebi'!L13,'23.07 Kabusu-Kitebi'!L13,'24.07 Kabusu-Kitebi'!L13,'25.07 Kitebi-Kabusu'!L13,'26.07 Kabusu-Kitebi-24'!L13,'27.07 Kabusu-Kitebi-24h'!L13,'28.07 Kabusu-Kitebi'!L13)</f>
        <v>0.42857142857142855</v>
      </c>
      <c r="M13" s="49">
        <f>AVERAGE('22.07 Kabusu-Kitebi'!M13,'23.07 Kabusu-Kitebi'!M13,'24.07 Kabusu-Kitebi'!M13,'25.07 Kitebi-Kabusu'!M13,'26.07 Kabusu-Kitebi-24'!M13,'27.07 Kabusu-Kitebi-24h'!M13,'28.07 Kabusu-Kitebi'!M13)</f>
        <v>127</v>
      </c>
      <c r="N13" s="49">
        <f>AVERAGE('22.07 Kabusu-Kitebi'!N13,'23.07 Kabusu-Kitebi'!N13,'24.07 Kabusu-Kitebi'!N13,'25.07 Kitebi-Kabusu'!N13,'26.07 Kabusu-Kitebi-24'!N13,'27.07 Kabusu-Kitebi-24h'!N13,'28.07 Kabusu-Kitebi'!N13)</f>
        <v>0</v>
      </c>
      <c r="O13" s="15">
        <f t="shared" si="0"/>
        <v>106.00000000000001</v>
      </c>
      <c r="P13" s="15">
        <f t="shared" si="1"/>
        <v>233</v>
      </c>
      <c r="R13" s="1" t="s">
        <v>9</v>
      </c>
      <c r="S13" s="17">
        <f t="shared" ref="S13:AF13" si="5">SUM(C22:C25)</f>
        <v>122.71428571428571</v>
      </c>
      <c r="T13" s="17">
        <f t="shared" si="5"/>
        <v>25.857142857142858</v>
      </c>
      <c r="U13" s="17">
        <f t="shared" si="5"/>
        <v>18.714285714285715</v>
      </c>
      <c r="V13" s="17">
        <f t="shared" si="5"/>
        <v>81.142857142857139</v>
      </c>
      <c r="W13" s="17">
        <f t="shared" si="5"/>
        <v>1.7142857142857142</v>
      </c>
      <c r="X13" s="17">
        <f t="shared" si="5"/>
        <v>0.5714285714285714</v>
      </c>
      <c r="Y13" s="17">
        <f t="shared" si="5"/>
        <v>19.571428571428573</v>
      </c>
      <c r="Z13" s="17">
        <f t="shared" si="5"/>
        <v>4.7142857142857144</v>
      </c>
      <c r="AA13" s="17">
        <f t="shared" si="5"/>
        <v>6</v>
      </c>
      <c r="AB13" s="17">
        <f t="shared" si="5"/>
        <v>2.4285714285714284</v>
      </c>
      <c r="AC13" s="17">
        <f t="shared" si="5"/>
        <v>584</v>
      </c>
      <c r="AD13" s="17">
        <f t="shared" si="5"/>
        <v>0</v>
      </c>
      <c r="AE13" s="31">
        <f t="shared" si="5"/>
        <v>283.42857142857144</v>
      </c>
      <c r="AF13" s="31">
        <f t="shared" si="5"/>
        <v>867.42857142857133</v>
      </c>
    </row>
    <row r="14" spans="2:32" ht="23.1" customHeight="1" x14ac:dyDescent="0.25">
      <c r="B14" s="23" t="s">
        <v>41</v>
      </c>
      <c r="C14" s="49">
        <f>AVERAGE('22.07 Kabusu-Kitebi'!C14,'23.07 Kabusu-Kitebi'!C14,'24.07 Kabusu-Kitebi'!C14,'25.07 Kitebi-Kabusu'!C14,'26.07 Kabusu-Kitebi-24'!C14,'27.07 Kabusu-Kitebi-24h'!C14,'28.07 Kabusu-Kitebi'!C14)</f>
        <v>28.142857142857142</v>
      </c>
      <c r="D14" s="49">
        <f>AVERAGE('22.07 Kabusu-Kitebi'!D14,'23.07 Kabusu-Kitebi'!D14,'24.07 Kabusu-Kitebi'!D14,'25.07 Kitebi-Kabusu'!D14,'26.07 Kabusu-Kitebi-24'!D14,'27.07 Kabusu-Kitebi-24h'!D14,'28.07 Kabusu-Kitebi'!D14)</f>
        <v>4.7142857142857144</v>
      </c>
      <c r="E14" s="49">
        <f>AVERAGE('22.07 Kabusu-Kitebi'!E14,'23.07 Kabusu-Kitebi'!E14,'24.07 Kabusu-Kitebi'!E14,'25.07 Kitebi-Kabusu'!E14,'26.07 Kabusu-Kitebi-24'!E14,'27.07 Kabusu-Kitebi-24h'!E14,'28.07 Kabusu-Kitebi'!E14)</f>
        <v>4.1428571428571432</v>
      </c>
      <c r="F14" s="49">
        <f>AVERAGE('22.07 Kabusu-Kitebi'!F14,'23.07 Kabusu-Kitebi'!F14,'24.07 Kabusu-Kitebi'!F14,'25.07 Kitebi-Kabusu'!F14,'26.07 Kabusu-Kitebi-24'!F14,'27.07 Kabusu-Kitebi-24h'!F14,'28.07 Kabusu-Kitebi'!F14)</f>
        <v>22.285714285714285</v>
      </c>
      <c r="G14" s="49">
        <f>AVERAGE('22.07 Kabusu-Kitebi'!G14,'23.07 Kabusu-Kitebi'!G14,'24.07 Kabusu-Kitebi'!G14,'25.07 Kitebi-Kabusu'!G14,'26.07 Kabusu-Kitebi-24'!G14,'27.07 Kabusu-Kitebi-24h'!G14,'28.07 Kabusu-Kitebi'!G14)</f>
        <v>1</v>
      </c>
      <c r="H14" s="49">
        <f>AVERAGE('22.07 Kabusu-Kitebi'!H14,'23.07 Kabusu-Kitebi'!H14,'24.07 Kabusu-Kitebi'!H14,'25.07 Kitebi-Kabusu'!H14,'26.07 Kabusu-Kitebi-24'!H14,'27.07 Kabusu-Kitebi-24h'!H14,'28.07 Kabusu-Kitebi'!H14)</f>
        <v>0.42857142857142855</v>
      </c>
      <c r="I14" s="49">
        <f>AVERAGE('22.07 Kabusu-Kitebi'!I14,'23.07 Kabusu-Kitebi'!I14,'24.07 Kabusu-Kitebi'!I14,'25.07 Kitebi-Kabusu'!I14,'26.07 Kabusu-Kitebi-24'!I14,'27.07 Kabusu-Kitebi-24h'!I14,'28.07 Kabusu-Kitebi'!I14)</f>
        <v>3.1428571428571428</v>
      </c>
      <c r="J14" s="49">
        <f>AVERAGE('22.07 Kabusu-Kitebi'!J14,'23.07 Kabusu-Kitebi'!J14,'24.07 Kabusu-Kitebi'!J14,'25.07 Kitebi-Kabusu'!J14,'26.07 Kabusu-Kitebi-24'!J14,'27.07 Kabusu-Kitebi-24h'!J14,'28.07 Kabusu-Kitebi'!J14)</f>
        <v>0.7142857142857143</v>
      </c>
      <c r="K14" s="49">
        <f>AVERAGE('22.07 Kabusu-Kitebi'!K14,'23.07 Kabusu-Kitebi'!K14,'24.07 Kabusu-Kitebi'!K14,'25.07 Kitebi-Kabusu'!K14,'26.07 Kabusu-Kitebi-24'!K14,'27.07 Kabusu-Kitebi-24h'!K14,'28.07 Kabusu-Kitebi'!K14)</f>
        <v>1</v>
      </c>
      <c r="L14" s="49">
        <f>AVERAGE('22.07 Kabusu-Kitebi'!L14,'23.07 Kabusu-Kitebi'!L14,'24.07 Kabusu-Kitebi'!L14,'25.07 Kitebi-Kabusu'!L14,'26.07 Kabusu-Kitebi-24'!L14,'27.07 Kabusu-Kitebi-24h'!L14,'28.07 Kabusu-Kitebi'!L14)</f>
        <v>0.42857142857142855</v>
      </c>
      <c r="M14" s="49">
        <f>AVERAGE('22.07 Kabusu-Kitebi'!M14,'23.07 Kabusu-Kitebi'!M14,'24.07 Kabusu-Kitebi'!M14,'25.07 Kitebi-Kabusu'!M14,'26.07 Kabusu-Kitebi-24'!M14,'27.07 Kabusu-Kitebi-24h'!M14,'28.07 Kabusu-Kitebi'!M14)</f>
        <v>131.71428571428572</v>
      </c>
      <c r="N14" s="49">
        <f>AVERAGE('22.07 Kabusu-Kitebi'!N14,'23.07 Kabusu-Kitebi'!N14,'24.07 Kabusu-Kitebi'!N14,'25.07 Kitebi-Kabusu'!N14,'26.07 Kabusu-Kitebi-24'!N14,'27.07 Kabusu-Kitebi-24h'!N14,'28.07 Kabusu-Kitebi'!N14)</f>
        <v>0</v>
      </c>
      <c r="O14" s="15">
        <f t="shared" si="0"/>
        <v>66</v>
      </c>
      <c r="P14" s="15">
        <f t="shared" si="1"/>
        <v>197.71428571428572</v>
      </c>
      <c r="R14" s="1" t="s">
        <v>10</v>
      </c>
      <c r="S14" s="17">
        <f t="shared" ref="S14:AF14" si="6">SUM(C26:C29)</f>
        <v>123.85714285714286</v>
      </c>
      <c r="T14" s="17">
        <f t="shared" si="6"/>
        <v>22.857142857142854</v>
      </c>
      <c r="U14" s="17">
        <f t="shared" si="6"/>
        <v>27.142857142857142</v>
      </c>
      <c r="V14" s="17">
        <f t="shared" si="6"/>
        <v>74.571428571428569</v>
      </c>
      <c r="W14" s="17">
        <f t="shared" si="6"/>
        <v>4.1428571428571432</v>
      </c>
      <c r="X14" s="17">
        <f t="shared" si="6"/>
        <v>0.71428571428571419</v>
      </c>
      <c r="Y14" s="17">
        <f t="shared" si="6"/>
        <v>20.142857142857146</v>
      </c>
      <c r="Z14" s="17">
        <f t="shared" si="6"/>
        <v>3.7142857142857144</v>
      </c>
      <c r="AA14" s="17">
        <f t="shared" si="6"/>
        <v>6.8571428571428568</v>
      </c>
      <c r="AB14" s="17">
        <f t="shared" si="6"/>
        <v>1.9999999999999998</v>
      </c>
      <c r="AC14" s="17">
        <f t="shared" si="6"/>
        <v>535.85714285714278</v>
      </c>
      <c r="AD14" s="17">
        <f t="shared" si="6"/>
        <v>0</v>
      </c>
      <c r="AE14" s="31">
        <f t="shared" si="6"/>
        <v>286</v>
      </c>
      <c r="AF14" s="31">
        <f t="shared" si="6"/>
        <v>821.85714285714278</v>
      </c>
    </row>
    <row r="15" spans="2:32" ht="23.1" customHeight="1" x14ac:dyDescent="0.25">
      <c r="B15" s="23" t="s">
        <v>42</v>
      </c>
      <c r="C15" s="49">
        <f>AVERAGE('22.07 Kabusu-Kitebi'!C15,'23.07 Kabusu-Kitebi'!C15,'24.07 Kabusu-Kitebi'!C15,'25.07 Kitebi-Kabusu'!C15,'26.07 Kabusu-Kitebi-24'!C15,'27.07 Kabusu-Kitebi-24h'!C15,'28.07 Kabusu-Kitebi'!C15)</f>
        <v>27.714285714285715</v>
      </c>
      <c r="D15" s="49">
        <f>AVERAGE('22.07 Kabusu-Kitebi'!D15,'23.07 Kabusu-Kitebi'!D15,'24.07 Kabusu-Kitebi'!D15,'25.07 Kitebi-Kabusu'!D15,'26.07 Kabusu-Kitebi-24'!D15,'27.07 Kabusu-Kitebi-24h'!D15,'28.07 Kabusu-Kitebi'!D15)</f>
        <v>4.8571428571428568</v>
      </c>
      <c r="E15" s="49">
        <f>AVERAGE('22.07 Kabusu-Kitebi'!E15,'23.07 Kabusu-Kitebi'!E15,'24.07 Kabusu-Kitebi'!E15,'25.07 Kitebi-Kabusu'!E15,'26.07 Kabusu-Kitebi-24'!E15,'27.07 Kabusu-Kitebi-24h'!E15,'28.07 Kabusu-Kitebi'!E15)</f>
        <v>4.1428571428571432</v>
      </c>
      <c r="F15" s="49">
        <f>AVERAGE('22.07 Kabusu-Kitebi'!F15,'23.07 Kabusu-Kitebi'!F15,'24.07 Kabusu-Kitebi'!F15,'25.07 Kitebi-Kabusu'!F15,'26.07 Kabusu-Kitebi-24'!F15,'27.07 Kabusu-Kitebi-24h'!F15,'28.07 Kabusu-Kitebi'!F15)</f>
        <v>20</v>
      </c>
      <c r="G15" s="49">
        <f>AVERAGE('22.07 Kabusu-Kitebi'!G15,'23.07 Kabusu-Kitebi'!G15,'24.07 Kabusu-Kitebi'!G15,'25.07 Kitebi-Kabusu'!G15,'26.07 Kabusu-Kitebi-24'!G15,'27.07 Kabusu-Kitebi-24h'!G15,'28.07 Kabusu-Kitebi'!G15)</f>
        <v>0.8571428571428571</v>
      </c>
      <c r="H15" s="49">
        <f>AVERAGE('22.07 Kabusu-Kitebi'!H15,'23.07 Kabusu-Kitebi'!H15,'24.07 Kabusu-Kitebi'!H15,'25.07 Kitebi-Kabusu'!H15,'26.07 Kabusu-Kitebi-24'!H15,'27.07 Kabusu-Kitebi-24h'!H15,'28.07 Kabusu-Kitebi'!H15)</f>
        <v>0.2857142857142857</v>
      </c>
      <c r="I15" s="49">
        <f>AVERAGE('22.07 Kabusu-Kitebi'!I15,'23.07 Kabusu-Kitebi'!I15,'24.07 Kabusu-Kitebi'!I15,'25.07 Kitebi-Kabusu'!I15,'26.07 Kabusu-Kitebi-24'!I15,'27.07 Kabusu-Kitebi-24h'!I15,'28.07 Kabusu-Kitebi'!I15)</f>
        <v>3.1428571428571428</v>
      </c>
      <c r="J15" s="49">
        <f>AVERAGE('22.07 Kabusu-Kitebi'!J15,'23.07 Kabusu-Kitebi'!J15,'24.07 Kabusu-Kitebi'!J15,'25.07 Kitebi-Kabusu'!J15,'26.07 Kabusu-Kitebi-24'!J15,'27.07 Kabusu-Kitebi-24h'!J15,'28.07 Kabusu-Kitebi'!J15)</f>
        <v>0.42857142857142855</v>
      </c>
      <c r="K15" s="49">
        <f>AVERAGE('22.07 Kabusu-Kitebi'!K15,'23.07 Kabusu-Kitebi'!K15,'24.07 Kabusu-Kitebi'!K15,'25.07 Kitebi-Kabusu'!K15,'26.07 Kabusu-Kitebi-24'!K15,'27.07 Kabusu-Kitebi-24h'!K15,'28.07 Kabusu-Kitebi'!K15)</f>
        <v>0.7142857142857143</v>
      </c>
      <c r="L15" s="49">
        <f>AVERAGE('22.07 Kabusu-Kitebi'!L15,'23.07 Kabusu-Kitebi'!L15,'24.07 Kabusu-Kitebi'!L15,'25.07 Kitebi-Kabusu'!L15,'26.07 Kabusu-Kitebi-24'!L15,'27.07 Kabusu-Kitebi-24h'!L15,'28.07 Kabusu-Kitebi'!L15)</f>
        <v>1</v>
      </c>
      <c r="M15" s="49">
        <f>AVERAGE('22.07 Kabusu-Kitebi'!M15,'23.07 Kabusu-Kitebi'!M15,'24.07 Kabusu-Kitebi'!M15,'25.07 Kitebi-Kabusu'!M15,'26.07 Kabusu-Kitebi-24'!M15,'27.07 Kabusu-Kitebi-24h'!M15,'28.07 Kabusu-Kitebi'!M15)</f>
        <v>132.14285714285714</v>
      </c>
      <c r="N15" s="49">
        <f>AVERAGE('22.07 Kabusu-Kitebi'!N15,'23.07 Kabusu-Kitebi'!N15,'24.07 Kabusu-Kitebi'!N15,'25.07 Kitebi-Kabusu'!N15,'26.07 Kabusu-Kitebi-24'!N15,'27.07 Kabusu-Kitebi-24h'!N15,'28.07 Kabusu-Kitebi'!N15)</f>
        <v>0</v>
      </c>
      <c r="O15" s="15">
        <f t="shared" si="0"/>
        <v>63.142857142857146</v>
      </c>
      <c r="P15" s="15">
        <f t="shared" si="1"/>
        <v>195.28571428571428</v>
      </c>
      <c r="R15" s="1" t="s">
        <v>11</v>
      </c>
      <c r="S15" s="17">
        <f t="shared" ref="S15:AF15" si="7">SUM(C30:C33)</f>
        <v>126</v>
      </c>
      <c r="T15" s="17">
        <f t="shared" si="7"/>
        <v>23.857142857142858</v>
      </c>
      <c r="U15" s="17">
        <f t="shared" si="7"/>
        <v>23.285714285714285</v>
      </c>
      <c r="V15" s="17">
        <f t="shared" si="7"/>
        <v>72.571428571428584</v>
      </c>
      <c r="W15" s="17">
        <f t="shared" si="7"/>
        <v>1.1428571428571428</v>
      </c>
      <c r="X15" s="17">
        <f t="shared" si="7"/>
        <v>0.42857142857142855</v>
      </c>
      <c r="Y15" s="17">
        <f t="shared" si="7"/>
        <v>25.857142857142854</v>
      </c>
      <c r="Z15" s="17">
        <f t="shared" si="7"/>
        <v>5.1428571428571423</v>
      </c>
      <c r="AA15" s="17">
        <f t="shared" si="7"/>
        <v>2</v>
      </c>
      <c r="AB15" s="17">
        <f t="shared" si="7"/>
        <v>2</v>
      </c>
      <c r="AC15" s="17">
        <f t="shared" si="7"/>
        <v>459.28571428571433</v>
      </c>
      <c r="AD15" s="17">
        <f t="shared" si="7"/>
        <v>0</v>
      </c>
      <c r="AE15" s="31">
        <f t="shared" si="7"/>
        <v>282.28571428571428</v>
      </c>
      <c r="AF15" s="31">
        <f t="shared" si="7"/>
        <v>741.57142857142856</v>
      </c>
    </row>
    <row r="16" spans="2:32" ht="23.1" customHeight="1" x14ac:dyDescent="0.25">
      <c r="B16" s="23" t="s">
        <v>43</v>
      </c>
      <c r="C16" s="49">
        <f>AVERAGE('22.07 Kabusu-Kitebi'!C16,'23.07 Kabusu-Kitebi'!C16,'24.07 Kabusu-Kitebi'!C16,'25.07 Kitebi-Kabusu'!C16,'26.07 Kabusu-Kitebi-24'!C16,'27.07 Kabusu-Kitebi-24h'!C16,'28.07 Kabusu-Kitebi'!C16)</f>
        <v>29.142857142857142</v>
      </c>
      <c r="D16" s="49">
        <f>AVERAGE('22.07 Kabusu-Kitebi'!D16,'23.07 Kabusu-Kitebi'!D16,'24.07 Kabusu-Kitebi'!D16,'25.07 Kitebi-Kabusu'!D16,'26.07 Kabusu-Kitebi-24'!D16,'27.07 Kabusu-Kitebi-24h'!D16,'28.07 Kabusu-Kitebi'!D16)</f>
        <v>4.2857142857142856</v>
      </c>
      <c r="E16" s="49">
        <f>AVERAGE('22.07 Kabusu-Kitebi'!E16,'23.07 Kabusu-Kitebi'!E16,'24.07 Kabusu-Kitebi'!E16,'25.07 Kitebi-Kabusu'!E16,'26.07 Kabusu-Kitebi-24'!E16,'27.07 Kabusu-Kitebi-24h'!E16,'28.07 Kabusu-Kitebi'!E16)</f>
        <v>5</v>
      </c>
      <c r="F16" s="49">
        <f>AVERAGE('22.07 Kabusu-Kitebi'!F16,'23.07 Kabusu-Kitebi'!F16,'24.07 Kabusu-Kitebi'!F16,'25.07 Kitebi-Kabusu'!F16,'26.07 Kabusu-Kitebi-24'!F16,'27.07 Kabusu-Kitebi-24h'!F16,'28.07 Kabusu-Kitebi'!F16)</f>
        <v>23</v>
      </c>
      <c r="G16" s="49">
        <f>AVERAGE('22.07 Kabusu-Kitebi'!G16,'23.07 Kabusu-Kitebi'!G16,'24.07 Kabusu-Kitebi'!G16,'25.07 Kitebi-Kabusu'!G16,'26.07 Kabusu-Kitebi-24'!G16,'27.07 Kabusu-Kitebi-24h'!G16,'28.07 Kabusu-Kitebi'!G16)</f>
        <v>0.7142857142857143</v>
      </c>
      <c r="H16" s="49">
        <f>AVERAGE('22.07 Kabusu-Kitebi'!H16,'23.07 Kabusu-Kitebi'!H16,'24.07 Kabusu-Kitebi'!H16,'25.07 Kitebi-Kabusu'!H16,'26.07 Kabusu-Kitebi-24'!H16,'27.07 Kabusu-Kitebi-24h'!H16,'28.07 Kabusu-Kitebi'!H16)</f>
        <v>0.2857142857142857</v>
      </c>
      <c r="I16" s="49">
        <f>AVERAGE('22.07 Kabusu-Kitebi'!I16,'23.07 Kabusu-Kitebi'!I16,'24.07 Kabusu-Kitebi'!I16,'25.07 Kitebi-Kabusu'!I16,'26.07 Kabusu-Kitebi-24'!I16,'27.07 Kabusu-Kitebi-24h'!I16,'28.07 Kabusu-Kitebi'!I16)</f>
        <v>5.2857142857142856</v>
      </c>
      <c r="J16" s="49">
        <f>AVERAGE('22.07 Kabusu-Kitebi'!J16,'23.07 Kabusu-Kitebi'!J16,'24.07 Kabusu-Kitebi'!J16,'25.07 Kitebi-Kabusu'!J16,'26.07 Kabusu-Kitebi-24'!J16,'27.07 Kabusu-Kitebi-24h'!J16,'28.07 Kabusu-Kitebi'!J16)</f>
        <v>1.2857142857142858</v>
      </c>
      <c r="K16" s="49">
        <f>AVERAGE('22.07 Kabusu-Kitebi'!K16,'23.07 Kabusu-Kitebi'!K16,'24.07 Kabusu-Kitebi'!K16,'25.07 Kitebi-Kabusu'!K16,'26.07 Kabusu-Kitebi-24'!K16,'27.07 Kabusu-Kitebi-24h'!K16,'28.07 Kabusu-Kitebi'!K16)</f>
        <v>0.8571428571428571</v>
      </c>
      <c r="L16" s="49">
        <f>AVERAGE('22.07 Kabusu-Kitebi'!L16,'23.07 Kabusu-Kitebi'!L16,'24.07 Kabusu-Kitebi'!L16,'25.07 Kitebi-Kabusu'!L16,'26.07 Kabusu-Kitebi-24'!L16,'27.07 Kabusu-Kitebi-24h'!L16,'28.07 Kabusu-Kitebi'!L16)</f>
        <v>1</v>
      </c>
      <c r="M16" s="49">
        <f>AVERAGE('22.07 Kabusu-Kitebi'!M16,'23.07 Kabusu-Kitebi'!M16,'24.07 Kabusu-Kitebi'!M16,'25.07 Kitebi-Kabusu'!M16,'26.07 Kabusu-Kitebi-24'!M16,'27.07 Kabusu-Kitebi-24h'!M16,'28.07 Kabusu-Kitebi'!M16)</f>
        <v>161.71428571428572</v>
      </c>
      <c r="N16" s="49">
        <f>AVERAGE('22.07 Kabusu-Kitebi'!N16,'23.07 Kabusu-Kitebi'!N16,'24.07 Kabusu-Kitebi'!N16,'25.07 Kitebi-Kabusu'!N16,'26.07 Kabusu-Kitebi-24'!N16,'27.07 Kabusu-Kitebi-24h'!N16,'28.07 Kabusu-Kitebi'!N16)</f>
        <v>0</v>
      </c>
      <c r="O16" s="15">
        <f t="shared" si="0"/>
        <v>70.857142857142875</v>
      </c>
      <c r="P16" s="15">
        <f t="shared" si="1"/>
        <v>232.57142857142861</v>
      </c>
      <c r="R16" s="1" t="s">
        <v>12</v>
      </c>
      <c r="S16" s="17">
        <f t="shared" ref="S16:AF16" si="8">SUM(C34:C37)</f>
        <v>146.42857142857144</v>
      </c>
      <c r="T16" s="17">
        <f t="shared" si="8"/>
        <v>22.428571428571431</v>
      </c>
      <c r="U16" s="17">
        <f t="shared" si="8"/>
        <v>24.857142857142854</v>
      </c>
      <c r="V16" s="17">
        <f t="shared" si="8"/>
        <v>77.714285714285722</v>
      </c>
      <c r="W16" s="17">
        <f t="shared" si="8"/>
        <v>1.714285714285714</v>
      </c>
      <c r="X16" s="17">
        <f t="shared" si="8"/>
        <v>0.99999999999999989</v>
      </c>
      <c r="Y16" s="17">
        <f t="shared" si="8"/>
        <v>18.857142857142861</v>
      </c>
      <c r="Z16" s="17">
        <f t="shared" si="8"/>
        <v>7</v>
      </c>
      <c r="AA16" s="17">
        <f t="shared" si="8"/>
        <v>4.7142857142857144</v>
      </c>
      <c r="AB16" s="17">
        <f t="shared" si="8"/>
        <v>2.8571428571428568</v>
      </c>
      <c r="AC16" s="17">
        <f t="shared" si="8"/>
        <v>499.42857142857144</v>
      </c>
      <c r="AD16" s="17">
        <f t="shared" si="8"/>
        <v>0</v>
      </c>
      <c r="AE16" s="31">
        <f t="shared" si="8"/>
        <v>307.57142857142861</v>
      </c>
      <c r="AF16" s="31">
        <f t="shared" si="8"/>
        <v>807</v>
      </c>
    </row>
    <row r="17" spans="2:32" ht="23.1" customHeight="1" x14ac:dyDescent="0.25">
      <c r="B17" s="23" t="s">
        <v>44</v>
      </c>
      <c r="C17" s="49">
        <f>AVERAGE('22.07 Kabusu-Kitebi'!C17,'23.07 Kabusu-Kitebi'!C17,'24.07 Kabusu-Kitebi'!C17,'25.07 Kitebi-Kabusu'!C17,'26.07 Kabusu-Kitebi-24'!C17,'27.07 Kabusu-Kitebi-24h'!C17,'28.07 Kabusu-Kitebi'!C17)</f>
        <v>30.857142857142858</v>
      </c>
      <c r="D17" s="49">
        <f>AVERAGE('22.07 Kabusu-Kitebi'!D17,'23.07 Kabusu-Kitebi'!D17,'24.07 Kabusu-Kitebi'!D17,'25.07 Kitebi-Kabusu'!D17,'26.07 Kabusu-Kitebi-24'!D17,'27.07 Kabusu-Kitebi-24h'!D17,'28.07 Kabusu-Kitebi'!D17)</f>
        <v>6.4285714285714288</v>
      </c>
      <c r="E17" s="49">
        <f>AVERAGE('22.07 Kabusu-Kitebi'!E17,'23.07 Kabusu-Kitebi'!E17,'24.07 Kabusu-Kitebi'!E17,'25.07 Kitebi-Kabusu'!E17,'26.07 Kabusu-Kitebi-24'!E17,'27.07 Kabusu-Kitebi-24h'!E17,'28.07 Kabusu-Kitebi'!E17)</f>
        <v>3.8571428571428572</v>
      </c>
      <c r="F17" s="49">
        <f>AVERAGE('22.07 Kabusu-Kitebi'!F17,'23.07 Kabusu-Kitebi'!F17,'24.07 Kabusu-Kitebi'!F17,'25.07 Kitebi-Kabusu'!F17,'26.07 Kabusu-Kitebi-24'!F17,'27.07 Kabusu-Kitebi-24h'!F17,'28.07 Kabusu-Kitebi'!F17)</f>
        <v>19.285714285714285</v>
      </c>
      <c r="G17" s="49">
        <f>AVERAGE('22.07 Kabusu-Kitebi'!G17,'23.07 Kabusu-Kitebi'!G17,'24.07 Kabusu-Kitebi'!G17,'25.07 Kitebi-Kabusu'!G17,'26.07 Kabusu-Kitebi-24'!G17,'27.07 Kabusu-Kitebi-24h'!G17,'28.07 Kabusu-Kitebi'!G17)</f>
        <v>0.5714285714285714</v>
      </c>
      <c r="H17" s="49">
        <f>AVERAGE('22.07 Kabusu-Kitebi'!H17,'23.07 Kabusu-Kitebi'!H17,'24.07 Kabusu-Kitebi'!H17,'25.07 Kitebi-Kabusu'!H17,'26.07 Kabusu-Kitebi-24'!H17,'27.07 Kabusu-Kitebi-24h'!H17,'28.07 Kabusu-Kitebi'!H17)</f>
        <v>1.7142857142857142</v>
      </c>
      <c r="I17" s="49">
        <f>AVERAGE('22.07 Kabusu-Kitebi'!I17,'23.07 Kabusu-Kitebi'!I17,'24.07 Kabusu-Kitebi'!I17,'25.07 Kitebi-Kabusu'!I17,'26.07 Kabusu-Kitebi-24'!I17,'27.07 Kabusu-Kitebi-24h'!I17,'28.07 Kabusu-Kitebi'!I17)</f>
        <v>3.5714285714285716</v>
      </c>
      <c r="J17" s="49">
        <f>AVERAGE('22.07 Kabusu-Kitebi'!J17,'23.07 Kabusu-Kitebi'!J17,'24.07 Kabusu-Kitebi'!J17,'25.07 Kitebi-Kabusu'!J17,'26.07 Kabusu-Kitebi-24'!J17,'27.07 Kabusu-Kitebi-24h'!J17,'28.07 Kabusu-Kitebi'!J17)</f>
        <v>1.8571428571428572</v>
      </c>
      <c r="K17" s="49">
        <f>AVERAGE('22.07 Kabusu-Kitebi'!K17,'23.07 Kabusu-Kitebi'!K17,'24.07 Kabusu-Kitebi'!K17,'25.07 Kitebi-Kabusu'!K17,'26.07 Kabusu-Kitebi-24'!K17,'27.07 Kabusu-Kitebi-24h'!K17,'28.07 Kabusu-Kitebi'!K17)</f>
        <v>1.4285714285714286</v>
      </c>
      <c r="L17" s="49">
        <f>AVERAGE('22.07 Kabusu-Kitebi'!L17,'23.07 Kabusu-Kitebi'!L17,'24.07 Kabusu-Kitebi'!L17,'25.07 Kitebi-Kabusu'!L17,'26.07 Kabusu-Kitebi-24'!L17,'27.07 Kabusu-Kitebi-24h'!L17,'28.07 Kabusu-Kitebi'!L17)</f>
        <v>1</v>
      </c>
      <c r="M17" s="49">
        <f>AVERAGE('22.07 Kabusu-Kitebi'!M17,'23.07 Kabusu-Kitebi'!M17,'24.07 Kabusu-Kitebi'!M17,'25.07 Kitebi-Kabusu'!M17,'26.07 Kabusu-Kitebi-24'!M17,'27.07 Kabusu-Kitebi-24h'!M17,'28.07 Kabusu-Kitebi'!M17)</f>
        <v>140.14285714285714</v>
      </c>
      <c r="N17" s="49">
        <f>AVERAGE('22.07 Kabusu-Kitebi'!N17,'23.07 Kabusu-Kitebi'!N17,'24.07 Kabusu-Kitebi'!N17,'25.07 Kitebi-Kabusu'!N17,'26.07 Kabusu-Kitebi-24'!N17,'27.07 Kabusu-Kitebi-24h'!N17,'28.07 Kabusu-Kitebi'!N17)</f>
        <v>0</v>
      </c>
      <c r="O17" s="15">
        <f t="shared" si="0"/>
        <v>70.571428571428569</v>
      </c>
      <c r="P17" s="15">
        <f t="shared" si="1"/>
        <v>210.71428571428572</v>
      </c>
      <c r="R17" s="1" t="s">
        <v>13</v>
      </c>
      <c r="S17" s="17">
        <f t="shared" ref="S17:AF17" si="9">SUM(C38:C41)</f>
        <v>178.14285714285711</v>
      </c>
      <c r="T17" s="17">
        <f t="shared" si="9"/>
        <v>32.285714285714285</v>
      </c>
      <c r="U17" s="17">
        <f t="shared" si="9"/>
        <v>21.857142857142858</v>
      </c>
      <c r="V17" s="17">
        <f t="shared" si="9"/>
        <v>66.428571428571431</v>
      </c>
      <c r="W17" s="17">
        <f t="shared" si="9"/>
        <v>1.4285714285714286</v>
      </c>
      <c r="X17" s="17">
        <f t="shared" si="9"/>
        <v>2</v>
      </c>
      <c r="Y17" s="17">
        <f t="shared" si="9"/>
        <v>20</v>
      </c>
      <c r="Z17" s="17">
        <f t="shared" si="9"/>
        <v>6.8571428571428568</v>
      </c>
      <c r="AA17" s="17">
        <f t="shared" si="9"/>
        <v>3.8571428571428572</v>
      </c>
      <c r="AB17" s="17">
        <f t="shared" si="9"/>
        <v>2.714285714285714</v>
      </c>
      <c r="AC17" s="17">
        <f t="shared" si="9"/>
        <v>508.28571428571428</v>
      </c>
      <c r="AD17" s="17">
        <f t="shared" si="9"/>
        <v>0</v>
      </c>
      <c r="AE17" s="31">
        <f t="shared" si="9"/>
        <v>335.57142857142856</v>
      </c>
      <c r="AF17" s="31">
        <f t="shared" si="9"/>
        <v>843.85714285714289</v>
      </c>
    </row>
    <row r="18" spans="2:32" ht="23.1" customHeight="1" x14ac:dyDescent="0.25">
      <c r="B18" s="23" t="s">
        <v>45</v>
      </c>
      <c r="C18" s="49">
        <f>AVERAGE('22.07 Kabusu-Kitebi'!C18,'23.07 Kabusu-Kitebi'!C18,'24.07 Kabusu-Kitebi'!C18,'25.07 Kitebi-Kabusu'!C18,'26.07 Kabusu-Kitebi-24'!C18,'27.07 Kabusu-Kitebi-24h'!C18,'28.07 Kabusu-Kitebi'!C18)</f>
        <v>26.857142857142858</v>
      </c>
      <c r="D18" s="49">
        <f>AVERAGE('22.07 Kabusu-Kitebi'!D18,'23.07 Kabusu-Kitebi'!D18,'24.07 Kabusu-Kitebi'!D18,'25.07 Kitebi-Kabusu'!D18,'26.07 Kabusu-Kitebi-24'!D18,'27.07 Kabusu-Kitebi-24h'!D18,'28.07 Kabusu-Kitebi'!D18)</f>
        <v>4</v>
      </c>
      <c r="E18" s="49">
        <f>AVERAGE('22.07 Kabusu-Kitebi'!E18,'23.07 Kabusu-Kitebi'!E18,'24.07 Kabusu-Kitebi'!E18,'25.07 Kitebi-Kabusu'!E18,'26.07 Kabusu-Kitebi-24'!E18,'27.07 Kabusu-Kitebi-24h'!E18,'28.07 Kabusu-Kitebi'!E18)</f>
        <v>6</v>
      </c>
      <c r="F18" s="49">
        <f>AVERAGE('22.07 Kabusu-Kitebi'!F18,'23.07 Kabusu-Kitebi'!F18,'24.07 Kabusu-Kitebi'!F18,'25.07 Kitebi-Kabusu'!F18,'26.07 Kabusu-Kitebi-24'!F18,'27.07 Kabusu-Kitebi-24h'!F18,'28.07 Kabusu-Kitebi'!F18)</f>
        <v>21</v>
      </c>
      <c r="G18" s="49">
        <f>AVERAGE('22.07 Kabusu-Kitebi'!G18,'23.07 Kabusu-Kitebi'!G18,'24.07 Kabusu-Kitebi'!G18,'25.07 Kitebi-Kabusu'!G18,'26.07 Kabusu-Kitebi-24'!G18,'27.07 Kabusu-Kitebi-24h'!G18,'28.07 Kabusu-Kitebi'!G18)</f>
        <v>0.5714285714285714</v>
      </c>
      <c r="H18" s="49">
        <f>AVERAGE('22.07 Kabusu-Kitebi'!H18,'23.07 Kabusu-Kitebi'!H18,'24.07 Kabusu-Kitebi'!H18,'25.07 Kitebi-Kabusu'!H18,'26.07 Kabusu-Kitebi-24'!H18,'27.07 Kabusu-Kitebi-24h'!H18,'28.07 Kabusu-Kitebi'!H18)</f>
        <v>0.2857142857142857</v>
      </c>
      <c r="I18" s="49">
        <f>AVERAGE('22.07 Kabusu-Kitebi'!I18,'23.07 Kabusu-Kitebi'!I18,'24.07 Kabusu-Kitebi'!I18,'25.07 Kitebi-Kabusu'!I18,'26.07 Kabusu-Kitebi-24'!I18,'27.07 Kabusu-Kitebi-24h'!I18,'28.07 Kabusu-Kitebi'!I18)</f>
        <v>3.7142857142857144</v>
      </c>
      <c r="J18" s="49">
        <f>AVERAGE('22.07 Kabusu-Kitebi'!J18,'23.07 Kabusu-Kitebi'!J18,'24.07 Kabusu-Kitebi'!J18,'25.07 Kitebi-Kabusu'!J18,'26.07 Kabusu-Kitebi-24'!J18,'27.07 Kabusu-Kitebi-24h'!J18,'28.07 Kabusu-Kitebi'!J18)</f>
        <v>1.4285714285714286</v>
      </c>
      <c r="K18" s="49">
        <f>AVERAGE('22.07 Kabusu-Kitebi'!K18,'23.07 Kabusu-Kitebi'!K18,'24.07 Kabusu-Kitebi'!K18,'25.07 Kitebi-Kabusu'!K18,'26.07 Kabusu-Kitebi-24'!K18,'27.07 Kabusu-Kitebi-24h'!K18,'28.07 Kabusu-Kitebi'!K18)</f>
        <v>1.2857142857142858</v>
      </c>
      <c r="L18" s="49">
        <f>AVERAGE('22.07 Kabusu-Kitebi'!L18,'23.07 Kabusu-Kitebi'!L18,'24.07 Kabusu-Kitebi'!L18,'25.07 Kitebi-Kabusu'!L18,'26.07 Kabusu-Kitebi-24'!L18,'27.07 Kabusu-Kitebi-24h'!L18,'28.07 Kabusu-Kitebi'!L18)</f>
        <v>1</v>
      </c>
      <c r="M18" s="49">
        <f>AVERAGE('22.07 Kabusu-Kitebi'!M18,'23.07 Kabusu-Kitebi'!M18,'24.07 Kabusu-Kitebi'!M18,'25.07 Kitebi-Kabusu'!M18,'26.07 Kabusu-Kitebi-24'!M18,'27.07 Kabusu-Kitebi-24h'!M18,'28.07 Kabusu-Kitebi'!M18)</f>
        <v>145.71428571428572</v>
      </c>
      <c r="N18" s="49">
        <f>AVERAGE('22.07 Kabusu-Kitebi'!N18,'23.07 Kabusu-Kitebi'!N18,'24.07 Kabusu-Kitebi'!N18,'25.07 Kitebi-Kabusu'!N18,'26.07 Kabusu-Kitebi-24'!N18,'27.07 Kabusu-Kitebi-24h'!N18,'28.07 Kabusu-Kitebi'!N18)</f>
        <v>0</v>
      </c>
      <c r="O18" s="15">
        <f t="shared" si="0"/>
        <v>66.142857142857153</v>
      </c>
      <c r="P18" s="15">
        <f t="shared" si="1"/>
        <v>211.85714285714289</v>
      </c>
      <c r="R18" s="1" t="s">
        <v>14</v>
      </c>
      <c r="S18" s="17">
        <f t="shared" ref="S18:AF18" si="10">SUM(C42:C45)</f>
        <v>161.85714285714286</v>
      </c>
      <c r="T18" s="17">
        <f t="shared" si="10"/>
        <v>28.714285714285715</v>
      </c>
      <c r="U18" s="17">
        <f t="shared" si="10"/>
        <v>25.142857142857142</v>
      </c>
      <c r="V18" s="17">
        <f t="shared" si="10"/>
        <v>63.428571428571431</v>
      </c>
      <c r="W18" s="17">
        <f t="shared" si="10"/>
        <v>1.4285714285714284</v>
      </c>
      <c r="X18" s="17">
        <f t="shared" si="10"/>
        <v>0.71428571428571419</v>
      </c>
      <c r="Y18" s="17">
        <f t="shared" si="10"/>
        <v>17.285714285714288</v>
      </c>
      <c r="Z18" s="17">
        <f t="shared" si="10"/>
        <v>5.4285714285714288</v>
      </c>
      <c r="AA18" s="17">
        <f t="shared" si="10"/>
        <v>3.7142857142857144</v>
      </c>
      <c r="AB18" s="17">
        <f t="shared" si="10"/>
        <v>2.2857142857142856</v>
      </c>
      <c r="AC18" s="17">
        <f t="shared" si="10"/>
        <v>464.28571428571428</v>
      </c>
      <c r="AD18" s="17">
        <f t="shared" si="10"/>
        <v>0</v>
      </c>
      <c r="AE18" s="31">
        <f t="shared" si="10"/>
        <v>310</v>
      </c>
      <c r="AF18" s="31">
        <f t="shared" si="10"/>
        <v>774.28571428571422</v>
      </c>
    </row>
    <row r="19" spans="2:32" ht="23.1" customHeight="1" x14ac:dyDescent="0.25">
      <c r="B19" s="23" t="s">
        <v>46</v>
      </c>
      <c r="C19" s="49">
        <f>AVERAGE('22.07 Kabusu-Kitebi'!C19,'23.07 Kabusu-Kitebi'!C19,'24.07 Kabusu-Kitebi'!C19,'25.07 Kitebi-Kabusu'!C19,'26.07 Kabusu-Kitebi-24'!C19,'27.07 Kabusu-Kitebi-24h'!C19,'28.07 Kabusu-Kitebi'!C19)</f>
        <v>25.571428571428573</v>
      </c>
      <c r="D19" s="49">
        <f>AVERAGE('22.07 Kabusu-Kitebi'!D19,'23.07 Kabusu-Kitebi'!D19,'24.07 Kabusu-Kitebi'!D19,'25.07 Kitebi-Kabusu'!D19,'26.07 Kabusu-Kitebi-24'!D19,'27.07 Kabusu-Kitebi-24h'!D19,'28.07 Kabusu-Kitebi'!D19)</f>
        <v>2.8571428571428572</v>
      </c>
      <c r="E19" s="49">
        <f>AVERAGE('22.07 Kabusu-Kitebi'!E19,'23.07 Kabusu-Kitebi'!E19,'24.07 Kabusu-Kitebi'!E19,'25.07 Kitebi-Kabusu'!E19,'26.07 Kabusu-Kitebi-24'!E19,'27.07 Kabusu-Kitebi-24h'!E19,'28.07 Kabusu-Kitebi'!E19)</f>
        <v>4.7142857142857144</v>
      </c>
      <c r="F19" s="49">
        <f>AVERAGE('22.07 Kabusu-Kitebi'!F19,'23.07 Kabusu-Kitebi'!F19,'24.07 Kabusu-Kitebi'!F19,'25.07 Kitebi-Kabusu'!F19,'26.07 Kabusu-Kitebi-24'!F19,'27.07 Kabusu-Kitebi-24h'!F19,'28.07 Kabusu-Kitebi'!F19)</f>
        <v>23.142857142857142</v>
      </c>
      <c r="G19" s="49">
        <f>AVERAGE('22.07 Kabusu-Kitebi'!G19,'23.07 Kabusu-Kitebi'!G19,'24.07 Kabusu-Kitebi'!G19,'25.07 Kitebi-Kabusu'!G19,'26.07 Kabusu-Kitebi-24'!G19,'27.07 Kabusu-Kitebi-24h'!G19,'28.07 Kabusu-Kitebi'!G19)</f>
        <v>0.42857142857142855</v>
      </c>
      <c r="H19" s="49">
        <f>AVERAGE('22.07 Kabusu-Kitebi'!H19,'23.07 Kabusu-Kitebi'!H19,'24.07 Kabusu-Kitebi'!H19,'25.07 Kitebi-Kabusu'!H19,'26.07 Kabusu-Kitebi-24'!H19,'27.07 Kabusu-Kitebi-24h'!H19,'28.07 Kabusu-Kitebi'!H19)</f>
        <v>0</v>
      </c>
      <c r="I19" s="49">
        <f>AVERAGE('22.07 Kabusu-Kitebi'!I19,'23.07 Kabusu-Kitebi'!I19,'24.07 Kabusu-Kitebi'!I19,'25.07 Kitebi-Kabusu'!I19,'26.07 Kabusu-Kitebi-24'!I19,'27.07 Kabusu-Kitebi-24h'!I19,'28.07 Kabusu-Kitebi'!I19)</f>
        <v>3.1428571428571428</v>
      </c>
      <c r="J19" s="49">
        <f>AVERAGE('22.07 Kabusu-Kitebi'!J19,'23.07 Kabusu-Kitebi'!J19,'24.07 Kabusu-Kitebi'!J19,'25.07 Kitebi-Kabusu'!J19,'26.07 Kabusu-Kitebi-24'!J19,'27.07 Kabusu-Kitebi-24h'!J19,'28.07 Kabusu-Kitebi'!J19)</f>
        <v>1.2857142857142858</v>
      </c>
      <c r="K19" s="49">
        <f>AVERAGE('22.07 Kabusu-Kitebi'!K19,'23.07 Kabusu-Kitebi'!K19,'24.07 Kabusu-Kitebi'!K19,'25.07 Kitebi-Kabusu'!K19,'26.07 Kabusu-Kitebi-24'!K19,'27.07 Kabusu-Kitebi-24h'!K19,'28.07 Kabusu-Kitebi'!K19)</f>
        <v>0.7142857142857143</v>
      </c>
      <c r="L19" s="49">
        <f>AVERAGE('22.07 Kabusu-Kitebi'!L19,'23.07 Kabusu-Kitebi'!L19,'24.07 Kabusu-Kitebi'!L19,'25.07 Kitebi-Kabusu'!L19,'26.07 Kabusu-Kitebi-24'!L19,'27.07 Kabusu-Kitebi-24h'!L19,'28.07 Kabusu-Kitebi'!L19)</f>
        <v>0.2857142857142857</v>
      </c>
      <c r="M19" s="49">
        <f>AVERAGE('22.07 Kabusu-Kitebi'!M19,'23.07 Kabusu-Kitebi'!M19,'24.07 Kabusu-Kitebi'!M19,'25.07 Kitebi-Kabusu'!M19,'26.07 Kabusu-Kitebi-24'!M19,'27.07 Kabusu-Kitebi-24h'!M19,'28.07 Kabusu-Kitebi'!M19)</f>
        <v>143.14285714285714</v>
      </c>
      <c r="N19" s="49">
        <f>AVERAGE('22.07 Kabusu-Kitebi'!N19,'23.07 Kabusu-Kitebi'!N19,'24.07 Kabusu-Kitebi'!N19,'25.07 Kitebi-Kabusu'!N19,'26.07 Kabusu-Kitebi-24'!N19,'27.07 Kabusu-Kitebi-24h'!N19,'28.07 Kabusu-Kitebi'!N19)</f>
        <v>0</v>
      </c>
      <c r="O19" s="15">
        <f t="shared" si="0"/>
        <v>62.142857142857153</v>
      </c>
      <c r="P19" s="15">
        <f t="shared" si="1"/>
        <v>205.28571428571428</v>
      </c>
      <c r="R19" s="1" t="s">
        <v>15</v>
      </c>
      <c r="S19" s="17">
        <f t="shared" ref="S19:AF19" si="11">SUM(C46:C49)</f>
        <v>226.57142857142858</v>
      </c>
      <c r="T19" s="17">
        <f t="shared" si="11"/>
        <v>28.428571428571431</v>
      </c>
      <c r="U19" s="17">
        <f t="shared" si="11"/>
        <v>27</v>
      </c>
      <c r="V19" s="17">
        <f t="shared" si="11"/>
        <v>76.285714285714292</v>
      </c>
      <c r="W19" s="17">
        <f t="shared" si="11"/>
        <v>1.857142857142857</v>
      </c>
      <c r="X19" s="17">
        <f t="shared" si="11"/>
        <v>0.42857142857142855</v>
      </c>
      <c r="Y19" s="17">
        <f t="shared" si="11"/>
        <v>20.285714285714285</v>
      </c>
      <c r="Z19" s="17">
        <f t="shared" si="11"/>
        <v>5.4285714285714288</v>
      </c>
      <c r="AA19" s="17">
        <f t="shared" si="11"/>
        <v>4.7142857142857135</v>
      </c>
      <c r="AB19" s="17">
        <f t="shared" si="11"/>
        <v>3.4285714285714284</v>
      </c>
      <c r="AC19" s="17">
        <f t="shared" si="11"/>
        <v>569.71428571428567</v>
      </c>
      <c r="AD19" s="17">
        <f t="shared" si="11"/>
        <v>0</v>
      </c>
      <c r="AE19" s="31">
        <f t="shared" si="11"/>
        <v>394.42857142857144</v>
      </c>
      <c r="AF19" s="31">
        <f t="shared" si="11"/>
        <v>964.14285714285711</v>
      </c>
    </row>
    <row r="20" spans="2:32" ht="23.1" customHeight="1" x14ac:dyDescent="0.25">
      <c r="B20" s="23" t="s">
        <v>47</v>
      </c>
      <c r="C20" s="49">
        <f>AVERAGE('22.07 Kabusu-Kitebi'!C20,'23.07 Kabusu-Kitebi'!C20,'24.07 Kabusu-Kitebi'!C20,'25.07 Kitebi-Kabusu'!C20,'26.07 Kabusu-Kitebi-24'!C20,'27.07 Kabusu-Kitebi-24h'!C20,'28.07 Kabusu-Kitebi'!C20)</f>
        <v>31.428571428571427</v>
      </c>
      <c r="D20" s="49">
        <f>AVERAGE('22.07 Kabusu-Kitebi'!D20,'23.07 Kabusu-Kitebi'!D20,'24.07 Kabusu-Kitebi'!D20,'25.07 Kitebi-Kabusu'!D20,'26.07 Kabusu-Kitebi-24'!D20,'27.07 Kabusu-Kitebi-24h'!D20,'28.07 Kabusu-Kitebi'!D20)</f>
        <v>3.2857142857142856</v>
      </c>
      <c r="E20" s="49">
        <f>AVERAGE('22.07 Kabusu-Kitebi'!E20,'23.07 Kabusu-Kitebi'!E20,'24.07 Kabusu-Kitebi'!E20,'25.07 Kitebi-Kabusu'!E20,'26.07 Kabusu-Kitebi-24'!E20,'27.07 Kabusu-Kitebi-24h'!E20,'28.07 Kabusu-Kitebi'!E20)</f>
        <v>5.1428571428571432</v>
      </c>
      <c r="F20" s="49">
        <f>AVERAGE('22.07 Kabusu-Kitebi'!F20,'23.07 Kabusu-Kitebi'!F20,'24.07 Kabusu-Kitebi'!F20,'25.07 Kitebi-Kabusu'!F20,'26.07 Kabusu-Kitebi-24'!F20,'27.07 Kabusu-Kitebi-24h'!F20,'28.07 Kabusu-Kitebi'!F20)</f>
        <v>22.142857142857142</v>
      </c>
      <c r="G20" s="49">
        <f>AVERAGE('22.07 Kabusu-Kitebi'!G20,'23.07 Kabusu-Kitebi'!G20,'24.07 Kabusu-Kitebi'!G20,'25.07 Kitebi-Kabusu'!G20,'26.07 Kabusu-Kitebi-24'!G20,'27.07 Kabusu-Kitebi-24h'!G20,'28.07 Kabusu-Kitebi'!G20)</f>
        <v>0.7142857142857143</v>
      </c>
      <c r="H20" s="49">
        <f>AVERAGE('22.07 Kabusu-Kitebi'!H20,'23.07 Kabusu-Kitebi'!H20,'24.07 Kabusu-Kitebi'!H20,'25.07 Kitebi-Kabusu'!H20,'26.07 Kabusu-Kitebi-24'!H20,'27.07 Kabusu-Kitebi-24h'!H20,'28.07 Kabusu-Kitebi'!H20)</f>
        <v>0.2857142857142857</v>
      </c>
      <c r="I20" s="49">
        <f>AVERAGE('22.07 Kabusu-Kitebi'!I20,'23.07 Kabusu-Kitebi'!I20,'24.07 Kabusu-Kitebi'!I20,'25.07 Kitebi-Kabusu'!I20,'26.07 Kabusu-Kitebi-24'!I20,'27.07 Kabusu-Kitebi-24h'!I20,'28.07 Kabusu-Kitebi'!I20)</f>
        <v>4.1428571428571432</v>
      </c>
      <c r="J20" s="49">
        <f>AVERAGE('22.07 Kabusu-Kitebi'!J20,'23.07 Kabusu-Kitebi'!J20,'24.07 Kabusu-Kitebi'!J20,'25.07 Kitebi-Kabusu'!J20,'26.07 Kabusu-Kitebi-24'!J20,'27.07 Kabusu-Kitebi-24h'!J20,'28.07 Kabusu-Kitebi'!J20)</f>
        <v>1</v>
      </c>
      <c r="K20" s="49">
        <f>AVERAGE('22.07 Kabusu-Kitebi'!K20,'23.07 Kabusu-Kitebi'!K20,'24.07 Kabusu-Kitebi'!K20,'25.07 Kitebi-Kabusu'!K20,'26.07 Kabusu-Kitebi-24'!K20,'27.07 Kabusu-Kitebi-24h'!K20,'28.07 Kabusu-Kitebi'!K20)</f>
        <v>0.7142857142857143</v>
      </c>
      <c r="L20" s="49">
        <f>AVERAGE('22.07 Kabusu-Kitebi'!L20,'23.07 Kabusu-Kitebi'!L20,'24.07 Kabusu-Kitebi'!L20,'25.07 Kitebi-Kabusu'!L20,'26.07 Kabusu-Kitebi-24'!L20,'27.07 Kabusu-Kitebi-24h'!L20,'28.07 Kabusu-Kitebi'!L20)</f>
        <v>0.5714285714285714</v>
      </c>
      <c r="M20" s="49">
        <f>AVERAGE('22.07 Kabusu-Kitebi'!M20,'23.07 Kabusu-Kitebi'!M20,'24.07 Kabusu-Kitebi'!M20,'25.07 Kitebi-Kabusu'!M20,'26.07 Kabusu-Kitebi-24'!M20,'27.07 Kabusu-Kitebi-24h'!M20,'28.07 Kabusu-Kitebi'!M20)</f>
        <v>129.42857142857142</v>
      </c>
      <c r="N20" s="49">
        <f>AVERAGE('22.07 Kabusu-Kitebi'!N20,'23.07 Kabusu-Kitebi'!N20,'24.07 Kabusu-Kitebi'!N20,'25.07 Kitebi-Kabusu'!N20,'26.07 Kabusu-Kitebi-24'!N20,'27.07 Kabusu-Kitebi-24h'!N20,'28.07 Kabusu-Kitebi'!N20)</f>
        <v>0</v>
      </c>
      <c r="O20" s="15">
        <f t="shared" si="0"/>
        <v>69.428571428571416</v>
      </c>
      <c r="P20" s="15">
        <f t="shared" si="1"/>
        <v>198.85714285714283</v>
      </c>
      <c r="R20" s="1" t="s">
        <v>16</v>
      </c>
      <c r="S20" s="17">
        <f t="shared" ref="S20:AF20" si="12">SUM(C50:C53)</f>
        <v>284.85714285714283</v>
      </c>
      <c r="T20" s="17">
        <f t="shared" si="12"/>
        <v>39.857142857142861</v>
      </c>
      <c r="U20" s="17">
        <f t="shared" si="12"/>
        <v>37.285714285714292</v>
      </c>
      <c r="V20" s="17">
        <f t="shared" si="12"/>
        <v>81.142857142857139</v>
      </c>
      <c r="W20" s="17">
        <f t="shared" si="12"/>
        <v>1.2857142857142856</v>
      </c>
      <c r="X20" s="17">
        <f t="shared" si="12"/>
        <v>0.42857142857142855</v>
      </c>
      <c r="Y20" s="17">
        <f t="shared" si="12"/>
        <v>19.714285714285715</v>
      </c>
      <c r="Z20" s="17">
        <f t="shared" si="12"/>
        <v>4.8571428571428577</v>
      </c>
      <c r="AA20" s="17">
        <f t="shared" si="12"/>
        <v>4.7142857142857144</v>
      </c>
      <c r="AB20" s="17">
        <f t="shared" si="12"/>
        <v>3.5714285714285712</v>
      </c>
      <c r="AC20" s="17">
        <f t="shared" si="12"/>
        <v>686.42857142857133</v>
      </c>
      <c r="AD20" s="17">
        <f t="shared" si="12"/>
        <v>0</v>
      </c>
      <c r="AE20" s="31">
        <f t="shared" si="12"/>
        <v>477.71428571428572</v>
      </c>
      <c r="AF20" s="31">
        <f t="shared" si="12"/>
        <v>1164.1428571428571</v>
      </c>
    </row>
    <row r="21" spans="2:32" ht="23.1" customHeight="1" x14ac:dyDescent="0.25">
      <c r="B21" s="23" t="s">
        <v>48</v>
      </c>
      <c r="C21" s="49">
        <f>AVERAGE('22.07 Kabusu-Kitebi'!C21,'23.07 Kabusu-Kitebi'!C21,'24.07 Kabusu-Kitebi'!C21,'25.07 Kitebi-Kabusu'!C21,'26.07 Kabusu-Kitebi-24'!C21,'27.07 Kabusu-Kitebi-24h'!C21,'28.07 Kabusu-Kitebi'!C21)</f>
        <v>26.714285714285715</v>
      </c>
      <c r="D21" s="49">
        <f>AVERAGE('22.07 Kabusu-Kitebi'!D21,'23.07 Kabusu-Kitebi'!D21,'24.07 Kabusu-Kitebi'!D21,'25.07 Kitebi-Kabusu'!D21,'26.07 Kabusu-Kitebi-24'!D21,'27.07 Kabusu-Kitebi-24h'!D21,'28.07 Kabusu-Kitebi'!D21)</f>
        <v>4.5714285714285712</v>
      </c>
      <c r="E21" s="49">
        <f>AVERAGE('22.07 Kabusu-Kitebi'!E21,'23.07 Kabusu-Kitebi'!E21,'24.07 Kabusu-Kitebi'!E21,'25.07 Kitebi-Kabusu'!E21,'26.07 Kabusu-Kitebi-24'!E21,'27.07 Kabusu-Kitebi-24h'!E21,'28.07 Kabusu-Kitebi'!E21)</f>
        <v>4.5714285714285712</v>
      </c>
      <c r="F21" s="49">
        <f>AVERAGE('22.07 Kabusu-Kitebi'!F21,'23.07 Kabusu-Kitebi'!F21,'24.07 Kabusu-Kitebi'!F21,'25.07 Kitebi-Kabusu'!F21,'26.07 Kabusu-Kitebi-24'!F21,'27.07 Kabusu-Kitebi-24h'!F21,'28.07 Kabusu-Kitebi'!F21)</f>
        <v>20.857142857142858</v>
      </c>
      <c r="G21" s="49">
        <f>AVERAGE('22.07 Kabusu-Kitebi'!G21,'23.07 Kabusu-Kitebi'!G21,'24.07 Kabusu-Kitebi'!G21,'25.07 Kitebi-Kabusu'!G21,'26.07 Kabusu-Kitebi-24'!G21,'27.07 Kabusu-Kitebi-24h'!G21,'28.07 Kabusu-Kitebi'!G21)</f>
        <v>1.1428571428571428</v>
      </c>
      <c r="H21" s="49">
        <f>AVERAGE('22.07 Kabusu-Kitebi'!H21,'23.07 Kabusu-Kitebi'!H21,'24.07 Kabusu-Kitebi'!H21,'25.07 Kitebi-Kabusu'!H21,'26.07 Kabusu-Kitebi-24'!H21,'27.07 Kabusu-Kitebi-24h'!H21,'28.07 Kabusu-Kitebi'!H21)</f>
        <v>0.14285714285714285</v>
      </c>
      <c r="I21" s="49">
        <f>AVERAGE('22.07 Kabusu-Kitebi'!I21,'23.07 Kabusu-Kitebi'!I21,'24.07 Kabusu-Kitebi'!I21,'25.07 Kitebi-Kabusu'!I21,'26.07 Kabusu-Kitebi-24'!I21,'27.07 Kabusu-Kitebi-24h'!I21,'28.07 Kabusu-Kitebi'!I21)</f>
        <v>4.2857142857142856</v>
      </c>
      <c r="J21" s="49">
        <f>AVERAGE('22.07 Kabusu-Kitebi'!J21,'23.07 Kabusu-Kitebi'!J21,'24.07 Kabusu-Kitebi'!J21,'25.07 Kitebi-Kabusu'!J21,'26.07 Kabusu-Kitebi-24'!J21,'27.07 Kabusu-Kitebi-24h'!J21,'28.07 Kabusu-Kitebi'!J21)</f>
        <v>1.5714285714285714</v>
      </c>
      <c r="K21" s="49">
        <f>AVERAGE('22.07 Kabusu-Kitebi'!K21,'23.07 Kabusu-Kitebi'!K21,'24.07 Kabusu-Kitebi'!K21,'25.07 Kitebi-Kabusu'!K21,'26.07 Kabusu-Kitebi-24'!K21,'27.07 Kabusu-Kitebi-24h'!K21,'28.07 Kabusu-Kitebi'!K21)</f>
        <v>1.1428571428571428</v>
      </c>
      <c r="L21" s="49">
        <f>AVERAGE('22.07 Kabusu-Kitebi'!L21,'23.07 Kabusu-Kitebi'!L21,'24.07 Kabusu-Kitebi'!L21,'25.07 Kitebi-Kabusu'!L21,'26.07 Kabusu-Kitebi-24'!L21,'27.07 Kabusu-Kitebi-24h'!L21,'28.07 Kabusu-Kitebi'!L21)</f>
        <v>0.2857142857142857</v>
      </c>
      <c r="M21" s="49">
        <f>AVERAGE('22.07 Kabusu-Kitebi'!M21,'23.07 Kabusu-Kitebi'!M21,'24.07 Kabusu-Kitebi'!M21,'25.07 Kitebi-Kabusu'!M21,'26.07 Kabusu-Kitebi-24'!M21,'27.07 Kabusu-Kitebi-24h'!M21,'28.07 Kabusu-Kitebi'!M21)</f>
        <v>142.42857142857142</v>
      </c>
      <c r="N21" s="49">
        <f>AVERAGE('22.07 Kabusu-Kitebi'!N21,'23.07 Kabusu-Kitebi'!N21,'24.07 Kabusu-Kitebi'!N21,'25.07 Kitebi-Kabusu'!N21,'26.07 Kabusu-Kitebi-24'!N21,'27.07 Kabusu-Kitebi-24h'!N21,'28.07 Kabusu-Kitebi'!N21)</f>
        <v>0</v>
      </c>
      <c r="O21" s="15">
        <f t="shared" si="0"/>
        <v>65.285714285714292</v>
      </c>
      <c r="P21" s="15">
        <f t="shared" si="1"/>
        <v>207.71428571428572</v>
      </c>
      <c r="R21" s="36" t="s">
        <v>20</v>
      </c>
      <c r="S21" s="34">
        <f t="shared" ref="S21:AF21" si="13">SUM(C54:C57)</f>
        <v>379.85714285714283</v>
      </c>
      <c r="T21" s="17">
        <f t="shared" si="13"/>
        <v>49.285714285714285</v>
      </c>
      <c r="U21" s="17">
        <f t="shared" si="13"/>
        <v>35.857142857142861</v>
      </c>
      <c r="V21" s="17">
        <f t="shared" si="13"/>
        <v>105</v>
      </c>
      <c r="W21" s="17">
        <f t="shared" si="13"/>
        <v>2.4285714285714284</v>
      </c>
      <c r="X21" s="17">
        <f t="shared" si="13"/>
        <v>0.2857142857142857</v>
      </c>
      <c r="Y21" s="17">
        <f t="shared" si="13"/>
        <v>24.571428571428573</v>
      </c>
      <c r="Z21" s="17">
        <f t="shared" si="13"/>
        <v>4.8571428571428577</v>
      </c>
      <c r="AA21" s="17">
        <f t="shared" si="13"/>
        <v>2.5714285714285716</v>
      </c>
      <c r="AB21" s="17">
        <f t="shared" si="13"/>
        <v>3.1428571428571428</v>
      </c>
      <c r="AC21" s="17">
        <f t="shared" si="13"/>
        <v>674.71428571428578</v>
      </c>
      <c r="AD21" s="17">
        <f t="shared" si="13"/>
        <v>0</v>
      </c>
      <c r="AE21" s="31">
        <f t="shared" si="13"/>
        <v>607.85714285714278</v>
      </c>
      <c r="AF21" s="31">
        <f t="shared" si="13"/>
        <v>1282.5714285714284</v>
      </c>
    </row>
    <row r="22" spans="2:32" ht="23.1" customHeight="1" x14ac:dyDescent="0.25">
      <c r="B22" s="23" t="s">
        <v>49</v>
      </c>
      <c r="C22" s="49">
        <f>AVERAGE('22.07 Kabusu-Kitebi'!C22,'23.07 Kabusu-Kitebi'!C22,'24.07 Kabusu-Kitebi'!C22,'25.07 Kitebi-Kabusu'!C22,'26.07 Kabusu-Kitebi-24'!C22,'27.07 Kabusu-Kitebi-24h'!C22,'28.07 Kabusu-Kitebi'!C22)</f>
        <v>30</v>
      </c>
      <c r="D22" s="49">
        <f>AVERAGE('22.07 Kabusu-Kitebi'!D22,'23.07 Kabusu-Kitebi'!D22,'24.07 Kabusu-Kitebi'!D22,'25.07 Kitebi-Kabusu'!D22,'26.07 Kabusu-Kitebi-24'!D22,'27.07 Kabusu-Kitebi-24h'!D22,'28.07 Kabusu-Kitebi'!D22)</f>
        <v>6.2857142857142856</v>
      </c>
      <c r="E22" s="49">
        <f>AVERAGE('22.07 Kabusu-Kitebi'!E22,'23.07 Kabusu-Kitebi'!E22,'24.07 Kabusu-Kitebi'!E22,'25.07 Kitebi-Kabusu'!E22,'26.07 Kabusu-Kitebi-24'!E22,'27.07 Kabusu-Kitebi-24h'!E22,'28.07 Kabusu-Kitebi'!E22)</f>
        <v>4.4285714285714288</v>
      </c>
      <c r="F22" s="49">
        <f>AVERAGE('22.07 Kabusu-Kitebi'!F22,'23.07 Kabusu-Kitebi'!F22,'24.07 Kabusu-Kitebi'!F22,'25.07 Kitebi-Kabusu'!F22,'26.07 Kabusu-Kitebi-24'!F22,'27.07 Kabusu-Kitebi-24h'!F22,'28.07 Kabusu-Kitebi'!F22)</f>
        <v>21</v>
      </c>
      <c r="G22" s="49">
        <f>AVERAGE('22.07 Kabusu-Kitebi'!G22,'23.07 Kabusu-Kitebi'!G22,'24.07 Kabusu-Kitebi'!G22,'25.07 Kitebi-Kabusu'!G22,'26.07 Kabusu-Kitebi-24'!G22,'27.07 Kabusu-Kitebi-24h'!G22,'28.07 Kabusu-Kitebi'!G22)</f>
        <v>0.7142857142857143</v>
      </c>
      <c r="H22" s="49">
        <f>AVERAGE('22.07 Kabusu-Kitebi'!H22,'23.07 Kabusu-Kitebi'!H22,'24.07 Kabusu-Kitebi'!H22,'25.07 Kitebi-Kabusu'!H22,'26.07 Kabusu-Kitebi-24'!H22,'27.07 Kabusu-Kitebi-24h'!H22,'28.07 Kabusu-Kitebi'!H22)</f>
        <v>0.14285714285714285</v>
      </c>
      <c r="I22" s="49">
        <f>AVERAGE('22.07 Kabusu-Kitebi'!I22,'23.07 Kabusu-Kitebi'!I22,'24.07 Kabusu-Kitebi'!I22,'25.07 Kitebi-Kabusu'!I22,'26.07 Kabusu-Kitebi-24'!I22,'27.07 Kabusu-Kitebi-24h'!I22,'28.07 Kabusu-Kitebi'!I22)</f>
        <v>5.1428571428571432</v>
      </c>
      <c r="J22" s="49">
        <f>AVERAGE('22.07 Kabusu-Kitebi'!J22,'23.07 Kabusu-Kitebi'!J22,'24.07 Kabusu-Kitebi'!J22,'25.07 Kitebi-Kabusu'!J22,'26.07 Kabusu-Kitebi-24'!J22,'27.07 Kabusu-Kitebi-24h'!J22,'28.07 Kabusu-Kitebi'!J22)</f>
        <v>0.5714285714285714</v>
      </c>
      <c r="K22" s="49">
        <f>AVERAGE('22.07 Kabusu-Kitebi'!K22,'23.07 Kabusu-Kitebi'!K22,'24.07 Kabusu-Kitebi'!K22,'25.07 Kitebi-Kabusu'!K22,'26.07 Kabusu-Kitebi-24'!K22,'27.07 Kabusu-Kitebi-24h'!K22,'28.07 Kabusu-Kitebi'!K22)</f>
        <v>1</v>
      </c>
      <c r="L22" s="49">
        <f>AVERAGE('22.07 Kabusu-Kitebi'!L22,'23.07 Kabusu-Kitebi'!L22,'24.07 Kabusu-Kitebi'!L22,'25.07 Kitebi-Kabusu'!L22,'26.07 Kabusu-Kitebi-24'!L22,'27.07 Kabusu-Kitebi-24h'!L22,'28.07 Kabusu-Kitebi'!L22)</f>
        <v>0.42857142857142855</v>
      </c>
      <c r="M22" s="49">
        <f>AVERAGE('22.07 Kabusu-Kitebi'!M22,'23.07 Kabusu-Kitebi'!M22,'24.07 Kabusu-Kitebi'!M22,'25.07 Kitebi-Kabusu'!M22,'26.07 Kabusu-Kitebi-24'!M22,'27.07 Kabusu-Kitebi-24h'!M22,'28.07 Kabusu-Kitebi'!M22)</f>
        <v>145.42857142857142</v>
      </c>
      <c r="N22" s="49">
        <f>AVERAGE('22.07 Kabusu-Kitebi'!N22,'23.07 Kabusu-Kitebi'!N22,'24.07 Kabusu-Kitebi'!N22,'25.07 Kitebi-Kabusu'!N22,'26.07 Kabusu-Kitebi-24'!N22,'27.07 Kabusu-Kitebi-24h'!N22,'28.07 Kabusu-Kitebi'!N22)</f>
        <v>0</v>
      </c>
      <c r="O22" s="15">
        <f t="shared" si="0"/>
        <v>69.714285714285722</v>
      </c>
      <c r="P22" s="15">
        <f t="shared" si="1"/>
        <v>215.14285714285714</v>
      </c>
      <c r="R22" s="1" t="s">
        <v>146</v>
      </c>
      <c r="S22" s="34">
        <f>SUM(C58:C61)</f>
        <v>292.5</v>
      </c>
      <c r="T22" s="34">
        <f t="shared" ref="T22:AF22" si="14">SUM(D58:D61)</f>
        <v>45</v>
      </c>
      <c r="U22" s="34">
        <f t="shared" si="14"/>
        <v>29.5</v>
      </c>
      <c r="V22" s="34">
        <f t="shared" si="14"/>
        <v>100.5</v>
      </c>
      <c r="W22" s="34">
        <f t="shared" si="14"/>
        <v>9</v>
      </c>
      <c r="X22" s="34">
        <f t="shared" si="14"/>
        <v>0.5</v>
      </c>
      <c r="Y22" s="34">
        <f t="shared" si="14"/>
        <v>15</v>
      </c>
      <c r="Z22" s="34">
        <f t="shared" si="14"/>
        <v>7.5</v>
      </c>
      <c r="AA22" s="34">
        <f t="shared" si="14"/>
        <v>0</v>
      </c>
      <c r="AB22" s="34">
        <f t="shared" si="14"/>
        <v>1</v>
      </c>
      <c r="AC22" s="34">
        <f t="shared" si="14"/>
        <v>521.5</v>
      </c>
      <c r="AD22" s="34">
        <f t="shared" si="14"/>
        <v>0</v>
      </c>
      <c r="AE22" s="31">
        <f t="shared" si="14"/>
        <v>500.5</v>
      </c>
      <c r="AF22" s="31">
        <f t="shared" si="14"/>
        <v>1230</v>
      </c>
    </row>
    <row r="23" spans="2:32" ht="23.1" customHeight="1" x14ac:dyDescent="0.25">
      <c r="B23" s="23" t="s">
        <v>50</v>
      </c>
      <c r="C23" s="49">
        <f>AVERAGE('22.07 Kabusu-Kitebi'!C23,'23.07 Kabusu-Kitebi'!C23,'24.07 Kabusu-Kitebi'!C23,'25.07 Kitebi-Kabusu'!C23,'26.07 Kabusu-Kitebi-24'!C23,'27.07 Kabusu-Kitebi-24h'!C23,'28.07 Kabusu-Kitebi'!C23)</f>
        <v>31.285714285714285</v>
      </c>
      <c r="D23" s="49">
        <f>AVERAGE('22.07 Kabusu-Kitebi'!D23,'23.07 Kabusu-Kitebi'!D23,'24.07 Kabusu-Kitebi'!D23,'25.07 Kitebi-Kabusu'!D23,'26.07 Kabusu-Kitebi-24'!D23,'27.07 Kabusu-Kitebi-24h'!D23,'28.07 Kabusu-Kitebi'!D23)</f>
        <v>5.5714285714285712</v>
      </c>
      <c r="E23" s="49">
        <f>AVERAGE('22.07 Kabusu-Kitebi'!E23,'23.07 Kabusu-Kitebi'!E23,'24.07 Kabusu-Kitebi'!E23,'25.07 Kitebi-Kabusu'!E23,'26.07 Kabusu-Kitebi-24'!E23,'27.07 Kabusu-Kitebi-24h'!E23,'28.07 Kabusu-Kitebi'!E23)</f>
        <v>4.8571428571428568</v>
      </c>
      <c r="F23" s="49">
        <f>AVERAGE('22.07 Kabusu-Kitebi'!F23,'23.07 Kabusu-Kitebi'!F23,'24.07 Kabusu-Kitebi'!F23,'25.07 Kitebi-Kabusu'!F23,'26.07 Kabusu-Kitebi-24'!F23,'27.07 Kabusu-Kitebi-24h'!F23,'28.07 Kabusu-Kitebi'!F23)</f>
        <v>21</v>
      </c>
      <c r="G23" s="49">
        <f>AVERAGE('22.07 Kabusu-Kitebi'!G23,'23.07 Kabusu-Kitebi'!G23,'24.07 Kabusu-Kitebi'!G23,'25.07 Kitebi-Kabusu'!G23,'26.07 Kabusu-Kitebi-24'!G23,'27.07 Kabusu-Kitebi-24h'!G23,'28.07 Kabusu-Kitebi'!G23)</f>
        <v>0.42857142857142855</v>
      </c>
      <c r="H23" s="49">
        <f>AVERAGE('22.07 Kabusu-Kitebi'!H23,'23.07 Kabusu-Kitebi'!H23,'24.07 Kabusu-Kitebi'!H23,'25.07 Kitebi-Kabusu'!H23,'26.07 Kabusu-Kitebi-24'!H23,'27.07 Kabusu-Kitebi-24h'!H23,'28.07 Kabusu-Kitebi'!H23)</f>
        <v>0.14285714285714285</v>
      </c>
      <c r="I23" s="49">
        <f>AVERAGE('22.07 Kabusu-Kitebi'!I23,'23.07 Kabusu-Kitebi'!I23,'24.07 Kabusu-Kitebi'!I23,'25.07 Kitebi-Kabusu'!I23,'26.07 Kabusu-Kitebi-24'!I23,'27.07 Kabusu-Kitebi-24h'!I23,'28.07 Kabusu-Kitebi'!I23)</f>
        <v>5.8571428571428568</v>
      </c>
      <c r="J23" s="49">
        <f>AVERAGE('22.07 Kabusu-Kitebi'!J23,'23.07 Kabusu-Kitebi'!J23,'24.07 Kabusu-Kitebi'!J23,'25.07 Kitebi-Kabusu'!J23,'26.07 Kabusu-Kitebi-24'!J23,'27.07 Kabusu-Kitebi-24h'!J23,'28.07 Kabusu-Kitebi'!J23)</f>
        <v>1.8571428571428572</v>
      </c>
      <c r="K23" s="49">
        <f>AVERAGE('22.07 Kabusu-Kitebi'!K23,'23.07 Kabusu-Kitebi'!K23,'24.07 Kabusu-Kitebi'!K23,'25.07 Kitebi-Kabusu'!K23,'26.07 Kabusu-Kitebi-24'!K23,'27.07 Kabusu-Kitebi-24h'!K23,'28.07 Kabusu-Kitebi'!K23)</f>
        <v>1.4285714285714286</v>
      </c>
      <c r="L23" s="49">
        <f>AVERAGE('22.07 Kabusu-Kitebi'!L23,'23.07 Kabusu-Kitebi'!L23,'24.07 Kabusu-Kitebi'!L23,'25.07 Kitebi-Kabusu'!L23,'26.07 Kabusu-Kitebi-24'!L23,'27.07 Kabusu-Kitebi-24h'!L23,'28.07 Kabusu-Kitebi'!L23)</f>
        <v>0.8571428571428571</v>
      </c>
      <c r="M23" s="49">
        <f>AVERAGE('22.07 Kabusu-Kitebi'!M23,'23.07 Kabusu-Kitebi'!M23,'24.07 Kabusu-Kitebi'!M23,'25.07 Kitebi-Kabusu'!M23,'26.07 Kabusu-Kitebi-24'!M23,'27.07 Kabusu-Kitebi-24h'!M23,'28.07 Kabusu-Kitebi'!M23)</f>
        <v>140.71428571428572</v>
      </c>
      <c r="N23" s="49">
        <f>AVERAGE('22.07 Kabusu-Kitebi'!N23,'23.07 Kabusu-Kitebi'!N23,'24.07 Kabusu-Kitebi'!N23,'25.07 Kitebi-Kabusu'!N23,'26.07 Kabusu-Kitebi-24'!N23,'27.07 Kabusu-Kitebi-24h'!N23,'28.07 Kabusu-Kitebi'!N23)</f>
        <v>0</v>
      </c>
      <c r="O23" s="15">
        <f t="shared" si="0"/>
        <v>73.285714285714292</v>
      </c>
      <c r="P23" s="15">
        <f t="shared" si="1"/>
        <v>214</v>
      </c>
      <c r="R23" s="1" t="s">
        <v>147</v>
      </c>
      <c r="S23" s="34">
        <f>SUM(C62:C65)</f>
        <v>330.5</v>
      </c>
      <c r="T23" s="34">
        <f t="shared" ref="T23:AF23" si="15">SUM(D62:D65)</f>
        <v>28.5</v>
      </c>
      <c r="U23" s="34">
        <f t="shared" si="15"/>
        <v>24</v>
      </c>
      <c r="V23" s="34">
        <f t="shared" si="15"/>
        <v>123</v>
      </c>
      <c r="W23" s="34">
        <f t="shared" si="15"/>
        <v>3</v>
      </c>
      <c r="X23" s="34">
        <f t="shared" si="15"/>
        <v>0.5</v>
      </c>
      <c r="Y23" s="34">
        <f t="shared" si="15"/>
        <v>11</v>
      </c>
      <c r="Z23" s="34">
        <f t="shared" si="15"/>
        <v>9</v>
      </c>
      <c r="AA23" s="34">
        <f t="shared" si="15"/>
        <v>2.5</v>
      </c>
      <c r="AB23" s="34">
        <f t="shared" si="15"/>
        <v>1.5</v>
      </c>
      <c r="AC23" s="34">
        <f t="shared" si="15"/>
        <v>474.5</v>
      </c>
      <c r="AD23" s="34">
        <f t="shared" si="15"/>
        <v>0</v>
      </c>
      <c r="AE23" s="31">
        <f t="shared" si="15"/>
        <v>533.5</v>
      </c>
      <c r="AF23" s="31">
        <f t="shared" si="15"/>
        <v>1211</v>
      </c>
    </row>
    <row r="24" spans="2:32" ht="23.1" customHeight="1" x14ac:dyDescent="0.25">
      <c r="B24" s="23" t="s">
        <v>51</v>
      </c>
      <c r="C24" s="49">
        <f>AVERAGE('22.07 Kabusu-Kitebi'!C24,'23.07 Kabusu-Kitebi'!C24,'24.07 Kabusu-Kitebi'!C24,'25.07 Kitebi-Kabusu'!C24,'26.07 Kabusu-Kitebi-24'!C24,'27.07 Kabusu-Kitebi-24h'!C24,'28.07 Kabusu-Kitebi'!C24)</f>
        <v>31.428571428571427</v>
      </c>
      <c r="D24" s="49">
        <f>AVERAGE('22.07 Kabusu-Kitebi'!D24,'23.07 Kabusu-Kitebi'!D24,'24.07 Kabusu-Kitebi'!D24,'25.07 Kitebi-Kabusu'!D24,'26.07 Kabusu-Kitebi-24'!D24,'27.07 Kabusu-Kitebi-24h'!D24,'28.07 Kabusu-Kitebi'!D24)</f>
        <v>7</v>
      </c>
      <c r="E24" s="49">
        <f>AVERAGE('22.07 Kabusu-Kitebi'!E24,'23.07 Kabusu-Kitebi'!E24,'24.07 Kabusu-Kitebi'!E24,'25.07 Kitebi-Kabusu'!E24,'26.07 Kabusu-Kitebi-24'!E24,'27.07 Kabusu-Kitebi-24h'!E24,'28.07 Kabusu-Kitebi'!E24)</f>
        <v>5</v>
      </c>
      <c r="F24" s="49">
        <f>AVERAGE('22.07 Kabusu-Kitebi'!F24,'23.07 Kabusu-Kitebi'!F24,'24.07 Kabusu-Kitebi'!F24,'25.07 Kitebi-Kabusu'!F24,'26.07 Kabusu-Kitebi-24'!F24,'27.07 Kabusu-Kitebi-24h'!F24,'28.07 Kabusu-Kitebi'!F24)</f>
        <v>20.142857142857142</v>
      </c>
      <c r="G24" s="49">
        <f>AVERAGE('22.07 Kabusu-Kitebi'!G24,'23.07 Kabusu-Kitebi'!G24,'24.07 Kabusu-Kitebi'!G24,'25.07 Kitebi-Kabusu'!G24,'26.07 Kabusu-Kitebi-24'!G24,'27.07 Kabusu-Kitebi-24h'!G24,'28.07 Kabusu-Kitebi'!G24)</f>
        <v>0.42857142857142855</v>
      </c>
      <c r="H24" s="49">
        <f>AVERAGE('22.07 Kabusu-Kitebi'!H24,'23.07 Kabusu-Kitebi'!H24,'24.07 Kabusu-Kitebi'!H24,'25.07 Kitebi-Kabusu'!H24,'26.07 Kabusu-Kitebi-24'!H24,'27.07 Kabusu-Kitebi-24h'!H24,'28.07 Kabusu-Kitebi'!H24)</f>
        <v>0.14285714285714285</v>
      </c>
      <c r="I24" s="49">
        <f>AVERAGE('22.07 Kabusu-Kitebi'!I24,'23.07 Kabusu-Kitebi'!I24,'24.07 Kabusu-Kitebi'!I24,'25.07 Kitebi-Kabusu'!I24,'26.07 Kabusu-Kitebi-24'!I24,'27.07 Kabusu-Kitebi-24h'!I24,'28.07 Kabusu-Kitebi'!I24)</f>
        <v>5.4285714285714288</v>
      </c>
      <c r="J24" s="49">
        <f>AVERAGE('22.07 Kabusu-Kitebi'!J24,'23.07 Kabusu-Kitebi'!J24,'24.07 Kabusu-Kitebi'!J24,'25.07 Kitebi-Kabusu'!J24,'26.07 Kabusu-Kitebi-24'!J24,'27.07 Kabusu-Kitebi-24h'!J24,'28.07 Kabusu-Kitebi'!J24)</f>
        <v>1.2857142857142858</v>
      </c>
      <c r="K24" s="49">
        <f>AVERAGE('22.07 Kabusu-Kitebi'!K24,'23.07 Kabusu-Kitebi'!K24,'24.07 Kabusu-Kitebi'!K24,'25.07 Kitebi-Kabusu'!K24,'26.07 Kabusu-Kitebi-24'!K24,'27.07 Kabusu-Kitebi-24h'!K24,'28.07 Kabusu-Kitebi'!K24)</f>
        <v>1.5714285714285714</v>
      </c>
      <c r="L24" s="49">
        <f>AVERAGE('22.07 Kabusu-Kitebi'!L24,'23.07 Kabusu-Kitebi'!L24,'24.07 Kabusu-Kitebi'!L24,'25.07 Kitebi-Kabusu'!L24,'26.07 Kabusu-Kitebi-24'!L24,'27.07 Kabusu-Kitebi-24h'!L24,'28.07 Kabusu-Kitebi'!L24)</f>
        <v>0.8571428571428571</v>
      </c>
      <c r="M24" s="49">
        <f>AVERAGE('22.07 Kabusu-Kitebi'!M24,'23.07 Kabusu-Kitebi'!M24,'24.07 Kabusu-Kitebi'!M24,'25.07 Kitebi-Kabusu'!M24,'26.07 Kabusu-Kitebi-24'!M24,'27.07 Kabusu-Kitebi-24h'!M24,'28.07 Kabusu-Kitebi'!M24)</f>
        <v>149.28571428571428</v>
      </c>
      <c r="N24" s="49">
        <f>AVERAGE('22.07 Kabusu-Kitebi'!N24,'23.07 Kabusu-Kitebi'!N24,'24.07 Kabusu-Kitebi'!N24,'25.07 Kitebi-Kabusu'!N24,'26.07 Kabusu-Kitebi-24'!N24,'27.07 Kabusu-Kitebi-24h'!N24,'28.07 Kabusu-Kitebi'!N24)</f>
        <v>0</v>
      </c>
      <c r="O24" s="15">
        <f t="shared" si="0"/>
        <v>73.285714285714292</v>
      </c>
      <c r="P24" s="15">
        <f t="shared" si="1"/>
        <v>222.57142857142856</v>
      </c>
      <c r="R24" s="1" t="s">
        <v>148</v>
      </c>
      <c r="S24" s="34">
        <f>SUM(C66:C69)</f>
        <v>331.5</v>
      </c>
      <c r="T24" s="34">
        <f t="shared" ref="T24:AF24" si="16">SUM(D66:D69)</f>
        <v>28</v>
      </c>
      <c r="U24" s="34">
        <f t="shared" si="16"/>
        <v>27.5</v>
      </c>
      <c r="V24" s="34">
        <f t="shared" si="16"/>
        <v>124</v>
      </c>
      <c r="W24" s="34">
        <f t="shared" si="16"/>
        <v>1.5</v>
      </c>
      <c r="X24" s="34">
        <f t="shared" si="16"/>
        <v>1.5</v>
      </c>
      <c r="Y24" s="34">
        <f t="shared" si="16"/>
        <v>15.5</v>
      </c>
      <c r="Z24" s="34">
        <f t="shared" si="16"/>
        <v>3.5</v>
      </c>
      <c r="AA24" s="34">
        <f t="shared" si="16"/>
        <v>2.5</v>
      </c>
      <c r="AB24" s="34">
        <f t="shared" si="16"/>
        <v>1</v>
      </c>
      <c r="AC24" s="34">
        <f t="shared" si="16"/>
        <v>355</v>
      </c>
      <c r="AD24" s="34">
        <f t="shared" si="16"/>
        <v>0</v>
      </c>
      <c r="AE24" s="31">
        <f t="shared" si="16"/>
        <v>536.5</v>
      </c>
      <c r="AF24" s="31">
        <f t="shared" si="16"/>
        <v>1096.5</v>
      </c>
    </row>
    <row r="25" spans="2:32" ht="23.1" customHeight="1" x14ac:dyDescent="0.25">
      <c r="B25" s="23" t="s">
        <v>52</v>
      </c>
      <c r="C25" s="49">
        <f>AVERAGE('22.07 Kabusu-Kitebi'!C25,'23.07 Kabusu-Kitebi'!C25,'24.07 Kabusu-Kitebi'!C25,'25.07 Kitebi-Kabusu'!C25,'26.07 Kabusu-Kitebi-24'!C25,'27.07 Kabusu-Kitebi-24h'!C25,'28.07 Kabusu-Kitebi'!C25)</f>
        <v>30</v>
      </c>
      <c r="D25" s="49">
        <f>AVERAGE('22.07 Kabusu-Kitebi'!D25,'23.07 Kabusu-Kitebi'!D25,'24.07 Kabusu-Kitebi'!D25,'25.07 Kitebi-Kabusu'!D25,'26.07 Kabusu-Kitebi-24'!D25,'27.07 Kabusu-Kitebi-24h'!D25,'28.07 Kabusu-Kitebi'!D25)</f>
        <v>7</v>
      </c>
      <c r="E25" s="49">
        <f>AVERAGE('22.07 Kabusu-Kitebi'!E25,'23.07 Kabusu-Kitebi'!E25,'24.07 Kabusu-Kitebi'!E25,'25.07 Kitebi-Kabusu'!E25,'26.07 Kabusu-Kitebi-24'!E25,'27.07 Kabusu-Kitebi-24h'!E25,'28.07 Kabusu-Kitebi'!E25)</f>
        <v>4.4285714285714288</v>
      </c>
      <c r="F25" s="49">
        <f>AVERAGE('22.07 Kabusu-Kitebi'!F25,'23.07 Kabusu-Kitebi'!F25,'24.07 Kabusu-Kitebi'!F25,'25.07 Kitebi-Kabusu'!F25,'26.07 Kabusu-Kitebi-24'!F25,'27.07 Kabusu-Kitebi-24h'!F25,'28.07 Kabusu-Kitebi'!F25)</f>
        <v>19</v>
      </c>
      <c r="G25" s="49">
        <f>AVERAGE('22.07 Kabusu-Kitebi'!G25,'23.07 Kabusu-Kitebi'!G25,'24.07 Kabusu-Kitebi'!G25,'25.07 Kitebi-Kabusu'!G25,'26.07 Kabusu-Kitebi-24'!G25,'27.07 Kabusu-Kitebi-24h'!G25,'28.07 Kabusu-Kitebi'!G25)</f>
        <v>0.14285714285714285</v>
      </c>
      <c r="H25" s="49">
        <f>AVERAGE('22.07 Kabusu-Kitebi'!H25,'23.07 Kabusu-Kitebi'!H25,'24.07 Kabusu-Kitebi'!H25,'25.07 Kitebi-Kabusu'!H25,'26.07 Kabusu-Kitebi-24'!H25,'27.07 Kabusu-Kitebi-24h'!H25,'28.07 Kabusu-Kitebi'!H25)</f>
        <v>0.14285714285714285</v>
      </c>
      <c r="I25" s="49">
        <f>AVERAGE('22.07 Kabusu-Kitebi'!I25,'23.07 Kabusu-Kitebi'!I25,'24.07 Kabusu-Kitebi'!I25,'25.07 Kitebi-Kabusu'!I25,'26.07 Kabusu-Kitebi-24'!I25,'27.07 Kabusu-Kitebi-24h'!I25,'28.07 Kabusu-Kitebi'!I25)</f>
        <v>3.1428571428571428</v>
      </c>
      <c r="J25" s="49">
        <f>AVERAGE('22.07 Kabusu-Kitebi'!J25,'23.07 Kabusu-Kitebi'!J25,'24.07 Kabusu-Kitebi'!J25,'25.07 Kitebi-Kabusu'!J25,'26.07 Kabusu-Kitebi-24'!J25,'27.07 Kabusu-Kitebi-24h'!J25,'28.07 Kabusu-Kitebi'!J25)</f>
        <v>1</v>
      </c>
      <c r="K25" s="49">
        <f>AVERAGE('22.07 Kabusu-Kitebi'!K25,'23.07 Kabusu-Kitebi'!K25,'24.07 Kabusu-Kitebi'!K25,'25.07 Kitebi-Kabusu'!K25,'26.07 Kabusu-Kitebi-24'!K25,'27.07 Kabusu-Kitebi-24h'!K25,'28.07 Kabusu-Kitebi'!K25)</f>
        <v>2</v>
      </c>
      <c r="L25" s="49">
        <f>AVERAGE('22.07 Kabusu-Kitebi'!L25,'23.07 Kabusu-Kitebi'!L25,'24.07 Kabusu-Kitebi'!L25,'25.07 Kitebi-Kabusu'!L25,'26.07 Kabusu-Kitebi-24'!L25,'27.07 Kabusu-Kitebi-24h'!L25,'28.07 Kabusu-Kitebi'!L25)</f>
        <v>0.2857142857142857</v>
      </c>
      <c r="M25" s="49">
        <f>AVERAGE('22.07 Kabusu-Kitebi'!M25,'23.07 Kabusu-Kitebi'!M25,'24.07 Kabusu-Kitebi'!M25,'25.07 Kitebi-Kabusu'!M25,'26.07 Kabusu-Kitebi-24'!M25,'27.07 Kabusu-Kitebi-24h'!M25,'28.07 Kabusu-Kitebi'!M25)</f>
        <v>148.57142857142858</v>
      </c>
      <c r="N25" s="49">
        <f>AVERAGE('22.07 Kabusu-Kitebi'!N25,'23.07 Kabusu-Kitebi'!N25,'24.07 Kabusu-Kitebi'!N25,'25.07 Kitebi-Kabusu'!N25,'26.07 Kabusu-Kitebi-24'!N25,'27.07 Kabusu-Kitebi-24h'!N25,'28.07 Kabusu-Kitebi'!N25)</f>
        <v>0</v>
      </c>
      <c r="O25" s="15">
        <f t="shared" si="0"/>
        <v>67.142857142857153</v>
      </c>
      <c r="P25" s="15">
        <f t="shared" si="1"/>
        <v>215.71428571428572</v>
      </c>
      <c r="R25" s="1" t="s">
        <v>149</v>
      </c>
      <c r="S25" s="34">
        <f>SUM(C70:C73)</f>
        <v>248.5</v>
      </c>
      <c r="T25" s="34">
        <f t="shared" ref="T25:AF25" si="17">SUM(D70:D73)</f>
        <v>38.5</v>
      </c>
      <c r="U25" s="34">
        <f t="shared" si="17"/>
        <v>32.5</v>
      </c>
      <c r="V25" s="34">
        <f t="shared" si="17"/>
        <v>84</v>
      </c>
      <c r="W25" s="34">
        <f t="shared" si="17"/>
        <v>1.5</v>
      </c>
      <c r="X25" s="34">
        <f t="shared" si="17"/>
        <v>0</v>
      </c>
      <c r="Y25" s="34">
        <f t="shared" si="17"/>
        <v>15.5</v>
      </c>
      <c r="Z25" s="34">
        <f t="shared" si="17"/>
        <v>3.5</v>
      </c>
      <c r="AA25" s="34">
        <f t="shared" si="17"/>
        <v>1</v>
      </c>
      <c r="AB25" s="34">
        <f t="shared" si="17"/>
        <v>0.5</v>
      </c>
      <c r="AC25" s="34">
        <f t="shared" si="17"/>
        <v>269</v>
      </c>
      <c r="AD25" s="34">
        <f t="shared" si="17"/>
        <v>0</v>
      </c>
      <c r="AE25" s="31">
        <f t="shared" si="17"/>
        <v>425.5</v>
      </c>
      <c r="AF25" s="31">
        <f t="shared" si="17"/>
        <v>871.5</v>
      </c>
    </row>
    <row r="26" spans="2:32" ht="23.1" customHeight="1" x14ac:dyDescent="0.25">
      <c r="B26" s="23" t="s">
        <v>53</v>
      </c>
      <c r="C26" s="49">
        <f>AVERAGE('22.07 Kabusu-Kitebi'!C26,'23.07 Kabusu-Kitebi'!C26,'24.07 Kabusu-Kitebi'!C26,'25.07 Kitebi-Kabusu'!C26,'26.07 Kabusu-Kitebi-24'!C26,'27.07 Kabusu-Kitebi-24h'!C26,'28.07 Kabusu-Kitebi'!C26)</f>
        <v>32</v>
      </c>
      <c r="D26" s="49">
        <f>AVERAGE('22.07 Kabusu-Kitebi'!D26,'23.07 Kabusu-Kitebi'!D26,'24.07 Kabusu-Kitebi'!D26,'25.07 Kitebi-Kabusu'!D26,'26.07 Kabusu-Kitebi-24'!D26,'27.07 Kabusu-Kitebi-24h'!D26,'28.07 Kabusu-Kitebi'!D26)</f>
        <v>5.8571428571428568</v>
      </c>
      <c r="E26" s="49">
        <f>AVERAGE('22.07 Kabusu-Kitebi'!E26,'23.07 Kabusu-Kitebi'!E26,'24.07 Kabusu-Kitebi'!E26,'25.07 Kitebi-Kabusu'!E26,'26.07 Kabusu-Kitebi-24'!E26,'27.07 Kabusu-Kitebi-24h'!E26,'28.07 Kabusu-Kitebi'!E26)</f>
        <v>5.8571428571428568</v>
      </c>
      <c r="F26" s="49">
        <f>AVERAGE('22.07 Kabusu-Kitebi'!F26,'23.07 Kabusu-Kitebi'!F26,'24.07 Kabusu-Kitebi'!F26,'25.07 Kitebi-Kabusu'!F26,'26.07 Kabusu-Kitebi-24'!F26,'27.07 Kabusu-Kitebi-24h'!F26,'28.07 Kabusu-Kitebi'!F26)</f>
        <v>18.714285714285715</v>
      </c>
      <c r="G26" s="49">
        <f>AVERAGE('22.07 Kabusu-Kitebi'!G26,'23.07 Kabusu-Kitebi'!G26,'24.07 Kabusu-Kitebi'!G26,'25.07 Kitebi-Kabusu'!G26,'26.07 Kabusu-Kitebi-24'!G26,'27.07 Kabusu-Kitebi-24h'!G26,'28.07 Kabusu-Kitebi'!G26)</f>
        <v>0.5714285714285714</v>
      </c>
      <c r="H26" s="49">
        <f>AVERAGE('22.07 Kabusu-Kitebi'!H26,'23.07 Kabusu-Kitebi'!H26,'24.07 Kabusu-Kitebi'!H26,'25.07 Kitebi-Kabusu'!H26,'26.07 Kabusu-Kitebi-24'!H26,'27.07 Kabusu-Kitebi-24h'!H26,'28.07 Kabusu-Kitebi'!H26)</f>
        <v>0.14285714285714285</v>
      </c>
      <c r="I26" s="49">
        <f>AVERAGE('22.07 Kabusu-Kitebi'!I26,'23.07 Kabusu-Kitebi'!I26,'24.07 Kabusu-Kitebi'!I26,'25.07 Kitebi-Kabusu'!I26,'26.07 Kabusu-Kitebi-24'!I26,'27.07 Kabusu-Kitebi-24h'!I26,'28.07 Kabusu-Kitebi'!I26)</f>
        <v>5.5714285714285712</v>
      </c>
      <c r="J26" s="49">
        <f>AVERAGE('22.07 Kabusu-Kitebi'!J26,'23.07 Kabusu-Kitebi'!J26,'24.07 Kabusu-Kitebi'!J26,'25.07 Kitebi-Kabusu'!J26,'26.07 Kabusu-Kitebi-24'!J26,'27.07 Kabusu-Kitebi-24h'!J26,'28.07 Kabusu-Kitebi'!J26)</f>
        <v>0.8571428571428571</v>
      </c>
      <c r="K26" s="49">
        <f>AVERAGE('22.07 Kabusu-Kitebi'!K26,'23.07 Kabusu-Kitebi'!K26,'24.07 Kabusu-Kitebi'!K26,'25.07 Kitebi-Kabusu'!K26,'26.07 Kabusu-Kitebi-24'!K26,'27.07 Kabusu-Kitebi-24h'!K26,'28.07 Kabusu-Kitebi'!K26)</f>
        <v>1.4285714285714286</v>
      </c>
      <c r="L26" s="49">
        <f>AVERAGE('22.07 Kabusu-Kitebi'!L26,'23.07 Kabusu-Kitebi'!L26,'24.07 Kabusu-Kitebi'!L26,'25.07 Kitebi-Kabusu'!L26,'26.07 Kabusu-Kitebi-24'!L26,'27.07 Kabusu-Kitebi-24h'!L26,'28.07 Kabusu-Kitebi'!L26)</f>
        <v>1</v>
      </c>
      <c r="M26" s="49">
        <f>AVERAGE('22.07 Kabusu-Kitebi'!M26,'23.07 Kabusu-Kitebi'!M26,'24.07 Kabusu-Kitebi'!M26,'25.07 Kitebi-Kabusu'!M26,'26.07 Kabusu-Kitebi-24'!M26,'27.07 Kabusu-Kitebi-24h'!M26,'28.07 Kabusu-Kitebi'!M26)</f>
        <v>148.28571428571428</v>
      </c>
      <c r="N26" s="49">
        <f>AVERAGE('22.07 Kabusu-Kitebi'!N26,'23.07 Kabusu-Kitebi'!N26,'24.07 Kabusu-Kitebi'!N26,'25.07 Kitebi-Kabusu'!N26,'26.07 Kabusu-Kitebi-24'!N26,'27.07 Kabusu-Kitebi-24h'!N26,'28.07 Kabusu-Kitebi'!N26)</f>
        <v>0</v>
      </c>
      <c r="O26" s="15">
        <f t="shared" si="0"/>
        <v>72</v>
      </c>
      <c r="P26" s="15">
        <f t="shared" si="1"/>
        <v>220.28571428571428</v>
      </c>
      <c r="R26" s="1" t="s">
        <v>150</v>
      </c>
      <c r="S26" s="34">
        <f>SUM(C74:C77)</f>
        <v>150.5</v>
      </c>
      <c r="T26" s="34">
        <f t="shared" ref="T26:AF26" si="18">SUM(D74:D77)</f>
        <v>21.5</v>
      </c>
      <c r="U26" s="34">
        <f t="shared" si="18"/>
        <v>13</v>
      </c>
      <c r="V26" s="34">
        <f t="shared" si="18"/>
        <v>36</v>
      </c>
      <c r="W26" s="34">
        <f t="shared" si="18"/>
        <v>1.5</v>
      </c>
      <c r="X26" s="34">
        <f t="shared" si="18"/>
        <v>1</v>
      </c>
      <c r="Y26" s="34">
        <f t="shared" si="18"/>
        <v>8</v>
      </c>
      <c r="Z26" s="34">
        <f t="shared" si="18"/>
        <v>2</v>
      </c>
      <c r="AA26" s="34">
        <f t="shared" si="18"/>
        <v>1.5</v>
      </c>
      <c r="AB26" s="34">
        <f t="shared" si="18"/>
        <v>0.5</v>
      </c>
      <c r="AC26" s="34">
        <f t="shared" si="18"/>
        <v>261.5</v>
      </c>
      <c r="AD26" s="34">
        <f t="shared" si="18"/>
        <v>0</v>
      </c>
      <c r="AE26" s="31">
        <f t="shared" si="18"/>
        <v>235.5</v>
      </c>
      <c r="AF26" s="31">
        <f t="shared" si="18"/>
        <v>582</v>
      </c>
    </row>
    <row r="27" spans="2:32" ht="23.1" customHeight="1" x14ac:dyDescent="0.25">
      <c r="B27" s="23" t="s">
        <v>54</v>
      </c>
      <c r="C27" s="49">
        <f>AVERAGE('22.07 Kabusu-Kitebi'!C27,'23.07 Kabusu-Kitebi'!C27,'24.07 Kabusu-Kitebi'!C27,'25.07 Kitebi-Kabusu'!C27,'26.07 Kabusu-Kitebi-24'!C27,'27.07 Kabusu-Kitebi-24h'!C27,'28.07 Kabusu-Kitebi'!C27)</f>
        <v>32.142857142857146</v>
      </c>
      <c r="D27" s="49">
        <f>AVERAGE('22.07 Kabusu-Kitebi'!D27,'23.07 Kabusu-Kitebi'!D27,'24.07 Kabusu-Kitebi'!D27,'25.07 Kitebi-Kabusu'!D27,'26.07 Kabusu-Kitebi-24'!D27,'27.07 Kabusu-Kitebi-24h'!D27,'28.07 Kabusu-Kitebi'!D27)</f>
        <v>5.5714285714285712</v>
      </c>
      <c r="E27" s="49">
        <f>AVERAGE('22.07 Kabusu-Kitebi'!E27,'23.07 Kabusu-Kitebi'!E27,'24.07 Kabusu-Kitebi'!E27,'25.07 Kitebi-Kabusu'!E27,'26.07 Kabusu-Kitebi-24'!E27,'27.07 Kabusu-Kitebi-24h'!E27,'28.07 Kabusu-Kitebi'!E27)</f>
        <v>5.2857142857142856</v>
      </c>
      <c r="F27" s="49">
        <f>AVERAGE('22.07 Kabusu-Kitebi'!F27,'23.07 Kabusu-Kitebi'!F27,'24.07 Kabusu-Kitebi'!F27,'25.07 Kitebi-Kabusu'!F27,'26.07 Kabusu-Kitebi-24'!F27,'27.07 Kabusu-Kitebi-24h'!F27,'28.07 Kabusu-Kitebi'!F27)</f>
        <v>19.714285714285715</v>
      </c>
      <c r="G27" s="49">
        <f>AVERAGE('22.07 Kabusu-Kitebi'!G27,'23.07 Kabusu-Kitebi'!G27,'24.07 Kabusu-Kitebi'!G27,'25.07 Kitebi-Kabusu'!G27,'26.07 Kabusu-Kitebi-24'!G27,'27.07 Kabusu-Kitebi-24h'!G27,'28.07 Kabusu-Kitebi'!G27)</f>
        <v>1</v>
      </c>
      <c r="H27" s="49">
        <f>AVERAGE('22.07 Kabusu-Kitebi'!H27,'23.07 Kabusu-Kitebi'!H27,'24.07 Kabusu-Kitebi'!H27,'25.07 Kitebi-Kabusu'!H27,'26.07 Kabusu-Kitebi-24'!H27,'27.07 Kabusu-Kitebi-24h'!H27,'28.07 Kabusu-Kitebi'!H27)</f>
        <v>0.14285714285714285</v>
      </c>
      <c r="I27" s="49">
        <f>AVERAGE('22.07 Kabusu-Kitebi'!I27,'23.07 Kabusu-Kitebi'!I27,'24.07 Kabusu-Kitebi'!I27,'25.07 Kitebi-Kabusu'!I27,'26.07 Kabusu-Kitebi-24'!I27,'27.07 Kabusu-Kitebi-24h'!I27,'28.07 Kabusu-Kitebi'!I27)</f>
        <v>5.1428571428571432</v>
      </c>
      <c r="J27" s="49">
        <f>AVERAGE('22.07 Kabusu-Kitebi'!J27,'23.07 Kabusu-Kitebi'!J27,'24.07 Kabusu-Kitebi'!J27,'25.07 Kitebi-Kabusu'!J27,'26.07 Kabusu-Kitebi-24'!J27,'27.07 Kabusu-Kitebi-24h'!J27,'28.07 Kabusu-Kitebi'!J27)</f>
        <v>0.8571428571428571</v>
      </c>
      <c r="K27" s="49">
        <f>AVERAGE('22.07 Kabusu-Kitebi'!K27,'23.07 Kabusu-Kitebi'!K27,'24.07 Kabusu-Kitebi'!K27,'25.07 Kitebi-Kabusu'!K27,'26.07 Kabusu-Kitebi-24'!K27,'27.07 Kabusu-Kitebi-24h'!K27,'28.07 Kabusu-Kitebi'!K27)</f>
        <v>1.8571428571428572</v>
      </c>
      <c r="L27" s="49">
        <f>AVERAGE('22.07 Kabusu-Kitebi'!L27,'23.07 Kabusu-Kitebi'!L27,'24.07 Kabusu-Kitebi'!L27,'25.07 Kitebi-Kabusu'!L27,'26.07 Kabusu-Kitebi-24'!L27,'27.07 Kabusu-Kitebi-24h'!L27,'28.07 Kabusu-Kitebi'!L27)</f>
        <v>0.14285714285714285</v>
      </c>
      <c r="M27" s="49">
        <f>AVERAGE('22.07 Kabusu-Kitebi'!M27,'23.07 Kabusu-Kitebi'!M27,'24.07 Kabusu-Kitebi'!M27,'25.07 Kitebi-Kabusu'!M27,'26.07 Kabusu-Kitebi-24'!M27,'27.07 Kabusu-Kitebi-24h'!M27,'28.07 Kabusu-Kitebi'!M27)</f>
        <v>138</v>
      </c>
      <c r="N27" s="49">
        <f>AVERAGE('22.07 Kabusu-Kitebi'!N27,'23.07 Kabusu-Kitebi'!N27,'24.07 Kabusu-Kitebi'!N27,'25.07 Kitebi-Kabusu'!N27,'26.07 Kabusu-Kitebi-24'!N27,'27.07 Kabusu-Kitebi-24h'!N27,'28.07 Kabusu-Kitebi'!N27)</f>
        <v>0</v>
      </c>
      <c r="O27" s="15">
        <f t="shared" si="0"/>
        <v>71.857142857142861</v>
      </c>
      <c r="P27" s="15">
        <f t="shared" si="1"/>
        <v>209.85714285714286</v>
      </c>
      <c r="R27" s="1" t="s">
        <v>151</v>
      </c>
      <c r="S27" s="34">
        <f>SUM(C78:C81)</f>
        <v>76</v>
      </c>
      <c r="T27" s="34">
        <f t="shared" ref="T27:AF27" si="19">SUM(D78:D81)</f>
        <v>7</v>
      </c>
      <c r="U27" s="34">
        <f t="shared" si="19"/>
        <v>8.5</v>
      </c>
      <c r="V27" s="34">
        <f t="shared" si="19"/>
        <v>9</v>
      </c>
      <c r="W27" s="34">
        <f t="shared" si="19"/>
        <v>0</v>
      </c>
      <c r="X27" s="34">
        <f t="shared" si="19"/>
        <v>0</v>
      </c>
      <c r="Y27" s="34">
        <f t="shared" si="19"/>
        <v>2.5</v>
      </c>
      <c r="Z27" s="34">
        <f t="shared" si="19"/>
        <v>1</v>
      </c>
      <c r="AA27" s="34">
        <f t="shared" si="19"/>
        <v>1</v>
      </c>
      <c r="AB27" s="34">
        <f t="shared" si="19"/>
        <v>0</v>
      </c>
      <c r="AC27" s="34">
        <f t="shared" si="19"/>
        <v>154.5</v>
      </c>
      <c r="AD27" s="34">
        <f t="shared" si="19"/>
        <v>0</v>
      </c>
      <c r="AE27" s="31">
        <f t="shared" si="19"/>
        <v>105</v>
      </c>
      <c r="AF27" s="31">
        <f t="shared" si="19"/>
        <v>288.5</v>
      </c>
    </row>
    <row r="28" spans="2:32" ht="23.1" customHeight="1" x14ac:dyDescent="0.25">
      <c r="B28" s="23" t="s">
        <v>55</v>
      </c>
      <c r="C28" s="49">
        <f>AVERAGE('22.07 Kabusu-Kitebi'!C28,'23.07 Kabusu-Kitebi'!C28,'24.07 Kabusu-Kitebi'!C28,'25.07 Kitebi-Kabusu'!C28,'26.07 Kabusu-Kitebi-24'!C28,'27.07 Kabusu-Kitebi-24h'!C28,'28.07 Kabusu-Kitebi'!C28)</f>
        <v>32.714285714285715</v>
      </c>
      <c r="D28" s="49">
        <f>AVERAGE('22.07 Kabusu-Kitebi'!D28,'23.07 Kabusu-Kitebi'!D28,'24.07 Kabusu-Kitebi'!D28,'25.07 Kitebi-Kabusu'!D28,'26.07 Kabusu-Kitebi-24'!D28,'27.07 Kabusu-Kitebi-24h'!D28,'28.07 Kabusu-Kitebi'!D28)</f>
        <v>5.8571428571428568</v>
      </c>
      <c r="E28" s="49">
        <f>AVERAGE('22.07 Kabusu-Kitebi'!E28,'23.07 Kabusu-Kitebi'!E28,'24.07 Kabusu-Kitebi'!E28,'25.07 Kitebi-Kabusu'!E28,'26.07 Kabusu-Kitebi-24'!E28,'27.07 Kabusu-Kitebi-24h'!E28,'28.07 Kabusu-Kitebi'!E28)</f>
        <v>8</v>
      </c>
      <c r="F28" s="49">
        <f>AVERAGE('22.07 Kabusu-Kitebi'!F28,'23.07 Kabusu-Kitebi'!F28,'24.07 Kabusu-Kitebi'!F28,'25.07 Kitebi-Kabusu'!F28,'26.07 Kabusu-Kitebi-24'!F28,'27.07 Kabusu-Kitebi-24h'!F28,'28.07 Kabusu-Kitebi'!F28)</f>
        <v>18</v>
      </c>
      <c r="G28" s="49">
        <f>AVERAGE('22.07 Kabusu-Kitebi'!G28,'23.07 Kabusu-Kitebi'!G28,'24.07 Kabusu-Kitebi'!G28,'25.07 Kitebi-Kabusu'!G28,'26.07 Kabusu-Kitebi-24'!G28,'27.07 Kabusu-Kitebi-24h'!G28,'28.07 Kabusu-Kitebi'!G28)</f>
        <v>2.1428571428571428</v>
      </c>
      <c r="H28" s="49">
        <f>AVERAGE('22.07 Kabusu-Kitebi'!H28,'23.07 Kabusu-Kitebi'!H28,'24.07 Kabusu-Kitebi'!H28,'25.07 Kitebi-Kabusu'!H28,'26.07 Kabusu-Kitebi-24'!H28,'27.07 Kabusu-Kitebi-24h'!H28,'28.07 Kabusu-Kitebi'!H28)</f>
        <v>0</v>
      </c>
      <c r="I28" s="49">
        <f>AVERAGE('22.07 Kabusu-Kitebi'!I28,'23.07 Kabusu-Kitebi'!I28,'24.07 Kabusu-Kitebi'!I28,'25.07 Kitebi-Kabusu'!I28,'26.07 Kabusu-Kitebi-24'!I28,'27.07 Kabusu-Kitebi-24h'!I28,'28.07 Kabusu-Kitebi'!I28)</f>
        <v>4.7142857142857144</v>
      </c>
      <c r="J28" s="49">
        <f>AVERAGE('22.07 Kabusu-Kitebi'!J28,'23.07 Kabusu-Kitebi'!J28,'24.07 Kabusu-Kitebi'!J28,'25.07 Kitebi-Kabusu'!J28,'26.07 Kabusu-Kitebi-24'!J28,'27.07 Kabusu-Kitebi-24h'!J28,'28.07 Kabusu-Kitebi'!J28)</f>
        <v>0.7142857142857143</v>
      </c>
      <c r="K28" s="49">
        <f>AVERAGE('22.07 Kabusu-Kitebi'!K28,'23.07 Kabusu-Kitebi'!K28,'24.07 Kabusu-Kitebi'!K28,'25.07 Kitebi-Kabusu'!K28,'26.07 Kabusu-Kitebi-24'!K28,'27.07 Kabusu-Kitebi-24h'!K28,'28.07 Kabusu-Kitebi'!K28)</f>
        <v>2</v>
      </c>
      <c r="L28" s="49">
        <f>AVERAGE('22.07 Kabusu-Kitebi'!L28,'23.07 Kabusu-Kitebi'!L28,'24.07 Kabusu-Kitebi'!L28,'25.07 Kitebi-Kabusu'!L28,'26.07 Kabusu-Kitebi-24'!L28,'27.07 Kabusu-Kitebi-24h'!L28,'28.07 Kabusu-Kitebi'!L28)</f>
        <v>0.2857142857142857</v>
      </c>
      <c r="M28" s="49">
        <f>AVERAGE('22.07 Kabusu-Kitebi'!M28,'23.07 Kabusu-Kitebi'!M28,'24.07 Kabusu-Kitebi'!M28,'25.07 Kitebi-Kabusu'!M28,'26.07 Kabusu-Kitebi-24'!M28,'27.07 Kabusu-Kitebi-24h'!M28,'28.07 Kabusu-Kitebi'!M28)</f>
        <v>123.85714285714286</v>
      </c>
      <c r="N28" s="49">
        <f>AVERAGE('22.07 Kabusu-Kitebi'!N28,'23.07 Kabusu-Kitebi'!N28,'24.07 Kabusu-Kitebi'!N28,'25.07 Kitebi-Kabusu'!N28,'26.07 Kabusu-Kitebi-24'!N28,'27.07 Kabusu-Kitebi-24h'!N28,'28.07 Kabusu-Kitebi'!N28)</f>
        <v>0</v>
      </c>
      <c r="O28" s="15">
        <f t="shared" si="0"/>
        <v>74.428571428571416</v>
      </c>
      <c r="P28" s="15">
        <f t="shared" si="1"/>
        <v>198.28571428571428</v>
      </c>
      <c r="R28" s="1" t="s">
        <v>152</v>
      </c>
      <c r="S28" s="34">
        <f>SUM(C82:C85)</f>
        <v>35.5</v>
      </c>
      <c r="T28" s="34">
        <f t="shared" ref="T28:AF28" si="20">SUM(D82:D85)</f>
        <v>5</v>
      </c>
      <c r="U28" s="34">
        <f t="shared" si="20"/>
        <v>2.5</v>
      </c>
      <c r="V28" s="34">
        <f t="shared" si="20"/>
        <v>4.5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2.5</v>
      </c>
      <c r="AA28" s="34">
        <f t="shared" si="20"/>
        <v>1</v>
      </c>
      <c r="AB28" s="34">
        <f t="shared" si="20"/>
        <v>1</v>
      </c>
      <c r="AC28" s="34">
        <f t="shared" si="20"/>
        <v>108.5</v>
      </c>
      <c r="AD28" s="34">
        <f t="shared" si="20"/>
        <v>0</v>
      </c>
      <c r="AE28" s="31">
        <f t="shared" si="20"/>
        <v>54</v>
      </c>
      <c r="AF28" s="31">
        <f t="shared" si="20"/>
        <v>181</v>
      </c>
    </row>
    <row r="29" spans="2:32" ht="23.1" customHeight="1" x14ac:dyDescent="0.25">
      <c r="B29" s="23" t="s">
        <v>56</v>
      </c>
      <c r="C29" s="49">
        <f>AVERAGE('22.07 Kabusu-Kitebi'!C29,'23.07 Kabusu-Kitebi'!C29,'24.07 Kabusu-Kitebi'!C29,'25.07 Kitebi-Kabusu'!C29,'26.07 Kabusu-Kitebi-24'!C29,'27.07 Kabusu-Kitebi-24h'!C29,'28.07 Kabusu-Kitebi'!C29)</f>
        <v>27</v>
      </c>
      <c r="D29" s="49">
        <f>AVERAGE('22.07 Kabusu-Kitebi'!D29,'23.07 Kabusu-Kitebi'!D29,'24.07 Kabusu-Kitebi'!D29,'25.07 Kitebi-Kabusu'!D29,'26.07 Kabusu-Kitebi-24'!D29,'27.07 Kabusu-Kitebi-24h'!D29,'28.07 Kabusu-Kitebi'!D29)</f>
        <v>5.5714285714285712</v>
      </c>
      <c r="E29" s="49">
        <f>AVERAGE('22.07 Kabusu-Kitebi'!E29,'23.07 Kabusu-Kitebi'!E29,'24.07 Kabusu-Kitebi'!E29,'25.07 Kitebi-Kabusu'!E29,'26.07 Kabusu-Kitebi-24'!E29,'27.07 Kabusu-Kitebi-24h'!E29,'28.07 Kabusu-Kitebi'!E29)</f>
        <v>8</v>
      </c>
      <c r="F29" s="49">
        <f>AVERAGE('22.07 Kabusu-Kitebi'!F29,'23.07 Kabusu-Kitebi'!F29,'24.07 Kabusu-Kitebi'!F29,'25.07 Kitebi-Kabusu'!F29,'26.07 Kabusu-Kitebi-24'!F29,'27.07 Kabusu-Kitebi-24h'!F29,'28.07 Kabusu-Kitebi'!F29)</f>
        <v>18.142857142857142</v>
      </c>
      <c r="G29" s="49">
        <f>AVERAGE('22.07 Kabusu-Kitebi'!G29,'23.07 Kabusu-Kitebi'!G29,'24.07 Kabusu-Kitebi'!G29,'25.07 Kitebi-Kabusu'!G29,'26.07 Kabusu-Kitebi-24'!G29,'27.07 Kabusu-Kitebi-24h'!G29,'28.07 Kabusu-Kitebi'!G29)</f>
        <v>0.42857142857142855</v>
      </c>
      <c r="H29" s="49">
        <f>AVERAGE('22.07 Kabusu-Kitebi'!H29,'23.07 Kabusu-Kitebi'!H29,'24.07 Kabusu-Kitebi'!H29,'25.07 Kitebi-Kabusu'!H29,'26.07 Kabusu-Kitebi-24'!H29,'27.07 Kabusu-Kitebi-24h'!H29,'28.07 Kabusu-Kitebi'!H29)</f>
        <v>0.42857142857142855</v>
      </c>
      <c r="I29" s="49">
        <f>AVERAGE('22.07 Kabusu-Kitebi'!I29,'23.07 Kabusu-Kitebi'!I29,'24.07 Kabusu-Kitebi'!I29,'25.07 Kitebi-Kabusu'!I29,'26.07 Kabusu-Kitebi-24'!I29,'27.07 Kabusu-Kitebi-24h'!I29,'28.07 Kabusu-Kitebi'!I29)</f>
        <v>4.7142857142857144</v>
      </c>
      <c r="J29" s="49">
        <f>AVERAGE('22.07 Kabusu-Kitebi'!J29,'23.07 Kabusu-Kitebi'!J29,'24.07 Kabusu-Kitebi'!J29,'25.07 Kitebi-Kabusu'!J29,'26.07 Kabusu-Kitebi-24'!J29,'27.07 Kabusu-Kitebi-24h'!J29,'28.07 Kabusu-Kitebi'!J29)</f>
        <v>1.2857142857142858</v>
      </c>
      <c r="K29" s="49">
        <f>AVERAGE('22.07 Kabusu-Kitebi'!K29,'23.07 Kabusu-Kitebi'!K29,'24.07 Kabusu-Kitebi'!K29,'25.07 Kitebi-Kabusu'!K29,'26.07 Kabusu-Kitebi-24'!K29,'27.07 Kabusu-Kitebi-24h'!K29,'28.07 Kabusu-Kitebi'!K29)</f>
        <v>1.5714285714285714</v>
      </c>
      <c r="L29" s="49">
        <f>AVERAGE('22.07 Kabusu-Kitebi'!L29,'23.07 Kabusu-Kitebi'!L29,'24.07 Kabusu-Kitebi'!L29,'25.07 Kitebi-Kabusu'!L29,'26.07 Kabusu-Kitebi-24'!L29,'27.07 Kabusu-Kitebi-24h'!L29,'28.07 Kabusu-Kitebi'!L29)</f>
        <v>0.5714285714285714</v>
      </c>
      <c r="M29" s="49">
        <f>AVERAGE('22.07 Kabusu-Kitebi'!M29,'23.07 Kabusu-Kitebi'!M29,'24.07 Kabusu-Kitebi'!M29,'25.07 Kitebi-Kabusu'!M29,'26.07 Kabusu-Kitebi-24'!M29,'27.07 Kabusu-Kitebi-24h'!M29,'28.07 Kabusu-Kitebi'!M29)</f>
        <v>125.71428571428571</v>
      </c>
      <c r="N29" s="49">
        <f>AVERAGE('22.07 Kabusu-Kitebi'!N29,'23.07 Kabusu-Kitebi'!N29,'24.07 Kabusu-Kitebi'!N29,'25.07 Kitebi-Kabusu'!N29,'26.07 Kabusu-Kitebi-24'!N29,'27.07 Kabusu-Kitebi-24h'!N29,'28.07 Kabusu-Kitebi'!N29)</f>
        <v>0</v>
      </c>
      <c r="O29" s="15">
        <f t="shared" si="0"/>
        <v>67.714285714285708</v>
      </c>
      <c r="P29" s="15">
        <f t="shared" si="1"/>
        <v>193.42857142857142</v>
      </c>
      <c r="R29" s="1" t="s">
        <v>153</v>
      </c>
      <c r="S29" s="34">
        <f>SUM(C86:C89)</f>
        <v>27</v>
      </c>
      <c r="T29" s="34">
        <f t="shared" ref="T29:AF29" si="21">SUM(D86:D89)</f>
        <v>8.5</v>
      </c>
      <c r="U29" s="34">
        <f t="shared" si="21"/>
        <v>2.5</v>
      </c>
      <c r="V29" s="34">
        <f t="shared" si="21"/>
        <v>7.5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1</v>
      </c>
      <c r="AA29" s="34">
        <f t="shared" si="21"/>
        <v>0</v>
      </c>
      <c r="AB29" s="34">
        <f t="shared" si="21"/>
        <v>0</v>
      </c>
      <c r="AC29" s="34">
        <f t="shared" si="21"/>
        <v>64.5</v>
      </c>
      <c r="AD29" s="34">
        <f t="shared" si="21"/>
        <v>0</v>
      </c>
      <c r="AE29" s="31">
        <f t="shared" si="21"/>
        <v>46.5</v>
      </c>
      <c r="AF29" s="31">
        <f t="shared" si="21"/>
        <v>130.5</v>
      </c>
    </row>
    <row r="30" spans="2:32" ht="23.1" customHeight="1" x14ac:dyDescent="0.25">
      <c r="B30" s="23" t="s">
        <v>57</v>
      </c>
      <c r="C30" s="49">
        <f>AVERAGE('22.07 Kabusu-Kitebi'!C30,'23.07 Kabusu-Kitebi'!C30,'24.07 Kabusu-Kitebi'!C30,'25.07 Kitebi-Kabusu'!C30,'26.07 Kabusu-Kitebi-24'!C30,'27.07 Kabusu-Kitebi-24h'!C30,'28.07 Kabusu-Kitebi'!C30)</f>
        <v>31.571428571428573</v>
      </c>
      <c r="D30" s="49">
        <f>AVERAGE('22.07 Kabusu-Kitebi'!D30,'23.07 Kabusu-Kitebi'!D30,'24.07 Kabusu-Kitebi'!D30,'25.07 Kitebi-Kabusu'!D30,'26.07 Kabusu-Kitebi-24'!D30,'27.07 Kabusu-Kitebi-24h'!D30,'28.07 Kabusu-Kitebi'!D30)</f>
        <v>6</v>
      </c>
      <c r="E30" s="49">
        <f>AVERAGE('22.07 Kabusu-Kitebi'!E30,'23.07 Kabusu-Kitebi'!E30,'24.07 Kabusu-Kitebi'!E30,'25.07 Kitebi-Kabusu'!E30,'26.07 Kabusu-Kitebi-24'!E30,'27.07 Kabusu-Kitebi-24h'!E30,'28.07 Kabusu-Kitebi'!E30)</f>
        <v>5.5714285714285712</v>
      </c>
      <c r="F30" s="49">
        <f>AVERAGE('22.07 Kabusu-Kitebi'!F30,'23.07 Kabusu-Kitebi'!F30,'24.07 Kabusu-Kitebi'!F30,'25.07 Kitebi-Kabusu'!F30,'26.07 Kabusu-Kitebi-24'!F30,'27.07 Kabusu-Kitebi-24h'!F30,'28.07 Kabusu-Kitebi'!F30)</f>
        <v>19.857142857142858</v>
      </c>
      <c r="G30" s="49">
        <f>AVERAGE('22.07 Kabusu-Kitebi'!G30,'23.07 Kabusu-Kitebi'!G30,'24.07 Kabusu-Kitebi'!G30,'25.07 Kitebi-Kabusu'!G30,'26.07 Kabusu-Kitebi-24'!G30,'27.07 Kabusu-Kitebi-24h'!G30,'28.07 Kabusu-Kitebi'!G30)</f>
        <v>0</v>
      </c>
      <c r="H30" s="49">
        <f>AVERAGE('22.07 Kabusu-Kitebi'!H30,'23.07 Kabusu-Kitebi'!H30,'24.07 Kabusu-Kitebi'!H30,'25.07 Kitebi-Kabusu'!H30,'26.07 Kabusu-Kitebi-24'!H30,'27.07 Kabusu-Kitebi-24h'!H30,'28.07 Kabusu-Kitebi'!H30)</f>
        <v>0.2857142857142857</v>
      </c>
      <c r="I30" s="49">
        <f>AVERAGE('22.07 Kabusu-Kitebi'!I30,'23.07 Kabusu-Kitebi'!I30,'24.07 Kabusu-Kitebi'!I30,'25.07 Kitebi-Kabusu'!I30,'26.07 Kabusu-Kitebi-24'!I30,'27.07 Kabusu-Kitebi-24h'!I30,'28.07 Kabusu-Kitebi'!I30)</f>
        <v>8.4285714285714288</v>
      </c>
      <c r="J30" s="49">
        <f>AVERAGE('22.07 Kabusu-Kitebi'!J30,'23.07 Kabusu-Kitebi'!J30,'24.07 Kabusu-Kitebi'!J30,'25.07 Kitebi-Kabusu'!J30,'26.07 Kabusu-Kitebi-24'!J30,'27.07 Kabusu-Kitebi-24h'!J30,'28.07 Kabusu-Kitebi'!J30)</f>
        <v>1.2857142857142858</v>
      </c>
      <c r="K30" s="49">
        <f>AVERAGE('22.07 Kabusu-Kitebi'!K30,'23.07 Kabusu-Kitebi'!K30,'24.07 Kabusu-Kitebi'!K30,'25.07 Kitebi-Kabusu'!K30,'26.07 Kabusu-Kitebi-24'!K30,'27.07 Kabusu-Kitebi-24h'!K30,'28.07 Kabusu-Kitebi'!K30)</f>
        <v>0.2857142857142857</v>
      </c>
      <c r="L30" s="49">
        <f>AVERAGE('22.07 Kabusu-Kitebi'!L30,'23.07 Kabusu-Kitebi'!L30,'24.07 Kabusu-Kitebi'!L30,'25.07 Kitebi-Kabusu'!L30,'26.07 Kabusu-Kitebi-24'!L30,'27.07 Kabusu-Kitebi-24h'!L30,'28.07 Kabusu-Kitebi'!L30)</f>
        <v>0.42857142857142855</v>
      </c>
      <c r="M30" s="49">
        <f>AVERAGE('22.07 Kabusu-Kitebi'!M30,'23.07 Kabusu-Kitebi'!M30,'24.07 Kabusu-Kitebi'!M30,'25.07 Kitebi-Kabusu'!M30,'26.07 Kabusu-Kitebi-24'!M30,'27.07 Kabusu-Kitebi-24h'!M30,'28.07 Kabusu-Kitebi'!M30)</f>
        <v>114.28571428571429</v>
      </c>
      <c r="N30" s="49">
        <f>AVERAGE('22.07 Kabusu-Kitebi'!N30,'23.07 Kabusu-Kitebi'!N30,'24.07 Kabusu-Kitebi'!N30,'25.07 Kitebi-Kabusu'!N30,'26.07 Kabusu-Kitebi-24'!N30,'27.07 Kabusu-Kitebi-24h'!N30,'28.07 Kabusu-Kitebi'!N30)</f>
        <v>0</v>
      </c>
      <c r="O30" s="15">
        <f t="shared" si="0"/>
        <v>73.714285714285722</v>
      </c>
      <c r="P30" s="15">
        <f t="shared" si="1"/>
        <v>188</v>
      </c>
      <c r="R30" s="1" t="s">
        <v>154</v>
      </c>
      <c r="S30" s="34">
        <f>SUM(C90:C93)</f>
        <v>30.5</v>
      </c>
      <c r="T30" s="34">
        <f t="shared" ref="T30:AF30" si="22">SUM(D90:D93)</f>
        <v>4</v>
      </c>
      <c r="U30" s="34">
        <f t="shared" si="22"/>
        <v>1</v>
      </c>
      <c r="V30" s="34">
        <f t="shared" si="22"/>
        <v>10.5</v>
      </c>
      <c r="W30" s="34">
        <f t="shared" si="22"/>
        <v>0</v>
      </c>
      <c r="X30" s="34">
        <f t="shared" si="22"/>
        <v>0</v>
      </c>
      <c r="Y30" s="34">
        <f t="shared" si="22"/>
        <v>4.5</v>
      </c>
      <c r="Z30" s="34">
        <f t="shared" si="22"/>
        <v>2</v>
      </c>
      <c r="AA30" s="34">
        <f t="shared" si="22"/>
        <v>1.5</v>
      </c>
      <c r="AB30" s="34">
        <f t="shared" si="22"/>
        <v>0.5</v>
      </c>
      <c r="AC30" s="34">
        <f t="shared" si="22"/>
        <v>131.5</v>
      </c>
      <c r="AD30" s="34">
        <f t="shared" si="22"/>
        <v>0</v>
      </c>
      <c r="AE30" s="31">
        <f t="shared" si="22"/>
        <v>54.5</v>
      </c>
      <c r="AF30" s="31">
        <f t="shared" si="22"/>
        <v>210</v>
      </c>
    </row>
    <row r="31" spans="2:32" ht="23.1" customHeight="1" x14ac:dyDescent="0.25">
      <c r="B31" s="24" t="s">
        <v>58</v>
      </c>
      <c r="C31" s="49">
        <f>AVERAGE('22.07 Kabusu-Kitebi'!C31,'23.07 Kabusu-Kitebi'!C31,'24.07 Kabusu-Kitebi'!C31,'25.07 Kitebi-Kabusu'!C31,'26.07 Kabusu-Kitebi-24'!C31,'27.07 Kabusu-Kitebi-24h'!C31,'28.07 Kabusu-Kitebi'!C31)</f>
        <v>31</v>
      </c>
      <c r="D31" s="49">
        <f>AVERAGE('22.07 Kabusu-Kitebi'!D31,'23.07 Kabusu-Kitebi'!D31,'24.07 Kabusu-Kitebi'!D31,'25.07 Kitebi-Kabusu'!D31,'26.07 Kabusu-Kitebi-24'!D31,'27.07 Kabusu-Kitebi-24h'!D31,'28.07 Kabusu-Kitebi'!D31)</f>
        <v>5.4285714285714288</v>
      </c>
      <c r="E31" s="49">
        <f>AVERAGE('22.07 Kabusu-Kitebi'!E31,'23.07 Kabusu-Kitebi'!E31,'24.07 Kabusu-Kitebi'!E31,'25.07 Kitebi-Kabusu'!E31,'26.07 Kabusu-Kitebi-24'!E31,'27.07 Kabusu-Kitebi-24h'!E31,'28.07 Kabusu-Kitebi'!E31)</f>
        <v>6.2857142857142856</v>
      </c>
      <c r="F31" s="49">
        <f>AVERAGE('22.07 Kabusu-Kitebi'!F31,'23.07 Kabusu-Kitebi'!F31,'24.07 Kabusu-Kitebi'!F31,'25.07 Kitebi-Kabusu'!F31,'26.07 Kabusu-Kitebi-24'!F31,'27.07 Kabusu-Kitebi-24h'!F31,'28.07 Kabusu-Kitebi'!F31)</f>
        <v>16</v>
      </c>
      <c r="G31" s="49">
        <f>AVERAGE('22.07 Kabusu-Kitebi'!G31,'23.07 Kabusu-Kitebi'!G31,'24.07 Kabusu-Kitebi'!G31,'25.07 Kitebi-Kabusu'!G31,'26.07 Kabusu-Kitebi-24'!G31,'27.07 Kabusu-Kitebi-24h'!G31,'28.07 Kabusu-Kitebi'!G31)</f>
        <v>0.2857142857142857</v>
      </c>
      <c r="H31" s="49">
        <f>AVERAGE('22.07 Kabusu-Kitebi'!H31,'23.07 Kabusu-Kitebi'!H31,'24.07 Kabusu-Kitebi'!H31,'25.07 Kitebi-Kabusu'!H31,'26.07 Kabusu-Kitebi-24'!H31,'27.07 Kabusu-Kitebi-24h'!H31,'28.07 Kabusu-Kitebi'!H31)</f>
        <v>0</v>
      </c>
      <c r="I31" s="49">
        <f>AVERAGE('22.07 Kabusu-Kitebi'!I31,'23.07 Kabusu-Kitebi'!I31,'24.07 Kabusu-Kitebi'!I31,'25.07 Kitebi-Kabusu'!I31,'26.07 Kabusu-Kitebi-24'!I31,'27.07 Kabusu-Kitebi-24h'!I31,'28.07 Kabusu-Kitebi'!I31)</f>
        <v>4.5714285714285712</v>
      </c>
      <c r="J31" s="49">
        <f>AVERAGE('22.07 Kabusu-Kitebi'!J31,'23.07 Kabusu-Kitebi'!J31,'24.07 Kabusu-Kitebi'!J31,'25.07 Kitebi-Kabusu'!J31,'26.07 Kabusu-Kitebi-24'!J31,'27.07 Kabusu-Kitebi-24h'!J31,'28.07 Kabusu-Kitebi'!J31)</f>
        <v>1.7142857142857142</v>
      </c>
      <c r="K31" s="49">
        <f>AVERAGE('22.07 Kabusu-Kitebi'!K31,'23.07 Kabusu-Kitebi'!K31,'24.07 Kabusu-Kitebi'!K31,'25.07 Kitebi-Kabusu'!K31,'26.07 Kabusu-Kitebi-24'!K31,'27.07 Kabusu-Kitebi-24h'!K31,'28.07 Kabusu-Kitebi'!K31)</f>
        <v>0.14285714285714285</v>
      </c>
      <c r="L31" s="49">
        <f>AVERAGE('22.07 Kabusu-Kitebi'!L31,'23.07 Kabusu-Kitebi'!L31,'24.07 Kabusu-Kitebi'!L31,'25.07 Kitebi-Kabusu'!L31,'26.07 Kabusu-Kitebi-24'!L31,'27.07 Kabusu-Kitebi-24h'!L31,'28.07 Kabusu-Kitebi'!L31)</f>
        <v>0.5714285714285714</v>
      </c>
      <c r="M31" s="49">
        <f>AVERAGE('22.07 Kabusu-Kitebi'!M31,'23.07 Kabusu-Kitebi'!M31,'24.07 Kabusu-Kitebi'!M31,'25.07 Kitebi-Kabusu'!M31,'26.07 Kabusu-Kitebi-24'!M31,'27.07 Kabusu-Kitebi-24h'!M31,'28.07 Kabusu-Kitebi'!M31)</f>
        <v>107.57142857142857</v>
      </c>
      <c r="N31" s="49">
        <f>AVERAGE('22.07 Kabusu-Kitebi'!N31,'23.07 Kabusu-Kitebi'!N31,'24.07 Kabusu-Kitebi'!N31,'25.07 Kitebi-Kabusu'!N31,'26.07 Kabusu-Kitebi-24'!N31,'27.07 Kabusu-Kitebi-24h'!N31,'28.07 Kabusu-Kitebi'!N31)</f>
        <v>0</v>
      </c>
      <c r="O31" s="15">
        <f t="shared" si="0"/>
        <v>65.999999999999986</v>
      </c>
      <c r="P31" s="15">
        <f t="shared" si="1"/>
        <v>173.57142857142856</v>
      </c>
      <c r="R31" s="1" t="s">
        <v>155</v>
      </c>
      <c r="S31" s="34">
        <f>SUM(C94:C97)</f>
        <v>42.5</v>
      </c>
      <c r="T31" s="34">
        <f t="shared" ref="T31:AF31" si="23">SUM(D94:D97)</f>
        <v>3</v>
      </c>
      <c r="U31" s="34">
        <f t="shared" si="23"/>
        <v>6</v>
      </c>
      <c r="V31" s="34">
        <f t="shared" si="23"/>
        <v>11.5</v>
      </c>
      <c r="W31" s="34">
        <f t="shared" si="23"/>
        <v>0</v>
      </c>
      <c r="X31" s="34">
        <f t="shared" si="23"/>
        <v>0</v>
      </c>
      <c r="Y31" s="34">
        <f t="shared" si="23"/>
        <v>5</v>
      </c>
      <c r="Z31" s="34">
        <f t="shared" si="23"/>
        <v>3.5</v>
      </c>
      <c r="AA31" s="34">
        <f t="shared" si="23"/>
        <v>0</v>
      </c>
      <c r="AB31" s="34">
        <f t="shared" si="23"/>
        <v>0</v>
      </c>
      <c r="AC31" s="34">
        <f t="shared" si="23"/>
        <v>106</v>
      </c>
      <c r="AD31" s="34">
        <f t="shared" si="23"/>
        <v>0</v>
      </c>
      <c r="AE31" s="31">
        <f t="shared" si="23"/>
        <v>71.5</v>
      </c>
      <c r="AF31" s="31">
        <f t="shared" si="23"/>
        <v>206.5</v>
      </c>
    </row>
    <row r="32" spans="2:32" ht="23.1" customHeight="1" x14ac:dyDescent="0.25">
      <c r="B32" s="24" t="s">
        <v>59</v>
      </c>
      <c r="C32" s="49">
        <f>AVERAGE('22.07 Kabusu-Kitebi'!C32,'23.07 Kabusu-Kitebi'!C32,'24.07 Kabusu-Kitebi'!C32,'25.07 Kitebi-Kabusu'!C32,'26.07 Kabusu-Kitebi-24'!C32,'27.07 Kabusu-Kitebi-24h'!C32,'28.07 Kabusu-Kitebi'!C32)</f>
        <v>29.857142857142858</v>
      </c>
      <c r="D32" s="49">
        <f>AVERAGE('22.07 Kabusu-Kitebi'!D32,'23.07 Kabusu-Kitebi'!D32,'24.07 Kabusu-Kitebi'!D32,'25.07 Kitebi-Kabusu'!D32,'26.07 Kabusu-Kitebi-24'!D32,'27.07 Kabusu-Kitebi-24h'!D32,'28.07 Kabusu-Kitebi'!D32)</f>
        <v>5.2857142857142856</v>
      </c>
      <c r="E32" s="49">
        <f>AVERAGE('22.07 Kabusu-Kitebi'!E32,'23.07 Kabusu-Kitebi'!E32,'24.07 Kabusu-Kitebi'!E32,'25.07 Kitebi-Kabusu'!E32,'26.07 Kabusu-Kitebi-24'!E32,'27.07 Kabusu-Kitebi-24h'!E32,'28.07 Kabusu-Kitebi'!E32)</f>
        <v>5</v>
      </c>
      <c r="F32" s="49">
        <f>AVERAGE('22.07 Kabusu-Kitebi'!F32,'23.07 Kabusu-Kitebi'!F32,'24.07 Kabusu-Kitebi'!F32,'25.07 Kitebi-Kabusu'!F32,'26.07 Kabusu-Kitebi-24'!F32,'27.07 Kabusu-Kitebi-24h'!F32,'28.07 Kabusu-Kitebi'!F32)</f>
        <v>18</v>
      </c>
      <c r="G32" s="49">
        <f>AVERAGE('22.07 Kabusu-Kitebi'!G32,'23.07 Kabusu-Kitebi'!G32,'24.07 Kabusu-Kitebi'!G32,'25.07 Kitebi-Kabusu'!G32,'26.07 Kabusu-Kitebi-24'!G32,'27.07 Kabusu-Kitebi-24h'!G32,'28.07 Kabusu-Kitebi'!G32)</f>
        <v>0.2857142857142857</v>
      </c>
      <c r="H32" s="49">
        <f>AVERAGE('22.07 Kabusu-Kitebi'!H32,'23.07 Kabusu-Kitebi'!H32,'24.07 Kabusu-Kitebi'!H32,'25.07 Kitebi-Kabusu'!H32,'26.07 Kabusu-Kitebi-24'!H32,'27.07 Kabusu-Kitebi-24h'!H32,'28.07 Kabusu-Kitebi'!H32)</f>
        <v>0.14285714285714285</v>
      </c>
      <c r="I32" s="49">
        <f>AVERAGE('22.07 Kabusu-Kitebi'!I32,'23.07 Kabusu-Kitebi'!I32,'24.07 Kabusu-Kitebi'!I32,'25.07 Kitebi-Kabusu'!I32,'26.07 Kabusu-Kitebi-24'!I32,'27.07 Kabusu-Kitebi-24h'!I32,'28.07 Kabusu-Kitebi'!I32)</f>
        <v>7.2857142857142856</v>
      </c>
      <c r="J32" s="49">
        <f>AVERAGE('22.07 Kabusu-Kitebi'!J32,'23.07 Kabusu-Kitebi'!J32,'24.07 Kabusu-Kitebi'!J32,'25.07 Kitebi-Kabusu'!J32,'26.07 Kabusu-Kitebi-24'!J32,'27.07 Kabusu-Kitebi-24h'!J32,'28.07 Kabusu-Kitebi'!J32)</f>
        <v>1.5714285714285714</v>
      </c>
      <c r="K32" s="49">
        <f>AVERAGE('22.07 Kabusu-Kitebi'!K32,'23.07 Kabusu-Kitebi'!K32,'24.07 Kabusu-Kitebi'!K32,'25.07 Kitebi-Kabusu'!K32,'26.07 Kabusu-Kitebi-24'!K32,'27.07 Kabusu-Kitebi-24h'!K32,'28.07 Kabusu-Kitebi'!K32)</f>
        <v>0.8571428571428571</v>
      </c>
      <c r="L32" s="49">
        <f>AVERAGE('22.07 Kabusu-Kitebi'!L32,'23.07 Kabusu-Kitebi'!L32,'24.07 Kabusu-Kitebi'!L32,'25.07 Kitebi-Kabusu'!L32,'26.07 Kabusu-Kitebi-24'!L32,'27.07 Kabusu-Kitebi-24h'!L32,'28.07 Kabusu-Kitebi'!L32)</f>
        <v>0.7142857142857143</v>
      </c>
      <c r="M32" s="49">
        <f>AVERAGE('22.07 Kabusu-Kitebi'!M32,'23.07 Kabusu-Kitebi'!M32,'24.07 Kabusu-Kitebi'!M32,'25.07 Kitebi-Kabusu'!M32,'26.07 Kabusu-Kitebi-24'!M32,'27.07 Kabusu-Kitebi-24h'!M32,'28.07 Kabusu-Kitebi'!M32)</f>
        <v>117.57142857142857</v>
      </c>
      <c r="N32" s="49">
        <f>AVERAGE('22.07 Kabusu-Kitebi'!N32,'23.07 Kabusu-Kitebi'!N32,'24.07 Kabusu-Kitebi'!N32,'25.07 Kitebi-Kabusu'!N32,'26.07 Kabusu-Kitebi-24'!N32,'27.07 Kabusu-Kitebi-24h'!N32,'28.07 Kabusu-Kitebi'!N32)</f>
        <v>0</v>
      </c>
      <c r="O32" s="15">
        <f t="shared" si="0"/>
        <v>69</v>
      </c>
      <c r="P32" s="15">
        <f t="shared" si="1"/>
        <v>186.57142857142856</v>
      </c>
      <c r="R32" s="1" t="s">
        <v>156</v>
      </c>
      <c r="S32" s="34">
        <f>SUM(C98:C101)</f>
        <v>21</v>
      </c>
      <c r="T32" s="34">
        <f t="shared" ref="T32:AF32" si="24">SUM(D98:D101)</f>
        <v>3.5</v>
      </c>
      <c r="U32" s="34">
        <f t="shared" si="24"/>
        <v>19.5</v>
      </c>
      <c r="V32" s="34">
        <f t="shared" si="24"/>
        <v>26</v>
      </c>
      <c r="W32" s="34">
        <f t="shared" si="24"/>
        <v>0</v>
      </c>
      <c r="X32" s="34">
        <f t="shared" si="24"/>
        <v>1</v>
      </c>
      <c r="Y32" s="34">
        <f t="shared" si="24"/>
        <v>2.5</v>
      </c>
      <c r="Z32" s="34">
        <f t="shared" si="24"/>
        <v>2</v>
      </c>
      <c r="AA32" s="34">
        <f t="shared" si="24"/>
        <v>2</v>
      </c>
      <c r="AB32" s="34">
        <f t="shared" si="24"/>
        <v>2</v>
      </c>
      <c r="AC32" s="34">
        <f t="shared" si="24"/>
        <v>128</v>
      </c>
      <c r="AD32" s="34">
        <f t="shared" si="24"/>
        <v>0</v>
      </c>
      <c r="AE32" s="31">
        <f t="shared" si="24"/>
        <v>79.5</v>
      </c>
      <c r="AF32" s="31">
        <f t="shared" si="24"/>
        <v>266</v>
      </c>
    </row>
    <row r="33" spans="2:32" ht="23.1" customHeight="1" x14ac:dyDescent="0.25">
      <c r="B33" s="23" t="s">
        <v>60</v>
      </c>
      <c r="C33" s="49">
        <f>AVERAGE('22.07 Kabusu-Kitebi'!C33,'23.07 Kabusu-Kitebi'!C33,'24.07 Kabusu-Kitebi'!C33,'25.07 Kitebi-Kabusu'!C33,'26.07 Kabusu-Kitebi-24'!C33,'27.07 Kabusu-Kitebi-24h'!C33,'28.07 Kabusu-Kitebi'!C33)</f>
        <v>33.571428571428569</v>
      </c>
      <c r="D33" s="49">
        <f>AVERAGE('22.07 Kabusu-Kitebi'!D33,'23.07 Kabusu-Kitebi'!D33,'24.07 Kabusu-Kitebi'!D33,'25.07 Kitebi-Kabusu'!D33,'26.07 Kabusu-Kitebi-24'!D33,'27.07 Kabusu-Kitebi-24h'!D33,'28.07 Kabusu-Kitebi'!D33)</f>
        <v>7.1428571428571432</v>
      </c>
      <c r="E33" s="49">
        <f>AVERAGE('22.07 Kabusu-Kitebi'!E33,'23.07 Kabusu-Kitebi'!E33,'24.07 Kabusu-Kitebi'!E33,'25.07 Kitebi-Kabusu'!E33,'26.07 Kabusu-Kitebi-24'!E33,'27.07 Kabusu-Kitebi-24h'!E33,'28.07 Kabusu-Kitebi'!E33)</f>
        <v>6.4285714285714288</v>
      </c>
      <c r="F33" s="49">
        <f>AVERAGE('22.07 Kabusu-Kitebi'!F33,'23.07 Kabusu-Kitebi'!F33,'24.07 Kabusu-Kitebi'!F33,'25.07 Kitebi-Kabusu'!F33,'26.07 Kabusu-Kitebi-24'!F33,'27.07 Kabusu-Kitebi-24h'!F33,'28.07 Kabusu-Kitebi'!F33)</f>
        <v>18.714285714285715</v>
      </c>
      <c r="G33" s="49">
        <f>AVERAGE('22.07 Kabusu-Kitebi'!G33,'23.07 Kabusu-Kitebi'!G33,'24.07 Kabusu-Kitebi'!G33,'25.07 Kitebi-Kabusu'!G33,'26.07 Kabusu-Kitebi-24'!G33,'27.07 Kabusu-Kitebi-24h'!G33,'28.07 Kabusu-Kitebi'!G33)</f>
        <v>0.5714285714285714</v>
      </c>
      <c r="H33" s="49">
        <f>AVERAGE('22.07 Kabusu-Kitebi'!H33,'23.07 Kabusu-Kitebi'!H33,'24.07 Kabusu-Kitebi'!H33,'25.07 Kitebi-Kabusu'!H33,'26.07 Kabusu-Kitebi-24'!H33,'27.07 Kabusu-Kitebi-24h'!H33,'28.07 Kabusu-Kitebi'!H33)</f>
        <v>0</v>
      </c>
      <c r="I33" s="49">
        <f>AVERAGE('22.07 Kabusu-Kitebi'!I33,'23.07 Kabusu-Kitebi'!I33,'24.07 Kabusu-Kitebi'!I33,'25.07 Kitebi-Kabusu'!I33,'26.07 Kabusu-Kitebi-24'!I33,'27.07 Kabusu-Kitebi-24h'!I33,'28.07 Kabusu-Kitebi'!I33)</f>
        <v>5.5714285714285712</v>
      </c>
      <c r="J33" s="49">
        <f>AVERAGE('22.07 Kabusu-Kitebi'!J33,'23.07 Kabusu-Kitebi'!J33,'24.07 Kabusu-Kitebi'!J33,'25.07 Kitebi-Kabusu'!J33,'26.07 Kabusu-Kitebi-24'!J33,'27.07 Kabusu-Kitebi-24h'!J33,'28.07 Kabusu-Kitebi'!J33)</f>
        <v>0.5714285714285714</v>
      </c>
      <c r="K33" s="49">
        <f>AVERAGE('22.07 Kabusu-Kitebi'!K33,'23.07 Kabusu-Kitebi'!K33,'24.07 Kabusu-Kitebi'!K33,'25.07 Kitebi-Kabusu'!K33,'26.07 Kabusu-Kitebi-24'!K33,'27.07 Kabusu-Kitebi-24h'!K33,'28.07 Kabusu-Kitebi'!K33)</f>
        <v>0.7142857142857143</v>
      </c>
      <c r="L33" s="49">
        <f>AVERAGE('22.07 Kabusu-Kitebi'!L33,'23.07 Kabusu-Kitebi'!L33,'24.07 Kabusu-Kitebi'!L33,'25.07 Kitebi-Kabusu'!L33,'26.07 Kabusu-Kitebi-24'!L33,'27.07 Kabusu-Kitebi-24h'!L33,'28.07 Kabusu-Kitebi'!L33)</f>
        <v>0.2857142857142857</v>
      </c>
      <c r="M33" s="49">
        <f>AVERAGE('22.07 Kabusu-Kitebi'!M33,'23.07 Kabusu-Kitebi'!M33,'24.07 Kabusu-Kitebi'!M33,'25.07 Kitebi-Kabusu'!M33,'26.07 Kabusu-Kitebi-24'!M33,'27.07 Kabusu-Kitebi-24h'!M33,'28.07 Kabusu-Kitebi'!M33)</f>
        <v>119.85714285714286</v>
      </c>
      <c r="N33" s="49">
        <f>AVERAGE('22.07 Kabusu-Kitebi'!N33,'23.07 Kabusu-Kitebi'!N33,'24.07 Kabusu-Kitebi'!N33,'25.07 Kitebi-Kabusu'!N33,'26.07 Kabusu-Kitebi-24'!N33,'27.07 Kabusu-Kitebi-24h'!N33,'28.07 Kabusu-Kitebi'!N33)</f>
        <v>0</v>
      </c>
      <c r="O33" s="15">
        <f t="shared" si="0"/>
        <v>73.571428571428569</v>
      </c>
      <c r="P33" s="15">
        <f t="shared" si="1"/>
        <v>193.42857142857144</v>
      </c>
      <c r="R33" s="1" t="s">
        <v>157</v>
      </c>
      <c r="S33" s="34">
        <f>SUM(C102:C105)</f>
        <v>26.5</v>
      </c>
      <c r="T33" s="34">
        <f t="shared" ref="T33:AF33" si="25">SUM(D102:D105)</f>
        <v>3.5</v>
      </c>
      <c r="U33" s="34">
        <f t="shared" si="25"/>
        <v>7</v>
      </c>
      <c r="V33" s="34">
        <f t="shared" si="25"/>
        <v>42</v>
      </c>
      <c r="W33" s="34">
        <f t="shared" si="25"/>
        <v>0.5</v>
      </c>
      <c r="X33" s="34">
        <f t="shared" si="25"/>
        <v>3.5</v>
      </c>
      <c r="Y33" s="34">
        <f t="shared" si="25"/>
        <v>4</v>
      </c>
      <c r="Z33" s="34">
        <f t="shared" si="25"/>
        <v>7.5</v>
      </c>
      <c r="AA33" s="34">
        <f t="shared" si="25"/>
        <v>1</v>
      </c>
      <c r="AB33" s="34">
        <f t="shared" si="25"/>
        <v>0</v>
      </c>
      <c r="AC33" s="34">
        <f t="shared" si="25"/>
        <v>209.5</v>
      </c>
      <c r="AD33" s="34">
        <f t="shared" si="25"/>
        <v>0</v>
      </c>
      <c r="AE33" s="31">
        <f t="shared" si="25"/>
        <v>95.5</v>
      </c>
      <c r="AF33" s="31">
        <f t="shared" si="25"/>
        <v>374</v>
      </c>
    </row>
    <row r="34" spans="2:32" ht="23.1" customHeight="1" x14ac:dyDescent="0.25">
      <c r="B34" s="24" t="s">
        <v>61</v>
      </c>
      <c r="C34" s="49">
        <f>AVERAGE('22.07 Kabusu-Kitebi'!C34,'23.07 Kabusu-Kitebi'!C34,'24.07 Kabusu-Kitebi'!C34,'25.07 Kitebi-Kabusu'!C34,'26.07 Kabusu-Kitebi-24'!C34,'27.07 Kabusu-Kitebi-24h'!C34,'28.07 Kabusu-Kitebi'!C34)</f>
        <v>43.428571428571431</v>
      </c>
      <c r="D34" s="49">
        <f>AVERAGE('22.07 Kabusu-Kitebi'!D34,'23.07 Kabusu-Kitebi'!D34,'24.07 Kabusu-Kitebi'!D34,'25.07 Kitebi-Kabusu'!D34,'26.07 Kabusu-Kitebi-24'!D34,'27.07 Kabusu-Kitebi-24h'!D34,'28.07 Kabusu-Kitebi'!D34)</f>
        <v>6.5714285714285712</v>
      </c>
      <c r="E34" s="49">
        <f>AVERAGE('22.07 Kabusu-Kitebi'!E34,'23.07 Kabusu-Kitebi'!E34,'24.07 Kabusu-Kitebi'!E34,'25.07 Kitebi-Kabusu'!E34,'26.07 Kabusu-Kitebi-24'!E34,'27.07 Kabusu-Kitebi-24h'!E34,'28.07 Kabusu-Kitebi'!E34)</f>
        <v>6</v>
      </c>
      <c r="F34" s="49">
        <f>AVERAGE('22.07 Kabusu-Kitebi'!F34,'23.07 Kabusu-Kitebi'!F34,'24.07 Kabusu-Kitebi'!F34,'25.07 Kitebi-Kabusu'!F34,'26.07 Kabusu-Kitebi-24'!F34,'27.07 Kabusu-Kitebi-24h'!F34,'28.07 Kabusu-Kitebi'!F34)</f>
        <v>21.285714285714285</v>
      </c>
      <c r="G34" s="49">
        <f>AVERAGE('22.07 Kabusu-Kitebi'!G34,'23.07 Kabusu-Kitebi'!G34,'24.07 Kabusu-Kitebi'!G34,'25.07 Kitebi-Kabusu'!G34,'26.07 Kabusu-Kitebi-24'!G34,'27.07 Kabusu-Kitebi-24h'!G34,'28.07 Kabusu-Kitebi'!G34)</f>
        <v>0.5714285714285714</v>
      </c>
      <c r="H34" s="49">
        <f>AVERAGE('22.07 Kabusu-Kitebi'!H34,'23.07 Kabusu-Kitebi'!H34,'24.07 Kabusu-Kitebi'!H34,'25.07 Kitebi-Kabusu'!H34,'26.07 Kabusu-Kitebi-24'!H34,'27.07 Kabusu-Kitebi-24h'!H34,'28.07 Kabusu-Kitebi'!H34)</f>
        <v>0.2857142857142857</v>
      </c>
      <c r="I34" s="49">
        <f>AVERAGE('22.07 Kabusu-Kitebi'!I34,'23.07 Kabusu-Kitebi'!I34,'24.07 Kabusu-Kitebi'!I34,'25.07 Kitebi-Kabusu'!I34,'26.07 Kabusu-Kitebi-24'!I34,'27.07 Kabusu-Kitebi-24h'!I34,'28.07 Kabusu-Kitebi'!I34)</f>
        <v>6.2857142857142856</v>
      </c>
      <c r="J34" s="49">
        <f>AVERAGE('22.07 Kabusu-Kitebi'!J34,'23.07 Kabusu-Kitebi'!J34,'24.07 Kabusu-Kitebi'!J34,'25.07 Kitebi-Kabusu'!J34,'26.07 Kabusu-Kitebi-24'!J34,'27.07 Kabusu-Kitebi-24h'!J34,'28.07 Kabusu-Kitebi'!J34)</f>
        <v>1.4285714285714286</v>
      </c>
      <c r="K34" s="49">
        <f>AVERAGE('22.07 Kabusu-Kitebi'!K34,'23.07 Kabusu-Kitebi'!K34,'24.07 Kabusu-Kitebi'!K34,'25.07 Kitebi-Kabusu'!K34,'26.07 Kabusu-Kitebi-24'!K34,'27.07 Kabusu-Kitebi-24h'!K34,'28.07 Kabusu-Kitebi'!K34)</f>
        <v>2</v>
      </c>
      <c r="L34" s="49">
        <f>AVERAGE('22.07 Kabusu-Kitebi'!L34,'23.07 Kabusu-Kitebi'!L34,'24.07 Kabusu-Kitebi'!L34,'25.07 Kitebi-Kabusu'!L34,'26.07 Kabusu-Kitebi-24'!L34,'27.07 Kabusu-Kitebi-24h'!L34,'28.07 Kabusu-Kitebi'!L34)</f>
        <v>1</v>
      </c>
      <c r="M34" s="49">
        <f>AVERAGE('22.07 Kabusu-Kitebi'!M34,'23.07 Kabusu-Kitebi'!M34,'24.07 Kabusu-Kitebi'!M34,'25.07 Kitebi-Kabusu'!M34,'26.07 Kabusu-Kitebi-24'!M34,'27.07 Kabusu-Kitebi-24h'!M34,'28.07 Kabusu-Kitebi'!M34)</f>
        <v>130</v>
      </c>
      <c r="N34" s="49">
        <f>AVERAGE('22.07 Kabusu-Kitebi'!N34,'23.07 Kabusu-Kitebi'!N34,'24.07 Kabusu-Kitebi'!N34,'25.07 Kitebi-Kabusu'!N34,'26.07 Kabusu-Kitebi-24'!N34,'27.07 Kabusu-Kitebi-24h'!N34,'28.07 Kabusu-Kitebi'!N34)</f>
        <v>0</v>
      </c>
      <c r="O34" s="15">
        <f t="shared" si="0"/>
        <v>88.857142857142861</v>
      </c>
      <c r="P34" s="15">
        <f t="shared" si="1"/>
        <v>218.85714285714286</v>
      </c>
      <c r="R34" s="38" t="s">
        <v>90</v>
      </c>
      <c r="S34" s="39">
        <f t="shared" ref="S34:AF34" si="26">MAX(S10:S12)</f>
        <v>158.14285714285714</v>
      </c>
      <c r="T34" s="39">
        <f t="shared" si="26"/>
        <v>24.285714285714285</v>
      </c>
      <c r="U34" s="39">
        <f t="shared" si="26"/>
        <v>20.428571428571431</v>
      </c>
      <c r="V34" s="39">
        <f t="shared" si="26"/>
        <v>95.428571428571416</v>
      </c>
      <c r="W34" s="39">
        <f t="shared" si="26"/>
        <v>3.1428571428571432</v>
      </c>
      <c r="X34" s="39">
        <f t="shared" si="26"/>
        <v>2.714285714285714</v>
      </c>
      <c r="Y34" s="39">
        <f t="shared" si="26"/>
        <v>15.285714285714285</v>
      </c>
      <c r="Z34" s="39">
        <f t="shared" si="26"/>
        <v>5.2857142857142856</v>
      </c>
      <c r="AA34" s="39">
        <f t="shared" si="26"/>
        <v>29.285714285714285</v>
      </c>
      <c r="AB34" s="39">
        <f t="shared" si="26"/>
        <v>3.4285714285714288</v>
      </c>
      <c r="AC34" s="39">
        <f t="shared" si="26"/>
        <v>565.71428571428578</v>
      </c>
      <c r="AD34" s="39">
        <f t="shared" si="26"/>
        <v>0</v>
      </c>
      <c r="AE34" s="40">
        <f t="shared" si="26"/>
        <v>344.14285714285717</v>
      </c>
      <c r="AF34" s="40">
        <f t="shared" si="26"/>
        <v>836.28571428571445</v>
      </c>
    </row>
    <row r="35" spans="2:32" ht="23.1" customHeight="1" x14ac:dyDescent="0.25">
      <c r="B35" s="24" t="s">
        <v>62</v>
      </c>
      <c r="C35" s="49">
        <f>AVERAGE('22.07 Kabusu-Kitebi'!C35,'23.07 Kabusu-Kitebi'!C35,'24.07 Kabusu-Kitebi'!C35,'25.07 Kitebi-Kabusu'!C35,'26.07 Kabusu-Kitebi-24'!C35,'27.07 Kabusu-Kitebi-24h'!C35,'28.07 Kabusu-Kitebi'!C35)</f>
        <v>29.428571428571427</v>
      </c>
      <c r="D35" s="49">
        <f>AVERAGE('22.07 Kabusu-Kitebi'!D35,'23.07 Kabusu-Kitebi'!D35,'24.07 Kabusu-Kitebi'!D35,'25.07 Kitebi-Kabusu'!D35,'26.07 Kabusu-Kitebi-24'!D35,'27.07 Kabusu-Kitebi-24h'!D35,'28.07 Kabusu-Kitebi'!D35)</f>
        <v>4.8571428571428568</v>
      </c>
      <c r="E35" s="49">
        <f>AVERAGE('22.07 Kabusu-Kitebi'!E35,'23.07 Kabusu-Kitebi'!E35,'24.07 Kabusu-Kitebi'!E35,'25.07 Kitebi-Kabusu'!E35,'26.07 Kabusu-Kitebi-24'!E35,'27.07 Kabusu-Kitebi-24h'!E35,'28.07 Kabusu-Kitebi'!E35)</f>
        <v>6.1428571428571432</v>
      </c>
      <c r="F35" s="49">
        <f>AVERAGE('22.07 Kabusu-Kitebi'!F35,'23.07 Kabusu-Kitebi'!F35,'24.07 Kabusu-Kitebi'!F35,'25.07 Kitebi-Kabusu'!F35,'26.07 Kabusu-Kitebi-24'!F35,'27.07 Kabusu-Kitebi-24h'!F35,'28.07 Kabusu-Kitebi'!F35)</f>
        <v>20.571428571428573</v>
      </c>
      <c r="G35" s="49">
        <f>AVERAGE('22.07 Kabusu-Kitebi'!G35,'23.07 Kabusu-Kitebi'!G35,'24.07 Kabusu-Kitebi'!G35,'25.07 Kitebi-Kabusu'!G35,'26.07 Kabusu-Kitebi-24'!G35,'27.07 Kabusu-Kitebi-24h'!G35,'28.07 Kabusu-Kitebi'!G35)</f>
        <v>0.2857142857142857</v>
      </c>
      <c r="H35" s="49">
        <f>AVERAGE('22.07 Kabusu-Kitebi'!H35,'23.07 Kabusu-Kitebi'!H35,'24.07 Kabusu-Kitebi'!H35,'25.07 Kitebi-Kabusu'!H35,'26.07 Kabusu-Kitebi-24'!H35,'27.07 Kabusu-Kitebi-24h'!H35,'28.07 Kabusu-Kitebi'!H35)</f>
        <v>0.2857142857142857</v>
      </c>
      <c r="I35" s="49">
        <f>AVERAGE('22.07 Kabusu-Kitebi'!I35,'23.07 Kabusu-Kitebi'!I35,'24.07 Kabusu-Kitebi'!I35,'25.07 Kitebi-Kabusu'!I35,'26.07 Kabusu-Kitebi-24'!I35,'27.07 Kabusu-Kitebi-24h'!I35,'28.07 Kabusu-Kitebi'!I35)</f>
        <v>4.4285714285714288</v>
      </c>
      <c r="J35" s="49">
        <f>AVERAGE('22.07 Kabusu-Kitebi'!J35,'23.07 Kabusu-Kitebi'!J35,'24.07 Kabusu-Kitebi'!J35,'25.07 Kitebi-Kabusu'!J35,'26.07 Kabusu-Kitebi-24'!J35,'27.07 Kabusu-Kitebi-24h'!J35,'28.07 Kabusu-Kitebi'!J35)</f>
        <v>1.5714285714285714</v>
      </c>
      <c r="K35" s="49">
        <f>AVERAGE('22.07 Kabusu-Kitebi'!K35,'23.07 Kabusu-Kitebi'!K35,'24.07 Kabusu-Kitebi'!K35,'25.07 Kitebi-Kabusu'!K35,'26.07 Kabusu-Kitebi-24'!K35,'27.07 Kabusu-Kitebi-24h'!K35,'28.07 Kabusu-Kitebi'!K35)</f>
        <v>0.8571428571428571</v>
      </c>
      <c r="L35" s="49">
        <f>AVERAGE('22.07 Kabusu-Kitebi'!L35,'23.07 Kabusu-Kitebi'!L35,'24.07 Kabusu-Kitebi'!L35,'25.07 Kitebi-Kabusu'!L35,'26.07 Kabusu-Kitebi-24'!L35,'27.07 Kabusu-Kitebi-24h'!L35,'28.07 Kabusu-Kitebi'!L35)</f>
        <v>0.2857142857142857</v>
      </c>
      <c r="M35" s="49">
        <f>AVERAGE('22.07 Kabusu-Kitebi'!M35,'23.07 Kabusu-Kitebi'!M35,'24.07 Kabusu-Kitebi'!M35,'25.07 Kitebi-Kabusu'!M35,'26.07 Kabusu-Kitebi-24'!M35,'27.07 Kabusu-Kitebi-24h'!M35,'28.07 Kabusu-Kitebi'!M35)</f>
        <v>127.71428571428571</v>
      </c>
      <c r="N35" s="49">
        <f>AVERAGE('22.07 Kabusu-Kitebi'!N35,'23.07 Kabusu-Kitebi'!N35,'24.07 Kabusu-Kitebi'!N35,'25.07 Kitebi-Kabusu'!N35,'26.07 Kabusu-Kitebi-24'!N35,'27.07 Kabusu-Kitebi-24h'!N35,'28.07 Kabusu-Kitebi'!N35)</f>
        <v>0</v>
      </c>
      <c r="O35" s="15">
        <f t="shared" si="0"/>
        <v>68.714285714285722</v>
      </c>
      <c r="P35" s="15">
        <f t="shared" si="1"/>
        <v>196.42857142857144</v>
      </c>
      <c r="R35" s="38" t="s">
        <v>91</v>
      </c>
      <c r="S35" s="39">
        <f t="shared" ref="S35:AF35" si="27">MAX(S13:S18)</f>
        <v>178.14285714285711</v>
      </c>
      <c r="T35" s="39">
        <f t="shared" si="27"/>
        <v>32.285714285714285</v>
      </c>
      <c r="U35" s="39">
        <f t="shared" si="27"/>
        <v>27.142857142857142</v>
      </c>
      <c r="V35" s="39">
        <f t="shared" si="27"/>
        <v>81.142857142857139</v>
      </c>
      <c r="W35" s="39">
        <f t="shared" si="27"/>
        <v>4.1428571428571432</v>
      </c>
      <c r="X35" s="39">
        <f t="shared" si="27"/>
        <v>2</v>
      </c>
      <c r="Y35" s="39">
        <f t="shared" si="27"/>
        <v>25.857142857142854</v>
      </c>
      <c r="Z35" s="39">
        <f t="shared" si="27"/>
        <v>7</v>
      </c>
      <c r="AA35" s="39">
        <f t="shared" si="27"/>
        <v>6.8571428571428568</v>
      </c>
      <c r="AB35" s="39">
        <f t="shared" si="27"/>
        <v>2.8571428571428568</v>
      </c>
      <c r="AC35" s="39">
        <f t="shared" si="27"/>
        <v>584</v>
      </c>
      <c r="AD35" s="39">
        <f t="shared" si="27"/>
        <v>0</v>
      </c>
      <c r="AE35" s="40">
        <f t="shared" si="27"/>
        <v>335.57142857142856</v>
      </c>
      <c r="AF35" s="40">
        <f t="shared" si="27"/>
        <v>867.42857142857133</v>
      </c>
    </row>
    <row r="36" spans="2:32" ht="23.1" customHeight="1" x14ac:dyDescent="0.25">
      <c r="B36" s="24" t="s">
        <v>63</v>
      </c>
      <c r="C36" s="49">
        <f>AVERAGE('22.07 Kabusu-Kitebi'!C36,'23.07 Kabusu-Kitebi'!C36,'24.07 Kabusu-Kitebi'!C36,'25.07 Kitebi-Kabusu'!C36,'26.07 Kabusu-Kitebi-24'!C36,'27.07 Kabusu-Kitebi-24h'!C36,'28.07 Kabusu-Kitebi'!C36)</f>
        <v>36.714285714285715</v>
      </c>
      <c r="D36" s="49">
        <f>AVERAGE('22.07 Kabusu-Kitebi'!D36,'23.07 Kabusu-Kitebi'!D36,'24.07 Kabusu-Kitebi'!D36,'25.07 Kitebi-Kabusu'!D36,'26.07 Kabusu-Kitebi-24'!D36,'27.07 Kabusu-Kitebi-24h'!D36,'28.07 Kabusu-Kitebi'!D36)</f>
        <v>5.5714285714285712</v>
      </c>
      <c r="E36" s="49">
        <f>AVERAGE('22.07 Kabusu-Kitebi'!E36,'23.07 Kabusu-Kitebi'!E36,'24.07 Kabusu-Kitebi'!E36,'25.07 Kitebi-Kabusu'!E36,'26.07 Kabusu-Kitebi-24'!E36,'27.07 Kabusu-Kitebi-24h'!E36,'28.07 Kabusu-Kitebi'!E36)</f>
        <v>5.2857142857142856</v>
      </c>
      <c r="F36" s="49">
        <f>AVERAGE('22.07 Kabusu-Kitebi'!F36,'23.07 Kabusu-Kitebi'!F36,'24.07 Kabusu-Kitebi'!F36,'25.07 Kitebi-Kabusu'!F36,'26.07 Kabusu-Kitebi-24'!F36,'27.07 Kabusu-Kitebi-24h'!F36,'28.07 Kabusu-Kitebi'!F36)</f>
        <v>19.428571428571427</v>
      </c>
      <c r="G36" s="49">
        <f>AVERAGE('22.07 Kabusu-Kitebi'!G36,'23.07 Kabusu-Kitebi'!G36,'24.07 Kabusu-Kitebi'!G36,'25.07 Kitebi-Kabusu'!G36,'26.07 Kabusu-Kitebi-24'!G36,'27.07 Kabusu-Kitebi-24h'!G36,'28.07 Kabusu-Kitebi'!G36)</f>
        <v>0.5714285714285714</v>
      </c>
      <c r="H36" s="49">
        <f>AVERAGE('22.07 Kabusu-Kitebi'!H36,'23.07 Kabusu-Kitebi'!H36,'24.07 Kabusu-Kitebi'!H36,'25.07 Kitebi-Kabusu'!H36,'26.07 Kabusu-Kitebi-24'!H36,'27.07 Kabusu-Kitebi-24h'!H36,'28.07 Kabusu-Kitebi'!H36)</f>
        <v>0.14285714285714285</v>
      </c>
      <c r="I36" s="49">
        <f>AVERAGE('22.07 Kabusu-Kitebi'!I36,'23.07 Kabusu-Kitebi'!I36,'24.07 Kabusu-Kitebi'!I36,'25.07 Kitebi-Kabusu'!I36,'26.07 Kabusu-Kitebi-24'!I36,'27.07 Kabusu-Kitebi-24h'!I36,'28.07 Kabusu-Kitebi'!I36)</f>
        <v>3.7142857142857144</v>
      </c>
      <c r="J36" s="49">
        <f>AVERAGE('22.07 Kabusu-Kitebi'!J36,'23.07 Kabusu-Kitebi'!J36,'24.07 Kabusu-Kitebi'!J36,'25.07 Kitebi-Kabusu'!J36,'26.07 Kabusu-Kitebi-24'!J36,'27.07 Kabusu-Kitebi-24h'!J36,'28.07 Kabusu-Kitebi'!J36)</f>
        <v>1.8571428571428572</v>
      </c>
      <c r="K36" s="49">
        <f>AVERAGE('22.07 Kabusu-Kitebi'!K36,'23.07 Kabusu-Kitebi'!K36,'24.07 Kabusu-Kitebi'!K36,'25.07 Kitebi-Kabusu'!K36,'26.07 Kabusu-Kitebi-24'!K36,'27.07 Kabusu-Kitebi-24h'!K36,'28.07 Kabusu-Kitebi'!K36)</f>
        <v>1</v>
      </c>
      <c r="L36" s="49">
        <f>AVERAGE('22.07 Kabusu-Kitebi'!L36,'23.07 Kabusu-Kitebi'!L36,'24.07 Kabusu-Kitebi'!L36,'25.07 Kitebi-Kabusu'!L36,'26.07 Kabusu-Kitebi-24'!L36,'27.07 Kabusu-Kitebi-24h'!L36,'28.07 Kabusu-Kitebi'!L36)</f>
        <v>0.5714285714285714</v>
      </c>
      <c r="M36" s="49">
        <f>AVERAGE('22.07 Kabusu-Kitebi'!M36,'23.07 Kabusu-Kitebi'!M36,'24.07 Kabusu-Kitebi'!M36,'25.07 Kitebi-Kabusu'!M36,'26.07 Kabusu-Kitebi-24'!M36,'27.07 Kabusu-Kitebi-24h'!M36,'28.07 Kabusu-Kitebi'!M36)</f>
        <v>121.57142857142857</v>
      </c>
      <c r="N36" s="49">
        <f>AVERAGE('22.07 Kabusu-Kitebi'!N36,'23.07 Kabusu-Kitebi'!N36,'24.07 Kabusu-Kitebi'!N36,'25.07 Kitebi-Kabusu'!N36,'26.07 Kabusu-Kitebi-24'!N36,'27.07 Kabusu-Kitebi-24h'!N36,'28.07 Kabusu-Kitebi'!N36)</f>
        <v>0</v>
      </c>
      <c r="O36" s="15">
        <f t="shared" si="0"/>
        <v>74.857142857142847</v>
      </c>
      <c r="P36" s="15">
        <f t="shared" si="1"/>
        <v>196.42857142857142</v>
      </c>
      <c r="R36" s="38" t="s">
        <v>92</v>
      </c>
      <c r="S36" s="39">
        <f t="shared" ref="S36:AF36" si="28">MAX(S19:S21)</f>
        <v>379.85714285714283</v>
      </c>
      <c r="T36" s="39">
        <f t="shared" si="28"/>
        <v>49.285714285714285</v>
      </c>
      <c r="U36" s="39">
        <f t="shared" si="28"/>
        <v>37.285714285714292</v>
      </c>
      <c r="V36" s="39">
        <f t="shared" si="28"/>
        <v>105</v>
      </c>
      <c r="W36" s="39">
        <f t="shared" si="28"/>
        <v>2.4285714285714284</v>
      </c>
      <c r="X36" s="39">
        <f t="shared" si="28"/>
        <v>0.42857142857142855</v>
      </c>
      <c r="Y36" s="39">
        <f t="shared" si="28"/>
        <v>24.571428571428573</v>
      </c>
      <c r="Z36" s="39">
        <f t="shared" si="28"/>
        <v>5.4285714285714288</v>
      </c>
      <c r="AA36" s="39">
        <f t="shared" si="28"/>
        <v>4.7142857142857144</v>
      </c>
      <c r="AB36" s="39">
        <f t="shared" si="28"/>
        <v>3.5714285714285712</v>
      </c>
      <c r="AC36" s="39">
        <f t="shared" si="28"/>
        <v>686.42857142857133</v>
      </c>
      <c r="AD36" s="39">
        <f t="shared" si="28"/>
        <v>0</v>
      </c>
      <c r="AE36" s="40">
        <f t="shared" si="28"/>
        <v>607.85714285714278</v>
      </c>
      <c r="AF36" s="40">
        <f t="shared" si="28"/>
        <v>1282.5714285714284</v>
      </c>
    </row>
    <row r="37" spans="2:32" ht="23.1" customHeight="1" x14ac:dyDescent="0.25">
      <c r="B37" s="23" t="s">
        <v>64</v>
      </c>
      <c r="C37" s="49">
        <f>AVERAGE('22.07 Kabusu-Kitebi'!C37,'23.07 Kabusu-Kitebi'!C37,'24.07 Kabusu-Kitebi'!C37,'25.07 Kitebi-Kabusu'!C37,'26.07 Kabusu-Kitebi-24'!C37,'27.07 Kabusu-Kitebi-24h'!C37,'28.07 Kabusu-Kitebi'!C37)</f>
        <v>36.857142857142854</v>
      </c>
      <c r="D37" s="49">
        <f>AVERAGE('22.07 Kabusu-Kitebi'!D37,'23.07 Kabusu-Kitebi'!D37,'24.07 Kabusu-Kitebi'!D37,'25.07 Kitebi-Kabusu'!D37,'26.07 Kabusu-Kitebi-24'!D37,'27.07 Kabusu-Kitebi-24h'!D37,'28.07 Kabusu-Kitebi'!D37)</f>
        <v>5.4285714285714288</v>
      </c>
      <c r="E37" s="49">
        <f>AVERAGE('22.07 Kabusu-Kitebi'!E37,'23.07 Kabusu-Kitebi'!E37,'24.07 Kabusu-Kitebi'!E37,'25.07 Kitebi-Kabusu'!E37,'26.07 Kabusu-Kitebi-24'!E37,'27.07 Kabusu-Kitebi-24h'!E37,'28.07 Kabusu-Kitebi'!E37)</f>
        <v>7.4285714285714288</v>
      </c>
      <c r="F37" s="49">
        <f>AVERAGE('22.07 Kabusu-Kitebi'!F37,'23.07 Kabusu-Kitebi'!F37,'24.07 Kabusu-Kitebi'!F37,'25.07 Kitebi-Kabusu'!F37,'26.07 Kabusu-Kitebi-24'!F37,'27.07 Kabusu-Kitebi-24h'!F37,'28.07 Kabusu-Kitebi'!F37)</f>
        <v>16.428571428571427</v>
      </c>
      <c r="G37" s="49">
        <f>AVERAGE('22.07 Kabusu-Kitebi'!G37,'23.07 Kabusu-Kitebi'!G37,'24.07 Kabusu-Kitebi'!G37,'25.07 Kitebi-Kabusu'!G37,'26.07 Kabusu-Kitebi-24'!G37,'27.07 Kabusu-Kitebi-24h'!G37,'28.07 Kabusu-Kitebi'!G37)</f>
        <v>0.2857142857142857</v>
      </c>
      <c r="H37" s="49">
        <f>AVERAGE('22.07 Kabusu-Kitebi'!H37,'23.07 Kabusu-Kitebi'!H37,'24.07 Kabusu-Kitebi'!H37,'25.07 Kitebi-Kabusu'!H37,'26.07 Kabusu-Kitebi-24'!H37,'27.07 Kabusu-Kitebi-24h'!H37,'28.07 Kabusu-Kitebi'!H37)</f>
        <v>0.2857142857142857</v>
      </c>
      <c r="I37" s="49">
        <f>AVERAGE('22.07 Kabusu-Kitebi'!I37,'23.07 Kabusu-Kitebi'!I37,'24.07 Kabusu-Kitebi'!I37,'25.07 Kitebi-Kabusu'!I37,'26.07 Kabusu-Kitebi-24'!I37,'27.07 Kabusu-Kitebi-24h'!I37,'28.07 Kabusu-Kitebi'!I37)</f>
        <v>4.4285714285714288</v>
      </c>
      <c r="J37" s="49">
        <f>AVERAGE('22.07 Kabusu-Kitebi'!J37,'23.07 Kabusu-Kitebi'!J37,'24.07 Kabusu-Kitebi'!J37,'25.07 Kitebi-Kabusu'!J37,'26.07 Kabusu-Kitebi-24'!J37,'27.07 Kabusu-Kitebi-24h'!J37,'28.07 Kabusu-Kitebi'!J37)</f>
        <v>2.1428571428571428</v>
      </c>
      <c r="K37" s="49">
        <f>AVERAGE('22.07 Kabusu-Kitebi'!K37,'23.07 Kabusu-Kitebi'!K37,'24.07 Kabusu-Kitebi'!K37,'25.07 Kitebi-Kabusu'!K37,'26.07 Kabusu-Kitebi-24'!K37,'27.07 Kabusu-Kitebi-24h'!K37,'28.07 Kabusu-Kitebi'!K37)</f>
        <v>0.8571428571428571</v>
      </c>
      <c r="L37" s="49">
        <f>AVERAGE('22.07 Kabusu-Kitebi'!L37,'23.07 Kabusu-Kitebi'!L37,'24.07 Kabusu-Kitebi'!L37,'25.07 Kitebi-Kabusu'!L37,'26.07 Kabusu-Kitebi-24'!L37,'27.07 Kabusu-Kitebi-24h'!L37,'28.07 Kabusu-Kitebi'!L37)</f>
        <v>1</v>
      </c>
      <c r="M37" s="49">
        <f>AVERAGE('22.07 Kabusu-Kitebi'!M37,'23.07 Kabusu-Kitebi'!M37,'24.07 Kabusu-Kitebi'!M37,'25.07 Kitebi-Kabusu'!M37,'26.07 Kabusu-Kitebi-24'!M37,'27.07 Kabusu-Kitebi-24h'!M37,'28.07 Kabusu-Kitebi'!M37)</f>
        <v>120.14285714285714</v>
      </c>
      <c r="N37" s="49">
        <f>AVERAGE('22.07 Kabusu-Kitebi'!N37,'23.07 Kabusu-Kitebi'!N37,'24.07 Kabusu-Kitebi'!N37,'25.07 Kitebi-Kabusu'!N37,'26.07 Kabusu-Kitebi-24'!N37,'27.07 Kabusu-Kitebi-24h'!N37,'28.07 Kabusu-Kitebi'!N37)</f>
        <v>0</v>
      </c>
      <c r="O37" s="15">
        <f t="shared" si="0"/>
        <v>75.142857142857153</v>
      </c>
      <c r="P37" s="15">
        <f t="shared" si="1"/>
        <v>195.28571428571428</v>
      </c>
      <c r="R37" s="37" t="s">
        <v>85</v>
      </c>
      <c r="S37" s="35">
        <f t="shared" ref="S37:AF37" si="29">SUM(S10:S12)</f>
        <v>384.57142857142856</v>
      </c>
      <c r="T37" s="16">
        <f t="shared" si="29"/>
        <v>59.285714285714285</v>
      </c>
      <c r="U37" s="16">
        <f t="shared" si="29"/>
        <v>55.714285714285715</v>
      </c>
      <c r="V37" s="16">
        <f t="shared" si="29"/>
        <v>267.14285714285711</v>
      </c>
      <c r="W37" s="16">
        <f t="shared" si="29"/>
        <v>8</v>
      </c>
      <c r="X37" s="16">
        <f t="shared" si="29"/>
        <v>5.7142857142857144</v>
      </c>
      <c r="Y37" s="16">
        <f t="shared" si="29"/>
        <v>41.285714285714285</v>
      </c>
      <c r="Z37" s="16">
        <f t="shared" si="29"/>
        <v>10.714285714285715</v>
      </c>
      <c r="AA37" s="16">
        <f t="shared" si="29"/>
        <v>37.142857142857139</v>
      </c>
      <c r="AB37" s="16">
        <f t="shared" si="29"/>
        <v>8.1428571428571423</v>
      </c>
      <c r="AC37" s="16">
        <f t="shared" si="29"/>
        <v>1575.7142857142858</v>
      </c>
      <c r="AD37" s="16">
        <f t="shared" si="29"/>
        <v>0</v>
      </c>
      <c r="AE37" s="32">
        <f t="shared" si="29"/>
        <v>877.71428571428578</v>
      </c>
      <c r="AF37" s="32">
        <f t="shared" si="29"/>
        <v>2453.4285714285716</v>
      </c>
    </row>
    <row r="38" spans="2:32" ht="23.1" customHeight="1" x14ac:dyDescent="0.25">
      <c r="B38" s="24" t="s">
        <v>65</v>
      </c>
      <c r="C38" s="49">
        <f>AVERAGE('22.07 Kabusu-Kitebi'!C38,'23.07 Kabusu-Kitebi'!C38,'24.07 Kabusu-Kitebi'!C38,'25.07 Kitebi-Kabusu'!C38,'26.07 Kabusu-Kitebi-24'!C38,'27.07 Kabusu-Kitebi-24h'!C38,'28.07 Kabusu-Kitebi'!C38)</f>
        <v>42.285714285714285</v>
      </c>
      <c r="D38" s="49">
        <f>AVERAGE('22.07 Kabusu-Kitebi'!D38,'23.07 Kabusu-Kitebi'!D38,'24.07 Kabusu-Kitebi'!D38,'25.07 Kitebi-Kabusu'!D38,'26.07 Kabusu-Kitebi-24'!D38,'27.07 Kabusu-Kitebi-24h'!D38,'28.07 Kabusu-Kitebi'!D38)</f>
        <v>9.8571428571428577</v>
      </c>
      <c r="E38" s="49">
        <f>AVERAGE('22.07 Kabusu-Kitebi'!E38,'23.07 Kabusu-Kitebi'!E38,'24.07 Kabusu-Kitebi'!E38,'25.07 Kitebi-Kabusu'!E38,'26.07 Kabusu-Kitebi-24'!E38,'27.07 Kabusu-Kitebi-24h'!E38,'28.07 Kabusu-Kitebi'!E38)</f>
        <v>5.2857142857142856</v>
      </c>
      <c r="F38" s="49">
        <f>AVERAGE('22.07 Kabusu-Kitebi'!F38,'23.07 Kabusu-Kitebi'!F38,'24.07 Kabusu-Kitebi'!F38,'25.07 Kitebi-Kabusu'!F38,'26.07 Kabusu-Kitebi-24'!F38,'27.07 Kabusu-Kitebi-24h'!F38,'28.07 Kabusu-Kitebi'!F38)</f>
        <v>16.142857142857142</v>
      </c>
      <c r="G38" s="49">
        <f>AVERAGE('22.07 Kabusu-Kitebi'!G38,'23.07 Kabusu-Kitebi'!G38,'24.07 Kabusu-Kitebi'!G38,'25.07 Kitebi-Kabusu'!G38,'26.07 Kabusu-Kitebi-24'!G38,'27.07 Kabusu-Kitebi-24h'!G38,'28.07 Kabusu-Kitebi'!G38)</f>
        <v>0</v>
      </c>
      <c r="H38" s="49">
        <f>AVERAGE('22.07 Kabusu-Kitebi'!H38,'23.07 Kabusu-Kitebi'!H38,'24.07 Kabusu-Kitebi'!H38,'25.07 Kitebi-Kabusu'!H38,'26.07 Kabusu-Kitebi-24'!H38,'27.07 Kabusu-Kitebi-24h'!H38,'28.07 Kabusu-Kitebi'!H38)</f>
        <v>1.4285714285714286</v>
      </c>
      <c r="I38" s="49">
        <f>AVERAGE('22.07 Kabusu-Kitebi'!I38,'23.07 Kabusu-Kitebi'!I38,'24.07 Kabusu-Kitebi'!I38,'25.07 Kitebi-Kabusu'!I38,'26.07 Kabusu-Kitebi-24'!I38,'27.07 Kabusu-Kitebi-24h'!I38,'28.07 Kabusu-Kitebi'!I38)</f>
        <v>3.2857142857142856</v>
      </c>
      <c r="J38" s="49">
        <f>AVERAGE('22.07 Kabusu-Kitebi'!J38,'23.07 Kabusu-Kitebi'!J38,'24.07 Kabusu-Kitebi'!J38,'25.07 Kitebi-Kabusu'!J38,'26.07 Kabusu-Kitebi-24'!J38,'27.07 Kabusu-Kitebi-24h'!J38,'28.07 Kabusu-Kitebi'!J38)</f>
        <v>1.4285714285714286</v>
      </c>
      <c r="K38" s="49">
        <f>AVERAGE('22.07 Kabusu-Kitebi'!K38,'23.07 Kabusu-Kitebi'!K38,'24.07 Kabusu-Kitebi'!K38,'25.07 Kitebi-Kabusu'!K38,'26.07 Kabusu-Kitebi-24'!K38,'27.07 Kabusu-Kitebi-24h'!K38,'28.07 Kabusu-Kitebi'!K38)</f>
        <v>0.8571428571428571</v>
      </c>
      <c r="L38" s="49">
        <f>AVERAGE('22.07 Kabusu-Kitebi'!L38,'23.07 Kabusu-Kitebi'!L38,'24.07 Kabusu-Kitebi'!L38,'25.07 Kitebi-Kabusu'!L38,'26.07 Kabusu-Kitebi-24'!L38,'27.07 Kabusu-Kitebi-24h'!L38,'28.07 Kabusu-Kitebi'!L38)</f>
        <v>0.2857142857142857</v>
      </c>
      <c r="M38" s="49">
        <f>AVERAGE('22.07 Kabusu-Kitebi'!M38,'23.07 Kabusu-Kitebi'!M38,'24.07 Kabusu-Kitebi'!M38,'25.07 Kitebi-Kabusu'!M38,'26.07 Kabusu-Kitebi-24'!M38,'27.07 Kabusu-Kitebi-24h'!M38,'28.07 Kabusu-Kitebi'!M38)</f>
        <v>131.71428571428572</v>
      </c>
      <c r="N38" s="49">
        <f>AVERAGE('22.07 Kabusu-Kitebi'!N38,'23.07 Kabusu-Kitebi'!N38,'24.07 Kabusu-Kitebi'!N38,'25.07 Kitebi-Kabusu'!N38,'26.07 Kabusu-Kitebi-24'!N38,'27.07 Kabusu-Kitebi-24h'!N38,'28.07 Kabusu-Kitebi'!N38)</f>
        <v>0</v>
      </c>
      <c r="O38" s="15">
        <f t="shared" si="0"/>
        <v>80.857142857142875</v>
      </c>
      <c r="P38" s="15">
        <f t="shared" si="1"/>
        <v>212.57142857142861</v>
      </c>
      <c r="R38" s="28" t="s">
        <v>86</v>
      </c>
      <c r="S38" s="16">
        <f t="shared" ref="S38:AF38" si="30">SUM(S13:S18)</f>
        <v>859</v>
      </c>
      <c r="T38" s="16">
        <f t="shared" si="30"/>
        <v>156</v>
      </c>
      <c r="U38" s="16">
        <f t="shared" si="30"/>
        <v>141</v>
      </c>
      <c r="V38" s="16">
        <f t="shared" si="30"/>
        <v>435.85714285714289</v>
      </c>
      <c r="W38" s="16">
        <f t="shared" si="30"/>
        <v>11.571428571428571</v>
      </c>
      <c r="X38" s="16">
        <f t="shared" si="30"/>
        <v>5.4285714285714279</v>
      </c>
      <c r="Y38" s="16">
        <f t="shared" si="30"/>
        <v>121.71428571428574</v>
      </c>
      <c r="Z38" s="16">
        <f t="shared" si="30"/>
        <v>32.857142857142854</v>
      </c>
      <c r="AA38" s="16">
        <f t="shared" si="30"/>
        <v>27.142857142857146</v>
      </c>
      <c r="AB38" s="16">
        <f t="shared" si="30"/>
        <v>14.285714285714285</v>
      </c>
      <c r="AC38" s="16">
        <f t="shared" si="30"/>
        <v>3051.1428571428569</v>
      </c>
      <c r="AD38" s="16">
        <f t="shared" si="30"/>
        <v>0</v>
      </c>
      <c r="AE38" s="32">
        <f t="shared" si="30"/>
        <v>1804.8571428571431</v>
      </c>
      <c r="AF38" s="32">
        <f t="shared" si="30"/>
        <v>4856</v>
      </c>
    </row>
    <row r="39" spans="2:32" ht="23.1" customHeight="1" x14ac:dyDescent="0.25">
      <c r="B39" s="24" t="s">
        <v>66</v>
      </c>
      <c r="C39" s="49">
        <f>AVERAGE('22.07 Kabusu-Kitebi'!C39,'23.07 Kabusu-Kitebi'!C39,'24.07 Kabusu-Kitebi'!C39,'25.07 Kitebi-Kabusu'!C39,'26.07 Kabusu-Kitebi-24'!C39,'27.07 Kabusu-Kitebi-24h'!C39,'28.07 Kabusu-Kitebi'!C39)</f>
        <v>46.285714285714285</v>
      </c>
      <c r="D39" s="49">
        <f>AVERAGE('22.07 Kabusu-Kitebi'!D39,'23.07 Kabusu-Kitebi'!D39,'24.07 Kabusu-Kitebi'!D39,'25.07 Kitebi-Kabusu'!D39,'26.07 Kabusu-Kitebi-24'!D39,'27.07 Kabusu-Kitebi-24h'!D39,'28.07 Kabusu-Kitebi'!D39)</f>
        <v>7.2857142857142856</v>
      </c>
      <c r="E39" s="49">
        <f>AVERAGE('22.07 Kabusu-Kitebi'!E39,'23.07 Kabusu-Kitebi'!E39,'24.07 Kabusu-Kitebi'!E39,'25.07 Kitebi-Kabusu'!E39,'26.07 Kabusu-Kitebi-24'!E39,'27.07 Kabusu-Kitebi-24h'!E39,'28.07 Kabusu-Kitebi'!E39)</f>
        <v>5.7142857142857144</v>
      </c>
      <c r="F39" s="49">
        <f>AVERAGE('22.07 Kabusu-Kitebi'!F39,'23.07 Kabusu-Kitebi'!F39,'24.07 Kabusu-Kitebi'!F39,'25.07 Kitebi-Kabusu'!F39,'26.07 Kabusu-Kitebi-24'!F39,'27.07 Kabusu-Kitebi-24h'!F39,'28.07 Kabusu-Kitebi'!F39)</f>
        <v>16.857142857142858</v>
      </c>
      <c r="G39" s="49">
        <f>AVERAGE('22.07 Kabusu-Kitebi'!G39,'23.07 Kabusu-Kitebi'!G39,'24.07 Kabusu-Kitebi'!G39,'25.07 Kitebi-Kabusu'!G39,'26.07 Kabusu-Kitebi-24'!G39,'27.07 Kabusu-Kitebi-24h'!G39,'28.07 Kabusu-Kitebi'!G39)</f>
        <v>0.5714285714285714</v>
      </c>
      <c r="H39" s="49">
        <f>AVERAGE('22.07 Kabusu-Kitebi'!H39,'23.07 Kabusu-Kitebi'!H39,'24.07 Kabusu-Kitebi'!H39,'25.07 Kitebi-Kabusu'!H39,'26.07 Kabusu-Kitebi-24'!H39,'27.07 Kabusu-Kitebi-24h'!H39,'28.07 Kabusu-Kitebi'!H39)</f>
        <v>0.14285714285714285</v>
      </c>
      <c r="I39" s="49">
        <f>AVERAGE('22.07 Kabusu-Kitebi'!I39,'23.07 Kabusu-Kitebi'!I39,'24.07 Kabusu-Kitebi'!I39,'25.07 Kitebi-Kabusu'!I39,'26.07 Kabusu-Kitebi-24'!I39,'27.07 Kabusu-Kitebi-24h'!I39,'28.07 Kabusu-Kitebi'!I39)</f>
        <v>4.2857142857142856</v>
      </c>
      <c r="J39" s="49">
        <f>AVERAGE('22.07 Kabusu-Kitebi'!J39,'23.07 Kabusu-Kitebi'!J39,'24.07 Kabusu-Kitebi'!J39,'25.07 Kitebi-Kabusu'!J39,'26.07 Kabusu-Kitebi-24'!J39,'27.07 Kabusu-Kitebi-24h'!J39,'28.07 Kabusu-Kitebi'!J39)</f>
        <v>0.8571428571428571</v>
      </c>
      <c r="K39" s="49">
        <f>AVERAGE('22.07 Kabusu-Kitebi'!K39,'23.07 Kabusu-Kitebi'!K39,'24.07 Kabusu-Kitebi'!K39,'25.07 Kitebi-Kabusu'!K39,'26.07 Kabusu-Kitebi-24'!K39,'27.07 Kabusu-Kitebi-24h'!K39,'28.07 Kabusu-Kitebi'!K39)</f>
        <v>1</v>
      </c>
      <c r="L39" s="49">
        <f>AVERAGE('22.07 Kabusu-Kitebi'!L39,'23.07 Kabusu-Kitebi'!L39,'24.07 Kabusu-Kitebi'!L39,'25.07 Kitebi-Kabusu'!L39,'26.07 Kabusu-Kitebi-24'!L39,'27.07 Kabusu-Kitebi-24h'!L39,'28.07 Kabusu-Kitebi'!L39)</f>
        <v>1.1428571428571428</v>
      </c>
      <c r="M39" s="49">
        <f>AVERAGE('22.07 Kabusu-Kitebi'!M39,'23.07 Kabusu-Kitebi'!M39,'24.07 Kabusu-Kitebi'!M39,'25.07 Kitebi-Kabusu'!M39,'26.07 Kabusu-Kitebi-24'!M39,'27.07 Kabusu-Kitebi-24h'!M39,'28.07 Kabusu-Kitebi'!M39)</f>
        <v>121.42857142857143</v>
      </c>
      <c r="N39" s="49">
        <f>AVERAGE('22.07 Kabusu-Kitebi'!N39,'23.07 Kabusu-Kitebi'!N39,'24.07 Kabusu-Kitebi'!N39,'25.07 Kitebi-Kabusu'!N39,'26.07 Kabusu-Kitebi-24'!N39,'27.07 Kabusu-Kitebi-24h'!N39,'28.07 Kabusu-Kitebi'!N39)</f>
        <v>0</v>
      </c>
      <c r="O39" s="15">
        <f t="shared" si="0"/>
        <v>84.142857142857139</v>
      </c>
      <c r="P39" s="15">
        <f t="shared" si="1"/>
        <v>205.57142857142856</v>
      </c>
      <c r="R39" s="29" t="s">
        <v>87</v>
      </c>
      <c r="S39" s="16">
        <f t="shared" ref="S39:AF39" si="31">SUM(S19:S21)</f>
        <v>891.28571428571422</v>
      </c>
      <c r="T39" s="16">
        <f t="shared" si="31"/>
        <v>117.57142857142858</v>
      </c>
      <c r="U39" s="16">
        <f t="shared" si="31"/>
        <v>100.14285714285715</v>
      </c>
      <c r="V39" s="16">
        <f t="shared" si="31"/>
        <v>262.42857142857144</v>
      </c>
      <c r="W39" s="16">
        <f t="shared" si="31"/>
        <v>5.5714285714285712</v>
      </c>
      <c r="X39" s="16">
        <f t="shared" si="31"/>
        <v>1.1428571428571428</v>
      </c>
      <c r="Y39" s="16">
        <f t="shared" si="31"/>
        <v>64.571428571428569</v>
      </c>
      <c r="Z39" s="16">
        <f t="shared" si="31"/>
        <v>15.142857142857144</v>
      </c>
      <c r="AA39" s="16">
        <f t="shared" si="31"/>
        <v>11.999999999999998</v>
      </c>
      <c r="AB39" s="16">
        <f t="shared" si="31"/>
        <v>10.142857142857142</v>
      </c>
      <c r="AC39" s="16">
        <f t="shared" si="31"/>
        <v>1930.8571428571427</v>
      </c>
      <c r="AD39" s="16">
        <f t="shared" si="31"/>
        <v>0</v>
      </c>
      <c r="AE39" s="32">
        <f t="shared" si="31"/>
        <v>1480</v>
      </c>
      <c r="AF39" s="32">
        <f t="shared" si="31"/>
        <v>3410.8571428571427</v>
      </c>
    </row>
    <row r="40" spans="2:32" ht="23.1" customHeight="1" x14ac:dyDescent="0.25">
      <c r="B40" s="24" t="s">
        <v>67</v>
      </c>
      <c r="C40" s="49">
        <f>AVERAGE('22.07 Kabusu-Kitebi'!C40,'23.07 Kabusu-Kitebi'!C40,'24.07 Kabusu-Kitebi'!C40,'25.07 Kitebi-Kabusu'!C40,'26.07 Kabusu-Kitebi-24'!C40,'27.07 Kabusu-Kitebi-24h'!C40,'28.07 Kabusu-Kitebi'!C40)</f>
        <v>43</v>
      </c>
      <c r="D40" s="49">
        <f>AVERAGE('22.07 Kabusu-Kitebi'!D40,'23.07 Kabusu-Kitebi'!D40,'24.07 Kabusu-Kitebi'!D40,'25.07 Kitebi-Kabusu'!D40,'26.07 Kabusu-Kitebi-24'!D40,'27.07 Kabusu-Kitebi-24h'!D40,'28.07 Kabusu-Kitebi'!D40)</f>
        <v>7.1428571428571432</v>
      </c>
      <c r="E40" s="49">
        <f>AVERAGE('22.07 Kabusu-Kitebi'!E40,'23.07 Kabusu-Kitebi'!E40,'24.07 Kabusu-Kitebi'!E40,'25.07 Kitebi-Kabusu'!E40,'26.07 Kabusu-Kitebi-24'!E40,'27.07 Kabusu-Kitebi-24h'!E40,'28.07 Kabusu-Kitebi'!E40)</f>
        <v>5.8571428571428568</v>
      </c>
      <c r="F40" s="49">
        <f>AVERAGE('22.07 Kabusu-Kitebi'!F40,'23.07 Kabusu-Kitebi'!F40,'24.07 Kabusu-Kitebi'!F40,'25.07 Kitebi-Kabusu'!F40,'26.07 Kabusu-Kitebi-24'!F40,'27.07 Kabusu-Kitebi-24h'!F40,'28.07 Kabusu-Kitebi'!F40)</f>
        <v>16</v>
      </c>
      <c r="G40" s="49">
        <f>AVERAGE('22.07 Kabusu-Kitebi'!G40,'23.07 Kabusu-Kitebi'!G40,'24.07 Kabusu-Kitebi'!G40,'25.07 Kitebi-Kabusu'!G40,'26.07 Kabusu-Kitebi-24'!G40,'27.07 Kabusu-Kitebi-24h'!G40,'28.07 Kabusu-Kitebi'!G40)</f>
        <v>0.42857142857142855</v>
      </c>
      <c r="H40" s="49">
        <f>AVERAGE('22.07 Kabusu-Kitebi'!H40,'23.07 Kabusu-Kitebi'!H40,'24.07 Kabusu-Kitebi'!H40,'25.07 Kitebi-Kabusu'!H40,'26.07 Kabusu-Kitebi-24'!H40,'27.07 Kabusu-Kitebi-24h'!H40,'28.07 Kabusu-Kitebi'!H40)</f>
        <v>0.2857142857142857</v>
      </c>
      <c r="I40" s="49">
        <f>AVERAGE('22.07 Kabusu-Kitebi'!I40,'23.07 Kabusu-Kitebi'!I40,'24.07 Kabusu-Kitebi'!I40,'25.07 Kitebi-Kabusu'!I40,'26.07 Kabusu-Kitebi-24'!I40,'27.07 Kabusu-Kitebi-24h'!I40,'28.07 Kabusu-Kitebi'!I40)</f>
        <v>6.4285714285714288</v>
      </c>
      <c r="J40" s="49">
        <f>AVERAGE('22.07 Kabusu-Kitebi'!J40,'23.07 Kabusu-Kitebi'!J40,'24.07 Kabusu-Kitebi'!J40,'25.07 Kitebi-Kabusu'!J40,'26.07 Kabusu-Kitebi-24'!J40,'27.07 Kabusu-Kitebi-24h'!J40,'28.07 Kabusu-Kitebi'!J40)</f>
        <v>1.8571428571428572</v>
      </c>
      <c r="K40" s="49">
        <f>AVERAGE('22.07 Kabusu-Kitebi'!K40,'23.07 Kabusu-Kitebi'!K40,'24.07 Kabusu-Kitebi'!K40,'25.07 Kitebi-Kabusu'!K40,'26.07 Kabusu-Kitebi-24'!K40,'27.07 Kabusu-Kitebi-24h'!K40,'28.07 Kabusu-Kitebi'!K40)</f>
        <v>0.8571428571428571</v>
      </c>
      <c r="L40" s="49">
        <f>AVERAGE('22.07 Kabusu-Kitebi'!L40,'23.07 Kabusu-Kitebi'!L40,'24.07 Kabusu-Kitebi'!L40,'25.07 Kitebi-Kabusu'!L40,'26.07 Kabusu-Kitebi-24'!L40,'27.07 Kabusu-Kitebi-24h'!L40,'28.07 Kabusu-Kitebi'!L40)</f>
        <v>0.42857142857142855</v>
      </c>
      <c r="M40" s="49">
        <f>AVERAGE('22.07 Kabusu-Kitebi'!M40,'23.07 Kabusu-Kitebi'!M40,'24.07 Kabusu-Kitebi'!M40,'25.07 Kitebi-Kabusu'!M40,'26.07 Kabusu-Kitebi-24'!M40,'27.07 Kabusu-Kitebi-24h'!M40,'28.07 Kabusu-Kitebi'!M40)</f>
        <v>127.85714285714286</v>
      </c>
      <c r="N40" s="49">
        <f>AVERAGE('22.07 Kabusu-Kitebi'!N40,'23.07 Kabusu-Kitebi'!N40,'24.07 Kabusu-Kitebi'!N40,'25.07 Kitebi-Kabusu'!N40,'26.07 Kabusu-Kitebi-24'!N40,'27.07 Kabusu-Kitebi-24h'!N40,'28.07 Kabusu-Kitebi'!N40)</f>
        <v>0</v>
      </c>
      <c r="O40" s="15">
        <f t="shared" si="0"/>
        <v>82.285714285714306</v>
      </c>
      <c r="P40" s="15">
        <f t="shared" si="1"/>
        <v>210.14285714285717</v>
      </c>
      <c r="R40" s="5" t="s">
        <v>17</v>
      </c>
      <c r="S40" s="16">
        <f t="shared" ref="S40:AF40" si="32">SUM(S10:S21)</f>
        <v>2134.8571428571431</v>
      </c>
      <c r="T40" s="16">
        <f t="shared" si="32"/>
        <v>332.85714285714283</v>
      </c>
      <c r="U40" s="16">
        <f t="shared" si="32"/>
        <v>296.85714285714289</v>
      </c>
      <c r="V40" s="16">
        <f t="shared" si="32"/>
        <v>965.42857142857144</v>
      </c>
      <c r="W40" s="16">
        <f t="shared" si="32"/>
        <v>25.142857142857139</v>
      </c>
      <c r="X40" s="16">
        <f t="shared" si="32"/>
        <v>12.285714285714286</v>
      </c>
      <c r="Y40" s="16">
        <f t="shared" si="32"/>
        <v>227.57142857142858</v>
      </c>
      <c r="Z40" s="16">
        <f t="shared" si="32"/>
        <v>58.714285714285722</v>
      </c>
      <c r="AA40" s="16">
        <f t="shared" si="32"/>
        <v>76.285714285714263</v>
      </c>
      <c r="AB40" s="16">
        <f t="shared" si="32"/>
        <v>32.571428571428569</v>
      </c>
      <c r="AC40" s="16">
        <f t="shared" si="32"/>
        <v>6557.7142857142862</v>
      </c>
      <c r="AD40" s="16">
        <f t="shared" si="32"/>
        <v>0</v>
      </c>
      <c r="AE40" s="32">
        <f t="shared" si="32"/>
        <v>4162.5714285714294</v>
      </c>
      <c r="AF40" s="32">
        <f t="shared" si="32"/>
        <v>10720.285714285714</v>
      </c>
    </row>
    <row r="41" spans="2:32" ht="23.1" customHeight="1" x14ac:dyDescent="0.25">
      <c r="B41" s="23" t="s">
        <v>68</v>
      </c>
      <c r="C41" s="49">
        <f>AVERAGE('22.07 Kabusu-Kitebi'!C41,'23.07 Kabusu-Kitebi'!C41,'24.07 Kabusu-Kitebi'!C41,'25.07 Kitebi-Kabusu'!C41,'26.07 Kabusu-Kitebi-24'!C41,'27.07 Kabusu-Kitebi-24h'!C41,'28.07 Kabusu-Kitebi'!C41)</f>
        <v>46.571428571428569</v>
      </c>
      <c r="D41" s="49">
        <f>AVERAGE('22.07 Kabusu-Kitebi'!D41,'23.07 Kabusu-Kitebi'!D41,'24.07 Kabusu-Kitebi'!D41,'25.07 Kitebi-Kabusu'!D41,'26.07 Kabusu-Kitebi-24'!D41,'27.07 Kabusu-Kitebi-24h'!D41,'28.07 Kabusu-Kitebi'!D41)</f>
        <v>8</v>
      </c>
      <c r="E41" s="49">
        <f>AVERAGE('22.07 Kabusu-Kitebi'!E41,'23.07 Kabusu-Kitebi'!E41,'24.07 Kabusu-Kitebi'!E41,'25.07 Kitebi-Kabusu'!E41,'26.07 Kabusu-Kitebi-24'!E41,'27.07 Kabusu-Kitebi-24h'!E41,'28.07 Kabusu-Kitebi'!E41)</f>
        <v>5</v>
      </c>
      <c r="F41" s="49">
        <f>AVERAGE('22.07 Kabusu-Kitebi'!F41,'23.07 Kabusu-Kitebi'!F41,'24.07 Kabusu-Kitebi'!F41,'25.07 Kitebi-Kabusu'!F41,'26.07 Kabusu-Kitebi-24'!F41,'27.07 Kabusu-Kitebi-24h'!F41,'28.07 Kabusu-Kitebi'!F41)</f>
        <v>17.428571428571427</v>
      </c>
      <c r="G41" s="49">
        <f>AVERAGE('22.07 Kabusu-Kitebi'!G41,'23.07 Kabusu-Kitebi'!G41,'24.07 Kabusu-Kitebi'!G41,'25.07 Kitebi-Kabusu'!G41,'26.07 Kabusu-Kitebi-24'!G41,'27.07 Kabusu-Kitebi-24h'!G41,'28.07 Kabusu-Kitebi'!G41)</f>
        <v>0.42857142857142855</v>
      </c>
      <c r="H41" s="49">
        <f>AVERAGE('22.07 Kabusu-Kitebi'!H41,'23.07 Kabusu-Kitebi'!H41,'24.07 Kabusu-Kitebi'!H41,'25.07 Kitebi-Kabusu'!H41,'26.07 Kabusu-Kitebi-24'!H41,'27.07 Kabusu-Kitebi-24h'!H41,'28.07 Kabusu-Kitebi'!H41)</f>
        <v>0.14285714285714285</v>
      </c>
      <c r="I41" s="49">
        <f>AVERAGE('22.07 Kabusu-Kitebi'!I41,'23.07 Kabusu-Kitebi'!I41,'24.07 Kabusu-Kitebi'!I41,'25.07 Kitebi-Kabusu'!I41,'26.07 Kabusu-Kitebi-24'!I41,'27.07 Kabusu-Kitebi-24h'!I41,'28.07 Kabusu-Kitebi'!I41)</f>
        <v>6</v>
      </c>
      <c r="J41" s="49">
        <f>AVERAGE('22.07 Kabusu-Kitebi'!J41,'23.07 Kabusu-Kitebi'!J41,'24.07 Kabusu-Kitebi'!J41,'25.07 Kitebi-Kabusu'!J41,'26.07 Kabusu-Kitebi-24'!J41,'27.07 Kabusu-Kitebi-24h'!J41,'28.07 Kabusu-Kitebi'!J41)</f>
        <v>2.7142857142857144</v>
      </c>
      <c r="K41" s="49">
        <f>AVERAGE('22.07 Kabusu-Kitebi'!K41,'23.07 Kabusu-Kitebi'!K41,'24.07 Kabusu-Kitebi'!K41,'25.07 Kitebi-Kabusu'!K41,'26.07 Kabusu-Kitebi-24'!K41,'27.07 Kabusu-Kitebi-24h'!K41,'28.07 Kabusu-Kitebi'!K41)</f>
        <v>1.1428571428571428</v>
      </c>
      <c r="L41" s="49">
        <f>AVERAGE('22.07 Kabusu-Kitebi'!L41,'23.07 Kabusu-Kitebi'!L41,'24.07 Kabusu-Kitebi'!L41,'25.07 Kitebi-Kabusu'!L41,'26.07 Kabusu-Kitebi-24'!L41,'27.07 Kabusu-Kitebi-24h'!L41,'28.07 Kabusu-Kitebi'!L41)</f>
        <v>0.8571428571428571</v>
      </c>
      <c r="M41" s="49">
        <f>AVERAGE('22.07 Kabusu-Kitebi'!M41,'23.07 Kabusu-Kitebi'!M41,'24.07 Kabusu-Kitebi'!M41,'25.07 Kitebi-Kabusu'!M41,'26.07 Kabusu-Kitebi-24'!M41,'27.07 Kabusu-Kitebi-24h'!M41,'28.07 Kabusu-Kitebi'!M41)</f>
        <v>127.28571428571429</v>
      </c>
      <c r="N41" s="49">
        <f>AVERAGE('22.07 Kabusu-Kitebi'!N41,'23.07 Kabusu-Kitebi'!N41,'24.07 Kabusu-Kitebi'!N41,'25.07 Kitebi-Kabusu'!N41,'26.07 Kabusu-Kitebi-24'!N41,'27.07 Kabusu-Kitebi-24h'!N41,'28.07 Kabusu-Kitebi'!N41)</f>
        <v>0</v>
      </c>
      <c r="O41" s="15">
        <f t="shared" si="0"/>
        <v>88.285714285714278</v>
      </c>
      <c r="P41" s="15">
        <f t="shared" si="1"/>
        <v>215.57142857142856</v>
      </c>
      <c r="R41" s="5" t="s">
        <v>178</v>
      </c>
      <c r="S41" s="53">
        <f>SUM(S10:S33)</f>
        <v>3747.3571428571431</v>
      </c>
      <c r="T41" s="53">
        <f t="shared" ref="T41:AD41" si="33">SUM(T10:T33)</f>
        <v>528.85714285714289</v>
      </c>
      <c r="U41" s="53">
        <f t="shared" si="33"/>
        <v>470.35714285714289</v>
      </c>
      <c r="V41" s="53">
        <f t="shared" si="33"/>
        <v>1543.9285714285716</v>
      </c>
      <c r="W41" s="53">
        <f t="shared" si="33"/>
        <v>42.142857142857139</v>
      </c>
      <c r="X41" s="53">
        <f t="shared" si="33"/>
        <v>20.285714285714285</v>
      </c>
      <c r="Y41" s="53">
        <f t="shared" si="33"/>
        <v>313.07142857142856</v>
      </c>
      <c r="Z41" s="53">
        <f t="shared" si="33"/>
        <v>103.71428571428572</v>
      </c>
      <c r="AA41" s="53">
        <f t="shared" si="33"/>
        <v>90.285714285714263</v>
      </c>
      <c r="AB41" s="53">
        <f t="shared" si="33"/>
        <v>40.571428571428569</v>
      </c>
      <c r="AC41" s="53">
        <f t="shared" si="33"/>
        <v>9341.7142857142862</v>
      </c>
      <c r="AD41" s="53">
        <f t="shared" si="33"/>
        <v>0</v>
      </c>
      <c r="AE41" s="54">
        <f>SUM(AE10:AE33)</f>
        <v>6900.5714285714294</v>
      </c>
      <c r="AF41" s="54">
        <f>SUM(AF10:AF33)</f>
        <v>17367.785714285714</v>
      </c>
    </row>
    <row r="42" spans="2:32" ht="23.1" customHeight="1" x14ac:dyDescent="0.25">
      <c r="B42" s="24" t="s">
        <v>69</v>
      </c>
      <c r="C42" s="49">
        <f>AVERAGE('22.07 Kabusu-Kitebi'!C42,'23.07 Kabusu-Kitebi'!C42,'24.07 Kabusu-Kitebi'!C42,'25.07 Kitebi-Kabusu'!C42,'26.07 Kabusu-Kitebi-24'!C42,'27.07 Kabusu-Kitebi-24h'!C42,'28.07 Kabusu-Kitebi'!C42)</f>
        <v>41.142857142857146</v>
      </c>
      <c r="D42" s="49">
        <f>AVERAGE('22.07 Kabusu-Kitebi'!D42,'23.07 Kabusu-Kitebi'!D42,'24.07 Kabusu-Kitebi'!D42,'25.07 Kitebi-Kabusu'!D42,'26.07 Kabusu-Kitebi-24'!D42,'27.07 Kabusu-Kitebi-24h'!D42,'28.07 Kabusu-Kitebi'!D42)</f>
        <v>8</v>
      </c>
      <c r="E42" s="49">
        <f>AVERAGE('22.07 Kabusu-Kitebi'!E42,'23.07 Kabusu-Kitebi'!E42,'24.07 Kabusu-Kitebi'!E42,'25.07 Kitebi-Kabusu'!E42,'26.07 Kabusu-Kitebi-24'!E42,'27.07 Kabusu-Kitebi-24h'!E42,'28.07 Kabusu-Kitebi'!E42)</f>
        <v>6</v>
      </c>
      <c r="F42" s="49">
        <f>AVERAGE('22.07 Kabusu-Kitebi'!F42,'23.07 Kabusu-Kitebi'!F42,'24.07 Kabusu-Kitebi'!F42,'25.07 Kitebi-Kabusu'!F42,'26.07 Kabusu-Kitebi-24'!F42,'27.07 Kabusu-Kitebi-24h'!F42,'28.07 Kabusu-Kitebi'!F42)</f>
        <v>16.142857142857142</v>
      </c>
      <c r="G42" s="49">
        <f>AVERAGE('22.07 Kabusu-Kitebi'!G42,'23.07 Kabusu-Kitebi'!G42,'24.07 Kabusu-Kitebi'!G42,'25.07 Kitebi-Kabusu'!G42,'26.07 Kabusu-Kitebi-24'!G42,'27.07 Kabusu-Kitebi-24h'!G42,'28.07 Kabusu-Kitebi'!G42)</f>
        <v>0.14285714285714285</v>
      </c>
      <c r="H42" s="49">
        <f>AVERAGE('22.07 Kabusu-Kitebi'!H42,'23.07 Kabusu-Kitebi'!H42,'24.07 Kabusu-Kitebi'!H42,'25.07 Kitebi-Kabusu'!H42,'26.07 Kabusu-Kitebi-24'!H42,'27.07 Kabusu-Kitebi-24h'!H42,'28.07 Kabusu-Kitebi'!H42)</f>
        <v>0.2857142857142857</v>
      </c>
      <c r="I42" s="49">
        <f>AVERAGE('22.07 Kabusu-Kitebi'!I42,'23.07 Kabusu-Kitebi'!I42,'24.07 Kabusu-Kitebi'!I42,'25.07 Kitebi-Kabusu'!I42,'26.07 Kabusu-Kitebi-24'!I42,'27.07 Kabusu-Kitebi-24h'!I42,'28.07 Kabusu-Kitebi'!I42)</f>
        <v>5</v>
      </c>
      <c r="J42" s="49">
        <f>AVERAGE('22.07 Kabusu-Kitebi'!J42,'23.07 Kabusu-Kitebi'!J42,'24.07 Kabusu-Kitebi'!J42,'25.07 Kitebi-Kabusu'!J42,'26.07 Kabusu-Kitebi-24'!J42,'27.07 Kabusu-Kitebi-24h'!J42,'28.07 Kabusu-Kitebi'!J42)</f>
        <v>1.4285714285714286</v>
      </c>
      <c r="K42" s="49">
        <f>AVERAGE('22.07 Kabusu-Kitebi'!K42,'23.07 Kabusu-Kitebi'!K42,'24.07 Kabusu-Kitebi'!K42,'25.07 Kitebi-Kabusu'!K42,'26.07 Kabusu-Kitebi-24'!K42,'27.07 Kabusu-Kitebi-24h'!K42,'28.07 Kabusu-Kitebi'!K42)</f>
        <v>1</v>
      </c>
      <c r="L42" s="49">
        <f>AVERAGE('22.07 Kabusu-Kitebi'!L42,'23.07 Kabusu-Kitebi'!L42,'24.07 Kabusu-Kitebi'!L42,'25.07 Kitebi-Kabusu'!L42,'26.07 Kabusu-Kitebi-24'!L42,'27.07 Kabusu-Kitebi-24h'!L42,'28.07 Kabusu-Kitebi'!L42)</f>
        <v>0.2857142857142857</v>
      </c>
      <c r="M42" s="49">
        <f>AVERAGE('22.07 Kabusu-Kitebi'!M42,'23.07 Kabusu-Kitebi'!M42,'24.07 Kabusu-Kitebi'!M42,'25.07 Kitebi-Kabusu'!M42,'26.07 Kabusu-Kitebi-24'!M42,'27.07 Kabusu-Kitebi-24h'!M42,'28.07 Kabusu-Kitebi'!M42)</f>
        <v>136.28571428571428</v>
      </c>
      <c r="N42" s="49">
        <f>AVERAGE('22.07 Kabusu-Kitebi'!N42,'23.07 Kabusu-Kitebi'!N42,'24.07 Kabusu-Kitebi'!N42,'25.07 Kitebi-Kabusu'!N42,'26.07 Kabusu-Kitebi-24'!N42,'27.07 Kabusu-Kitebi-24h'!N42,'28.07 Kabusu-Kitebi'!N42)</f>
        <v>0</v>
      </c>
      <c r="O42" s="15">
        <f t="shared" si="0"/>
        <v>79.428571428571445</v>
      </c>
      <c r="P42" s="15">
        <f t="shared" si="1"/>
        <v>215.71428571428572</v>
      </c>
      <c r="R42" s="5" t="s">
        <v>160</v>
      </c>
      <c r="S42" s="48">
        <f>S41/S40</f>
        <v>1.7553198608137044</v>
      </c>
      <c r="T42" s="48">
        <f t="shared" ref="T42:AF42" si="34">T41/T40</f>
        <v>1.5888412017167384</v>
      </c>
      <c r="U42" s="48">
        <f t="shared" si="34"/>
        <v>1.584456207892204</v>
      </c>
      <c r="V42" s="48">
        <f t="shared" si="34"/>
        <v>1.5992157443030484</v>
      </c>
      <c r="W42" s="48">
        <f t="shared" si="34"/>
        <v>1.6761363636363638</v>
      </c>
      <c r="X42" s="48">
        <f t="shared" si="34"/>
        <v>1.6511627906976742</v>
      </c>
      <c r="Y42" s="48">
        <f t="shared" si="34"/>
        <v>1.3757062146892653</v>
      </c>
      <c r="Z42" s="48">
        <f t="shared" si="34"/>
        <v>1.7664233576642334</v>
      </c>
      <c r="AA42" s="48">
        <f t="shared" si="34"/>
        <v>1.1835205992509363</v>
      </c>
      <c r="AB42" s="48">
        <f t="shared" si="34"/>
        <v>1.2456140350877194</v>
      </c>
      <c r="AC42" s="48">
        <f t="shared" si="34"/>
        <v>1.4245381666085744</v>
      </c>
      <c r="AD42" s="48" t="e">
        <f t="shared" si="34"/>
        <v>#DIV/0!</v>
      </c>
      <c r="AE42" s="55">
        <f t="shared" si="34"/>
        <v>1.6577664904935134</v>
      </c>
      <c r="AF42" s="55">
        <f t="shared" si="34"/>
        <v>1.6200860851256631</v>
      </c>
    </row>
    <row r="43" spans="2:32" ht="23.1" customHeight="1" x14ac:dyDescent="0.25">
      <c r="B43" s="23" t="s">
        <v>70</v>
      </c>
      <c r="C43" s="49">
        <f>AVERAGE('22.07 Kabusu-Kitebi'!C43,'23.07 Kabusu-Kitebi'!C43,'24.07 Kabusu-Kitebi'!C43,'25.07 Kitebi-Kabusu'!C43,'26.07 Kabusu-Kitebi-24'!C43,'27.07 Kabusu-Kitebi-24h'!C43,'28.07 Kabusu-Kitebi'!C43)</f>
        <v>40.142857142857146</v>
      </c>
      <c r="D43" s="49">
        <f>AVERAGE('22.07 Kabusu-Kitebi'!D43,'23.07 Kabusu-Kitebi'!D43,'24.07 Kabusu-Kitebi'!D43,'25.07 Kitebi-Kabusu'!D43,'26.07 Kabusu-Kitebi-24'!D43,'27.07 Kabusu-Kitebi-24h'!D43,'28.07 Kabusu-Kitebi'!D43)</f>
        <v>6</v>
      </c>
      <c r="E43" s="49">
        <f>AVERAGE('22.07 Kabusu-Kitebi'!E43,'23.07 Kabusu-Kitebi'!E43,'24.07 Kabusu-Kitebi'!E43,'25.07 Kitebi-Kabusu'!E43,'26.07 Kabusu-Kitebi-24'!E43,'27.07 Kabusu-Kitebi-24h'!E43,'28.07 Kabusu-Kitebi'!E43)</f>
        <v>4.8571428571428568</v>
      </c>
      <c r="F43" s="49">
        <f>AVERAGE('22.07 Kabusu-Kitebi'!F43,'23.07 Kabusu-Kitebi'!F43,'24.07 Kabusu-Kitebi'!F43,'25.07 Kitebi-Kabusu'!F43,'26.07 Kabusu-Kitebi-24'!F43,'27.07 Kabusu-Kitebi-24h'!F43,'28.07 Kabusu-Kitebi'!F43)</f>
        <v>15.714285714285714</v>
      </c>
      <c r="G43" s="49">
        <f>AVERAGE('22.07 Kabusu-Kitebi'!G43,'23.07 Kabusu-Kitebi'!G43,'24.07 Kabusu-Kitebi'!G43,'25.07 Kitebi-Kabusu'!G43,'26.07 Kabusu-Kitebi-24'!G43,'27.07 Kabusu-Kitebi-24h'!G43,'28.07 Kabusu-Kitebi'!G43)</f>
        <v>0.14285714285714285</v>
      </c>
      <c r="H43" s="49">
        <f>AVERAGE('22.07 Kabusu-Kitebi'!H43,'23.07 Kabusu-Kitebi'!H43,'24.07 Kabusu-Kitebi'!H43,'25.07 Kitebi-Kabusu'!H43,'26.07 Kabusu-Kitebi-24'!H43,'27.07 Kabusu-Kitebi-24h'!H43,'28.07 Kabusu-Kitebi'!H43)</f>
        <v>0</v>
      </c>
      <c r="I43" s="49">
        <f>AVERAGE('22.07 Kabusu-Kitebi'!I43,'23.07 Kabusu-Kitebi'!I43,'24.07 Kabusu-Kitebi'!I43,'25.07 Kitebi-Kabusu'!I43,'26.07 Kabusu-Kitebi-24'!I43,'27.07 Kabusu-Kitebi-24h'!I43,'28.07 Kabusu-Kitebi'!I43)</f>
        <v>3.7142857142857144</v>
      </c>
      <c r="J43" s="49">
        <f>AVERAGE('22.07 Kabusu-Kitebi'!J43,'23.07 Kabusu-Kitebi'!J43,'24.07 Kabusu-Kitebi'!J43,'25.07 Kitebi-Kabusu'!J43,'26.07 Kabusu-Kitebi-24'!J43,'27.07 Kabusu-Kitebi-24h'!J43,'28.07 Kabusu-Kitebi'!J43)</f>
        <v>1.2857142857142858</v>
      </c>
      <c r="K43" s="49">
        <f>AVERAGE('22.07 Kabusu-Kitebi'!K43,'23.07 Kabusu-Kitebi'!K43,'24.07 Kabusu-Kitebi'!K43,'25.07 Kitebi-Kabusu'!K43,'26.07 Kabusu-Kitebi-24'!K43,'27.07 Kabusu-Kitebi-24h'!K43,'28.07 Kabusu-Kitebi'!K43)</f>
        <v>1</v>
      </c>
      <c r="L43" s="49">
        <f>AVERAGE('22.07 Kabusu-Kitebi'!L43,'23.07 Kabusu-Kitebi'!L43,'24.07 Kabusu-Kitebi'!L43,'25.07 Kitebi-Kabusu'!L43,'26.07 Kabusu-Kitebi-24'!L43,'27.07 Kabusu-Kitebi-24h'!L43,'28.07 Kabusu-Kitebi'!L43)</f>
        <v>0.5714285714285714</v>
      </c>
      <c r="M43" s="49">
        <f>AVERAGE('22.07 Kabusu-Kitebi'!M43,'23.07 Kabusu-Kitebi'!M43,'24.07 Kabusu-Kitebi'!M43,'25.07 Kitebi-Kabusu'!M43,'26.07 Kabusu-Kitebi-24'!M43,'27.07 Kabusu-Kitebi-24h'!M43,'28.07 Kabusu-Kitebi'!M43)</f>
        <v>120</v>
      </c>
      <c r="N43" s="49">
        <f>AVERAGE('22.07 Kabusu-Kitebi'!N43,'23.07 Kabusu-Kitebi'!N43,'24.07 Kabusu-Kitebi'!N43,'25.07 Kitebi-Kabusu'!N43,'26.07 Kabusu-Kitebi-24'!N43,'27.07 Kabusu-Kitebi-24h'!N43,'28.07 Kabusu-Kitebi'!N43)</f>
        <v>0</v>
      </c>
      <c r="O43" s="15">
        <f t="shared" si="0"/>
        <v>73.428571428571416</v>
      </c>
      <c r="P43" s="15">
        <f t="shared" si="1"/>
        <v>193.42857142857142</v>
      </c>
    </row>
    <row r="44" spans="2:32" ht="23.1" customHeight="1" x14ac:dyDescent="0.25">
      <c r="B44" s="25" t="s">
        <v>71</v>
      </c>
      <c r="C44" s="49">
        <f>AVERAGE('22.07 Kabusu-Kitebi'!C44,'23.07 Kabusu-Kitebi'!C44,'24.07 Kabusu-Kitebi'!C44,'25.07 Kitebi-Kabusu'!C44,'26.07 Kabusu-Kitebi-24'!C44,'27.07 Kabusu-Kitebi-24h'!C44,'28.07 Kabusu-Kitebi'!C44)</f>
        <v>42.428571428571431</v>
      </c>
      <c r="D44" s="49">
        <f>AVERAGE('22.07 Kabusu-Kitebi'!D44,'23.07 Kabusu-Kitebi'!D44,'24.07 Kabusu-Kitebi'!D44,'25.07 Kitebi-Kabusu'!D44,'26.07 Kabusu-Kitebi-24'!D44,'27.07 Kabusu-Kitebi-24h'!D44,'28.07 Kabusu-Kitebi'!D44)</f>
        <v>7.1428571428571432</v>
      </c>
      <c r="E44" s="49">
        <f>AVERAGE('22.07 Kabusu-Kitebi'!E44,'23.07 Kabusu-Kitebi'!E44,'24.07 Kabusu-Kitebi'!E44,'25.07 Kitebi-Kabusu'!E44,'26.07 Kabusu-Kitebi-24'!E44,'27.07 Kabusu-Kitebi-24h'!E44,'28.07 Kabusu-Kitebi'!E44)</f>
        <v>8</v>
      </c>
      <c r="F44" s="49">
        <f>AVERAGE('22.07 Kabusu-Kitebi'!F44,'23.07 Kabusu-Kitebi'!F44,'24.07 Kabusu-Kitebi'!F44,'25.07 Kitebi-Kabusu'!F44,'26.07 Kabusu-Kitebi-24'!F44,'27.07 Kabusu-Kitebi-24h'!F44,'28.07 Kabusu-Kitebi'!F44)</f>
        <v>14.714285714285714</v>
      </c>
      <c r="G44" s="49">
        <f>AVERAGE('22.07 Kabusu-Kitebi'!G44,'23.07 Kabusu-Kitebi'!G44,'24.07 Kabusu-Kitebi'!G44,'25.07 Kitebi-Kabusu'!G44,'26.07 Kabusu-Kitebi-24'!G44,'27.07 Kabusu-Kitebi-24h'!G44,'28.07 Kabusu-Kitebi'!G44)</f>
        <v>0.2857142857142857</v>
      </c>
      <c r="H44" s="49">
        <f>AVERAGE('22.07 Kabusu-Kitebi'!H44,'23.07 Kabusu-Kitebi'!H44,'24.07 Kabusu-Kitebi'!H44,'25.07 Kitebi-Kabusu'!H44,'26.07 Kabusu-Kitebi-24'!H44,'27.07 Kabusu-Kitebi-24h'!H44,'28.07 Kabusu-Kitebi'!H44)</f>
        <v>0.2857142857142857</v>
      </c>
      <c r="I44" s="49">
        <f>AVERAGE('22.07 Kabusu-Kitebi'!I44,'23.07 Kabusu-Kitebi'!I44,'24.07 Kabusu-Kitebi'!I44,'25.07 Kitebi-Kabusu'!I44,'26.07 Kabusu-Kitebi-24'!I44,'27.07 Kabusu-Kitebi-24h'!I44,'28.07 Kabusu-Kitebi'!I44)</f>
        <v>3.4285714285714284</v>
      </c>
      <c r="J44" s="49">
        <f>AVERAGE('22.07 Kabusu-Kitebi'!J44,'23.07 Kabusu-Kitebi'!J44,'24.07 Kabusu-Kitebi'!J44,'25.07 Kitebi-Kabusu'!J44,'26.07 Kabusu-Kitebi-24'!J44,'27.07 Kabusu-Kitebi-24h'!J44,'28.07 Kabusu-Kitebi'!J44)</f>
        <v>1.4285714285714286</v>
      </c>
      <c r="K44" s="49">
        <f>AVERAGE('22.07 Kabusu-Kitebi'!K44,'23.07 Kabusu-Kitebi'!K44,'24.07 Kabusu-Kitebi'!K44,'25.07 Kitebi-Kabusu'!K44,'26.07 Kabusu-Kitebi-24'!K44,'27.07 Kabusu-Kitebi-24h'!K44,'28.07 Kabusu-Kitebi'!K44)</f>
        <v>0.42857142857142855</v>
      </c>
      <c r="L44" s="49">
        <f>AVERAGE('22.07 Kabusu-Kitebi'!L44,'23.07 Kabusu-Kitebi'!L44,'24.07 Kabusu-Kitebi'!L44,'25.07 Kitebi-Kabusu'!L44,'26.07 Kabusu-Kitebi-24'!L44,'27.07 Kabusu-Kitebi-24h'!L44,'28.07 Kabusu-Kitebi'!L44)</f>
        <v>0.42857142857142855</v>
      </c>
      <c r="M44" s="49">
        <f>AVERAGE('22.07 Kabusu-Kitebi'!M44,'23.07 Kabusu-Kitebi'!M44,'24.07 Kabusu-Kitebi'!M44,'25.07 Kitebi-Kabusu'!M44,'26.07 Kabusu-Kitebi-24'!M44,'27.07 Kabusu-Kitebi-24h'!M44,'28.07 Kabusu-Kitebi'!M44)</f>
        <v>100.42857142857143</v>
      </c>
      <c r="N44" s="49">
        <f>AVERAGE('22.07 Kabusu-Kitebi'!N44,'23.07 Kabusu-Kitebi'!N44,'24.07 Kabusu-Kitebi'!N44,'25.07 Kitebi-Kabusu'!N44,'26.07 Kabusu-Kitebi-24'!N44,'27.07 Kabusu-Kitebi-24h'!N44,'28.07 Kabusu-Kitebi'!N44)</f>
        <v>0</v>
      </c>
      <c r="O44" s="15">
        <f t="shared" si="0"/>
        <v>78.571428571428598</v>
      </c>
      <c r="P44" s="15">
        <f t="shared" si="1"/>
        <v>179.00000000000003</v>
      </c>
    </row>
    <row r="45" spans="2:32" ht="23.1" customHeight="1" x14ac:dyDescent="0.25">
      <c r="B45" s="23" t="s">
        <v>72</v>
      </c>
      <c r="C45" s="49">
        <f>AVERAGE('22.07 Kabusu-Kitebi'!C45,'23.07 Kabusu-Kitebi'!C45,'24.07 Kabusu-Kitebi'!C45,'25.07 Kitebi-Kabusu'!C45,'26.07 Kabusu-Kitebi-24'!C45,'27.07 Kabusu-Kitebi-24h'!C45,'28.07 Kabusu-Kitebi'!C45)</f>
        <v>38.142857142857146</v>
      </c>
      <c r="D45" s="49">
        <f>AVERAGE('22.07 Kabusu-Kitebi'!D45,'23.07 Kabusu-Kitebi'!D45,'24.07 Kabusu-Kitebi'!D45,'25.07 Kitebi-Kabusu'!D45,'26.07 Kabusu-Kitebi-24'!D45,'27.07 Kabusu-Kitebi-24h'!D45,'28.07 Kabusu-Kitebi'!D45)</f>
        <v>7.5714285714285712</v>
      </c>
      <c r="E45" s="49">
        <f>AVERAGE('22.07 Kabusu-Kitebi'!E45,'23.07 Kabusu-Kitebi'!E45,'24.07 Kabusu-Kitebi'!E45,'25.07 Kitebi-Kabusu'!E45,'26.07 Kabusu-Kitebi-24'!E45,'27.07 Kabusu-Kitebi-24h'!E45,'28.07 Kabusu-Kitebi'!E45)</f>
        <v>6.2857142857142856</v>
      </c>
      <c r="F45" s="49">
        <f>AVERAGE('22.07 Kabusu-Kitebi'!F45,'23.07 Kabusu-Kitebi'!F45,'24.07 Kabusu-Kitebi'!F45,'25.07 Kitebi-Kabusu'!F45,'26.07 Kabusu-Kitebi-24'!F45,'27.07 Kabusu-Kitebi-24h'!F45,'28.07 Kabusu-Kitebi'!F45)</f>
        <v>16.857142857142858</v>
      </c>
      <c r="G45" s="49">
        <f>AVERAGE('22.07 Kabusu-Kitebi'!G45,'23.07 Kabusu-Kitebi'!G45,'24.07 Kabusu-Kitebi'!G45,'25.07 Kitebi-Kabusu'!G45,'26.07 Kabusu-Kitebi-24'!G45,'27.07 Kabusu-Kitebi-24h'!G45,'28.07 Kabusu-Kitebi'!G45)</f>
        <v>0.8571428571428571</v>
      </c>
      <c r="H45" s="49">
        <f>AVERAGE('22.07 Kabusu-Kitebi'!H45,'23.07 Kabusu-Kitebi'!H45,'24.07 Kabusu-Kitebi'!H45,'25.07 Kitebi-Kabusu'!H45,'26.07 Kabusu-Kitebi-24'!H45,'27.07 Kabusu-Kitebi-24h'!H45,'28.07 Kabusu-Kitebi'!H45)</f>
        <v>0.14285714285714285</v>
      </c>
      <c r="I45" s="49">
        <f>AVERAGE('22.07 Kabusu-Kitebi'!I45,'23.07 Kabusu-Kitebi'!I45,'24.07 Kabusu-Kitebi'!I45,'25.07 Kitebi-Kabusu'!I45,'26.07 Kabusu-Kitebi-24'!I45,'27.07 Kabusu-Kitebi-24h'!I45,'28.07 Kabusu-Kitebi'!I45)</f>
        <v>5.1428571428571432</v>
      </c>
      <c r="J45" s="49">
        <f>AVERAGE('22.07 Kabusu-Kitebi'!J45,'23.07 Kabusu-Kitebi'!J45,'24.07 Kabusu-Kitebi'!J45,'25.07 Kitebi-Kabusu'!J45,'26.07 Kabusu-Kitebi-24'!J45,'27.07 Kabusu-Kitebi-24h'!J45,'28.07 Kabusu-Kitebi'!J45)</f>
        <v>1.2857142857142858</v>
      </c>
      <c r="K45" s="49">
        <f>AVERAGE('22.07 Kabusu-Kitebi'!K45,'23.07 Kabusu-Kitebi'!K45,'24.07 Kabusu-Kitebi'!K45,'25.07 Kitebi-Kabusu'!K45,'26.07 Kabusu-Kitebi-24'!K45,'27.07 Kabusu-Kitebi-24h'!K45,'28.07 Kabusu-Kitebi'!K45)</f>
        <v>1.2857142857142858</v>
      </c>
      <c r="L45" s="49">
        <f>AVERAGE('22.07 Kabusu-Kitebi'!L45,'23.07 Kabusu-Kitebi'!L45,'24.07 Kabusu-Kitebi'!L45,'25.07 Kitebi-Kabusu'!L45,'26.07 Kabusu-Kitebi-24'!L45,'27.07 Kabusu-Kitebi-24h'!L45,'28.07 Kabusu-Kitebi'!L45)</f>
        <v>1</v>
      </c>
      <c r="M45" s="49">
        <f>AVERAGE('22.07 Kabusu-Kitebi'!M45,'23.07 Kabusu-Kitebi'!M45,'24.07 Kabusu-Kitebi'!M45,'25.07 Kitebi-Kabusu'!M45,'26.07 Kabusu-Kitebi-24'!M45,'27.07 Kabusu-Kitebi-24h'!M45,'28.07 Kabusu-Kitebi'!M45)</f>
        <v>107.57142857142857</v>
      </c>
      <c r="N45" s="49">
        <f>AVERAGE('22.07 Kabusu-Kitebi'!N45,'23.07 Kabusu-Kitebi'!N45,'24.07 Kabusu-Kitebi'!N45,'25.07 Kitebi-Kabusu'!N45,'26.07 Kabusu-Kitebi-24'!N45,'27.07 Kabusu-Kitebi-24h'!N45,'28.07 Kabusu-Kitebi'!N45)</f>
        <v>0</v>
      </c>
      <c r="O45" s="15">
        <f t="shared" si="0"/>
        <v>78.571428571428584</v>
      </c>
      <c r="P45" s="15">
        <f t="shared" si="1"/>
        <v>186.14285714285717</v>
      </c>
    </row>
    <row r="46" spans="2:32" ht="23.1" customHeight="1" x14ac:dyDescent="0.25">
      <c r="B46" s="24" t="s">
        <v>73</v>
      </c>
      <c r="C46" s="49">
        <f>AVERAGE('22.07 Kabusu-Kitebi'!C46,'23.07 Kabusu-Kitebi'!C46,'24.07 Kabusu-Kitebi'!C46,'25.07 Kitebi-Kabusu'!C46,'26.07 Kabusu-Kitebi-24'!C46,'27.07 Kabusu-Kitebi-24h'!C46,'28.07 Kabusu-Kitebi'!C46)</f>
        <v>53</v>
      </c>
      <c r="D46" s="49">
        <f>AVERAGE('22.07 Kabusu-Kitebi'!D46,'23.07 Kabusu-Kitebi'!D46,'24.07 Kabusu-Kitebi'!D46,'25.07 Kitebi-Kabusu'!D46,'26.07 Kabusu-Kitebi-24'!D46,'27.07 Kabusu-Kitebi-24h'!D46,'28.07 Kabusu-Kitebi'!D46)</f>
        <v>6.5714285714285712</v>
      </c>
      <c r="E46" s="49">
        <f>AVERAGE('22.07 Kabusu-Kitebi'!E46,'23.07 Kabusu-Kitebi'!E46,'24.07 Kabusu-Kitebi'!E46,'25.07 Kitebi-Kabusu'!E46,'26.07 Kabusu-Kitebi-24'!E46,'27.07 Kabusu-Kitebi-24h'!E46,'28.07 Kabusu-Kitebi'!E46)</f>
        <v>5.2857142857142856</v>
      </c>
      <c r="F46" s="49">
        <f>AVERAGE('22.07 Kabusu-Kitebi'!F46,'23.07 Kabusu-Kitebi'!F46,'24.07 Kabusu-Kitebi'!F46,'25.07 Kitebi-Kabusu'!F46,'26.07 Kabusu-Kitebi-24'!F46,'27.07 Kabusu-Kitebi-24h'!F46,'28.07 Kabusu-Kitebi'!F46)</f>
        <v>17.428571428571427</v>
      </c>
      <c r="G46" s="49">
        <f>AVERAGE('22.07 Kabusu-Kitebi'!G46,'23.07 Kabusu-Kitebi'!G46,'24.07 Kabusu-Kitebi'!G46,'25.07 Kitebi-Kabusu'!G46,'26.07 Kabusu-Kitebi-24'!G46,'27.07 Kabusu-Kitebi-24h'!G46,'28.07 Kabusu-Kitebi'!G46)</f>
        <v>0.42857142857142855</v>
      </c>
      <c r="H46" s="49">
        <f>AVERAGE('22.07 Kabusu-Kitebi'!H46,'23.07 Kabusu-Kitebi'!H46,'24.07 Kabusu-Kitebi'!H46,'25.07 Kitebi-Kabusu'!H46,'26.07 Kabusu-Kitebi-24'!H46,'27.07 Kabusu-Kitebi-24h'!H46,'28.07 Kabusu-Kitebi'!H46)</f>
        <v>0.14285714285714285</v>
      </c>
      <c r="I46" s="49">
        <f>AVERAGE('22.07 Kabusu-Kitebi'!I46,'23.07 Kabusu-Kitebi'!I46,'24.07 Kabusu-Kitebi'!I46,'25.07 Kitebi-Kabusu'!I46,'26.07 Kabusu-Kitebi-24'!I46,'27.07 Kabusu-Kitebi-24h'!I46,'28.07 Kabusu-Kitebi'!I46)</f>
        <v>5.7142857142857144</v>
      </c>
      <c r="J46" s="49">
        <f>AVERAGE('22.07 Kabusu-Kitebi'!J46,'23.07 Kabusu-Kitebi'!J46,'24.07 Kabusu-Kitebi'!J46,'25.07 Kitebi-Kabusu'!J46,'26.07 Kabusu-Kitebi-24'!J46,'27.07 Kabusu-Kitebi-24h'!J46,'28.07 Kabusu-Kitebi'!J46)</f>
        <v>0.7142857142857143</v>
      </c>
      <c r="K46" s="49">
        <f>AVERAGE('22.07 Kabusu-Kitebi'!K46,'23.07 Kabusu-Kitebi'!K46,'24.07 Kabusu-Kitebi'!K46,'25.07 Kitebi-Kabusu'!K46,'26.07 Kabusu-Kitebi-24'!K46,'27.07 Kabusu-Kitebi-24h'!K46,'28.07 Kabusu-Kitebi'!K46)</f>
        <v>1.1428571428571428</v>
      </c>
      <c r="L46" s="49">
        <f>AVERAGE('22.07 Kabusu-Kitebi'!L46,'23.07 Kabusu-Kitebi'!L46,'24.07 Kabusu-Kitebi'!L46,'25.07 Kitebi-Kabusu'!L46,'26.07 Kabusu-Kitebi-24'!L46,'27.07 Kabusu-Kitebi-24h'!L46,'28.07 Kabusu-Kitebi'!L46)</f>
        <v>0.5714285714285714</v>
      </c>
      <c r="M46" s="49">
        <f>AVERAGE('22.07 Kabusu-Kitebi'!M46,'23.07 Kabusu-Kitebi'!M46,'24.07 Kabusu-Kitebi'!M46,'25.07 Kitebi-Kabusu'!M46,'26.07 Kabusu-Kitebi-24'!M46,'27.07 Kabusu-Kitebi-24h'!M46,'28.07 Kabusu-Kitebi'!M46)</f>
        <v>129.71428571428572</v>
      </c>
      <c r="N46" s="49">
        <f>AVERAGE('22.07 Kabusu-Kitebi'!N46,'23.07 Kabusu-Kitebi'!N46,'24.07 Kabusu-Kitebi'!N46,'25.07 Kitebi-Kabusu'!N46,'26.07 Kabusu-Kitebi-24'!N46,'27.07 Kabusu-Kitebi-24h'!N46,'28.07 Kabusu-Kitebi'!N46)</f>
        <v>0</v>
      </c>
      <c r="O46" s="15">
        <f t="shared" si="0"/>
        <v>90.999999999999986</v>
      </c>
      <c r="P46" s="15">
        <f t="shared" si="1"/>
        <v>220.71428571428572</v>
      </c>
      <c r="R46" s="8"/>
      <c r="T46"/>
    </row>
    <row r="47" spans="2:32" ht="23.1" customHeight="1" x14ac:dyDescent="0.25">
      <c r="B47" s="24" t="s">
        <v>74</v>
      </c>
      <c r="C47" s="49">
        <f>AVERAGE('22.07 Kabusu-Kitebi'!C47,'23.07 Kabusu-Kitebi'!C47,'24.07 Kabusu-Kitebi'!C47,'25.07 Kitebi-Kabusu'!C47,'26.07 Kabusu-Kitebi-24'!C47,'27.07 Kabusu-Kitebi-24h'!C47,'28.07 Kabusu-Kitebi'!C47)</f>
        <v>54.714285714285715</v>
      </c>
      <c r="D47" s="49">
        <f>AVERAGE('22.07 Kabusu-Kitebi'!D47,'23.07 Kabusu-Kitebi'!D47,'24.07 Kabusu-Kitebi'!D47,'25.07 Kitebi-Kabusu'!D47,'26.07 Kabusu-Kitebi-24'!D47,'27.07 Kabusu-Kitebi-24h'!D47,'28.07 Kabusu-Kitebi'!D47)</f>
        <v>6.8571428571428568</v>
      </c>
      <c r="E47" s="49">
        <f>AVERAGE('22.07 Kabusu-Kitebi'!E47,'23.07 Kabusu-Kitebi'!E47,'24.07 Kabusu-Kitebi'!E47,'25.07 Kitebi-Kabusu'!E47,'26.07 Kabusu-Kitebi-24'!E47,'27.07 Kabusu-Kitebi-24h'!E47,'28.07 Kabusu-Kitebi'!E47)</f>
        <v>7.1428571428571432</v>
      </c>
      <c r="F47" s="49">
        <f>AVERAGE('22.07 Kabusu-Kitebi'!F47,'23.07 Kabusu-Kitebi'!F47,'24.07 Kabusu-Kitebi'!F47,'25.07 Kitebi-Kabusu'!F47,'26.07 Kabusu-Kitebi-24'!F47,'27.07 Kabusu-Kitebi-24h'!F47,'28.07 Kabusu-Kitebi'!F47)</f>
        <v>19</v>
      </c>
      <c r="G47" s="49">
        <f>AVERAGE('22.07 Kabusu-Kitebi'!G47,'23.07 Kabusu-Kitebi'!G47,'24.07 Kabusu-Kitebi'!G47,'25.07 Kitebi-Kabusu'!G47,'26.07 Kabusu-Kitebi-24'!G47,'27.07 Kabusu-Kitebi-24h'!G47,'28.07 Kabusu-Kitebi'!G47)</f>
        <v>0.2857142857142857</v>
      </c>
      <c r="H47" s="49">
        <f>AVERAGE('22.07 Kabusu-Kitebi'!H47,'23.07 Kabusu-Kitebi'!H47,'24.07 Kabusu-Kitebi'!H47,'25.07 Kitebi-Kabusu'!H47,'26.07 Kabusu-Kitebi-24'!H47,'27.07 Kabusu-Kitebi-24h'!H47,'28.07 Kabusu-Kitebi'!H47)</f>
        <v>0.14285714285714285</v>
      </c>
      <c r="I47" s="49">
        <f>AVERAGE('22.07 Kabusu-Kitebi'!I47,'23.07 Kabusu-Kitebi'!I47,'24.07 Kabusu-Kitebi'!I47,'25.07 Kitebi-Kabusu'!I47,'26.07 Kabusu-Kitebi-24'!I47,'27.07 Kabusu-Kitebi-24h'!I47,'28.07 Kabusu-Kitebi'!I47)</f>
        <v>5.7142857142857144</v>
      </c>
      <c r="J47" s="49">
        <f>AVERAGE('22.07 Kabusu-Kitebi'!J47,'23.07 Kabusu-Kitebi'!J47,'24.07 Kabusu-Kitebi'!J47,'25.07 Kitebi-Kabusu'!J47,'26.07 Kabusu-Kitebi-24'!J47,'27.07 Kabusu-Kitebi-24h'!J47,'28.07 Kabusu-Kitebi'!J47)</f>
        <v>2.2857142857142856</v>
      </c>
      <c r="K47" s="49">
        <f>AVERAGE('22.07 Kabusu-Kitebi'!K47,'23.07 Kabusu-Kitebi'!K47,'24.07 Kabusu-Kitebi'!K47,'25.07 Kitebi-Kabusu'!K47,'26.07 Kabusu-Kitebi-24'!K47,'27.07 Kabusu-Kitebi-24h'!K47,'28.07 Kabusu-Kitebi'!K47)</f>
        <v>1.4285714285714286</v>
      </c>
      <c r="L47" s="49">
        <f>AVERAGE('22.07 Kabusu-Kitebi'!L47,'23.07 Kabusu-Kitebi'!L47,'24.07 Kabusu-Kitebi'!L47,'25.07 Kitebi-Kabusu'!L47,'26.07 Kabusu-Kitebi-24'!L47,'27.07 Kabusu-Kitebi-24h'!L47,'28.07 Kabusu-Kitebi'!L47)</f>
        <v>1.4285714285714286</v>
      </c>
      <c r="M47" s="49">
        <f>AVERAGE('22.07 Kabusu-Kitebi'!M47,'23.07 Kabusu-Kitebi'!M47,'24.07 Kabusu-Kitebi'!M47,'25.07 Kitebi-Kabusu'!M47,'26.07 Kabusu-Kitebi-24'!M47,'27.07 Kabusu-Kitebi-24h'!M47,'28.07 Kabusu-Kitebi'!M47)</f>
        <v>151</v>
      </c>
      <c r="N47" s="49">
        <f>AVERAGE('22.07 Kabusu-Kitebi'!N47,'23.07 Kabusu-Kitebi'!N47,'24.07 Kabusu-Kitebi'!N47,'25.07 Kitebi-Kabusu'!N47,'26.07 Kabusu-Kitebi-24'!N47,'27.07 Kabusu-Kitebi-24h'!N47,'28.07 Kabusu-Kitebi'!N47)</f>
        <v>0</v>
      </c>
      <c r="O47" s="15">
        <f t="shared" si="0"/>
        <v>99</v>
      </c>
      <c r="P47" s="15">
        <f t="shared" si="1"/>
        <v>250</v>
      </c>
      <c r="R47" s="8"/>
      <c r="T47"/>
    </row>
    <row r="48" spans="2:32" ht="23.1" customHeight="1" x14ac:dyDescent="0.25">
      <c r="B48" s="24" t="s">
        <v>75</v>
      </c>
      <c r="C48" s="49">
        <f>AVERAGE('22.07 Kabusu-Kitebi'!C48,'23.07 Kabusu-Kitebi'!C48,'24.07 Kabusu-Kitebi'!C48,'25.07 Kitebi-Kabusu'!C48,'26.07 Kabusu-Kitebi-24'!C48,'27.07 Kabusu-Kitebi-24h'!C48,'28.07 Kabusu-Kitebi'!C48)</f>
        <v>59.142857142857146</v>
      </c>
      <c r="D48" s="49">
        <f>AVERAGE('22.07 Kabusu-Kitebi'!D48,'23.07 Kabusu-Kitebi'!D48,'24.07 Kabusu-Kitebi'!D48,'25.07 Kitebi-Kabusu'!D48,'26.07 Kabusu-Kitebi-24'!D48,'27.07 Kabusu-Kitebi-24h'!D48,'28.07 Kabusu-Kitebi'!D48)</f>
        <v>6.7142857142857144</v>
      </c>
      <c r="E48" s="49">
        <f>AVERAGE('22.07 Kabusu-Kitebi'!E48,'23.07 Kabusu-Kitebi'!E48,'24.07 Kabusu-Kitebi'!E48,'25.07 Kitebi-Kabusu'!E48,'26.07 Kabusu-Kitebi-24'!E48,'27.07 Kabusu-Kitebi-24h'!E48,'28.07 Kabusu-Kitebi'!E48)</f>
        <v>7.8571428571428568</v>
      </c>
      <c r="F48" s="49">
        <f>AVERAGE('22.07 Kabusu-Kitebi'!F48,'23.07 Kabusu-Kitebi'!F48,'24.07 Kabusu-Kitebi'!F48,'25.07 Kitebi-Kabusu'!F48,'26.07 Kabusu-Kitebi-24'!F48,'27.07 Kabusu-Kitebi-24h'!F48,'28.07 Kabusu-Kitebi'!F48)</f>
        <v>19.857142857142858</v>
      </c>
      <c r="G48" s="49">
        <f>AVERAGE('22.07 Kabusu-Kitebi'!G48,'23.07 Kabusu-Kitebi'!G48,'24.07 Kabusu-Kitebi'!G48,'25.07 Kitebi-Kabusu'!G48,'26.07 Kabusu-Kitebi-24'!G48,'27.07 Kabusu-Kitebi-24h'!G48,'28.07 Kabusu-Kitebi'!G48)</f>
        <v>1</v>
      </c>
      <c r="H48" s="49">
        <f>AVERAGE('22.07 Kabusu-Kitebi'!H48,'23.07 Kabusu-Kitebi'!H48,'24.07 Kabusu-Kitebi'!H48,'25.07 Kitebi-Kabusu'!H48,'26.07 Kabusu-Kitebi-24'!H48,'27.07 Kabusu-Kitebi-24h'!H48,'28.07 Kabusu-Kitebi'!H48)</f>
        <v>0.14285714285714285</v>
      </c>
      <c r="I48" s="49">
        <f>AVERAGE('22.07 Kabusu-Kitebi'!I48,'23.07 Kabusu-Kitebi'!I48,'24.07 Kabusu-Kitebi'!I48,'25.07 Kitebi-Kabusu'!I48,'26.07 Kabusu-Kitebi-24'!I48,'27.07 Kabusu-Kitebi-24h'!I48,'28.07 Kabusu-Kitebi'!I48)</f>
        <v>4.2857142857142856</v>
      </c>
      <c r="J48" s="49">
        <f>AVERAGE('22.07 Kabusu-Kitebi'!J48,'23.07 Kabusu-Kitebi'!J48,'24.07 Kabusu-Kitebi'!J48,'25.07 Kitebi-Kabusu'!J48,'26.07 Kabusu-Kitebi-24'!J48,'27.07 Kabusu-Kitebi-24h'!J48,'28.07 Kabusu-Kitebi'!J48)</f>
        <v>0.5714285714285714</v>
      </c>
      <c r="K48" s="49">
        <f>AVERAGE('22.07 Kabusu-Kitebi'!K48,'23.07 Kabusu-Kitebi'!K48,'24.07 Kabusu-Kitebi'!K48,'25.07 Kitebi-Kabusu'!K48,'26.07 Kabusu-Kitebi-24'!K48,'27.07 Kabusu-Kitebi-24h'!K48,'28.07 Kabusu-Kitebi'!K48)</f>
        <v>1.1428571428571428</v>
      </c>
      <c r="L48" s="49">
        <f>AVERAGE('22.07 Kabusu-Kitebi'!L48,'23.07 Kabusu-Kitebi'!L48,'24.07 Kabusu-Kitebi'!L48,'25.07 Kitebi-Kabusu'!L48,'26.07 Kabusu-Kitebi-24'!L48,'27.07 Kabusu-Kitebi-24h'!L48,'28.07 Kabusu-Kitebi'!L48)</f>
        <v>0.42857142857142855</v>
      </c>
      <c r="M48" s="49">
        <f>AVERAGE('22.07 Kabusu-Kitebi'!M48,'23.07 Kabusu-Kitebi'!M48,'24.07 Kabusu-Kitebi'!M48,'25.07 Kitebi-Kabusu'!M48,'26.07 Kabusu-Kitebi-24'!M48,'27.07 Kabusu-Kitebi-24h'!M48,'28.07 Kabusu-Kitebi'!M48)</f>
        <v>147.42857142857142</v>
      </c>
      <c r="N48" s="49">
        <f>AVERAGE('22.07 Kabusu-Kitebi'!N48,'23.07 Kabusu-Kitebi'!N48,'24.07 Kabusu-Kitebi'!N48,'25.07 Kitebi-Kabusu'!N48,'26.07 Kabusu-Kitebi-24'!N48,'27.07 Kabusu-Kitebi-24h'!N48,'28.07 Kabusu-Kitebi'!N48)</f>
        <v>0</v>
      </c>
      <c r="O48" s="15">
        <f t="shared" si="0"/>
        <v>101.14285714285715</v>
      </c>
      <c r="P48" s="15">
        <f t="shared" si="1"/>
        <v>248.57142857142856</v>
      </c>
      <c r="R48" s="8"/>
      <c r="T48"/>
    </row>
    <row r="49" spans="2:20" ht="23.1" customHeight="1" x14ac:dyDescent="0.25">
      <c r="B49" s="23" t="s">
        <v>76</v>
      </c>
      <c r="C49" s="49">
        <f>AVERAGE('22.07 Kabusu-Kitebi'!C49,'23.07 Kabusu-Kitebi'!C49,'24.07 Kabusu-Kitebi'!C49,'25.07 Kitebi-Kabusu'!C49,'26.07 Kabusu-Kitebi-24'!C49,'27.07 Kabusu-Kitebi-24h'!C49,'28.07 Kabusu-Kitebi'!C49)</f>
        <v>59.714285714285715</v>
      </c>
      <c r="D49" s="49">
        <f>AVERAGE('22.07 Kabusu-Kitebi'!D49,'23.07 Kabusu-Kitebi'!D49,'24.07 Kabusu-Kitebi'!D49,'25.07 Kitebi-Kabusu'!D49,'26.07 Kabusu-Kitebi-24'!D49,'27.07 Kabusu-Kitebi-24h'!D49,'28.07 Kabusu-Kitebi'!D49)</f>
        <v>8.2857142857142865</v>
      </c>
      <c r="E49" s="49">
        <f>AVERAGE('22.07 Kabusu-Kitebi'!E49,'23.07 Kabusu-Kitebi'!E49,'24.07 Kabusu-Kitebi'!E49,'25.07 Kitebi-Kabusu'!E49,'26.07 Kabusu-Kitebi-24'!E49,'27.07 Kabusu-Kitebi-24h'!E49,'28.07 Kabusu-Kitebi'!E49)</f>
        <v>6.7142857142857144</v>
      </c>
      <c r="F49" s="49">
        <f>AVERAGE('22.07 Kabusu-Kitebi'!F49,'23.07 Kabusu-Kitebi'!F49,'24.07 Kabusu-Kitebi'!F49,'25.07 Kitebi-Kabusu'!F49,'26.07 Kabusu-Kitebi-24'!F49,'27.07 Kabusu-Kitebi-24h'!F49,'28.07 Kabusu-Kitebi'!F49)</f>
        <v>20</v>
      </c>
      <c r="G49" s="49">
        <f>AVERAGE('22.07 Kabusu-Kitebi'!G49,'23.07 Kabusu-Kitebi'!G49,'24.07 Kabusu-Kitebi'!G49,'25.07 Kitebi-Kabusu'!G49,'26.07 Kabusu-Kitebi-24'!G49,'27.07 Kabusu-Kitebi-24h'!G49,'28.07 Kabusu-Kitebi'!G49)</f>
        <v>0.14285714285714285</v>
      </c>
      <c r="H49" s="49">
        <f>AVERAGE('22.07 Kabusu-Kitebi'!H49,'23.07 Kabusu-Kitebi'!H49,'24.07 Kabusu-Kitebi'!H49,'25.07 Kitebi-Kabusu'!H49,'26.07 Kabusu-Kitebi-24'!H49,'27.07 Kabusu-Kitebi-24h'!H49,'28.07 Kabusu-Kitebi'!H49)</f>
        <v>0</v>
      </c>
      <c r="I49" s="49">
        <f>AVERAGE('22.07 Kabusu-Kitebi'!I49,'23.07 Kabusu-Kitebi'!I49,'24.07 Kabusu-Kitebi'!I49,'25.07 Kitebi-Kabusu'!I49,'26.07 Kabusu-Kitebi-24'!I49,'27.07 Kabusu-Kitebi-24h'!I49,'28.07 Kabusu-Kitebi'!I49)</f>
        <v>4.5714285714285712</v>
      </c>
      <c r="J49" s="49">
        <f>AVERAGE('22.07 Kabusu-Kitebi'!J49,'23.07 Kabusu-Kitebi'!J49,'24.07 Kabusu-Kitebi'!J49,'25.07 Kitebi-Kabusu'!J49,'26.07 Kabusu-Kitebi-24'!J49,'27.07 Kabusu-Kitebi-24h'!J49,'28.07 Kabusu-Kitebi'!J49)</f>
        <v>1.8571428571428572</v>
      </c>
      <c r="K49" s="49">
        <f>AVERAGE('22.07 Kabusu-Kitebi'!K49,'23.07 Kabusu-Kitebi'!K49,'24.07 Kabusu-Kitebi'!K49,'25.07 Kitebi-Kabusu'!K49,'26.07 Kabusu-Kitebi-24'!K49,'27.07 Kabusu-Kitebi-24h'!K49,'28.07 Kabusu-Kitebi'!K49)</f>
        <v>1</v>
      </c>
      <c r="L49" s="49">
        <f>AVERAGE('22.07 Kabusu-Kitebi'!L49,'23.07 Kabusu-Kitebi'!L49,'24.07 Kabusu-Kitebi'!L49,'25.07 Kitebi-Kabusu'!L49,'26.07 Kabusu-Kitebi-24'!L49,'27.07 Kabusu-Kitebi-24h'!L49,'28.07 Kabusu-Kitebi'!L49)</f>
        <v>1</v>
      </c>
      <c r="M49" s="49">
        <f>AVERAGE('22.07 Kabusu-Kitebi'!M49,'23.07 Kabusu-Kitebi'!M49,'24.07 Kabusu-Kitebi'!M49,'25.07 Kitebi-Kabusu'!M49,'26.07 Kabusu-Kitebi-24'!M49,'27.07 Kabusu-Kitebi-24h'!M49,'28.07 Kabusu-Kitebi'!M49)</f>
        <v>141.57142857142858</v>
      </c>
      <c r="N49" s="49">
        <f>AVERAGE('22.07 Kabusu-Kitebi'!N49,'23.07 Kabusu-Kitebi'!N49,'24.07 Kabusu-Kitebi'!N49,'25.07 Kitebi-Kabusu'!N49,'26.07 Kabusu-Kitebi-24'!N49,'27.07 Kabusu-Kitebi-24h'!N49,'28.07 Kabusu-Kitebi'!N49)</f>
        <v>0</v>
      </c>
      <c r="O49" s="15">
        <f t="shared" si="0"/>
        <v>103.28571428571428</v>
      </c>
      <c r="P49" s="15">
        <f t="shared" si="1"/>
        <v>244.85714285714286</v>
      </c>
      <c r="R49" s="8"/>
      <c r="T49"/>
    </row>
    <row r="50" spans="2:20" ht="23.1" customHeight="1" x14ac:dyDescent="0.25">
      <c r="B50" s="24" t="s">
        <v>77</v>
      </c>
      <c r="C50" s="49">
        <f>AVERAGE('22.07 Kabusu-Kitebi'!C50,'23.07 Kabusu-Kitebi'!C50,'24.07 Kabusu-Kitebi'!C50,'25.07 Kitebi-Kabusu'!C50,'26.07 Kabusu-Kitebi-24'!C50,'27.07 Kabusu-Kitebi-24h'!C50,'28.07 Kabusu-Kitebi'!C50)</f>
        <v>61.285714285714285</v>
      </c>
      <c r="D50" s="49">
        <f>AVERAGE('22.07 Kabusu-Kitebi'!D50,'23.07 Kabusu-Kitebi'!D50,'24.07 Kabusu-Kitebi'!D50,'25.07 Kitebi-Kabusu'!D50,'26.07 Kabusu-Kitebi-24'!D50,'27.07 Kabusu-Kitebi-24h'!D50,'28.07 Kabusu-Kitebi'!D50)</f>
        <v>11.571428571428571</v>
      </c>
      <c r="E50" s="49">
        <f>AVERAGE('22.07 Kabusu-Kitebi'!E50,'23.07 Kabusu-Kitebi'!E50,'24.07 Kabusu-Kitebi'!E50,'25.07 Kitebi-Kabusu'!E50,'26.07 Kabusu-Kitebi-24'!E50,'27.07 Kabusu-Kitebi-24h'!E50,'28.07 Kabusu-Kitebi'!E50)</f>
        <v>7.1428571428571432</v>
      </c>
      <c r="F50" s="49">
        <f>AVERAGE('22.07 Kabusu-Kitebi'!F50,'23.07 Kabusu-Kitebi'!F50,'24.07 Kabusu-Kitebi'!F50,'25.07 Kitebi-Kabusu'!F50,'26.07 Kabusu-Kitebi-24'!F50,'27.07 Kabusu-Kitebi-24h'!F50,'28.07 Kabusu-Kitebi'!F50)</f>
        <v>17.857142857142858</v>
      </c>
      <c r="G50" s="49">
        <f>AVERAGE('22.07 Kabusu-Kitebi'!G50,'23.07 Kabusu-Kitebi'!G50,'24.07 Kabusu-Kitebi'!G50,'25.07 Kitebi-Kabusu'!G50,'26.07 Kabusu-Kitebi-24'!G50,'27.07 Kabusu-Kitebi-24h'!G50,'28.07 Kabusu-Kitebi'!G50)</f>
        <v>0.2857142857142857</v>
      </c>
      <c r="H50" s="49">
        <f>AVERAGE('22.07 Kabusu-Kitebi'!H50,'23.07 Kabusu-Kitebi'!H50,'24.07 Kabusu-Kitebi'!H50,'25.07 Kitebi-Kabusu'!H50,'26.07 Kabusu-Kitebi-24'!H50,'27.07 Kabusu-Kitebi-24h'!H50,'28.07 Kabusu-Kitebi'!H50)</f>
        <v>0</v>
      </c>
      <c r="I50" s="49">
        <f>AVERAGE('22.07 Kabusu-Kitebi'!I50,'23.07 Kabusu-Kitebi'!I50,'24.07 Kabusu-Kitebi'!I50,'25.07 Kitebi-Kabusu'!I50,'26.07 Kabusu-Kitebi-24'!I50,'27.07 Kabusu-Kitebi-24h'!I50,'28.07 Kabusu-Kitebi'!I50)</f>
        <v>4.8571428571428568</v>
      </c>
      <c r="J50" s="49">
        <f>AVERAGE('22.07 Kabusu-Kitebi'!J50,'23.07 Kabusu-Kitebi'!J50,'24.07 Kabusu-Kitebi'!J50,'25.07 Kitebi-Kabusu'!J50,'26.07 Kabusu-Kitebi-24'!J50,'27.07 Kabusu-Kitebi-24h'!J50,'28.07 Kabusu-Kitebi'!J50)</f>
        <v>1.4285714285714286</v>
      </c>
      <c r="K50" s="49">
        <f>AVERAGE('22.07 Kabusu-Kitebi'!K50,'23.07 Kabusu-Kitebi'!K50,'24.07 Kabusu-Kitebi'!K50,'25.07 Kitebi-Kabusu'!K50,'26.07 Kabusu-Kitebi-24'!K50,'27.07 Kabusu-Kitebi-24h'!K50,'28.07 Kabusu-Kitebi'!K50)</f>
        <v>2.4285714285714284</v>
      </c>
      <c r="L50" s="49">
        <f>AVERAGE('22.07 Kabusu-Kitebi'!L50,'23.07 Kabusu-Kitebi'!L50,'24.07 Kabusu-Kitebi'!L50,'25.07 Kitebi-Kabusu'!L50,'26.07 Kabusu-Kitebi-24'!L50,'27.07 Kabusu-Kitebi-24h'!L50,'28.07 Kabusu-Kitebi'!L50)</f>
        <v>0.5714285714285714</v>
      </c>
      <c r="M50" s="49">
        <f>AVERAGE('22.07 Kabusu-Kitebi'!M50,'23.07 Kabusu-Kitebi'!M50,'24.07 Kabusu-Kitebi'!M50,'25.07 Kitebi-Kabusu'!M50,'26.07 Kabusu-Kitebi-24'!M50,'27.07 Kabusu-Kitebi-24h'!M50,'28.07 Kabusu-Kitebi'!M50)</f>
        <v>161</v>
      </c>
      <c r="N50" s="49">
        <f>AVERAGE('22.07 Kabusu-Kitebi'!N50,'23.07 Kabusu-Kitebi'!N50,'24.07 Kabusu-Kitebi'!N50,'25.07 Kitebi-Kabusu'!N50,'26.07 Kabusu-Kitebi-24'!N50,'27.07 Kabusu-Kitebi-24h'!N50,'28.07 Kabusu-Kitebi'!N50)</f>
        <v>0</v>
      </c>
      <c r="O50" s="15">
        <f t="shared" si="0"/>
        <v>107.42857142857144</v>
      </c>
      <c r="P50" s="15">
        <f t="shared" si="1"/>
        <v>268.42857142857144</v>
      </c>
      <c r="R50" s="8"/>
      <c r="T50"/>
    </row>
    <row r="51" spans="2:20" ht="23.1" customHeight="1" x14ac:dyDescent="0.25">
      <c r="B51" s="24" t="s">
        <v>78</v>
      </c>
      <c r="C51" s="49">
        <f>AVERAGE('22.07 Kabusu-Kitebi'!C51,'23.07 Kabusu-Kitebi'!C51,'24.07 Kabusu-Kitebi'!C51,'25.07 Kitebi-Kabusu'!C51,'26.07 Kabusu-Kitebi-24'!C51,'27.07 Kabusu-Kitebi-24h'!C51,'28.07 Kabusu-Kitebi'!C51)</f>
        <v>67.285714285714292</v>
      </c>
      <c r="D51" s="49">
        <f>AVERAGE('22.07 Kabusu-Kitebi'!D51,'23.07 Kabusu-Kitebi'!D51,'24.07 Kabusu-Kitebi'!D51,'25.07 Kitebi-Kabusu'!D51,'26.07 Kabusu-Kitebi-24'!D51,'27.07 Kabusu-Kitebi-24h'!D51,'28.07 Kabusu-Kitebi'!D51)</f>
        <v>7.7142857142857144</v>
      </c>
      <c r="E51" s="49">
        <f>AVERAGE('22.07 Kabusu-Kitebi'!E51,'23.07 Kabusu-Kitebi'!E51,'24.07 Kabusu-Kitebi'!E51,'25.07 Kitebi-Kabusu'!E51,'26.07 Kabusu-Kitebi-24'!E51,'27.07 Kabusu-Kitebi-24h'!E51,'28.07 Kabusu-Kitebi'!E51)</f>
        <v>9.7142857142857135</v>
      </c>
      <c r="F51" s="49">
        <f>AVERAGE('22.07 Kabusu-Kitebi'!F51,'23.07 Kabusu-Kitebi'!F51,'24.07 Kabusu-Kitebi'!F51,'25.07 Kitebi-Kabusu'!F51,'26.07 Kabusu-Kitebi-24'!F51,'27.07 Kabusu-Kitebi-24h'!F51,'28.07 Kabusu-Kitebi'!F51)</f>
        <v>21.714285714285715</v>
      </c>
      <c r="G51" s="49">
        <f>AVERAGE('22.07 Kabusu-Kitebi'!G51,'23.07 Kabusu-Kitebi'!G51,'24.07 Kabusu-Kitebi'!G51,'25.07 Kitebi-Kabusu'!G51,'26.07 Kabusu-Kitebi-24'!G51,'27.07 Kabusu-Kitebi-24h'!G51,'28.07 Kabusu-Kitebi'!G51)</f>
        <v>0.42857142857142855</v>
      </c>
      <c r="H51" s="49">
        <f>AVERAGE('22.07 Kabusu-Kitebi'!H51,'23.07 Kabusu-Kitebi'!H51,'24.07 Kabusu-Kitebi'!H51,'25.07 Kitebi-Kabusu'!H51,'26.07 Kabusu-Kitebi-24'!H51,'27.07 Kabusu-Kitebi-24h'!H51,'28.07 Kabusu-Kitebi'!H51)</f>
        <v>0.14285714285714285</v>
      </c>
      <c r="I51" s="49">
        <f>AVERAGE('22.07 Kabusu-Kitebi'!I51,'23.07 Kabusu-Kitebi'!I51,'24.07 Kabusu-Kitebi'!I51,'25.07 Kitebi-Kabusu'!I51,'26.07 Kabusu-Kitebi-24'!I51,'27.07 Kabusu-Kitebi-24h'!I51,'28.07 Kabusu-Kitebi'!I51)</f>
        <v>5.1428571428571432</v>
      </c>
      <c r="J51" s="49">
        <f>AVERAGE('22.07 Kabusu-Kitebi'!J51,'23.07 Kabusu-Kitebi'!J51,'24.07 Kabusu-Kitebi'!J51,'25.07 Kitebi-Kabusu'!J51,'26.07 Kabusu-Kitebi-24'!J51,'27.07 Kabusu-Kitebi-24h'!J51,'28.07 Kabusu-Kitebi'!J51)</f>
        <v>1</v>
      </c>
      <c r="K51" s="49">
        <f>AVERAGE('22.07 Kabusu-Kitebi'!K51,'23.07 Kabusu-Kitebi'!K51,'24.07 Kabusu-Kitebi'!K51,'25.07 Kitebi-Kabusu'!K51,'26.07 Kabusu-Kitebi-24'!K51,'27.07 Kabusu-Kitebi-24h'!K51,'28.07 Kabusu-Kitebi'!K51)</f>
        <v>1.1428571428571428</v>
      </c>
      <c r="L51" s="49">
        <f>AVERAGE('22.07 Kabusu-Kitebi'!L51,'23.07 Kabusu-Kitebi'!L51,'24.07 Kabusu-Kitebi'!L51,'25.07 Kitebi-Kabusu'!L51,'26.07 Kabusu-Kitebi-24'!L51,'27.07 Kabusu-Kitebi-24h'!L51,'28.07 Kabusu-Kitebi'!L51)</f>
        <v>1.2857142857142858</v>
      </c>
      <c r="M51" s="49">
        <f>AVERAGE('22.07 Kabusu-Kitebi'!M51,'23.07 Kabusu-Kitebi'!M51,'24.07 Kabusu-Kitebi'!M51,'25.07 Kitebi-Kabusu'!M51,'26.07 Kabusu-Kitebi-24'!M51,'27.07 Kabusu-Kitebi-24h'!M51,'28.07 Kabusu-Kitebi'!M51)</f>
        <v>166.28571428571428</v>
      </c>
      <c r="N51" s="49">
        <f>AVERAGE('22.07 Kabusu-Kitebi'!N51,'23.07 Kabusu-Kitebi'!N51,'24.07 Kabusu-Kitebi'!N51,'25.07 Kitebi-Kabusu'!N51,'26.07 Kabusu-Kitebi-24'!N51,'27.07 Kabusu-Kitebi-24h'!N51,'28.07 Kabusu-Kitebi'!N51)</f>
        <v>0</v>
      </c>
      <c r="O51" s="15">
        <f t="shared" si="0"/>
        <v>115.57142857142856</v>
      </c>
      <c r="P51" s="15">
        <f t="shared" si="1"/>
        <v>281.85714285714283</v>
      </c>
      <c r="R51" s="8"/>
      <c r="T51"/>
    </row>
    <row r="52" spans="2:20" ht="23.1" customHeight="1" x14ac:dyDescent="0.25">
      <c r="B52" s="24" t="s">
        <v>79</v>
      </c>
      <c r="C52" s="49">
        <f>AVERAGE('22.07 Kabusu-Kitebi'!C52,'23.07 Kabusu-Kitebi'!C52,'24.07 Kabusu-Kitebi'!C52,'25.07 Kitebi-Kabusu'!C52,'26.07 Kabusu-Kitebi-24'!C52,'27.07 Kabusu-Kitebi-24h'!C52,'28.07 Kabusu-Kitebi'!C52)</f>
        <v>68.714285714285708</v>
      </c>
      <c r="D52" s="49">
        <f>AVERAGE('22.07 Kabusu-Kitebi'!D52,'23.07 Kabusu-Kitebi'!D52,'24.07 Kabusu-Kitebi'!D52,'25.07 Kitebi-Kabusu'!D52,'26.07 Kabusu-Kitebi-24'!D52,'27.07 Kabusu-Kitebi-24h'!D52,'28.07 Kabusu-Kitebi'!D52)</f>
        <v>11.714285714285714</v>
      </c>
      <c r="E52" s="49">
        <f>AVERAGE('22.07 Kabusu-Kitebi'!E52,'23.07 Kabusu-Kitebi'!E52,'24.07 Kabusu-Kitebi'!E52,'25.07 Kitebi-Kabusu'!E52,'26.07 Kabusu-Kitebi-24'!E52,'27.07 Kabusu-Kitebi-24h'!E52,'28.07 Kabusu-Kitebi'!E52)</f>
        <v>9.5714285714285712</v>
      </c>
      <c r="F52" s="49">
        <f>AVERAGE('22.07 Kabusu-Kitebi'!F52,'23.07 Kabusu-Kitebi'!F52,'24.07 Kabusu-Kitebi'!F52,'25.07 Kitebi-Kabusu'!F52,'26.07 Kabusu-Kitebi-24'!F52,'27.07 Kabusu-Kitebi-24h'!F52,'28.07 Kabusu-Kitebi'!F52)</f>
        <v>19.428571428571427</v>
      </c>
      <c r="G52" s="49">
        <f>AVERAGE('22.07 Kabusu-Kitebi'!G52,'23.07 Kabusu-Kitebi'!G52,'24.07 Kabusu-Kitebi'!G52,'25.07 Kitebi-Kabusu'!G52,'26.07 Kabusu-Kitebi-24'!G52,'27.07 Kabusu-Kitebi-24h'!G52,'28.07 Kabusu-Kitebi'!G52)</f>
        <v>0.14285714285714285</v>
      </c>
      <c r="H52" s="49">
        <f>AVERAGE('22.07 Kabusu-Kitebi'!H52,'23.07 Kabusu-Kitebi'!H52,'24.07 Kabusu-Kitebi'!H52,'25.07 Kitebi-Kabusu'!H52,'26.07 Kabusu-Kitebi-24'!H52,'27.07 Kabusu-Kitebi-24h'!H52,'28.07 Kabusu-Kitebi'!H52)</f>
        <v>0.2857142857142857</v>
      </c>
      <c r="I52" s="49">
        <f>AVERAGE('22.07 Kabusu-Kitebi'!I52,'23.07 Kabusu-Kitebi'!I52,'24.07 Kabusu-Kitebi'!I52,'25.07 Kitebi-Kabusu'!I52,'26.07 Kabusu-Kitebi-24'!I52,'27.07 Kabusu-Kitebi-24h'!I52,'28.07 Kabusu-Kitebi'!I52)</f>
        <v>4.8571428571428568</v>
      </c>
      <c r="J52" s="49">
        <f>AVERAGE('22.07 Kabusu-Kitebi'!J52,'23.07 Kabusu-Kitebi'!J52,'24.07 Kabusu-Kitebi'!J52,'25.07 Kitebi-Kabusu'!J52,'26.07 Kabusu-Kitebi-24'!J52,'27.07 Kabusu-Kitebi-24h'!J52,'28.07 Kabusu-Kitebi'!J52)</f>
        <v>1.7142857142857142</v>
      </c>
      <c r="K52" s="49">
        <f>AVERAGE('22.07 Kabusu-Kitebi'!K52,'23.07 Kabusu-Kitebi'!K52,'24.07 Kabusu-Kitebi'!K52,'25.07 Kitebi-Kabusu'!K52,'26.07 Kabusu-Kitebi-24'!K52,'27.07 Kabusu-Kitebi-24h'!K52,'28.07 Kabusu-Kitebi'!K52)</f>
        <v>1</v>
      </c>
      <c r="L52" s="49">
        <f>AVERAGE('22.07 Kabusu-Kitebi'!L52,'23.07 Kabusu-Kitebi'!L52,'24.07 Kabusu-Kitebi'!L52,'25.07 Kitebi-Kabusu'!L52,'26.07 Kabusu-Kitebi-24'!L52,'27.07 Kabusu-Kitebi-24h'!L52,'28.07 Kabusu-Kitebi'!L52)</f>
        <v>1.1428571428571428</v>
      </c>
      <c r="M52" s="49">
        <f>AVERAGE('22.07 Kabusu-Kitebi'!M52,'23.07 Kabusu-Kitebi'!M52,'24.07 Kabusu-Kitebi'!M52,'25.07 Kitebi-Kabusu'!M52,'26.07 Kabusu-Kitebi-24'!M52,'27.07 Kabusu-Kitebi-24h'!M52,'28.07 Kabusu-Kitebi'!M52)</f>
        <v>183.42857142857142</v>
      </c>
      <c r="N52" s="49">
        <f>AVERAGE('22.07 Kabusu-Kitebi'!N52,'23.07 Kabusu-Kitebi'!N52,'24.07 Kabusu-Kitebi'!N52,'25.07 Kitebi-Kabusu'!N52,'26.07 Kabusu-Kitebi-24'!N52,'27.07 Kabusu-Kitebi-24h'!N52,'28.07 Kabusu-Kitebi'!N52)</f>
        <v>0</v>
      </c>
      <c r="O52" s="15">
        <f t="shared" si="0"/>
        <v>118.57142857142856</v>
      </c>
      <c r="P52" s="15">
        <f t="shared" si="1"/>
        <v>302</v>
      </c>
      <c r="R52" s="8"/>
      <c r="T52"/>
    </row>
    <row r="53" spans="2:20" ht="23.1" customHeight="1" x14ac:dyDescent="0.25">
      <c r="B53" s="23" t="s">
        <v>80</v>
      </c>
      <c r="C53" s="49">
        <f>AVERAGE('22.07 Kabusu-Kitebi'!C53,'23.07 Kabusu-Kitebi'!C53,'24.07 Kabusu-Kitebi'!C53,'25.07 Kitebi-Kabusu'!C53,'26.07 Kabusu-Kitebi-24'!C53,'27.07 Kabusu-Kitebi-24h'!C53,'28.07 Kabusu-Kitebi'!C53)</f>
        <v>87.571428571428569</v>
      </c>
      <c r="D53" s="49">
        <f>AVERAGE('22.07 Kabusu-Kitebi'!D53,'23.07 Kabusu-Kitebi'!D53,'24.07 Kabusu-Kitebi'!D53,'25.07 Kitebi-Kabusu'!D53,'26.07 Kabusu-Kitebi-24'!D53,'27.07 Kabusu-Kitebi-24h'!D53,'28.07 Kabusu-Kitebi'!D53)</f>
        <v>8.8571428571428577</v>
      </c>
      <c r="E53" s="49">
        <f>AVERAGE('22.07 Kabusu-Kitebi'!E53,'23.07 Kabusu-Kitebi'!E53,'24.07 Kabusu-Kitebi'!E53,'25.07 Kitebi-Kabusu'!E53,'26.07 Kabusu-Kitebi-24'!E53,'27.07 Kabusu-Kitebi-24h'!E53,'28.07 Kabusu-Kitebi'!E53)</f>
        <v>10.857142857142858</v>
      </c>
      <c r="F53" s="49">
        <f>AVERAGE('22.07 Kabusu-Kitebi'!F53,'23.07 Kabusu-Kitebi'!F53,'24.07 Kabusu-Kitebi'!F53,'25.07 Kitebi-Kabusu'!F53,'26.07 Kabusu-Kitebi-24'!F53,'27.07 Kabusu-Kitebi-24h'!F53,'28.07 Kabusu-Kitebi'!F53)</f>
        <v>22.142857142857142</v>
      </c>
      <c r="G53" s="49">
        <f>AVERAGE('22.07 Kabusu-Kitebi'!G53,'23.07 Kabusu-Kitebi'!G53,'24.07 Kabusu-Kitebi'!G53,'25.07 Kitebi-Kabusu'!G53,'26.07 Kabusu-Kitebi-24'!G53,'27.07 Kabusu-Kitebi-24h'!G53,'28.07 Kabusu-Kitebi'!G53)</f>
        <v>0.42857142857142855</v>
      </c>
      <c r="H53" s="49">
        <f>AVERAGE('22.07 Kabusu-Kitebi'!H53,'23.07 Kabusu-Kitebi'!H53,'24.07 Kabusu-Kitebi'!H53,'25.07 Kitebi-Kabusu'!H53,'26.07 Kabusu-Kitebi-24'!H53,'27.07 Kabusu-Kitebi-24h'!H53,'28.07 Kabusu-Kitebi'!H53)</f>
        <v>0</v>
      </c>
      <c r="I53" s="49">
        <f>AVERAGE('22.07 Kabusu-Kitebi'!I53,'23.07 Kabusu-Kitebi'!I53,'24.07 Kabusu-Kitebi'!I53,'25.07 Kitebi-Kabusu'!I53,'26.07 Kabusu-Kitebi-24'!I53,'27.07 Kabusu-Kitebi-24h'!I53,'28.07 Kabusu-Kitebi'!I53)</f>
        <v>4.8571428571428568</v>
      </c>
      <c r="J53" s="49">
        <f>AVERAGE('22.07 Kabusu-Kitebi'!J53,'23.07 Kabusu-Kitebi'!J53,'24.07 Kabusu-Kitebi'!J53,'25.07 Kitebi-Kabusu'!J53,'26.07 Kabusu-Kitebi-24'!J53,'27.07 Kabusu-Kitebi-24h'!J53,'28.07 Kabusu-Kitebi'!J53)</f>
        <v>0.7142857142857143</v>
      </c>
      <c r="K53" s="49">
        <f>AVERAGE('22.07 Kabusu-Kitebi'!K53,'23.07 Kabusu-Kitebi'!K53,'24.07 Kabusu-Kitebi'!K53,'25.07 Kitebi-Kabusu'!K53,'26.07 Kabusu-Kitebi-24'!K53,'27.07 Kabusu-Kitebi-24h'!K53,'28.07 Kabusu-Kitebi'!K53)</f>
        <v>0.14285714285714285</v>
      </c>
      <c r="L53" s="49">
        <f>AVERAGE('22.07 Kabusu-Kitebi'!L53,'23.07 Kabusu-Kitebi'!L53,'24.07 Kabusu-Kitebi'!L53,'25.07 Kitebi-Kabusu'!L53,'26.07 Kabusu-Kitebi-24'!L53,'27.07 Kabusu-Kitebi-24h'!L53,'28.07 Kabusu-Kitebi'!L53)</f>
        <v>0.5714285714285714</v>
      </c>
      <c r="M53" s="49">
        <f>AVERAGE('22.07 Kabusu-Kitebi'!M53,'23.07 Kabusu-Kitebi'!M53,'24.07 Kabusu-Kitebi'!M53,'25.07 Kitebi-Kabusu'!M53,'26.07 Kabusu-Kitebi-24'!M53,'27.07 Kabusu-Kitebi-24h'!M53,'28.07 Kabusu-Kitebi'!M53)</f>
        <v>175.71428571428572</v>
      </c>
      <c r="N53" s="49">
        <f>AVERAGE('22.07 Kabusu-Kitebi'!N53,'23.07 Kabusu-Kitebi'!N53,'24.07 Kabusu-Kitebi'!N53,'25.07 Kitebi-Kabusu'!N53,'26.07 Kabusu-Kitebi-24'!N53,'27.07 Kabusu-Kitebi-24h'!N53,'28.07 Kabusu-Kitebi'!N53)</f>
        <v>0</v>
      </c>
      <c r="O53" s="15">
        <f t="shared" si="0"/>
        <v>136.14285714285717</v>
      </c>
      <c r="P53" s="15">
        <f t="shared" si="1"/>
        <v>311.85714285714289</v>
      </c>
      <c r="R53" s="8"/>
      <c r="T53"/>
    </row>
    <row r="54" spans="2:20" ht="23.1" customHeight="1" x14ac:dyDescent="0.25">
      <c r="B54" s="23" t="s">
        <v>81</v>
      </c>
      <c r="C54" s="49">
        <f>AVERAGE('22.07 Kabusu-Kitebi'!C54,'23.07 Kabusu-Kitebi'!C54,'24.07 Kabusu-Kitebi'!C54,'25.07 Kitebi-Kabusu'!C54,'26.07 Kabusu-Kitebi-24'!C54,'27.07 Kabusu-Kitebi-24h'!C54,'28.07 Kabusu-Kitebi'!C54)</f>
        <v>97.571428571428569</v>
      </c>
      <c r="D54" s="49">
        <f>AVERAGE('22.07 Kabusu-Kitebi'!D54,'23.07 Kabusu-Kitebi'!D54,'24.07 Kabusu-Kitebi'!D54,'25.07 Kitebi-Kabusu'!D54,'26.07 Kabusu-Kitebi-24'!D54,'27.07 Kabusu-Kitebi-24h'!D54,'28.07 Kabusu-Kitebi'!D54)</f>
        <v>14.714285714285714</v>
      </c>
      <c r="E54" s="49">
        <f>AVERAGE('22.07 Kabusu-Kitebi'!E54,'23.07 Kabusu-Kitebi'!E54,'24.07 Kabusu-Kitebi'!E54,'25.07 Kitebi-Kabusu'!E54,'26.07 Kabusu-Kitebi-24'!E54,'27.07 Kabusu-Kitebi-24h'!E54,'28.07 Kabusu-Kitebi'!E54)</f>
        <v>8.5714285714285712</v>
      </c>
      <c r="F54" s="49">
        <f>AVERAGE('22.07 Kabusu-Kitebi'!F54,'23.07 Kabusu-Kitebi'!F54,'24.07 Kabusu-Kitebi'!F54,'25.07 Kitebi-Kabusu'!F54,'26.07 Kabusu-Kitebi-24'!F54,'27.07 Kabusu-Kitebi-24h'!F54,'28.07 Kabusu-Kitebi'!F54)</f>
        <v>26</v>
      </c>
      <c r="G54" s="49">
        <f>AVERAGE('22.07 Kabusu-Kitebi'!G54,'23.07 Kabusu-Kitebi'!G54,'24.07 Kabusu-Kitebi'!G54,'25.07 Kitebi-Kabusu'!G54,'26.07 Kabusu-Kitebi-24'!G54,'27.07 Kabusu-Kitebi-24h'!G54,'28.07 Kabusu-Kitebi'!G54)</f>
        <v>0.7142857142857143</v>
      </c>
      <c r="H54" s="49">
        <f>AVERAGE('22.07 Kabusu-Kitebi'!H54,'23.07 Kabusu-Kitebi'!H54,'24.07 Kabusu-Kitebi'!H54,'25.07 Kitebi-Kabusu'!H54,'26.07 Kabusu-Kitebi-24'!H54,'27.07 Kabusu-Kitebi-24h'!H54,'28.07 Kabusu-Kitebi'!H54)</f>
        <v>0.2857142857142857</v>
      </c>
      <c r="I54" s="49">
        <f>AVERAGE('22.07 Kabusu-Kitebi'!I54,'23.07 Kabusu-Kitebi'!I54,'24.07 Kabusu-Kitebi'!I54,'25.07 Kitebi-Kabusu'!I54,'26.07 Kabusu-Kitebi-24'!I54,'27.07 Kabusu-Kitebi-24h'!I54,'28.07 Kabusu-Kitebi'!I54)</f>
        <v>5.5714285714285712</v>
      </c>
      <c r="J54" s="49">
        <f>AVERAGE('22.07 Kabusu-Kitebi'!J54,'23.07 Kabusu-Kitebi'!J54,'24.07 Kabusu-Kitebi'!J54,'25.07 Kitebi-Kabusu'!J54,'26.07 Kabusu-Kitebi-24'!J54,'27.07 Kabusu-Kitebi-24h'!J54,'28.07 Kabusu-Kitebi'!J54)</f>
        <v>0.7142857142857143</v>
      </c>
      <c r="K54" s="49">
        <f>AVERAGE('22.07 Kabusu-Kitebi'!K54,'23.07 Kabusu-Kitebi'!K54,'24.07 Kabusu-Kitebi'!K54,'25.07 Kitebi-Kabusu'!K54,'26.07 Kabusu-Kitebi-24'!K54,'27.07 Kabusu-Kitebi-24h'!K54,'28.07 Kabusu-Kitebi'!K54)</f>
        <v>1</v>
      </c>
      <c r="L54" s="49">
        <f>AVERAGE('22.07 Kabusu-Kitebi'!L54,'23.07 Kabusu-Kitebi'!L54,'24.07 Kabusu-Kitebi'!L54,'25.07 Kitebi-Kabusu'!L54,'26.07 Kabusu-Kitebi-24'!L54,'27.07 Kabusu-Kitebi-24h'!L54,'28.07 Kabusu-Kitebi'!L54)</f>
        <v>0.5714285714285714</v>
      </c>
      <c r="M54" s="49">
        <f>AVERAGE('22.07 Kabusu-Kitebi'!M54,'23.07 Kabusu-Kitebi'!M54,'24.07 Kabusu-Kitebi'!M54,'25.07 Kitebi-Kabusu'!M54,'26.07 Kabusu-Kitebi-24'!M54,'27.07 Kabusu-Kitebi-24h'!M54,'28.07 Kabusu-Kitebi'!M54)</f>
        <v>175</v>
      </c>
      <c r="N54" s="49">
        <f>AVERAGE('22.07 Kabusu-Kitebi'!N54,'23.07 Kabusu-Kitebi'!N54,'24.07 Kabusu-Kitebi'!N54,'25.07 Kitebi-Kabusu'!N54,'26.07 Kabusu-Kitebi-24'!N54,'27.07 Kabusu-Kitebi-24h'!N54,'28.07 Kabusu-Kitebi'!N54)</f>
        <v>0</v>
      </c>
      <c r="O54" s="15">
        <f t="shared" si="0"/>
        <v>155.71428571428572</v>
      </c>
      <c r="P54" s="15">
        <f t="shared" si="1"/>
        <v>330.71428571428572</v>
      </c>
      <c r="R54" s="8"/>
      <c r="T54"/>
    </row>
    <row r="55" spans="2:20" ht="23.1" customHeight="1" x14ac:dyDescent="0.25">
      <c r="B55" s="23" t="s">
        <v>82</v>
      </c>
      <c r="C55" s="49">
        <f>AVERAGE('22.07 Kabusu-Kitebi'!C55,'23.07 Kabusu-Kitebi'!C55,'24.07 Kabusu-Kitebi'!C55,'25.07 Kitebi-Kabusu'!C55,'26.07 Kabusu-Kitebi-24'!C55,'27.07 Kabusu-Kitebi-24h'!C55,'28.07 Kabusu-Kitebi'!C55)</f>
        <v>93</v>
      </c>
      <c r="D55" s="49">
        <f>AVERAGE('22.07 Kabusu-Kitebi'!D55,'23.07 Kabusu-Kitebi'!D55,'24.07 Kabusu-Kitebi'!D55,'25.07 Kitebi-Kabusu'!D55,'26.07 Kabusu-Kitebi-24'!D55,'27.07 Kabusu-Kitebi-24h'!D55,'28.07 Kabusu-Kitebi'!D55)</f>
        <v>11.857142857142858</v>
      </c>
      <c r="E55" s="49">
        <f>AVERAGE('22.07 Kabusu-Kitebi'!E55,'23.07 Kabusu-Kitebi'!E55,'24.07 Kabusu-Kitebi'!E55,'25.07 Kitebi-Kabusu'!E55,'26.07 Kabusu-Kitebi-24'!E55,'27.07 Kabusu-Kitebi-24h'!E55,'28.07 Kabusu-Kitebi'!E55)</f>
        <v>9.1428571428571423</v>
      </c>
      <c r="F55" s="49">
        <f>AVERAGE('22.07 Kabusu-Kitebi'!F55,'23.07 Kabusu-Kitebi'!F55,'24.07 Kabusu-Kitebi'!F55,'25.07 Kitebi-Kabusu'!F55,'26.07 Kabusu-Kitebi-24'!F55,'27.07 Kabusu-Kitebi-24h'!F55,'28.07 Kabusu-Kitebi'!F55)</f>
        <v>25.285714285714285</v>
      </c>
      <c r="G55" s="49">
        <f>AVERAGE('22.07 Kabusu-Kitebi'!G55,'23.07 Kabusu-Kitebi'!G55,'24.07 Kabusu-Kitebi'!G55,'25.07 Kitebi-Kabusu'!G55,'26.07 Kabusu-Kitebi-24'!G55,'27.07 Kabusu-Kitebi-24h'!G55,'28.07 Kabusu-Kitebi'!G55)</f>
        <v>0.2857142857142857</v>
      </c>
      <c r="H55" s="49">
        <f>AVERAGE('22.07 Kabusu-Kitebi'!H55,'23.07 Kabusu-Kitebi'!H55,'24.07 Kabusu-Kitebi'!H55,'25.07 Kitebi-Kabusu'!H55,'26.07 Kabusu-Kitebi-24'!H55,'27.07 Kabusu-Kitebi-24h'!H55,'28.07 Kabusu-Kitebi'!H55)</f>
        <v>0</v>
      </c>
      <c r="I55" s="49">
        <f>AVERAGE('22.07 Kabusu-Kitebi'!I55,'23.07 Kabusu-Kitebi'!I55,'24.07 Kabusu-Kitebi'!I55,'25.07 Kitebi-Kabusu'!I55,'26.07 Kabusu-Kitebi-24'!I55,'27.07 Kabusu-Kitebi-24h'!I55,'28.07 Kabusu-Kitebi'!I55)</f>
        <v>7.1428571428571432</v>
      </c>
      <c r="J55" s="49">
        <f>AVERAGE('22.07 Kabusu-Kitebi'!J55,'23.07 Kabusu-Kitebi'!J55,'24.07 Kabusu-Kitebi'!J55,'25.07 Kitebi-Kabusu'!J55,'26.07 Kabusu-Kitebi-24'!J55,'27.07 Kabusu-Kitebi-24h'!J55,'28.07 Kabusu-Kitebi'!J55)</f>
        <v>0.8571428571428571</v>
      </c>
      <c r="K55" s="49">
        <f>AVERAGE('22.07 Kabusu-Kitebi'!K55,'23.07 Kabusu-Kitebi'!K55,'24.07 Kabusu-Kitebi'!K55,'25.07 Kitebi-Kabusu'!K55,'26.07 Kabusu-Kitebi-24'!K55,'27.07 Kabusu-Kitebi-24h'!K55,'28.07 Kabusu-Kitebi'!K55)</f>
        <v>0.42857142857142855</v>
      </c>
      <c r="L55" s="49">
        <f>AVERAGE('22.07 Kabusu-Kitebi'!L55,'23.07 Kabusu-Kitebi'!L55,'24.07 Kabusu-Kitebi'!L55,'25.07 Kitebi-Kabusu'!L55,'26.07 Kabusu-Kitebi-24'!L55,'27.07 Kabusu-Kitebi-24h'!L55,'28.07 Kabusu-Kitebi'!L55)</f>
        <v>1.1428571428571428</v>
      </c>
      <c r="M55" s="49">
        <f>AVERAGE('22.07 Kabusu-Kitebi'!M55,'23.07 Kabusu-Kitebi'!M55,'24.07 Kabusu-Kitebi'!M55,'25.07 Kitebi-Kabusu'!M55,'26.07 Kabusu-Kitebi-24'!M55,'27.07 Kabusu-Kitebi-24h'!M55,'28.07 Kabusu-Kitebi'!M55)</f>
        <v>168</v>
      </c>
      <c r="N55" s="49">
        <f>AVERAGE('22.07 Kabusu-Kitebi'!N55,'23.07 Kabusu-Kitebi'!N55,'24.07 Kabusu-Kitebi'!N55,'25.07 Kitebi-Kabusu'!N55,'26.07 Kabusu-Kitebi-24'!N55,'27.07 Kabusu-Kitebi-24h'!N55,'28.07 Kabusu-Kitebi'!N55)</f>
        <v>0</v>
      </c>
      <c r="O55" s="15">
        <f t="shared" si="0"/>
        <v>149.14285714285711</v>
      </c>
      <c r="P55" s="15">
        <f t="shared" si="1"/>
        <v>317.14285714285711</v>
      </c>
      <c r="R55" s="8"/>
      <c r="T55"/>
    </row>
    <row r="56" spans="2:20" ht="23.1" customHeight="1" x14ac:dyDescent="0.25">
      <c r="B56" s="23" t="s">
        <v>83</v>
      </c>
      <c r="C56" s="49">
        <f>AVERAGE('22.07 Kabusu-Kitebi'!C56,'23.07 Kabusu-Kitebi'!C56,'24.07 Kabusu-Kitebi'!C56,'25.07 Kitebi-Kabusu'!C56,'26.07 Kabusu-Kitebi-24'!C56,'27.07 Kabusu-Kitebi-24h'!C56,'28.07 Kabusu-Kitebi'!C56)</f>
        <v>92</v>
      </c>
      <c r="D56" s="49">
        <f>AVERAGE('22.07 Kabusu-Kitebi'!D56,'23.07 Kabusu-Kitebi'!D56,'24.07 Kabusu-Kitebi'!D56,'25.07 Kitebi-Kabusu'!D56,'26.07 Kabusu-Kitebi-24'!D56,'27.07 Kabusu-Kitebi-24h'!D56,'28.07 Kabusu-Kitebi'!D56)</f>
        <v>10.714285714285714</v>
      </c>
      <c r="E56" s="49">
        <f>AVERAGE('22.07 Kabusu-Kitebi'!E56,'23.07 Kabusu-Kitebi'!E56,'24.07 Kabusu-Kitebi'!E56,'25.07 Kitebi-Kabusu'!E56,'26.07 Kabusu-Kitebi-24'!E56,'27.07 Kabusu-Kitebi-24h'!E56,'28.07 Kabusu-Kitebi'!E56)</f>
        <v>8.4285714285714288</v>
      </c>
      <c r="F56" s="49">
        <f>AVERAGE('22.07 Kabusu-Kitebi'!F56,'23.07 Kabusu-Kitebi'!F56,'24.07 Kabusu-Kitebi'!F56,'25.07 Kitebi-Kabusu'!F56,'26.07 Kabusu-Kitebi-24'!F56,'27.07 Kabusu-Kitebi-24h'!F56,'28.07 Kabusu-Kitebi'!F56)</f>
        <v>26.285714285714285</v>
      </c>
      <c r="G56" s="49">
        <f>AVERAGE('22.07 Kabusu-Kitebi'!G56,'23.07 Kabusu-Kitebi'!G56,'24.07 Kabusu-Kitebi'!G56,'25.07 Kitebi-Kabusu'!G56,'26.07 Kabusu-Kitebi-24'!G56,'27.07 Kabusu-Kitebi-24h'!G56,'28.07 Kabusu-Kitebi'!G56)</f>
        <v>1</v>
      </c>
      <c r="H56" s="49">
        <f>AVERAGE('22.07 Kabusu-Kitebi'!H56,'23.07 Kabusu-Kitebi'!H56,'24.07 Kabusu-Kitebi'!H56,'25.07 Kitebi-Kabusu'!H56,'26.07 Kabusu-Kitebi-24'!H56,'27.07 Kabusu-Kitebi-24h'!H56,'28.07 Kabusu-Kitebi'!H56)</f>
        <v>0</v>
      </c>
      <c r="I56" s="49">
        <f>AVERAGE('22.07 Kabusu-Kitebi'!I56,'23.07 Kabusu-Kitebi'!I56,'24.07 Kabusu-Kitebi'!I56,'25.07 Kitebi-Kabusu'!I56,'26.07 Kabusu-Kitebi-24'!I56,'27.07 Kabusu-Kitebi-24h'!I56,'28.07 Kabusu-Kitebi'!I56)</f>
        <v>5.1428571428571432</v>
      </c>
      <c r="J56" s="49">
        <f>AVERAGE('22.07 Kabusu-Kitebi'!J56,'23.07 Kabusu-Kitebi'!J56,'24.07 Kabusu-Kitebi'!J56,'25.07 Kitebi-Kabusu'!J56,'26.07 Kabusu-Kitebi-24'!J56,'27.07 Kabusu-Kitebi-24h'!J56,'28.07 Kabusu-Kitebi'!J56)</f>
        <v>1.2857142857142858</v>
      </c>
      <c r="K56" s="49">
        <f>AVERAGE('22.07 Kabusu-Kitebi'!K56,'23.07 Kabusu-Kitebi'!K56,'24.07 Kabusu-Kitebi'!K56,'25.07 Kitebi-Kabusu'!K56,'26.07 Kabusu-Kitebi-24'!K56,'27.07 Kabusu-Kitebi-24h'!K56,'28.07 Kabusu-Kitebi'!K56)</f>
        <v>0.42857142857142855</v>
      </c>
      <c r="L56" s="49">
        <f>AVERAGE('22.07 Kabusu-Kitebi'!L56,'23.07 Kabusu-Kitebi'!L56,'24.07 Kabusu-Kitebi'!L56,'25.07 Kitebi-Kabusu'!L56,'26.07 Kabusu-Kitebi-24'!L56,'27.07 Kabusu-Kitebi-24h'!L56,'28.07 Kabusu-Kitebi'!L56)</f>
        <v>1</v>
      </c>
      <c r="M56" s="49">
        <f>AVERAGE('22.07 Kabusu-Kitebi'!M56,'23.07 Kabusu-Kitebi'!M56,'24.07 Kabusu-Kitebi'!M56,'25.07 Kitebi-Kabusu'!M56,'26.07 Kabusu-Kitebi-24'!M56,'27.07 Kabusu-Kitebi-24h'!M56,'28.07 Kabusu-Kitebi'!M56)</f>
        <v>174</v>
      </c>
      <c r="N56" s="49">
        <f>AVERAGE('22.07 Kabusu-Kitebi'!N56,'23.07 Kabusu-Kitebi'!N56,'24.07 Kabusu-Kitebi'!N56,'25.07 Kitebi-Kabusu'!N56,'26.07 Kabusu-Kitebi-24'!N56,'27.07 Kabusu-Kitebi-24h'!N56,'28.07 Kabusu-Kitebi'!N56)</f>
        <v>0</v>
      </c>
      <c r="O56" s="15">
        <f t="shared" si="0"/>
        <v>146.28571428571425</v>
      </c>
      <c r="P56" s="15">
        <f t="shared" si="1"/>
        <v>320.28571428571422</v>
      </c>
      <c r="R56" s="8"/>
      <c r="T56"/>
    </row>
    <row r="57" spans="2:20" ht="23.1" customHeight="1" x14ac:dyDescent="0.25">
      <c r="B57" s="23" t="s">
        <v>84</v>
      </c>
      <c r="C57" s="49">
        <f>AVERAGE('22.07 Kabusu-Kitebi'!C57,'23.07 Kabusu-Kitebi'!C57,'24.07 Kabusu-Kitebi'!C57,'25.07 Kitebi-Kabusu'!C57,'26.07 Kabusu-Kitebi-24'!C57,'27.07 Kabusu-Kitebi-24h'!C57,'28.07 Kabusu-Kitebi'!C57)</f>
        <v>97.285714285714292</v>
      </c>
      <c r="D57" s="49">
        <f>AVERAGE('22.07 Kabusu-Kitebi'!D57,'23.07 Kabusu-Kitebi'!D57,'24.07 Kabusu-Kitebi'!D57,'25.07 Kitebi-Kabusu'!D57,'26.07 Kabusu-Kitebi-24'!D57,'27.07 Kabusu-Kitebi-24h'!D57,'28.07 Kabusu-Kitebi'!D57)</f>
        <v>12</v>
      </c>
      <c r="E57" s="49">
        <f>AVERAGE('22.07 Kabusu-Kitebi'!E57,'23.07 Kabusu-Kitebi'!E57,'24.07 Kabusu-Kitebi'!E57,'25.07 Kitebi-Kabusu'!E57,'26.07 Kabusu-Kitebi-24'!E57,'27.07 Kabusu-Kitebi-24h'!E57,'28.07 Kabusu-Kitebi'!E57)</f>
        <v>9.7142857142857135</v>
      </c>
      <c r="F57" s="49">
        <f>AVERAGE('22.07 Kabusu-Kitebi'!F57,'23.07 Kabusu-Kitebi'!F57,'24.07 Kabusu-Kitebi'!F57,'25.07 Kitebi-Kabusu'!F57,'26.07 Kabusu-Kitebi-24'!F57,'27.07 Kabusu-Kitebi-24h'!F57,'28.07 Kabusu-Kitebi'!F57)</f>
        <v>27.428571428571427</v>
      </c>
      <c r="G57" s="49">
        <f>AVERAGE('22.07 Kabusu-Kitebi'!G57,'23.07 Kabusu-Kitebi'!G57,'24.07 Kabusu-Kitebi'!G57,'25.07 Kitebi-Kabusu'!G57,'26.07 Kabusu-Kitebi-24'!G57,'27.07 Kabusu-Kitebi-24h'!G57,'28.07 Kabusu-Kitebi'!G57)</f>
        <v>0.42857142857142855</v>
      </c>
      <c r="H57" s="49">
        <f>AVERAGE('22.07 Kabusu-Kitebi'!H57,'23.07 Kabusu-Kitebi'!H57,'24.07 Kabusu-Kitebi'!H57,'25.07 Kitebi-Kabusu'!H57,'26.07 Kabusu-Kitebi-24'!H57,'27.07 Kabusu-Kitebi-24h'!H57,'28.07 Kabusu-Kitebi'!H57)</f>
        <v>0</v>
      </c>
      <c r="I57" s="49">
        <f>AVERAGE('22.07 Kabusu-Kitebi'!I57,'23.07 Kabusu-Kitebi'!I57,'24.07 Kabusu-Kitebi'!I57,'25.07 Kitebi-Kabusu'!I57,'26.07 Kabusu-Kitebi-24'!I57,'27.07 Kabusu-Kitebi-24h'!I57,'28.07 Kabusu-Kitebi'!I57)</f>
        <v>6.7142857142857144</v>
      </c>
      <c r="J57" s="49">
        <f>AVERAGE('22.07 Kabusu-Kitebi'!J57,'23.07 Kabusu-Kitebi'!J57,'24.07 Kabusu-Kitebi'!J57,'25.07 Kitebi-Kabusu'!J57,'26.07 Kabusu-Kitebi-24'!J57,'27.07 Kabusu-Kitebi-24h'!J57,'28.07 Kabusu-Kitebi'!J57)</f>
        <v>2</v>
      </c>
      <c r="K57" s="49">
        <f>AVERAGE('22.07 Kabusu-Kitebi'!K57,'23.07 Kabusu-Kitebi'!K57,'24.07 Kabusu-Kitebi'!K57,'25.07 Kitebi-Kabusu'!K57,'26.07 Kabusu-Kitebi-24'!K57,'27.07 Kabusu-Kitebi-24h'!K57,'28.07 Kabusu-Kitebi'!K57)</f>
        <v>0.7142857142857143</v>
      </c>
      <c r="L57" s="49">
        <f>AVERAGE('22.07 Kabusu-Kitebi'!L57,'23.07 Kabusu-Kitebi'!L57,'24.07 Kabusu-Kitebi'!L57,'25.07 Kitebi-Kabusu'!L57,'26.07 Kabusu-Kitebi-24'!L57,'27.07 Kabusu-Kitebi-24h'!L57,'28.07 Kabusu-Kitebi'!L57)</f>
        <v>0.42857142857142855</v>
      </c>
      <c r="M57" s="49">
        <f>AVERAGE('22.07 Kabusu-Kitebi'!M57,'23.07 Kabusu-Kitebi'!M57,'24.07 Kabusu-Kitebi'!M57,'25.07 Kitebi-Kabusu'!M57,'26.07 Kabusu-Kitebi-24'!M57,'27.07 Kabusu-Kitebi-24h'!M57,'28.07 Kabusu-Kitebi'!M57)</f>
        <v>157.71428571428572</v>
      </c>
      <c r="N57" s="49">
        <f>AVERAGE('22.07 Kabusu-Kitebi'!N57,'23.07 Kabusu-Kitebi'!N57,'24.07 Kabusu-Kitebi'!N57,'25.07 Kitebi-Kabusu'!N57,'26.07 Kabusu-Kitebi-24'!N57,'27.07 Kabusu-Kitebi-24h'!N57,'28.07 Kabusu-Kitebi'!N57)</f>
        <v>0</v>
      </c>
      <c r="O57" s="15">
        <f>SUM(C57:L57,N57)</f>
        <v>156.71428571428569</v>
      </c>
      <c r="P57" s="15">
        <f t="shared" si="1"/>
        <v>314.42857142857144</v>
      </c>
      <c r="R57" s="8"/>
      <c r="T57"/>
    </row>
    <row r="58" spans="2:20" ht="23.1" customHeight="1" x14ac:dyDescent="0.25">
      <c r="B58" s="23" t="s">
        <v>99</v>
      </c>
      <c r="C58" s="49">
        <f>AVERAGE('26.07 Kabusu-Kitebi-24'!C58,'27.07 Kabusu-Kitebi-24h'!C58)</f>
        <v>72.5</v>
      </c>
      <c r="D58" s="49">
        <f>AVERAGE('26.07 Kabusu-Kitebi-24'!D58,'27.07 Kabusu-Kitebi-24h'!D58)</f>
        <v>13</v>
      </c>
      <c r="E58" s="49">
        <f>AVERAGE('26.07 Kabusu-Kitebi-24'!E58,'27.07 Kabusu-Kitebi-24h'!E58)</f>
        <v>5</v>
      </c>
      <c r="F58" s="49">
        <f>AVERAGE('26.07 Kabusu-Kitebi-24'!F58,'27.07 Kabusu-Kitebi-24h'!F58)</f>
        <v>23</v>
      </c>
      <c r="G58" s="49">
        <f>AVERAGE('26.07 Kabusu-Kitebi-24'!G58,'27.07 Kabusu-Kitebi-24h'!G58)</f>
        <v>8</v>
      </c>
      <c r="H58" s="49">
        <f>AVERAGE('26.07 Kabusu-Kitebi-24'!H58,'27.07 Kabusu-Kitebi-24h'!H58)</f>
        <v>0</v>
      </c>
      <c r="I58" s="49">
        <f>AVERAGE('26.07 Kabusu-Kitebi-24'!I58,'27.07 Kabusu-Kitebi-24h'!I58)</f>
        <v>2</v>
      </c>
      <c r="J58" s="49">
        <f>AVERAGE('26.07 Kabusu-Kitebi-24'!J58,'27.07 Kabusu-Kitebi-24h'!J58)</f>
        <v>1.5</v>
      </c>
      <c r="K58" s="49">
        <f>AVERAGE('26.07 Kabusu-Kitebi-24'!K58,'27.07 Kabusu-Kitebi-24h'!K58)</f>
        <v>0</v>
      </c>
      <c r="L58" s="49">
        <f>AVERAGE('26.07 Kabusu-Kitebi-24'!L58,'27.07 Kabusu-Kitebi-24h'!L58)</f>
        <v>1</v>
      </c>
      <c r="M58" s="49">
        <f>AVERAGE('26.07 Kabusu-Kitebi-24'!M58,'27.07 Kabusu-Kitebi-24h'!M58)</f>
        <v>120</v>
      </c>
      <c r="N58" s="49">
        <f>AVERAGE('26.07 Kabusu-Kitebi-24'!N58,'27.07 Kabusu-Kitebi-24h'!N58)</f>
        <v>0</v>
      </c>
      <c r="O58" s="15">
        <f>SUM(C58:L58,N58)</f>
        <v>126</v>
      </c>
      <c r="P58" s="15">
        <f>SUM(D58:M58,O58)</f>
        <v>299.5</v>
      </c>
      <c r="R58" s="8"/>
      <c r="T58"/>
    </row>
    <row r="59" spans="2:20" ht="23.1" customHeight="1" x14ac:dyDescent="0.25">
      <c r="B59" s="23" t="s">
        <v>100</v>
      </c>
      <c r="C59" s="49">
        <f>AVERAGE('26.07 Kabusu-Kitebi-24'!C59,'27.07 Kabusu-Kitebi-24h'!C59)</f>
        <v>97.5</v>
      </c>
      <c r="D59" s="49">
        <f>AVERAGE('26.07 Kabusu-Kitebi-24'!D59,'27.07 Kabusu-Kitebi-24h'!D59)</f>
        <v>13.5</v>
      </c>
      <c r="E59" s="49">
        <f>AVERAGE('26.07 Kabusu-Kitebi-24'!E59,'27.07 Kabusu-Kitebi-24h'!E59)</f>
        <v>9</v>
      </c>
      <c r="F59" s="49">
        <f>AVERAGE('26.07 Kabusu-Kitebi-24'!F59,'27.07 Kabusu-Kitebi-24h'!F59)</f>
        <v>25</v>
      </c>
      <c r="G59" s="49">
        <f>AVERAGE('26.07 Kabusu-Kitebi-24'!G59,'27.07 Kabusu-Kitebi-24h'!G59)</f>
        <v>0</v>
      </c>
      <c r="H59" s="49">
        <f>AVERAGE('26.07 Kabusu-Kitebi-24'!H59,'27.07 Kabusu-Kitebi-24h'!H59)</f>
        <v>0.5</v>
      </c>
      <c r="I59" s="49">
        <f>AVERAGE('26.07 Kabusu-Kitebi-24'!I59,'27.07 Kabusu-Kitebi-24h'!I59)</f>
        <v>4</v>
      </c>
      <c r="J59" s="49">
        <f>AVERAGE('26.07 Kabusu-Kitebi-24'!J59,'27.07 Kabusu-Kitebi-24h'!J59)</f>
        <v>2.5</v>
      </c>
      <c r="K59" s="49">
        <f>AVERAGE('26.07 Kabusu-Kitebi-24'!K59,'27.07 Kabusu-Kitebi-24h'!K59)</f>
        <v>0</v>
      </c>
      <c r="L59" s="49">
        <f>AVERAGE('26.07 Kabusu-Kitebi-24'!L59,'27.07 Kabusu-Kitebi-24h'!L59)</f>
        <v>0</v>
      </c>
      <c r="M59" s="49">
        <f>AVERAGE('26.07 Kabusu-Kitebi-24'!M59,'27.07 Kabusu-Kitebi-24h'!M59)</f>
        <v>131.5</v>
      </c>
      <c r="N59" s="49">
        <f>AVERAGE('26.07 Kabusu-Kitebi-24'!N59,'27.07 Kabusu-Kitebi-24h'!N59)</f>
        <v>0</v>
      </c>
      <c r="O59" s="15">
        <f t="shared" ref="O59:P59" si="35">SUM(C59:L59,N59)</f>
        <v>152</v>
      </c>
      <c r="P59" s="15">
        <f t="shared" si="35"/>
        <v>338</v>
      </c>
      <c r="R59" s="8"/>
      <c r="T59"/>
    </row>
    <row r="60" spans="2:20" ht="23.1" customHeight="1" x14ac:dyDescent="0.25">
      <c r="B60" s="23" t="s">
        <v>101</v>
      </c>
      <c r="C60" s="49">
        <f>AVERAGE('26.07 Kabusu-Kitebi-24'!C60,'27.07 Kabusu-Kitebi-24h'!C60)</f>
        <v>56</v>
      </c>
      <c r="D60" s="49">
        <f>AVERAGE('26.07 Kabusu-Kitebi-24'!D60,'27.07 Kabusu-Kitebi-24h'!D60)</f>
        <v>9.5</v>
      </c>
      <c r="E60" s="49">
        <f>AVERAGE('26.07 Kabusu-Kitebi-24'!E60,'27.07 Kabusu-Kitebi-24h'!E60)</f>
        <v>7</v>
      </c>
      <c r="F60" s="49">
        <f>AVERAGE('26.07 Kabusu-Kitebi-24'!F60,'27.07 Kabusu-Kitebi-24h'!F60)</f>
        <v>20</v>
      </c>
      <c r="G60" s="49">
        <f>AVERAGE('26.07 Kabusu-Kitebi-24'!G60,'27.07 Kabusu-Kitebi-24h'!G60)</f>
        <v>1</v>
      </c>
      <c r="H60" s="49">
        <f>AVERAGE('26.07 Kabusu-Kitebi-24'!H60,'27.07 Kabusu-Kitebi-24h'!H60)</f>
        <v>0</v>
      </c>
      <c r="I60" s="49">
        <f>AVERAGE('26.07 Kabusu-Kitebi-24'!I60,'27.07 Kabusu-Kitebi-24h'!I60)</f>
        <v>4</v>
      </c>
      <c r="J60" s="49">
        <f>AVERAGE('26.07 Kabusu-Kitebi-24'!J60,'27.07 Kabusu-Kitebi-24h'!J60)</f>
        <v>1.5</v>
      </c>
      <c r="K60" s="49">
        <f>AVERAGE('26.07 Kabusu-Kitebi-24'!K60,'27.07 Kabusu-Kitebi-24h'!K60)</f>
        <v>0</v>
      </c>
      <c r="L60" s="49">
        <f>AVERAGE('26.07 Kabusu-Kitebi-24'!L60,'27.07 Kabusu-Kitebi-24h'!L60)</f>
        <v>0</v>
      </c>
      <c r="M60" s="49">
        <f>AVERAGE('26.07 Kabusu-Kitebi-24'!M60,'27.07 Kabusu-Kitebi-24h'!M60)</f>
        <v>125</v>
      </c>
      <c r="N60" s="49">
        <f>AVERAGE('26.07 Kabusu-Kitebi-24'!N60,'27.07 Kabusu-Kitebi-24h'!N60)</f>
        <v>0</v>
      </c>
      <c r="O60" s="15">
        <f t="shared" ref="O60:P60" si="36">SUM(C60:L60,N60)</f>
        <v>99</v>
      </c>
      <c r="P60" s="15">
        <f t="shared" si="36"/>
        <v>267</v>
      </c>
      <c r="R60" s="8"/>
      <c r="T60"/>
    </row>
    <row r="61" spans="2:20" ht="23.1" customHeight="1" x14ac:dyDescent="0.25">
      <c r="B61" s="23" t="s">
        <v>102</v>
      </c>
      <c r="C61" s="49">
        <f>AVERAGE('26.07 Kabusu-Kitebi-24'!C61,'27.07 Kabusu-Kitebi-24h'!C61)</f>
        <v>66.5</v>
      </c>
      <c r="D61" s="49">
        <f>AVERAGE('26.07 Kabusu-Kitebi-24'!D61,'27.07 Kabusu-Kitebi-24h'!D61)</f>
        <v>9</v>
      </c>
      <c r="E61" s="49">
        <f>AVERAGE('26.07 Kabusu-Kitebi-24'!E61,'27.07 Kabusu-Kitebi-24h'!E61)</f>
        <v>8.5</v>
      </c>
      <c r="F61" s="49">
        <f>AVERAGE('26.07 Kabusu-Kitebi-24'!F61,'27.07 Kabusu-Kitebi-24h'!F61)</f>
        <v>32.5</v>
      </c>
      <c r="G61" s="49">
        <f>AVERAGE('26.07 Kabusu-Kitebi-24'!G61,'27.07 Kabusu-Kitebi-24h'!G61)</f>
        <v>0</v>
      </c>
      <c r="H61" s="49">
        <f>AVERAGE('26.07 Kabusu-Kitebi-24'!H61,'27.07 Kabusu-Kitebi-24h'!H61)</f>
        <v>0</v>
      </c>
      <c r="I61" s="49">
        <f>AVERAGE('26.07 Kabusu-Kitebi-24'!I61,'27.07 Kabusu-Kitebi-24h'!I61)</f>
        <v>5</v>
      </c>
      <c r="J61" s="49">
        <f>AVERAGE('26.07 Kabusu-Kitebi-24'!J61,'27.07 Kabusu-Kitebi-24h'!J61)</f>
        <v>2</v>
      </c>
      <c r="K61" s="49">
        <f>AVERAGE('26.07 Kabusu-Kitebi-24'!K61,'27.07 Kabusu-Kitebi-24h'!K61)</f>
        <v>0</v>
      </c>
      <c r="L61" s="49">
        <f>AVERAGE('26.07 Kabusu-Kitebi-24'!L61,'27.07 Kabusu-Kitebi-24h'!L61)</f>
        <v>0</v>
      </c>
      <c r="M61" s="49">
        <f>AVERAGE('26.07 Kabusu-Kitebi-24'!M61,'27.07 Kabusu-Kitebi-24h'!M61)</f>
        <v>145</v>
      </c>
      <c r="N61" s="49">
        <f>AVERAGE('26.07 Kabusu-Kitebi-24'!N61,'27.07 Kabusu-Kitebi-24h'!N61)</f>
        <v>0</v>
      </c>
      <c r="O61" s="15">
        <f t="shared" ref="O61:P61" si="37">SUM(C61:L61,N61)</f>
        <v>123.5</v>
      </c>
      <c r="P61" s="15">
        <f t="shared" si="37"/>
        <v>325.5</v>
      </c>
      <c r="R61" s="8"/>
      <c r="T61"/>
    </row>
    <row r="62" spans="2:20" ht="23.1" customHeight="1" x14ac:dyDescent="0.25">
      <c r="B62" s="23" t="s">
        <v>107</v>
      </c>
      <c r="C62" s="49">
        <f>AVERAGE('26.07 Kabusu-Kitebi-24'!C62,'27.07 Kabusu-Kitebi-24h'!C62)</f>
        <v>83</v>
      </c>
      <c r="D62" s="49">
        <f>AVERAGE('26.07 Kabusu-Kitebi-24'!D62,'27.07 Kabusu-Kitebi-24h'!D62)</f>
        <v>8.5</v>
      </c>
      <c r="E62" s="49">
        <f>AVERAGE('26.07 Kabusu-Kitebi-24'!E62,'27.07 Kabusu-Kitebi-24h'!E62)</f>
        <v>6.5</v>
      </c>
      <c r="F62" s="49">
        <f>AVERAGE('26.07 Kabusu-Kitebi-24'!F62,'27.07 Kabusu-Kitebi-24h'!F62)</f>
        <v>29.5</v>
      </c>
      <c r="G62" s="49">
        <f>AVERAGE('26.07 Kabusu-Kitebi-24'!G62,'27.07 Kabusu-Kitebi-24h'!G62)</f>
        <v>0.5</v>
      </c>
      <c r="H62" s="49">
        <f>AVERAGE('26.07 Kabusu-Kitebi-24'!H62,'27.07 Kabusu-Kitebi-24h'!H62)</f>
        <v>0</v>
      </c>
      <c r="I62" s="49">
        <f>AVERAGE('26.07 Kabusu-Kitebi-24'!I62,'27.07 Kabusu-Kitebi-24h'!I62)</f>
        <v>3</v>
      </c>
      <c r="J62" s="49">
        <f>AVERAGE('26.07 Kabusu-Kitebi-24'!J62,'27.07 Kabusu-Kitebi-24h'!J62)</f>
        <v>1</v>
      </c>
      <c r="K62" s="49">
        <f>AVERAGE('26.07 Kabusu-Kitebi-24'!K62,'27.07 Kabusu-Kitebi-24h'!K62)</f>
        <v>0.5</v>
      </c>
      <c r="L62" s="49">
        <f>AVERAGE('26.07 Kabusu-Kitebi-24'!L62,'27.07 Kabusu-Kitebi-24h'!L62)</f>
        <v>0.5</v>
      </c>
      <c r="M62" s="49">
        <f>AVERAGE('26.07 Kabusu-Kitebi-24'!M62,'27.07 Kabusu-Kitebi-24h'!M62)</f>
        <v>122.5</v>
      </c>
      <c r="N62" s="49">
        <f>AVERAGE('26.07 Kabusu-Kitebi-24'!N62,'27.07 Kabusu-Kitebi-24h'!N62)</f>
        <v>0</v>
      </c>
      <c r="O62" s="15">
        <f t="shared" ref="O62:P62" si="38">SUM(C62:L62,N62)</f>
        <v>133</v>
      </c>
      <c r="P62" s="15">
        <f t="shared" si="38"/>
        <v>305.5</v>
      </c>
      <c r="R62" s="8"/>
      <c r="T62"/>
    </row>
    <row r="63" spans="2:20" ht="23.1" customHeight="1" x14ac:dyDescent="0.25">
      <c r="B63" s="23" t="s">
        <v>108</v>
      </c>
      <c r="C63" s="49">
        <f>AVERAGE('26.07 Kabusu-Kitebi-24'!C63,'27.07 Kabusu-Kitebi-24h'!C63)</f>
        <v>84</v>
      </c>
      <c r="D63" s="49">
        <f>AVERAGE('26.07 Kabusu-Kitebi-24'!D63,'27.07 Kabusu-Kitebi-24h'!D63)</f>
        <v>7</v>
      </c>
      <c r="E63" s="49">
        <f>AVERAGE('26.07 Kabusu-Kitebi-24'!E63,'27.07 Kabusu-Kitebi-24h'!E63)</f>
        <v>4.5</v>
      </c>
      <c r="F63" s="49">
        <f>AVERAGE('26.07 Kabusu-Kitebi-24'!F63,'27.07 Kabusu-Kitebi-24h'!F63)</f>
        <v>29.5</v>
      </c>
      <c r="G63" s="49">
        <f>AVERAGE('26.07 Kabusu-Kitebi-24'!G63,'27.07 Kabusu-Kitebi-24h'!G63)</f>
        <v>0.5</v>
      </c>
      <c r="H63" s="49">
        <f>AVERAGE('26.07 Kabusu-Kitebi-24'!H63,'27.07 Kabusu-Kitebi-24h'!H63)</f>
        <v>0.5</v>
      </c>
      <c r="I63" s="49">
        <f>AVERAGE('26.07 Kabusu-Kitebi-24'!I63,'27.07 Kabusu-Kitebi-24h'!I63)</f>
        <v>2</v>
      </c>
      <c r="J63" s="49">
        <f>AVERAGE('26.07 Kabusu-Kitebi-24'!J63,'27.07 Kabusu-Kitebi-24h'!J63)</f>
        <v>3</v>
      </c>
      <c r="K63" s="49">
        <f>AVERAGE('26.07 Kabusu-Kitebi-24'!K63,'27.07 Kabusu-Kitebi-24h'!K63)</f>
        <v>0.5</v>
      </c>
      <c r="L63" s="49">
        <f>AVERAGE('26.07 Kabusu-Kitebi-24'!L63,'27.07 Kabusu-Kitebi-24h'!L63)</f>
        <v>0</v>
      </c>
      <c r="M63" s="49">
        <f>AVERAGE('26.07 Kabusu-Kitebi-24'!M63,'27.07 Kabusu-Kitebi-24h'!M63)</f>
        <v>115</v>
      </c>
      <c r="N63" s="49">
        <f>AVERAGE('26.07 Kabusu-Kitebi-24'!N63,'27.07 Kabusu-Kitebi-24h'!N63)</f>
        <v>0</v>
      </c>
      <c r="O63" s="15">
        <f t="shared" ref="O63:P63" si="39">SUM(C63:L63,N63)</f>
        <v>131.5</v>
      </c>
      <c r="P63" s="15">
        <f t="shared" si="39"/>
        <v>294</v>
      </c>
      <c r="R63" s="8"/>
      <c r="T63"/>
    </row>
    <row r="64" spans="2:20" ht="23.1" customHeight="1" x14ac:dyDescent="0.25">
      <c r="B64" s="23" t="s">
        <v>109</v>
      </c>
      <c r="C64" s="49">
        <f>AVERAGE('26.07 Kabusu-Kitebi-24'!C64,'27.07 Kabusu-Kitebi-24h'!C64)</f>
        <v>76.5</v>
      </c>
      <c r="D64" s="49">
        <f>AVERAGE('26.07 Kabusu-Kitebi-24'!D64,'27.07 Kabusu-Kitebi-24h'!D64)</f>
        <v>4.5</v>
      </c>
      <c r="E64" s="49">
        <f>AVERAGE('26.07 Kabusu-Kitebi-24'!E64,'27.07 Kabusu-Kitebi-24h'!E64)</f>
        <v>8</v>
      </c>
      <c r="F64" s="49">
        <f>AVERAGE('26.07 Kabusu-Kitebi-24'!F64,'27.07 Kabusu-Kitebi-24h'!F64)</f>
        <v>30</v>
      </c>
      <c r="G64" s="49">
        <f>AVERAGE('26.07 Kabusu-Kitebi-24'!G64,'27.07 Kabusu-Kitebi-24h'!G64)</f>
        <v>1</v>
      </c>
      <c r="H64" s="49">
        <f>AVERAGE('26.07 Kabusu-Kitebi-24'!H64,'27.07 Kabusu-Kitebi-24h'!H64)</f>
        <v>0</v>
      </c>
      <c r="I64" s="49">
        <f>AVERAGE('26.07 Kabusu-Kitebi-24'!I64,'27.07 Kabusu-Kitebi-24h'!I64)</f>
        <v>4.5</v>
      </c>
      <c r="J64" s="49">
        <f>AVERAGE('26.07 Kabusu-Kitebi-24'!J64,'27.07 Kabusu-Kitebi-24h'!J64)</f>
        <v>2.5</v>
      </c>
      <c r="K64" s="49">
        <f>AVERAGE('26.07 Kabusu-Kitebi-24'!K64,'27.07 Kabusu-Kitebi-24h'!K64)</f>
        <v>1.5</v>
      </c>
      <c r="L64" s="49">
        <f>AVERAGE('26.07 Kabusu-Kitebi-24'!L64,'27.07 Kabusu-Kitebi-24h'!L64)</f>
        <v>0</v>
      </c>
      <c r="M64" s="49">
        <f>AVERAGE('26.07 Kabusu-Kitebi-24'!M64,'27.07 Kabusu-Kitebi-24h'!M64)</f>
        <v>120</v>
      </c>
      <c r="N64" s="49">
        <f>AVERAGE('26.07 Kabusu-Kitebi-24'!N64,'27.07 Kabusu-Kitebi-24h'!N64)</f>
        <v>0</v>
      </c>
      <c r="O64" s="15">
        <f t="shared" ref="O64:P64" si="40">SUM(C64:L64,N64)</f>
        <v>128.5</v>
      </c>
      <c r="P64" s="15">
        <f t="shared" si="40"/>
        <v>300.5</v>
      </c>
      <c r="R64" s="8"/>
      <c r="T64"/>
    </row>
    <row r="65" spans="2:20" ht="23.1" customHeight="1" x14ac:dyDescent="0.25">
      <c r="B65" s="23" t="s">
        <v>158</v>
      </c>
      <c r="C65" s="49">
        <f>AVERAGE('26.07 Kabusu-Kitebi-24'!C65,'27.07 Kabusu-Kitebi-24h'!C65)</f>
        <v>87</v>
      </c>
      <c r="D65" s="49">
        <f>AVERAGE('26.07 Kabusu-Kitebi-24'!D65,'27.07 Kabusu-Kitebi-24h'!D65)</f>
        <v>8.5</v>
      </c>
      <c r="E65" s="49">
        <f>AVERAGE('26.07 Kabusu-Kitebi-24'!E65,'27.07 Kabusu-Kitebi-24h'!E65)</f>
        <v>5</v>
      </c>
      <c r="F65" s="49">
        <f>AVERAGE('26.07 Kabusu-Kitebi-24'!F65,'27.07 Kabusu-Kitebi-24h'!F65)</f>
        <v>34</v>
      </c>
      <c r="G65" s="49">
        <f>AVERAGE('26.07 Kabusu-Kitebi-24'!G65,'27.07 Kabusu-Kitebi-24h'!G65)</f>
        <v>1</v>
      </c>
      <c r="H65" s="49">
        <f>AVERAGE('26.07 Kabusu-Kitebi-24'!H65,'27.07 Kabusu-Kitebi-24h'!H65)</f>
        <v>0</v>
      </c>
      <c r="I65" s="49">
        <f>AVERAGE('26.07 Kabusu-Kitebi-24'!I65,'27.07 Kabusu-Kitebi-24h'!I65)</f>
        <v>1.5</v>
      </c>
      <c r="J65" s="49">
        <f>AVERAGE('26.07 Kabusu-Kitebi-24'!J65,'27.07 Kabusu-Kitebi-24h'!J65)</f>
        <v>2.5</v>
      </c>
      <c r="K65" s="49">
        <f>AVERAGE('26.07 Kabusu-Kitebi-24'!K65,'27.07 Kabusu-Kitebi-24h'!K65)</f>
        <v>0</v>
      </c>
      <c r="L65" s="49">
        <f>AVERAGE('26.07 Kabusu-Kitebi-24'!L65,'27.07 Kabusu-Kitebi-24h'!L65)</f>
        <v>1</v>
      </c>
      <c r="M65" s="49">
        <f>AVERAGE('26.07 Kabusu-Kitebi-24'!M65,'27.07 Kabusu-Kitebi-24h'!M65)</f>
        <v>117</v>
      </c>
      <c r="N65" s="49">
        <f>AVERAGE('26.07 Kabusu-Kitebi-24'!N65,'27.07 Kabusu-Kitebi-24h'!N65)</f>
        <v>0</v>
      </c>
      <c r="O65" s="15">
        <f t="shared" ref="O65:P65" si="41">SUM(C65:L65,N65)</f>
        <v>140.5</v>
      </c>
      <c r="P65" s="15">
        <f t="shared" si="41"/>
        <v>311</v>
      </c>
      <c r="R65" s="8"/>
      <c r="T65"/>
    </row>
    <row r="66" spans="2:20" ht="23.1" customHeight="1" x14ac:dyDescent="0.25">
      <c r="B66" s="23" t="s">
        <v>103</v>
      </c>
      <c r="C66" s="49">
        <f>AVERAGE('26.07 Kabusu-Kitebi-24'!C66,'27.07 Kabusu-Kitebi-24h'!C66)</f>
        <v>87</v>
      </c>
      <c r="D66" s="49">
        <f>AVERAGE('26.07 Kabusu-Kitebi-24'!D66,'27.07 Kabusu-Kitebi-24h'!D66)</f>
        <v>5</v>
      </c>
      <c r="E66" s="49">
        <f>AVERAGE('26.07 Kabusu-Kitebi-24'!E66,'27.07 Kabusu-Kitebi-24h'!E66)</f>
        <v>4</v>
      </c>
      <c r="F66" s="49">
        <f>AVERAGE('26.07 Kabusu-Kitebi-24'!F66,'27.07 Kabusu-Kitebi-24h'!F66)</f>
        <v>32</v>
      </c>
      <c r="G66" s="49">
        <f>AVERAGE('26.07 Kabusu-Kitebi-24'!G66,'27.07 Kabusu-Kitebi-24h'!G66)</f>
        <v>0.5</v>
      </c>
      <c r="H66" s="49">
        <f>AVERAGE('26.07 Kabusu-Kitebi-24'!H66,'27.07 Kabusu-Kitebi-24h'!H66)</f>
        <v>0.5</v>
      </c>
      <c r="I66" s="49">
        <f>AVERAGE('26.07 Kabusu-Kitebi-24'!I66,'27.07 Kabusu-Kitebi-24h'!I66)</f>
        <v>3.5</v>
      </c>
      <c r="J66" s="49">
        <f>AVERAGE('26.07 Kabusu-Kitebi-24'!J66,'27.07 Kabusu-Kitebi-24h'!J66)</f>
        <v>0.5</v>
      </c>
      <c r="K66" s="49">
        <f>AVERAGE('26.07 Kabusu-Kitebi-24'!K66,'27.07 Kabusu-Kitebi-24h'!K66)</f>
        <v>0</v>
      </c>
      <c r="L66" s="49">
        <f>AVERAGE('26.07 Kabusu-Kitebi-24'!L66,'27.07 Kabusu-Kitebi-24h'!L66)</f>
        <v>0.5</v>
      </c>
      <c r="M66" s="49">
        <f>AVERAGE('26.07 Kabusu-Kitebi-24'!M66,'27.07 Kabusu-Kitebi-24h'!M66)</f>
        <v>92.5</v>
      </c>
      <c r="N66" s="49">
        <f>AVERAGE('26.07 Kabusu-Kitebi-24'!N66,'27.07 Kabusu-Kitebi-24h'!N66)</f>
        <v>0</v>
      </c>
      <c r="O66" s="15">
        <f t="shared" ref="O66:P66" si="42">SUM(C66:L66,N66)</f>
        <v>133.5</v>
      </c>
      <c r="P66" s="15">
        <f t="shared" si="42"/>
        <v>272.5</v>
      </c>
      <c r="R66" s="8"/>
      <c r="T66"/>
    </row>
    <row r="67" spans="2:20" ht="23.1" customHeight="1" x14ac:dyDescent="0.25">
      <c r="B67" s="23" t="s">
        <v>104</v>
      </c>
      <c r="C67" s="49">
        <f>AVERAGE('26.07 Kabusu-Kitebi-24'!C67,'27.07 Kabusu-Kitebi-24h'!C67)</f>
        <v>80</v>
      </c>
      <c r="D67" s="49">
        <f>AVERAGE('26.07 Kabusu-Kitebi-24'!D67,'27.07 Kabusu-Kitebi-24h'!D67)</f>
        <v>9</v>
      </c>
      <c r="E67" s="49">
        <f>AVERAGE('26.07 Kabusu-Kitebi-24'!E67,'27.07 Kabusu-Kitebi-24h'!E67)</f>
        <v>8.5</v>
      </c>
      <c r="F67" s="49">
        <f>AVERAGE('26.07 Kabusu-Kitebi-24'!F67,'27.07 Kabusu-Kitebi-24h'!F67)</f>
        <v>32.5</v>
      </c>
      <c r="G67" s="49">
        <f>AVERAGE('26.07 Kabusu-Kitebi-24'!G67,'27.07 Kabusu-Kitebi-24h'!G67)</f>
        <v>1</v>
      </c>
      <c r="H67" s="49">
        <f>AVERAGE('26.07 Kabusu-Kitebi-24'!H67,'27.07 Kabusu-Kitebi-24h'!H67)</f>
        <v>0</v>
      </c>
      <c r="I67" s="49">
        <f>AVERAGE('26.07 Kabusu-Kitebi-24'!I67,'27.07 Kabusu-Kitebi-24h'!I67)</f>
        <v>4</v>
      </c>
      <c r="J67" s="49">
        <f>AVERAGE('26.07 Kabusu-Kitebi-24'!J67,'27.07 Kabusu-Kitebi-24h'!J67)</f>
        <v>0.5</v>
      </c>
      <c r="K67" s="49">
        <f>AVERAGE('26.07 Kabusu-Kitebi-24'!K67,'27.07 Kabusu-Kitebi-24h'!K67)</f>
        <v>0</v>
      </c>
      <c r="L67" s="49">
        <f>AVERAGE('26.07 Kabusu-Kitebi-24'!L67,'27.07 Kabusu-Kitebi-24h'!L67)</f>
        <v>0</v>
      </c>
      <c r="M67" s="49">
        <f>AVERAGE('26.07 Kabusu-Kitebi-24'!M67,'27.07 Kabusu-Kitebi-24h'!M67)</f>
        <v>112.5</v>
      </c>
      <c r="N67" s="49">
        <f>AVERAGE('26.07 Kabusu-Kitebi-24'!N67,'27.07 Kabusu-Kitebi-24h'!N67)</f>
        <v>0</v>
      </c>
      <c r="O67" s="15">
        <f t="shared" ref="O67:P67" si="43">SUM(C67:L67,N67)</f>
        <v>135.5</v>
      </c>
      <c r="P67" s="15">
        <f t="shared" si="43"/>
        <v>303.5</v>
      </c>
      <c r="R67" s="8"/>
      <c r="T67"/>
    </row>
    <row r="68" spans="2:20" ht="23.1" customHeight="1" x14ac:dyDescent="0.25">
      <c r="B68" s="23" t="s">
        <v>105</v>
      </c>
      <c r="C68" s="49">
        <f>AVERAGE('26.07 Kabusu-Kitebi-24'!C68,'27.07 Kabusu-Kitebi-24h'!C68)</f>
        <v>95.5</v>
      </c>
      <c r="D68" s="49">
        <f>AVERAGE('26.07 Kabusu-Kitebi-24'!D68,'27.07 Kabusu-Kitebi-24h'!D68)</f>
        <v>6.5</v>
      </c>
      <c r="E68" s="49">
        <f>AVERAGE('26.07 Kabusu-Kitebi-24'!E68,'27.07 Kabusu-Kitebi-24h'!E68)</f>
        <v>8</v>
      </c>
      <c r="F68" s="49">
        <f>AVERAGE('26.07 Kabusu-Kitebi-24'!F68,'27.07 Kabusu-Kitebi-24h'!F68)</f>
        <v>39.5</v>
      </c>
      <c r="G68" s="49">
        <f>AVERAGE('26.07 Kabusu-Kitebi-24'!G68,'27.07 Kabusu-Kitebi-24h'!G68)</f>
        <v>0</v>
      </c>
      <c r="H68" s="49">
        <f>AVERAGE('26.07 Kabusu-Kitebi-24'!H68,'27.07 Kabusu-Kitebi-24h'!H68)</f>
        <v>0</v>
      </c>
      <c r="I68" s="49">
        <f>AVERAGE('26.07 Kabusu-Kitebi-24'!I68,'27.07 Kabusu-Kitebi-24h'!I68)</f>
        <v>3</v>
      </c>
      <c r="J68" s="49">
        <f>AVERAGE('26.07 Kabusu-Kitebi-24'!J68,'27.07 Kabusu-Kitebi-24h'!J68)</f>
        <v>1</v>
      </c>
      <c r="K68" s="49">
        <f>AVERAGE('26.07 Kabusu-Kitebi-24'!K68,'27.07 Kabusu-Kitebi-24h'!K68)</f>
        <v>0.5</v>
      </c>
      <c r="L68" s="49">
        <f>AVERAGE('26.07 Kabusu-Kitebi-24'!L68,'27.07 Kabusu-Kitebi-24h'!L68)</f>
        <v>0.5</v>
      </c>
      <c r="M68" s="49">
        <f>AVERAGE('26.07 Kabusu-Kitebi-24'!M68,'27.07 Kabusu-Kitebi-24h'!M68)</f>
        <v>85</v>
      </c>
      <c r="N68" s="49">
        <f>AVERAGE('26.07 Kabusu-Kitebi-24'!N68,'27.07 Kabusu-Kitebi-24h'!N68)</f>
        <v>0</v>
      </c>
      <c r="O68" s="15">
        <f t="shared" ref="O68:P68" si="44">SUM(C68:L68,N68)</f>
        <v>154.5</v>
      </c>
      <c r="P68" s="15">
        <f t="shared" si="44"/>
        <v>298.5</v>
      </c>
      <c r="R68" s="8"/>
      <c r="T68"/>
    </row>
    <row r="69" spans="2:20" ht="23.1" customHeight="1" x14ac:dyDescent="0.25">
      <c r="B69" s="23" t="s">
        <v>106</v>
      </c>
      <c r="C69" s="49">
        <f>AVERAGE('26.07 Kabusu-Kitebi-24'!C69,'27.07 Kabusu-Kitebi-24h'!C69)</f>
        <v>69</v>
      </c>
      <c r="D69" s="49">
        <f>AVERAGE('26.07 Kabusu-Kitebi-24'!D69,'27.07 Kabusu-Kitebi-24h'!D69)</f>
        <v>7.5</v>
      </c>
      <c r="E69" s="49">
        <f>AVERAGE('26.07 Kabusu-Kitebi-24'!E69,'27.07 Kabusu-Kitebi-24h'!E69)</f>
        <v>7</v>
      </c>
      <c r="F69" s="49">
        <f>AVERAGE('26.07 Kabusu-Kitebi-24'!F69,'27.07 Kabusu-Kitebi-24h'!F69)</f>
        <v>20</v>
      </c>
      <c r="G69" s="49">
        <f>AVERAGE('26.07 Kabusu-Kitebi-24'!G69,'27.07 Kabusu-Kitebi-24h'!G69)</f>
        <v>0</v>
      </c>
      <c r="H69" s="49">
        <f>AVERAGE('26.07 Kabusu-Kitebi-24'!H69,'27.07 Kabusu-Kitebi-24h'!H69)</f>
        <v>1</v>
      </c>
      <c r="I69" s="49">
        <f>AVERAGE('26.07 Kabusu-Kitebi-24'!I69,'27.07 Kabusu-Kitebi-24h'!I69)</f>
        <v>5</v>
      </c>
      <c r="J69" s="49">
        <f>AVERAGE('26.07 Kabusu-Kitebi-24'!J69,'27.07 Kabusu-Kitebi-24h'!J69)</f>
        <v>1.5</v>
      </c>
      <c r="K69" s="49">
        <f>AVERAGE('26.07 Kabusu-Kitebi-24'!K69,'27.07 Kabusu-Kitebi-24h'!K69)</f>
        <v>2</v>
      </c>
      <c r="L69" s="49">
        <f>AVERAGE('26.07 Kabusu-Kitebi-24'!L69,'27.07 Kabusu-Kitebi-24h'!L69)</f>
        <v>0</v>
      </c>
      <c r="M69" s="49">
        <f>AVERAGE('26.07 Kabusu-Kitebi-24'!M69,'27.07 Kabusu-Kitebi-24h'!M69)</f>
        <v>65</v>
      </c>
      <c r="N69" s="49">
        <f>AVERAGE('26.07 Kabusu-Kitebi-24'!N69,'27.07 Kabusu-Kitebi-24h'!N69)</f>
        <v>0</v>
      </c>
      <c r="O69" s="15">
        <f t="shared" ref="O69:P69" si="45">SUM(C69:L69,N69)</f>
        <v>113</v>
      </c>
      <c r="P69" s="15">
        <f t="shared" si="45"/>
        <v>222</v>
      </c>
      <c r="R69" s="8"/>
      <c r="T69"/>
    </row>
    <row r="70" spans="2:20" ht="23.1" customHeight="1" x14ac:dyDescent="0.25">
      <c r="B70" s="23" t="s">
        <v>110</v>
      </c>
      <c r="C70" s="49">
        <f>AVERAGE('26.07 Kabusu-Kitebi-24'!C70,'27.07 Kabusu-Kitebi-24h'!C70)</f>
        <v>71.5</v>
      </c>
      <c r="D70" s="49">
        <f>AVERAGE('26.07 Kabusu-Kitebi-24'!D70,'27.07 Kabusu-Kitebi-24h'!D70)</f>
        <v>14</v>
      </c>
      <c r="E70" s="49">
        <f>AVERAGE('26.07 Kabusu-Kitebi-24'!E70,'27.07 Kabusu-Kitebi-24h'!E70)</f>
        <v>8.5</v>
      </c>
      <c r="F70" s="49">
        <f>AVERAGE('26.07 Kabusu-Kitebi-24'!F70,'27.07 Kabusu-Kitebi-24h'!F70)</f>
        <v>20</v>
      </c>
      <c r="G70" s="49">
        <f>AVERAGE('26.07 Kabusu-Kitebi-24'!G70,'27.07 Kabusu-Kitebi-24h'!G70)</f>
        <v>1</v>
      </c>
      <c r="H70" s="49">
        <f>AVERAGE('26.07 Kabusu-Kitebi-24'!H70,'27.07 Kabusu-Kitebi-24h'!H70)</f>
        <v>0</v>
      </c>
      <c r="I70" s="49">
        <f>AVERAGE('26.07 Kabusu-Kitebi-24'!I70,'27.07 Kabusu-Kitebi-24h'!I70)</f>
        <v>4</v>
      </c>
      <c r="J70" s="49">
        <f>AVERAGE('26.07 Kabusu-Kitebi-24'!J70,'27.07 Kabusu-Kitebi-24h'!J70)</f>
        <v>1.5</v>
      </c>
      <c r="K70" s="49">
        <f>AVERAGE('26.07 Kabusu-Kitebi-24'!K70,'27.07 Kabusu-Kitebi-24h'!K70)</f>
        <v>1</v>
      </c>
      <c r="L70" s="49">
        <f>AVERAGE('26.07 Kabusu-Kitebi-24'!L70,'27.07 Kabusu-Kitebi-24h'!L70)</f>
        <v>0</v>
      </c>
      <c r="M70" s="49">
        <f>AVERAGE('26.07 Kabusu-Kitebi-24'!M70,'27.07 Kabusu-Kitebi-24h'!M70)</f>
        <v>68.5</v>
      </c>
      <c r="N70" s="49">
        <f>AVERAGE('26.07 Kabusu-Kitebi-24'!N70,'27.07 Kabusu-Kitebi-24h'!N70)</f>
        <v>0</v>
      </c>
      <c r="O70" s="15">
        <f t="shared" ref="O70:P70" si="46">SUM(C70:L70,N70)</f>
        <v>121.5</v>
      </c>
      <c r="P70" s="15">
        <f t="shared" si="46"/>
        <v>240</v>
      </c>
      <c r="R70" s="8"/>
      <c r="T70"/>
    </row>
    <row r="71" spans="2:20" ht="23.1" customHeight="1" x14ac:dyDescent="0.25">
      <c r="B71" s="23" t="s">
        <v>111</v>
      </c>
      <c r="C71" s="49">
        <f>AVERAGE('26.07 Kabusu-Kitebi-24'!C71,'27.07 Kabusu-Kitebi-24h'!C71)</f>
        <v>62.5</v>
      </c>
      <c r="D71" s="49">
        <f>AVERAGE('26.07 Kabusu-Kitebi-24'!D71,'27.07 Kabusu-Kitebi-24h'!D71)</f>
        <v>13</v>
      </c>
      <c r="E71" s="49">
        <f>AVERAGE('26.07 Kabusu-Kitebi-24'!E71,'27.07 Kabusu-Kitebi-24h'!E71)</f>
        <v>8</v>
      </c>
      <c r="F71" s="49">
        <f>AVERAGE('26.07 Kabusu-Kitebi-24'!F71,'27.07 Kabusu-Kitebi-24h'!F71)</f>
        <v>26.5</v>
      </c>
      <c r="G71" s="49">
        <f>AVERAGE('26.07 Kabusu-Kitebi-24'!G71,'27.07 Kabusu-Kitebi-24h'!G71)</f>
        <v>0.5</v>
      </c>
      <c r="H71" s="49">
        <f>AVERAGE('26.07 Kabusu-Kitebi-24'!H71,'27.07 Kabusu-Kitebi-24h'!H71)</f>
        <v>0</v>
      </c>
      <c r="I71" s="49">
        <f>AVERAGE('26.07 Kabusu-Kitebi-24'!I71,'27.07 Kabusu-Kitebi-24h'!I71)</f>
        <v>5.5</v>
      </c>
      <c r="J71" s="49">
        <f>AVERAGE('26.07 Kabusu-Kitebi-24'!J71,'27.07 Kabusu-Kitebi-24h'!J71)</f>
        <v>1</v>
      </c>
      <c r="K71" s="49">
        <f>AVERAGE('26.07 Kabusu-Kitebi-24'!K71,'27.07 Kabusu-Kitebi-24h'!K71)</f>
        <v>0</v>
      </c>
      <c r="L71" s="49">
        <f>AVERAGE('26.07 Kabusu-Kitebi-24'!L71,'27.07 Kabusu-Kitebi-24h'!L71)</f>
        <v>0</v>
      </c>
      <c r="M71" s="49">
        <f>AVERAGE('26.07 Kabusu-Kitebi-24'!M71,'27.07 Kabusu-Kitebi-24h'!M71)</f>
        <v>72.5</v>
      </c>
      <c r="N71" s="49">
        <f>AVERAGE('26.07 Kabusu-Kitebi-24'!N71,'27.07 Kabusu-Kitebi-24h'!N71)</f>
        <v>0</v>
      </c>
      <c r="O71" s="15">
        <f t="shared" ref="O71:P71" si="47">SUM(C71:L71,N71)</f>
        <v>117</v>
      </c>
      <c r="P71" s="15">
        <f t="shared" si="47"/>
        <v>244</v>
      </c>
      <c r="R71" s="8"/>
      <c r="T71"/>
    </row>
    <row r="72" spans="2:20" ht="23.1" customHeight="1" x14ac:dyDescent="0.25">
      <c r="B72" s="23" t="s">
        <v>112</v>
      </c>
      <c r="C72" s="49">
        <f>AVERAGE('26.07 Kabusu-Kitebi-24'!C72,'27.07 Kabusu-Kitebi-24h'!C72)</f>
        <v>63.5</v>
      </c>
      <c r="D72" s="49">
        <f>AVERAGE('26.07 Kabusu-Kitebi-24'!D72,'27.07 Kabusu-Kitebi-24h'!D72)</f>
        <v>6.5</v>
      </c>
      <c r="E72" s="49">
        <f>AVERAGE('26.07 Kabusu-Kitebi-24'!E72,'27.07 Kabusu-Kitebi-24h'!E72)</f>
        <v>8</v>
      </c>
      <c r="F72" s="49">
        <f>AVERAGE('26.07 Kabusu-Kitebi-24'!F72,'27.07 Kabusu-Kitebi-24h'!F72)</f>
        <v>21.5</v>
      </c>
      <c r="G72" s="49">
        <f>AVERAGE('26.07 Kabusu-Kitebi-24'!G72,'27.07 Kabusu-Kitebi-24h'!G72)</f>
        <v>0</v>
      </c>
      <c r="H72" s="49">
        <f>AVERAGE('26.07 Kabusu-Kitebi-24'!H72,'27.07 Kabusu-Kitebi-24h'!H72)</f>
        <v>0</v>
      </c>
      <c r="I72" s="49">
        <f>AVERAGE('26.07 Kabusu-Kitebi-24'!I72,'27.07 Kabusu-Kitebi-24h'!I72)</f>
        <v>2.5</v>
      </c>
      <c r="J72" s="49">
        <f>AVERAGE('26.07 Kabusu-Kitebi-24'!J72,'27.07 Kabusu-Kitebi-24h'!J72)</f>
        <v>0</v>
      </c>
      <c r="K72" s="49">
        <f>AVERAGE('26.07 Kabusu-Kitebi-24'!K72,'27.07 Kabusu-Kitebi-24h'!K72)</f>
        <v>0</v>
      </c>
      <c r="L72" s="49">
        <f>AVERAGE('26.07 Kabusu-Kitebi-24'!L72,'27.07 Kabusu-Kitebi-24h'!L72)</f>
        <v>0.5</v>
      </c>
      <c r="M72" s="49">
        <f>AVERAGE('26.07 Kabusu-Kitebi-24'!M72,'27.07 Kabusu-Kitebi-24h'!M72)</f>
        <v>73</v>
      </c>
      <c r="N72" s="49">
        <f>AVERAGE('26.07 Kabusu-Kitebi-24'!N72,'27.07 Kabusu-Kitebi-24h'!N72)</f>
        <v>0</v>
      </c>
      <c r="O72" s="15">
        <f t="shared" ref="O72:P72" si="48">SUM(C72:L72,N72)</f>
        <v>102.5</v>
      </c>
      <c r="P72" s="15">
        <f t="shared" si="48"/>
        <v>214.5</v>
      </c>
      <c r="R72" s="8"/>
      <c r="T72"/>
    </row>
    <row r="73" spans="2:20" ht="23.1" customHeight="1" x14ac:dyDescent="0.25">
      <c r="B73" s="23" t="s">
        <v>113</v>
      </c>
      <c r="C73" s="49">
        <f>AVERAGE('26.07 Kabusu-Kitebi-24'!C73,'27.07 Kabusu-Kitebi-24h'!C73)</f>
        <v>51</v>
      </c>
      <c r="D73" s="49">
        <f>AVERAGE('26.07 Kabusu-Kitebi-24'!D73,'27.07 Kabusu-Kitebi-24h'!D73)</f>
        <v>5</v>
      </c>
      <c r="E73" s="49">
        <f>AVERAGE('26.07 Kabusu-Kitebi-24'!E73,'27.07 Kabusu-Kitebi-24h'!E73)</f>
        <v>8</v>
      </c>
      <c r="F73" s="49">
        <f>AVERAGE('26.07 Kabusu-Kitebi-24'!F73,'27.07 Kabusu-Kitebi-24h'!F73)</f>
        <v>16</v>
      </c>
      <c r="G73" s="49">
        <f>AVERAGE('26.07 Kabusu-Kitebi-24'!G73,'27.07 Kabusu-Kitebi-24h'!G73)</f>
        <v>0</v>
      </c>
      <c r="H73" s="49">
        <f>AVERAGE('26.07 Kabusu-Kitebi-24'!H73,'27.07 Kabusu-Kitebi-24h'!H73)</f>
        <v>0</v>
      </c>
      <c r="I73" s="49">
        <f>AVERAGE('26.07 Kabusu-Kitebi-24'!I73,'27.07 Kabusu-Kitebi-24h'!I73)</f>
        <v>3.5</v>
      </c>
      <c r="J73" s="49">
        <f>AVERAGE('26.07 Kabusu-Kitebi-24'!J73,'27.07 Kabusu-Kitebi-24h'!J73)</f>
        <v>1</v>
      </c>
      <c r="K73" s="49">
        <f>AVERAGE('26.07 Kabusu-Kitebi-24'!K73,'27.07 Kabusu-Kitebi-24h'!K73)</f>
        <v>0</v>
      </c>
      <c r="L73" s="49">
        <f>AVERAGE('26.07 Kabusu-Kitebi-24'!L73,'27.07 Kabusu-Kitebi-24h'!L73)</f>
        <v>0</v>
      </c>
      <c r="M73" s="49">
        <f>AVERAGE('26.07 Kabusu-Kitebi-24'!M73,'27.07 Kabusu-Kitebi-24h'!M73)</f>
        <v>55</v>
      </c>
      <c r="N73" s="49">
        <f>AVERAGE('26.07 Kabusu-Kitebi-24'!N73,'27.07 Kabusu-Kitebi-24h'!N73)</f>
        <v>0</v>
      </c>
      <c r="O73" s="15">
        <f t="shared" ref="O73:P73" si="49">SUM(C73:L73,N73)</f>
        <v>84.5</v>
      </c>
      <c r="P73" s="15">
        <f t="shared" si="49"/>
        <v>173</v>
      </c>
      <c r="R73" s="8"/>
      <c r="T73"/>
    </row>
    <row r="74" spans="2:20" ht="23.1" customHeight="1" x14ac:dyDescent="0.25">
      <c r="B74" s="23" t="s">
        <v>114</v>
      </c>
      <c r="C74" s="49">
        <f>AVERAGE('26.07 Kabusu-Kitebi-24'!C74,'27.07 Kabusu-Kitebi-24h'!C74)</f>
        <v>44.5</v>
      </c>
      <c r="D74" s="49">
        <f>AVERAGE('26.07 Kabusu-Kitebi-24'!D74,'27.07 Kabusu-Kitebi-24h'!D74)</f>
        <v>2</v>
      </c>
      <c r="E74" s="49">
        <f>AVERAGE('26.07 Kabusu-Kitebi-24'!E74,'27.07 Kabusu-Kitebi-24h'!E74)</f>
        <v>2</v>
      </c>
      <c r="F74" s="49">
        <f>AVERAGE('26.07 Kabusu-Kitebi-24'!F74,'27.07 Kabusu-Kitebi-24h'!F74)</f>
        <v>8</v>
      </c>
      <c r="G74" s="49">
        <f>AVERAGE('26.07 Kabusu-Kitebi-24'!G74,'27.07 Kabusu-Kitebi-24h'!G74)</f>
        <v>0</v>
      </c>
      <c r="H74" s="49">
        <f>AVERAGE('26.07 Kabusu-Kitebi-24'!H74,'27.07 Kabusu-Kitebi-24h'!H74)</f>
        <v>0.5</v>
      </c>
      <c r="I74" s="49">
        <f>AVERAGE('26.07 Kabusu-Kitebi-24'!I74,'27.07 Kabusu-Kitebi-24h'!I74)</f>
        <v>1.5</v>
      </c>
      <c r="J74" s="49">
        <f>AVERAGE('26.07 Kabusu-Kitebi-24'!J74,'27.07 Kabusu-Kitebi-24h'!J74)</f>
        <v>0</v>
      </c>
      <c r="K74" s="49">
        <f>AVERAGE('26.07 Kabusu-Kitebi-24'!K74,'27.07 Kabusu-Kitebi-24h'!K74)</f>
        <v>0.5</v>
      </c>
      <c r="L74" s="49">
        <f>AVERAGE('26.07 Kabusu-Kitebi-24'!L74,'27.07 Kabusu-Kitebi-24h'!L74)</f>
        <v>0.5</v>
      </c>
      <c r="M74" s="49">
        <f>AVERAGE('26.07 Kabusu-Kitebi-24'!M74,'27.07 Kabusu-Kitebi-24h'!M74)</f>
        <v>75.5</v>
      </c>
      <c r="N74" s="49">
        <f>AVERAGE('26.07 Kabusu-Kitebi-24'!N74,'27.07 Kabusu-Kitebi-24h'!N74)</f>
        <v>0</v>
      </c>
      <c r="O74" s="15">
        <f t="shared" ref="O74:P74" si="50">SUM(C74:L74,N74)</f>
        <v>59.5</v>
      </c>
      <c r="P74" s="15">
        <f t="shared" si="50"/>
        <v>150</v>
      </c>
      <c r="R74" s="8"/>
      <c r="T74"/>
    </row>
    <row r="75" spans="2:20" ht="23.1" customHeight="1" x14ac:dyDescent="0.25">
      <c r="B75" s="23" t="s">
        <v>115</v>
      </c>
      <c r="C75" s="49">
        <f>AVERAGE('26.07 Kabusu-Kitebi-24'!C75,'27.07 Kabusu-Kitebi-24h'!C75)</f>
        <v>46.5</v>
      </c>
      <c r="D75" s="49">
        <f>AVERAGE('26.07 Kabusu-Kitebi-24'!D75,'27.07 Kabusu-Kitebi-24h'!D75)</f>
        <v>7.5</v>
      </c>
      <c r="E75" s="49">
        <f>AVERAGE('26.07 Kabusu-Kitebi-24'!E75,'27.07 Kabusu-Kitebi-24h'!E75)</f>
        <v>2.5</v>
      </c>
      <c r="F75" s="49">
        <f>AVERAGE('26.07 Kabusu-Kitebi-24'!F75,'27.07 Kabusu-Kitebi-24h'!F75)</f>
        <v>16.5</v>
      </c>
      <c r="G75" s="49">
        <f>AVERAGE('26.07 Kabusu-Kitebi-24'!G75,'27.07 Kabusu-Kitebi-24h'!G75)</f>
        <v>1</v>
      </c>
      <c r="H75" s="49">
        <f>AVERAGE('26.07 Kabusu-Kitebi-24'!H75,'27.07 Kabusu-Kitebi-24h'!H75)</f>
        <v>0</v>
      </c>
      <c r="I75" s="49">
        <f>AVERAGE('26.07 Kabusu-Kitebi-24'!I75,'27.07 Kabusu-Kitebi-24h'!I75)</f>
        <v>3.5</v>
      </c>
      <c r="J75" s="49">
        <f>AVERAGE('26.07 Kabusu-Kitebi-24'!J75,'27.07 Kabusu-Kitebi-24h'!J75)</f>
        <v>1.5</v>
      </c>
      <c r="K75" s="49">
        <f>AVERAGE('26.07 Kabusu-Kitebi-24'!K75,'27.07 Kabusu-Kitebi-24h'!K75)</f>
        <v>1</v>
      </c>
      <c r="L75" s="49">
        <f>AVERAGE('26.07 Kabusu-Kitebi-24'!L75,'27.07 Kabusu-Kitebi-24h'!L75)</f>
        <v>0</v>
      </c>
      <c r="M75" s="49">
        <f>AVERAGE('26.07 Kabusu-Kitebi-24'!M75,'27.07 Kabusu-Kitebi-24h'!M75)</f>
        <v>67.5</v>
      </c>
      <c r="N75" s="49">
        <f>AVERAGE('26.07 Kabusu-Kitebi-24'!N75,'27.07 Kabusu-Kitebi-24h'!N75)</f>
        <v>0</v>
      </c>
      <c r="O75" s="15">
        <f t="shared" ref="O75:P75" si="51">SUM(C75:L75,N75)</f>
        <v>80</v>
      </c>
      <c r="P75" s="15">
        <f t="shared" si="51"/>
        <v>181</v>
      </c>
      <c r="R75" s="8"/>
      <c r="T75"/>
    </row>
    <row r="76" spans="2:20" ht="23.1" customHeight="1" x14ac:dyDescent="0.25">
      <c r="B76" s="23" t="s">
        <v>116</v>
      </c>
      <c r="C76" s="49">
        <f>AVERAGE('26.07 Kabusu-Kitebi-24'!C76,'27.07 Kabusu-Kitebi-24h'!C76)</f>
        <v>35.5</v>
      </c>
      <c r="D76" s="49">
        <f>AVERAGE('26.07 Kabusu-Kitebi-24'!D76,'27.07 Kabusu-Kitebi-24h'!D76)</f>
        <v>8.5</v>
      </c>
      <c r="E76" s="49">
        <f>AVERAGE('26.07 Kabusu-Kitebi-24'!E76,'27.07 Kabusu-Kitebi-24h'!E76)</f>
        <v>5.5</v>
      </c>
      <c r="F76" s="49">
        <f>AVERAGE('26.07 Kabusu-Kitebi-24'!F76,'27.07 Kabusu-Kitebi-24h'!F76)</f>
        <v>6</v>
      </c>
      <c r="G76" s="49">
        <f>AVERAGE('26.07 Kabusu-Kitebi-24'!G76,'27.07 Kabusu-Kitebi-24h'!G76)</f>
        <v>0</v>
      </c>
      <c r="H76" s="49">
        <f>AVERAGE('26.07 Kabusu-Kitebi-24'!H76,'27.07 Kabusu-Kitebi-24h'!H76)</f>
        <v>0.5</v>
      </c>
      <c r="I76" s="49">
        <f>AVERAGE('26.07 Kabusu-Kitebi-24'!I76,'27.07 Kabusu-Kitebi-24h'!I76)</f>
        <v>0.5</v>
      </c>
      <c r="J76" s="49">
        <f>AVERAGE('26.07 Kabusu-Kitebi-24'!J76,'27.07 Kabusu-Kitebi-24h'!J76)</f>
        <v>0</v>
      </c>
      <c r="K76" s="49">
        <f>AVERAGE('26.07 Kabusu-Kitebi-24'!K76,'27.07 Kabusu-Kitebi-24h'!K76)</f>
        <v>0</v>
      </c>
      <c r="L76" s="49">
        <f>AVERAGE('26.07 Kabusu-Kitebi-24'!L76,'27.07 Kabusu-Kitebi-24h'!L76)</f>
        <v>0</v>
      </c>
      <c r="M76" s="49">
        <f>AVERAGE('26.07 Kabusu-Kitebi-24'!M76,'27.07 Kabusu-Kitebi-24h'!M76)</f>
        <v>67.5</v>
      </c>
      <c r="N76" s="49">
        <f>AVERAGE('26.07 Kabusu-Kitebi-24'!N76,'27.07 Kabusu-Kitebi-24h'!N76)</f>
        <v>0</v>
      </c>
      <c r="O76" s="15">
        <f t="shared" ref="O76:P76" si="52">SUM(C76:L76,N76)</f>
        <v>56.5</v>
      </c>
      <c r="P76" s="15">
        <f t="shared" si="52"/>
        <v>145</v>
      </c>
      <c r="R76" s="8"/>
      <c r="T76"/>
    </row>
    <row r="77" spans="2:20" ht="23.1" customHeight="1" x14ac:dyDescent="0.25">
      <c r="B77" s="23" t="s">
        <v>117</v>
      </c>
      <c r="C77" s="49">
        <f>AVERAGE('26.07 Kabusu-Kitebi-24'!C77,'27.07 Kabusu-Kitebi-24h'!C77)</f>
        <v>24</v>
      </c>
      <c r="D77" s="49">
        <f>AVERAGE('26.07 Kabusu-Kitebi-24'!D77,'27.07 Kabusu-Kitebi-24h'!D77)</f>
        <v>3.5</v>
      </c>
      <c r="E77" s="49">
        <f>AVERAGE('26.07 Kabusu-Kitebi-24'!E77,'27.07 Kabusu-Kitebi-24h'!E77)</f>
        <v>3</v>
      </c>
      <c r="F77" s="49">
        <f>AVERAGE('26.07 Kabusu-Kitebi-24'!F77,'27.07 Kabusu-Kitebi-24h'!F77)</f>
        <v>5.5</v>
      </c>
      <c r="G77" s="49">
        <f>AVERAGE('26.07 Kabusu-Kitebi-24'!G77,'27.07 Kabusu-Kitebi-24h'!G77)</f>
        <v>0.5</v>
      </c>
      <c r="H77" s="49">
        <f>AVERAGE('26.07 Kabusu-Kitebi-24'!H77,'27.07 Kabusu-Kitebi-24h'!H77)</f>
        <v>0</v>
      </c>
      <c r="I77" s="49">
        <f>AVERAGE('26.07 Kabusu-Kitebi-24'!I77,'27.07 Kabusu-Kitebi-24h'!I77)</f>
        <v>2.5</v>
      </c>
      <c r="J77" s="49">
        <f>AVERAGE('26.07 Kabusu-Kitebi-24'!J77,'27.07 Kabusu-Kitebi-24h'!J77)</f>
        <v>0.5</v>
      </c>
      <c r="K77" s="49">
        <f>AVERAGE('26.07 Kabusu-Kitebi-24'!K77,'27.07 Kabusu-Kitebi-24h'!K77)</f>
        <v>0</v>
      </c>
      <c r="L77" s="49">
        <f>AVERAGE('26.07 Kabusu-Kitebi-24'!L77,'27.07 Kabusu-Kitebi-24h'!L77)</f>
        <v>0</v>
      </c>
      <c r="M77" s="49">
        <f>AVERAGE('26.07 Kabusu-Kitebi-24'!M77,'27.07 Kabusu-Kitebi-24h'!M77)</f>
        <v>51</v>
      </c>
      <c r="N77" s="49">
        <f>AVERAGE('26.07 Kabusu-Kitebi-24'!N77,'27.07 Kabusu-Kitebi-24h'!N77)</f>
        <v>0</v>
      </c>
      <c r="O77" s="15">
        <f t="shared" ref="O77:P77" si="53">SUM(C77:L77,N77)</f>
        <v>39.5</v>
      </c>
      <c r="P77" s="15">
        <f t="shared" si="53"/>
        <v>106</v>
      </c>
      <c r="R77" s="8"/>
      <c r="T77"/>
    </row>
    <row r="78" spans="2:20" ht="23.1" customHeight="1" x14ac:dyDescent="0.25">
      <c r="B78" s="24" t="s">
        <v>118</v>
      </c>
      <c r="C78" s="49">
        <f>AVERAGE('26.07 Kabusu-Kitebi-24'!C78,'27.07 Kabusu-Kitebi-24h'!C78)</f>
        <v>23.5</v>
      </c>
      <c r="D78" s="49">
        <f>AVERAGE('26.07 Kabusu-Kitebi-24'!D78,'27.07 Kabusu-Kitebi-24h'!D78)</f>
        <v>3.5</v>
      </c>
      <c r="E78" s="49">
        <f>AVERAGE('26.07 Kabusu-Kitebi-24'!E78,'27.07 Kabusu-Kitebi-24h'!E78)</f>
        <v>2.5</v>
      </c>
      <c r="F78" s="49">
        <f>AVERAGE('26.07 Kabusu-Kitebi-24'!F78,'27.07 Kabusu-Kitebi-24h'!F78)</f>
        <v>3.5</v>
      </c>
      <c r="G78" s="49">
        <f>AVERAGE('26.07 Kabusu-Kitebi-24'!G78,'27.07 Kabusu-Kitebi-24h'!G78)</f>
        <v>0</v>
      </c>
      <c r="H78" s="49">
        <f>AVERAGE('26.07 Kabusu-Kitebi-24'!H78,'27.07 Kabusu-Kitebi-24h'!H78)</f>
        <v>0</v>
      </c>
      <c r="I78" s="49">
        <f>AVERAGE('26.07 Kabusu-Kitebi-24'!I78,'27.07 Kabusu-Kitebi-24h'!I78)</f>
        <v>1</v>
      </c>
      <c r="J78" s="49">
        <f>AVERAGE('26.07 Kabusu-Kitebi-24'!J78,'27.07 Kabusu-Kitebi-24h'!J78)</f>
        <v>0</v>
      </c>
      <c r="K78" s="49">
        <f>AVERAGE('26.07 Kabusu-Kitebi-24'!K78,'27.07 Kabusu-Kitebi-24h'!K78)</f>
        <v>0</v>
      </c>
      <c r="L78" s="49">
        <f>AVERAGE('26.07 Kabusu-Kitebi-24'!L78,'27.07 Kabusu-Kitebi-24h'!L78)</f>
        <v>0</v>
      </c>
      <c r="M78" s="49">
        <f>AVERAGE('26.07 Kabusu-Kitebi-24'!M78,'27.07 Kabusu-Kitebi-24h'!M78)</f>
        <v>53</v>
      </c>
      <c r="N78" s="49">
        <f>AVERAGE('26.07 Kabusu-Kitebi-24'!N78,'27.07 Kabusu-Kitebi-24h'!N78)</f>
        <v>0</v>
      </c>
      <c r="O78" s="15">
        <f t="shared" ref="O78:P78" si="54">SUM(C78:L78,N78)</f>
        <v>34</v>
      </c>
      <c r="P78" s="15">
        <f t="shared" si="54"/>
        <v>97.5</v>
      </c>
      <c r="R78" s="8"/>
      <c r="T78"/>
    </row>
    <row r="79" spans="2:20" ht="23.1" customHeight="1" x14ac:dyDescent="0.25">
      <c r="B79" s="23" t="s">
        <v>119</v>
      </c>
      <c r="C79" s="49">
        <f>AVERAGE('26.07 Kabusu-Kitebi-24'!C79,'27.07 Kabusu-Kitebi-24h'!C79)</f>
        <v>21.5</v>
      </c>
      <c r="D79" s="49">
        <f>AVERAGE('26.07 Kabusu-Kitebi-24'!D79,'27.07 Kabusu-Kitebi-24h'!D79)</f>
        <v>1</v>
      </c>
      <c r="E79" s="49">
        <f>AVERAGE('26.07 Kabusu-Kitebi-24'!E79,'27.07 Kabusu-Kitebi-24h'!E79)</f>
        <v>2.5</v>
      </c>
      <c r="F79" s="49">
        <f>AVERAGE('26.07 Kabusu-Kitebi-24'!F79,'27.07 Kabusu-Kitebi-24h'!F79)</f>
        <v>2.5</v>
      </c>
      <c r="G79" s="49">
        <f>AVERAGE('26.07 Kabusu-Kitebi-24'!G79,'27.07 Kabusu-Kitebi-24h'!G79)</f>
        <v>0</v>
      </c>
      <c r="H79" s="49">
        <f>AVERAGE('26.07 Kabusu-Kitebi-24'!H79,'27.07 Kabusu-Kitebi-24h'!H79)</f>
        <v>0</v>
      </c>
      <c r="I79" s="49">
        <f>AVERAGE('26.07 Kabusu-Kitebi-24'!I79,'27.07 Kabusu-Kitebi-24h'!I79)</f>
        <v>0.5</v>
      </c>
      <c r="J79" s="49">
        <f>AVERAGE('26.07 Kabusu-Kitebi-24'!J79,'27.07 Kabusu-Kitebi-24h'!J79)</f>
        <v>0</v>
      </c>
      <c r="K79" s="49">
        <f>AVERAGE('26.07 Kabusu-Kitebi-24'!K79,'27.07 Kabusu-Kitebi-24h'!K79)</f>
        <v>0.5</v>
      </c>
      <c r="L79" s="49">
        <f>AVERAGE('26.07 Kabusu-Kitebi-24'!L79,'27.07 Kabusu-Kitebi-24h'!L79)</f>
        <v>0</v>
      </c>
      <c r="M79" s="49">
        <f>AVERAGE('26.07 Kabusu-Kitebi-24'!M79,'27.07 Kabusu-Kitebi-24h'!M79)</f>
        <v>37</v>
      </c>
      <c r="N79" s="49">
        <f>AVERAGE('26.07 Kabusu-Kitebi-24'!N79,'27.07 Kabusu-Kitebi-24h'!N79)</f>
        <v>0</v>
      </c>
      <c r="O79" s="15">
        <f t="shared" ref="O79:P79" si="55">SUM(C79:L79,N79)</f>
        <v>28.5</v>
      </c>
      <c r="P79" s="15">
        <f t="shared" si="55"/>
        <v>72.5</v>
      </c>
      <c r="R79" s="8"/>
      <c r="T79"/>
    </row>
    <row r="80" spans="2:20" ht="23.1" customHeight="1" x14ac:dyDescent="0.25">
      <c r="B80" s="25" t="s">
        <v>120</v>
      </c>
      <c r="C80" s="49">
        <f>AVERAGE('26.07 Kabusu-Kitebi-24'!C80,'27.07 Kabusu-Kitebi-24h'!C80)</f>
        <v>17</v>
      </c>
      <c r="D80" s="49">
        <f>AVERAGE('26.07 Kabusu-Kitebi-24'!D80,'27.07 Kabusu-Kitebi-24h'!D80)</f>
        <v>1.5</v>
      </c>
      <c r="E80" s="49">
        <f>AVERAGE('26.07 Kabusu-Kitebi-24'!E80,'27.07 Kabusu-Kitebi-24h'!E80)</f>
        <v>1</v>
      </c>
      <c r="F80" s="49">
        <f>AVERAGE('26.07 Kabusu-Kitebi-24'!F80,'27.07 Kabusu-Kitebi-24h'!F80)</f>
        <v>1.5</v>
      </c>
      <c r="G80" s="49">
        <f>AVERAGE('26.07 Kabusu-Kitebi-24'!G80,'27.07 Kabusu-Kitebi-24h'!G80)</f>
        <v>0</v>
      </c>
      <c r="H80" s="49">
        <f>AVERAGE('26.07 Kabusu-Kitebi-24'!H80,'27.07 Kabusu-Kitebi-24h'!H80)</f>
        <v>0</v>
      </c>
      <c r="I80" s="49">
        <f>AVERAGE('26.07 Kabusu-Kitebi-24'!I80,'27.07 Kabusu-Kitebi-24h'!I80)</f>
        <v>0.5</v>
      </c>
      <c r="J80" s="49">
        <f>AVERAGE('26.07 Kabusu-Kitebi-24'!J80,'27.07 Kabusu-Kitebi-24h'!J80)</f>
        <v>0.5</v>
      </c>
      <c r="K80" s="49">
        <f>AVERAGE('26.07 Kabusu-Kitebi-24'!K80,'27.07 Kabusu-Kitebi-24h'!K80)</f>
        <v>0</v>
      </c>
      <c r="L80" s="49">
        <f>AVERAGE('26.07 Kabusu-Kitebi-24'!L80,'27.07 Kabusu-Kitebi-24h'!L80)</f>
        <v>0</v>
      </c>
      <c r="M80" s="49">
        <f>AVERAGE('26.07 Kabusu-Kitebi-24'!M80,'27.07 Kabusu-Kitebi-24h'!M80)</f>
        <v>28.5</v>
      </c>
      <c r="N80" s="49">
        <f>AVERAGE('26.07 Kabusu-Kitebi-24'!N80,'27.07 Kabusu-Kitebi-24h'!N80)</f>
        <v>0</v>
      </c>
      <c r="O80" s="15">
        <f t="shared" ref="O80:P80" si="56">SUM(C80:L80,N80)</f>
        <v>22</v>
      </c>
      <c r="P80" s="15">
        <f t="shared" si="56"/>
        <v>55.5</v>
      </c>
      <c r="R80" s="8"/>
      <c r="T80"/>
    </row>
    <row r="81" spans="2:20" ht="23.1" customHeight="1" x14ac:dyDescent="0.25">
      <c r="B81" s="23" t="s">
        <v>121</v>
      </c>
      <c r="C81" s="49">
        <f>AVERAGE('26.07 Kabusu-Kitebi-24'!C81,'27.07 Kabusu-Kitebi-24h'!C81)</f>
        <v>14</v>
      </c>
      <c r="D81" s="49">
        <f>AVERAGE('26.07 Kabusu-Kitebi-24'!D81,'27.07 Kabusu-Kitebi-24h'!D81)</f>
        <v>1</v>
      </c>
      <c r="E81" s="49">
        <f>AVERAGE('26.07 Kabusu-Kitebi-24'!E81,'27.07 Kabusu-Kitebi-24h'!E81)</f>
        <v>2.5</v>
      </c>
      <c r="F81" s="49">
        <f>AVERAGE('26.07 Kabusu-Kitebi-24'!F81,'27.07 Kabusu-Kitebi-24h'!F81)</f>
        <v>1.5</v>
      </c>
      <c r="G81" s="49">
        <f>AVERAGE('26.07 Kabusu-Kitebi-24'!G81,'27.07 Kabusu-Kitebi-24h'!G81)</f>
        <v>0</v>
      </c>
      <c r="H81" s="49">
        <f>AVERAGE('26.07 Kabusu-Kitebi-24'!H81,'27.07 Kabusu-Kitebi-24h'!H81)</f>
        <v>0</v>
      </c>
      <c r="I81" s="49">
        <f>AVERAGE('26.07 Kabusu-Kitebi-24'!I81,'27.07 Kabusu-Kitebi-24h'!I81)</f>
        <v>0.5</v>
      </c>
      <c r="J81" s="49">
        <f>AVERAGE('26.07 Kabusu-Kitebi-24'!J81,'27.07 Kabusu-Kitebi-24h'!J81)</f>
        <v>0.5</v>
      </c>
      <c r="K81" s="49">
        <f>AVERAGE('26.07 Kabusu-Kitebi-24'!K81,'27.07 Kabusu-Kitebi-24h'!K81)</f>
        <v>0.5</v>
      </c>
      <c r="L81" s="49">
        <f>AVERAGE('26.07 Kabusu-Kitebi-24'!L81,'27.07 Kabusu-Kitebi-24h'!L81)</f>
        <v>0</v>
      </c>
      <c r="M81" s="49">
        <f>AVERAGE('26.07 Kabusu-Kitebi-24'!M81,'27.07 Kabusu-Kitebi-24h'!M81)</f>
        <v>36</v>
      </c>
      <c r="N81" s="49">
        <f>AVERAGE('26.07 Kabusu-Kitebi-24'!N81,'27.07 Kabusu-Kitebi-24h'!N81)</f>
        <v>0</v>
      </c>
      <c r="O81" s="15">
        <f t="shared" ref="O81:P81" si="57">SUM(C81:L81,N81)</f>
        <v>20.5</v>
      </c>
      <c r="P81" s="15">
        <f t="shared" si="57"/>
        <v>63</v>
      </c>
      <c r="R81" s="8"/>
      <c r="T81"/>
    </row>
    <row r="82" spans="2:20" ht="23.1" customHeight="1" x14ac:dyDescent="0.25">
      <c r="B82" s="24" t="s">
        <v>122</v>
      </c>
      <c r="C82" s="49">
        <f>AVERAGE('26.07 Kabusu-Kitebi-24'!C82,'27.07 Kabusu-Kitebi-24h'!C82)</f>
        <v>10</v>
      </c>
      <c r="D82" s="49">
        <f>AVERAGE('26.07 Kabusu-Kitebi-24'!D82,'27.07 Kabusu-Kitebi-24h'!D82)</f>
        <v>2</v>
      </c>
      <c r="E82" s="49">
        <f>AVERAGE('26.07 Kabusu-Kitebi-24'!E82,'27.07 Kabusu-Kitebi-24h'!E82)</f>
        <v>1</v>
      </c>
      <c r="F82" s="49">
        <f>AVERAGE('26.07 Kabusu-Kitebi-24'!F82,'27.07 Kabusu-Kitebi-24h'!F82)</f>
        <v>2</v>
      </c>
      <c r="G82" s="49">
        <f>AVERAGE('26.07 Kabusu-Kitebi-24'!G82,'27.07 Kabusu-Kitebi-24h'!G82)</f>
        <v>0</v>
      </c>
      <c r="H82" s="49">
        <f>AVERAGE('26.07 Kabusu-Kitebi-24'!H82,'27.07 Kabusu-Kitebi-24h'!H82)</f>
        <v>0</v>
      </c>
      <c r="I82" s="49">
        <f>AVERAGE('26.07 Kabusu-Kitebi-24'!I82,'27.07 Kabusu-Kitebi-24h'!I82)</f>
        <v>1.5</v>
      </c>
      <c r="J82" s="49">
        <f>AVERAGE('26.07 Kabusu-Kitebi-24'!J82,'27.07 Kabusu-Kitebi-24h'!J82)</f>
        <v>0</v>
      </c>
      <c r="K82" s="49">
        <f>AVERAGE('26.07 Kabusu-Kitebi-24'!K82,'27.07 Kabusu-Kitebi-24h'!K82)</f>
        <v>0</v>
      </c>
      <c r="L82" s="49">
        <f>AVERAGE('26.07 Kabusu-Kitebi-24'!L82,'27.07 Kabusu-Kitebi-24h'!L82)</f>
        <v>0</v>
      </c>
      <c r="M82" s="49">
        <f>AVERAGE('26.07 Kabusu-Kitebi-24'!M82,'27.07 Kabusu-Kitebi-24h'!M82)</f>
        <v>19</v>
      </c>
      <c r="N82" s="49">
        <f>AVERAGE('26.07 Kabusu-Kitebi-24'!N82,'27.07 Kabusu-Kitebi-24h'!N82)</f>
        <v>0</v>
      </c>
      <c r="O82" s="15">
        <f t="shared" ref="O82:P82" si="58">SUM(C82:L82,N82)</f>
        <v>16.5</v>
      </c>
      <c r="P82" s="15">
        <f t="shared" si="58"/>
        <v>42</v>
      </c>
      <c r="R82" s="8"/>
      <c r="T82"/>
    </row>
    <row r="83" spans="2:20" ht="23.1" customHeight="1" x14ac:dyDescent="0.25">
      <c r="B83" s="23" t="s">
        <v>123</v>
      </c>
      <c r="C83" s="49">
        <f>AVERAGE('26.07 Kabusu-Kitebi-24'!C83,'27.07 Kabusu-Kitebi-24h'!C83)</f>
        <v>7.5</v>
      </c>
      <c r="D83" s="49">
        <f>AVERAGE('26.07 Kabusu-Kitebi-24'!D83,'27.07 Kabusu-Kitebi-24h'!D83)</f>
        <v>0.5</v>
      </c>
      <c r="E83" s="49">
        <f>AVERAGE('26.07 Kabusu-Kitebi-24'!E83,'27.07 Kabusu-Kitebi-24h'!E83)</f>
        <v>0</v>
      </c>
      <c r="F83" s="49">
        <f>AVERAGE('26.07 Kabusu-Kitebi-24'!F83,'27.07 Kabusu-Kitebi-24h'!F83)</f>
        <v>1</v>
      </c>
      <c r="G83" s="49">
        <f>AVERAGE('26.07 Kabusu-Kitebi-24'!G83,'27.07 Kabusu-Kitebi-24h'!G83)</f>
        <v>0</v>
      </c>
      <c r="H83" s="49">
        <f>AVERAGE('26.07 Kabusu-Kitebi-24'!H83,'27.07 Kabusu-Kitebi-24h'!H83)</f>
        <v>0</v>
      </c>
      <c r="I83" s="49">
        <f>AVERAGE('26.07 Kabusu-Kitebi-24'!I83,'27.07 Kabusu-Kitebi-24h'!I83)</f>
        <v>0</v>
      </c>
      <c r="J83" s="49">
        <f>AVERAGE('26.07 Kabusu-Kitebi-24'!J83,'27.07 Kabusu-Kitebi-24h'!J83)</f>
        <v>0.5</v>
      </c>
      <c r="K83" s="49">
        <f>AVERAGE('26.07 Kabusu-Kitebi-24'!K83,'27.07 Kabusu-Kitebi-24h'!K83)</f>
        <v>1</v>
      </c>
      <c r="L83" s="49">
        <f>AVERAGE('26.07 Kabusu-Kitebi-24'!L83,'27.07 Kabusu-Kitebi-24h'!L83)</f>
        <v>0</v>
      </c>
      <c r="M83" s="49">
        <f>AVERAGE('26.07 Kabusu-Kitebi-24'!M83,'27.07 Kabusu-Kitebi-24h'!M83)</f>
        <v>31.5</v>
      </c>
      <c r="N83" s="49">
        <f>AVERAGE('26.07 Kabusu-Kitebi-24'!N83,'27.07 Kabusu-Kitebi-24h'!N83)</f>
        <v>0</v>
      </c>
      <c r="O83" s="15">
        <f t="shared" ref="O83:P83" si="59">SUM(C83:L83,N83)</f>
        <v>10.5</v>
      </c>
      <c r="P83" s="15">
        <f t="shared" si="59"/>
        <v>45</v>
      </c>
      <c r="R83" s="8"/>
      <c r="T83"/>
    </row>
    <row r="84" spans="2:20" ht="23.1" customHeight="1" x14ac:dyDescent="0.25">
      <c r="B84" s="25" t="s">
        <v>124</v>
      </c>
      <c r="C84" s="49">
        <f>AVERAGE('26.07 Kabusu-Kitebi-24'!C84,'27.07 Kabusu-Kitebi-24h'!C84)</f>
        <v>11</v>
      </c>
      <c r="D84" s="49">
        <f>AVERAGE('26.07 Kabusu-Kitebi-24'!D84,'27.07 Kabusu-Kitebi-24h'!D84)</f>
        <v>2.5</v>
      </c>
      <c r="E84" s="49">
        <f>AVERAGE('26.07 Kabusu-Kitebi-24'!E84,'27.07 Kabusu-Kitebi-24h'!E84)</f>
        <v>0.5</v>
      </c>
      <c r="F84" s="49">
        <f>AVERAGE('26.07 Kabusu-Kitebi-24'!F84,'27.07 Kabusu-Kitebi-24h'!F84)</f>
        <v>0.5</v>
      </c>
      <c r="G84" s="49">
        <f>AVERAGE('26.07 Kabusu-Kitebi-24'!G84,'27.07 Kabusu-Kitebi-24h'!G84)</f>
        <v>0</v>
      </c>
      <c r="H84" s="49">
        <f>AVERAGE('26.07 Kabusu-Kitebi-24'!H84,'27.07 Kabusu-Kitebi-24h'!H84)</f>
        <v>0</v>
      </c>
      <c r="I84" s="49">
        <f>AVERAGE('26.07 Kabusu-Kitebi-24'!I84,'27.07 Kabusu-Kitebi-24h'!I84)</f>
        <v>0.5</v>
      </c>
      <c r="J84" s="49">
        <f>AVERAGE('26.07 Kabusu-Kitebi-24'!J84,'27.07 Kabusu-Kitebi-24h'!J84)</f>
        <v>0.5</v>
      </c>
      <c r="K84" s="49">
        <f>AVERAGE('26.07 Kabusu-Kitebi-24'!K84,'27.07 Kabusu-Kitebi-24h'!K84)</f>
        <v>0</v>
      </c>
      <c r="L84" s="49">
        <f>AVERAGE('26.07 Kabusu-Kitebi-24'!L84,'27.07 Kabusu-Kitebi-24h'!L84)</f>
        <v>1</v>
      </c>
      <c r="M84" s="49">
        <f>AVERAGE('26.07 Kabusu-Kitebi-24'!M84,'27.07 Kabusu-Kitebi-24h'!M84)</f>
        <v>33</v>
      </c>
      <c r="N84" s="49">
        <f>AVERAGE('26.07 Kabusu-Kitebi-24'!N84,'27.07 Kabusu-Kitebi-24h'!N84)</f>
        <v>0</v>
      </c>
      <c r="O84" s="15">
        <f t="shared" ref="O84:P84" si="60">SUM(C84:L84,N84)</f>
        <v>16.5</v>
      </c>
      <c r="P84" s="15">
        <f t="shared" si="60"/>
        <v>55</v>
      </c>
      <c r="R84" s="8"/>
      <c r="T84"/>
    </row>
    <row r="85" spans="2:20" ht="23.1" customHeight="1" x14ac:dyDescent="0.25">
      <c r="B85" s="23" t="s">
        <v>125</v>
      </c>
      <c r="C85" s="49">
        <f>AVERAGE('26.07 Kabusu-Kitebi-24'!C85,'27.07 Kabusu-Kitebi-24h'!C85)</f>
        <v>7</v>
      </c>
      <c r="D85" s="49">
        <f>AVERAGE('26.07 Kabusu-Kitebi-24'!D85,'27.07 Kabusu-Kitebi-24h'!D85)</f>
        <v>0</v>
      </c>
      <c r="E85" s="49">
        <f>AVERAGE('26.07 Kabusu-Kitebi-24'!E85,'27.07 Kabusu-Kitebi-24h'!E85)</f>
        <v>1</v>
      </c>
      <c r="F85" s="49">
        <f>AVERAGE('26.07 Kabusu-Kitebi-24'!F85,'27.07 Kabusu-Kitebi-24h'!F85)</f>
        <v>1</v>
      </c>
      <c r="G85" s="49">
        <f>AVERAGE('26.07 Kabusu-Kitebi-24'!G85,'27.07 Kabusu-Kitebi-24h'!G85)</f>
        <v>0</v>
      </c>
      <c r="H85" s="49">
        <f>AVERAGE('26.07 Kabusu-Kitebi-24'!H85,'27.07 Kabusu-Kitebi-24h'!H85)</f>
        <v>0</v>
      </c>
      <c r="I85" s="49">
        <f>AVERAGE('26.07 Kabusu-Kitebi-24'!I85,'27.07 Kabusu-Kitebi-24h'!I85)</f>
        <v>0</v>
      </c>
      <c r="J85" s="49">
        <f>AVERAGE('26.07 Kabusu-Kitebi-24'!J85,'27.07 Kabusu-Kitebi-24h'!J85)</f>
        <v>1.5</v>
      </c>
      <c r="K85" s="49">
        <f>AVERAGE('26.07 Kabusu-Kitebi-24'!K85,'27.07 Kabusu-Kitebi-24h'!K85)</f>
        <v>0</v>
      </c>
      <c r="L85" s="49">
        <f>AVERAGE('26.07 Kabusu-Kitebi-24'!L85,'27.07 Kabusu-Kitebi-24h'!L85)</f>
        <v>0</v>
      </c>
      <c r="M85" s="49">
        <f>AVERAGE('26.07 Kabusu-Kitebi-24'!M85,'27.07 Kabusu-Kitebi-24h'!M85)</f>
        <v>25</v>
      </c>
      <c r="N85" s="49">
        <f>AVERAGE('26.07 Kabusu-Kitebi-24'!N85,'27.07 Kabusu-Kitebi-24h'!N85)</f>
        <v>0</v>
      </c>
      <c r="O85" s="15">
        <f t="shared" ref="O85:P85" si="61">SUM(C85:L85,N85)</f>
        <v>10.5</v>
      </c>
      <c r="P85" s="15">
        <f t="shared" si="61"/>
        <v>39</v>
      </c>
      <c r="R85" s="8"/>
      <c r="T85"/>
    </row>
    <row r="86" spans="2:20" ht="23.1" customHeight="1" x14ac:dyDescent="0.25">
      <c r="B86" s="24" t="s">
        <v>126</v>
      </c>
      <c r="C86" s="49">
        <f>AVERAGE('26.07 Kabusu-Kitebi-24'!C86,'27.07 Kabusu-Kitebi-24h'!C86)</f>
        <v>3.5</v>
      </c>
      <c r="D86" s="49">
        <f>AVERAGE('26.07 Kabusu-Kitebi-24'!D86,'27.07 Kabusu-Kitebi-24h'!D86)</f>
        <v>3</v>
      </c>
      <c r="E86" s="49">
        <f>AVERAGE('26.07 Kabusu-Kitebi-24'!E86,'27.07 Kabusu-Kitebi-24h'!E86)</f>
        <v>0</v>
      </c>
      <c r="F86" s="49">
        <f>AVERAGE('26.07 Kabusu-Kitebi-24'!F86,'27.07 Kabusu-Kitebi-24h'!F86)</f>
        <v>1</v>
      </c>
      <c r="G86" s="49">
        <f>AVERAGE('26.07 Kabusu-Kitebi-24'!G86,'27.07 Kabusu-Kitebi-24h'!G86)</f>
        <v>0</v>
      </c>
      <c r="H86" s="49">
        <f>AVERAGE('26.07 Kabusu-Kitebi-24'!H86,'27.07 Kabusu-Kitebi-24h'!H86)</f>
        <v>0</v>
      </c>
      <c r="I86" s="49">
        <f>AVERAGE('26.07 Kabusu-Kitebi-24'!I86,'27.07 Kabusu-Kitebi-24h'!I86)</f>
        <v>0</v>
      </c>
      <c r="J86" s="49">
        <f>AVERAGE('26.07 Kabusu-Kitebi-24'!J86,'27.07 Kabusu-Kitebi-24h'!J86)</f>
        <v>0</v>
      </c>
      <c r="K86" s="49">
        <f>AVERAGE('26.07 Kabusu-Kitebi-24'!K86,'27.07 Kabusu-Kitebi-24h'!K86)</f>
        <v>0</v>
      </c>
      <c r="L86" s="49">
        <f>AVERAGE('26.07 Kabusu-Kitebi-24'!L86,'27.07 Kabusu-Kitebi-24h'!L86)</f>
        <v>0</v>
      </c>
      <c r="M86" s="49">
        <f>AVERAGE('26.07 Kabusu-Kitebi-24'!M86,'27.07 Kabusu-Kitebi-24h'!M86)</f>
        <v>9.5</v>
      </c>
      <c r="N86" s="49">
        <f>AVERAGE('26.07 Kabusu-Kitebi-24'!N86,'27.07 Kabusu-Kitebi-24h'!N86)</f>
        <v>0</v>
      </c>
      <c r="O86" s="15">
        <f t="shared" ref="O86:P86" si="62">SUM(C86:L86,N86)</f>
        <v>7.5</v>
      </c>
      <c r="P86" s="15">
        <f t="shared" si="62"/>
        <v>21</v>
      </c>
      <c r="R86" s="8"/>
      <c r="T86"/>
    </row>
    <row r="87" spans="2:20" ht="23.1" customHeight="1" x14ac:dyDescent="0.25">
      <c r="B87" s="23" t="s">
        <v>127</v>
      </c>
      <c r="C87" s="49">
        <f>AVERAGE('26.07 Kabusu-Kitebi-24'!C87,'27.07 Kabusu-Kitebi-24h'!C87)</f>
        <v>5</v>
      </c>
      <c r="D87" s="49">
        <f>AVERAGE('26.07 Kabusu-Kitebi-24'!D87,'27.07 Kabusu-Kitebi-24h'!D87)</f>
        <v>2.5</v>
      </c>
      <c r="E87" s="49">
        <f>AVERAGE('26.07 Kabusu-Kitebi-24'!E87,'27.07 Kabusu-Kitebi-24h'!E87)</f>
        <v>1</v>
      </c>
      <c r="F87" s="49">
        <f>AVERAGE('26.07 Kabusu-Kitebi-24'!F87,'27.07 Kabusu-Kitebi-24h'!F87)</f>
        <v>4</v>
      </c>
      <c r="G87" s="49">
        <f>AVERAGE('26.07 Kabusu-Kitebi-24'!G87,'27.07 Kabusu-Kitebi-24h'!G87)</f>
        <v>0</v>
      </c>
      <c r="H87" s="49">
        <f>AVERAGE('26.07 Kabusu-Kitebi-24'!H87,'27.07 Kabusu-Kitebi-24h'!H87)</f>
        <v>0</v>
      </c>
      <c r="I87" s="49">
        <f>AVERAGE('26.07 Kabusu-Kitebi-24'!I87,'27.07 Kabusu-Kitebi-24h'!I87)</f>
        <v>0</v>
      </c>
      <c r="J87" s="49">
        <f>AVERAGE('26.07 Kabusu-Kitebi-24'!J87,'27.07 Kabusu-Kitebi-24h'!J87)</f>
        <v>1</v>
      </c>
      <c r="K87" s="49">
        <f>AVERAGE('26.07 Kabusu-Kitebi-24'!K87,'27.07 Kabusu-Kitebi-24h'!K87)</f>
        <v>0</v>
      </c>
      <c r="L87" s="49">
        <f>AVERAGE('26.07 Kabusu-Kitebi-24'!L87,'27.07 Kabusu-Kitebi-24h'!L87)</f>
        <v>0</v>
      </c>
      <c r="M87" s="49">
        <f>AVERAGE('26.07 Kabusu-Kitebi-24'!M87,'27.07 Kabusu-Kitebi-24h'!M87)</f>
        <v>17</v>
      </c>
      <c r="N87" s="49">
        <f>AVERAGE('26.07 Kabusu-Kitebi-24'!N87,'27.07 Kabusu-Kitebi-24h'!N87)</f>
        <v>0</v>
      </c>
      <c r="O87" s="15">
        <f t="shared" ref="O87:P87" si="63">SUM(C87:L87,N87)</f>
        <v>13.5</v>
      </c>
      <c r="P87" s="15">
        <f t="shared" si="63"/>
        <v>39</v>
      </c>
      <c r="R87" s="8"/>
      <c r="T87"/>
    </row>
    <row r="88" spans="2:20" ht="23.1" customHeight="1" x14ac:dyDescent="0.25">
      <c r="B88" s="25" t="s">
        <v>128</v>
      </c>
      <c r="C88" s="49">
        <f>AVERAGE('26.07 Kabusu-Kitebi-24'!C88,'27.07 Kabusu-Kitebi-24h'!C88)</f>
        <v>10</v>
      </c>
      <c r="D88" s="49">
        <f>AVERAGE('26.07 Kabusu-Kitebi-24'!D88,'27.07 Kabusu-Kitebi-24h'!D88)</f>
        <v>2</v>
      </c>
      <c r="E88" s="49">
        <f>AVERAGE('26.07 Kabusu-Kitebi-24'!E88,'27.07 Kabusu-Kitebi-24h'!E88)</f>
        <v>0.5</v>
      </c>
      <c r="F88" s="49">
        <f>AVERAGE('26.07 Kabusu-Kitebi-24'!F88,'27.07 Kabusu-Kitebi-24h'!F88)</f>
        <v>1.5</v>
      </c>
      <c r="G88" s="49">
        <f>AVERAGE('26.07 Kabusu-Kitebi-24'!G88,'27.07 Kabusu-Kitebi-24h'!G88)</f>
        <v>0</v>
      </c>
      <c r="H88" s="49">
        <f>AVERAGE('26.07 Kabusu-Kitebi-24'!H88,'27.07 Kabusu-Kitebi-24h'!H88)</f>
        <v>0</v>
      </c>
      <c r="I88" s="49">
        <f>AVERAGE('26.07 Kabusu-Kitebi-24'!I88,'27.07 Kabusu-Kitebi-24h'!I88)</f>
        <v>0</v>
      </c>
      <c r="J88" s="49">
        <f>AVERAGE('26.07 Kabusu-Kitebi-24'!J88,'27.07 Kabusu-Kitebi-24h'!J88)</f>
        <v>0</v>
      </c>
      <c r="K88" s="49">
        <f>AVERAGE('26.07 Kabusu-Kitebi-24'!K88,'27.07 Kabusu-Kitebi-24h'!K88)</f>
        <v>0</v>
      </c>
      <c r="L88" s="49">
        <f>AVERAGE('26.07 Kabusu-Kitebi-24'!L88,'27.07 Kabusu-Kitebi-24h'!L88)</f>
        <v>0</v>
      </c>
      <c r="M88" s="49">
        <f>AVERAGE('26.07 Kabusu-Kitebi-24'!M88,'27.07 Kabusu-Kitebi-24h'!M88)</f>
        <v>24</v>
      </c>
      <c r="N88" s="49">
        <f>AVERAGE('26.07 Kabusu-Kitebi-24'!N88,'27.07 Kabusu-Kitebi-24h'!N88)</f>
        <v>0</v>
      </c>
      <c r="O88" s="15">
        <f t="shared" ref="O88:P88" si="64">SUM(C88:L88,N88)</f>
        <v>14</v>
      </c>
      <c r="P88" s="15">
        <f t="shared" si="64"/>
        <v>42</v>
      </c>
      <c r="R88" s="8"/>
      <c r="T88"/>
    </row>
    <row r="89" spans="2:20" ht="23.1" customHeight="1" x14ac:dyDescent="0.25">
      <c r="B89" s="23" t="s">
        <v>129</v>
      </c>
      <c r="C89" s="49">
        <f>AVERAGE('26.07 Kabusu-Kitebi-24'!C89,'27.07 Kabusu-Kitebi-24h'!C89)</f>
        <v>8.5</v>
      </c>
      <c r="D89" s="49">
        <f>AVERAGE('26.07 Kabusu-Kitebi-24'!D89,'27.07 Kabusu-Kitebi-24h'!D89)</f>
        <v>1</v>
      </c>
      <c r="E89" s="49">
        <f>AVERAGE('26.07 Kabusu-Kitebi-24'!E89,'27.07 Kabusu-Kitebi-24h'!E89)</f>
        <v>1</v>
      </c>
      <c r="F89" s="49">
        <f>AVERAGE('26.07 Kabusu-Kitebi-24'!F89,'27.07 Kabusu-Kitebi-24h'!F89)</f>
        <v>1</v>
      </c>
      <c r="G89" s="49">
        <f>AVERAGE('26.07 Kabusu-Kitebi-24'!G89,'27.07 Kabusu-Kitebi-24h'!G89)</f>
        <v>0</v>
      </c>
      <c r="H89" s="49">
        <f>AVERAGE('26.07 Kabusu-Kitebi-24'!H89,'27.07 Kabusu-Kitebi-24h'!H89)</f>
        <v>0</v>
      </c>
      <c r="I89" s="49">
        <f>AVERAGE('26.07 Kabusu-Kitebi-24'!I89,'27.07 Kabusu-Kitebi-24h'!I89)</f>
        <v>0</v>
      </c>
      <c r="J89" s="49">
        <f>AVERAGE('26.07 Kabusu-Kitebi-24'!J89,'27.07 Kabusu-Kitebi-24h'!J89)</f>
        <v>0</v>
      </c>
      <c r="K89" s="49">
        <f>AVERAGE('26.07 Kabusu-Kitebi-24'!K89,'27.07 Kabusu-Kitebi-24h'!K89)</f>
        <v>0</v>
      </c>
      <c r="L89" s="49">
        <f>AVERAGE('26.07 Kabusu-Kitebi-24'!L89,'27.07 Kabusu-Kitebi-24h'!L89)</f>
        <v>0</v>
      </c>
      <c r="M89" s="49">
        <f>AVERAGE('26.07 Kabusu-Kitebi-24'!M89,'27.07 Kabusu-Kitebi-24h'!M89)</f>
        <v>14</v>
      </c>
      <c r="N89" s="49">
        <f>AVERAGE('26.07 Kabusu-Kitebi-24'!N89,'27.07 Kabusu-Kitebi-24h'!N89)</f>
        <v>0</v>
      </c>
      <c r="O89" s="15">
        <f t="shared" ref="O89:P89" si="65">SUM(C89:L89,N89)</f>
        <v>11.5</v>
      </c>
      <c r="P89" s="15">
        <f t="shared" si="65"/>
        <v>28.5</v>
      </c>
      <c r="R89" s="8"/>
      <c r="T89"/>
    </row>
    <row r="90" spans="2:20" ht="23.1" customHeight="1" x14ac:dyDescent="0.25">
      <c r="B90" s="24" t="s">
        <v>130</v>
      </c>
      <c r="C90" s="49">
        <f>AVERAGE('26.07 Kabusu-Kitebi-24'!C90,'27.07 Kabusu-Kitebi-24h'!C90)</f>
        <v>7</v>
      </c>
      <c r="D90" s="49">
        <f>AVERAGE('26.07 Kabusu-Kitebi-24'!D90,'27.07 Kabusu-Kitebi-24h'!D90)</f>
        <v>2</v>
      </c>
      <c r="E90" s="49">
        <f>AVERAGE('26.07 Kabusu-Kitebi-24'!E90,'27.07 Kabusu-Kitebi-24h'!E90)</f>
        <v>0</v>
      </c>
      <c r="F90" s="49">
        <f>AVERAGE('26.07 Kabusu-Kitebi-24'!F90,'27.07 Kabusu-Kitebi-24h'!F90)</f>
        <v>0.5</v>
      </c>
      <c r="G90" s="49">
        <f>AVERAGE('26.07 Kabusu-Kitebi-24'!G90,'27.07 Kabusu-Kitebi-24h'!G90)</f>
        <v>0</v>
      </c>
      <c r="H90" s="49">
        <f>AVERAGE('26.07 Kabusu-Kitebi-24'!H90,'27.07 Kabusu-Kitebi-24h'!H90)</f>
        <v>0</v>
      </c>
      <c r="I90" s="49">
        <f>AVERAGE('26.07 Kabusu-Kitebi-24'!I90,'27.07 Kabusu-Kitebi-24h'!I90)</f>
        <v>1</v>
      </c>
      <c r="J90" s="49">
        <f>AVERAGE('26.07 Kabusu-Kitebi-24'!J90,'27.07 Kabusu-Kitebi-24h'!J90)</f>
        <v>0.5</v>
      </c>
      <c r="K90" s="49">
        <f>AVERAGE('26.07 Kabusu-Kitebi-24'!K90,'27.07 Kabusu-Kitebi-24h'!K90)</f>
        <v>0</v>
      </c>
      <c r="L90" s="49">
        <f>AVERAGE('26.07 Kabusu-Kitebi-24'!L90,'27.07 Kabusu-Kitebi-24h'!L90)</f>
        <v>0</v>
      </c>
      <c r="M90" s="49">
        <f>AVERAGE('26.07 Kabusu-Kitebi-24'!M90,'27.07 Kabusu-Kitebi-24h'!M90)</f>
        <v>24</v>
      </c>
      <c r="N90" s="49">
        <f>AVERAGE('26.07 Kabusu-Kitebi-24'!N90,'27.07 Kabusu-Kitebi-24h'!N90)</f>
        <v>0</v>
      </c>
      <c r="O90" s="15">
        <f t="shared" ref="O90:P90" si="66">SUM(C90:L90,N90)</f>
        <v>11</v>
      </c>
      <c r="P90" s="15">
        <f t="shared" si="66"/>
        <v>39</v>
      </c>
      <c r="R90" s="8"/>
      <c r="T90"/>
    </row>
    <row r="91" spans="2:20" ht="23.1" customHeight="1" x14ac:dyDescent="0.25">
      <c r="B91" s="23" t="s">
        <v>131</v>
      </c>
      <c r="C91" s="49">
        <f>AVERAGE('26.07 Kabusu-Kitebi-24'!C91,'27.07 Kabusu-Kitebi-24h'!C91)</f>
        <v>10.5</v>
      </c>
      <c r="D91" s="49">
        <f>AVERAGE('26.07 Kabusu-Kitebi-24'!D91,'27.07 Kabusu-Kitebi-24h'!D91)</f>
        <v>0</v>
      </c>
      <c r="E91" s="49">
        <f>AVERAGE('26.07 Kabusu-Kitebi-24'!E91,'27.07 Kabusu-Kitebi-24h'!E91)</f>
        <v>0.5</v>
      </c>
      <c r="F91" s="49">
        <f>AVERAGE('26.07 Kabusu-Kitebi-24'!F91,'27.07 Kabusu-Kitebi-24h'!F91)</f>
        <v>3.5</v>
      </c>
      <c r="G91" s="49">
        <f>AVERAGE('26.07 Kabusu-Kitebi-24'!G91,'27.07 Kabusu-Kitebi-24h'!G91)</f>
        <v>0</v>
      </c>
      <c r="H91" s="49">
        <f>AVERAGE('26.07 Kabusu-Kitebi-24'!H91,'27.07 Kabusu-Kitebi-24h'!H91)</f>
        <v>0</v>
      </c>
      <c r="I91" s="49">
        <f>AVERAGE('26.07 Kabusu-Kitebi-24'!I91,'27.07 Kabusu-Kitebi-24h'!I91)</f>
        <v>0.5</v>
      </c>
      <c r="J91" s="49">
        <f>AVERAGE('26.07 Kabusu-Kitebi-24'!J91,'27.07 Kabusu-Kitebi-24h'!J91)</f>
        <v>0.5</v>
      </c>
      <c r="K91" s="49">
        <f>AVERAGE('26.07 Kabusu-Kitebi-24'!K91,'27.07 Kabusu-Kitebi-24h'!K91)</f>
        <v>0.5</v>
      </c>
      <c r="L91" s="49">
        <f>AVERAGE('26.07 Kabusu-Kitebi-24'!L91,'27.07 Kabusu-Kitebi-24h'!L91)</f>
        <v>0.5</v>
      </c>
      <c r="M91" s="49">
        <f>AVERAGE('26.07 Kabusu-Kitebi-24'!M91,'27.07 Kabusu-Kitebi-24h'!M91)</f>
        <v>39.5</v>
      </c>
      <c r="N91" s="49">
        <f>AVERAGE('26.07 Kabusu-Kitebi-24'!N91,'27.07 Kabusu-Kitebi-24h'!N91)</f>
        <v>0</v>
      </c>
      <c r="O91" s="15">
        <f t="shared" ref="O91:P91" si="67">SUM(C91:L91,N91)</f>
        <v>16.5</v>
      </c>
      <c r="P91" s="15">
        <f t="shared" si="67"/>
        <v>62</v>
      </c>
      <c r="R91" s="8"/>
      <c r="T91"/>
    </row>
    <row r="92" spans="2:20" ht="23.1" customHeight="1" x14ac:dyDescent="0.25">
      <c r="B92" s="25" t="s">
        <v>132</v>
      </c>
      <c r="C92" s="49">
        <f>AVERAGE('26.07 Kabusu-Kitebi-24'!C92,'27.07 Kabusu-Kitebi-24h'!C92)</f>
        <v>6</v>
      </c>
      <c r="D92" s="49">
        <f>AVERAGE('26.07 Kabusu-Kitebi-24'!D92,'27.07 Kabusu-Kitebi-24h'!D92)</f>
        <v>0.5</v>
      </c>
      <c r="E92" s="49">
        <f>AVERAGE('26.07 Kabusu-Kitebi-24'!E92,'27.07 Kabusu-Kitebi-24h'!E92)</f>
        <v>0.5</v>
      </c>
      <c r="F92" s="49">
        <f>AVERAGE('26.07 Kabusu-Kitebi-24'!F92,'27.07 Kabusu-Kitebi-24h'!F92)</f>
        <v>2</v>
      </c>
      <c r="G92" s="49">
        <f>AVERAGE('26.07 Kabusu-Kitebi-24'!G92,'27.07 Kabusu-Kitebi-24h'!G92)</f>
        <v>0</v>
      </c>
      <c r="H92" s="49">
        <f>AVERAGE('26.07 Kabusu-Kitebi-24'!H92,'27.07 Kabusu-Kitebi-24h'!H92)</f>
        <v>0</v>
      </c>
      <c r="I92" s="49">
        <f>AVERAGE('26.07 Kabusu-Kitebi-24'!I92,'27.07 Kabusu-Kitebi-24h'!I92)</f>
        <v>2.5</v>
      </c>
      <c r="J92" s="49">
        <f>AVERAGE('26.07 Kabusu-Kitebi-24'!J92,'27.07 Kabusu-Kitebi-24h'!J92)</f>
        <v>0.5</v>
      </c>
      <c r="K92" s="49">
        <f>AVERAGE('26.07 Kabusu-Kitebi-24'!K92,'27.07 Kabusu-Kitebi-24h'!K92)</f>
        <v>0.5</v>
      </c>
      <c r="L92" s="49">
        <f>AVERAGE('26.07 Kabusu-Kitebi-24'!L92,'27.07 Kabusu-Kitebi-24h'!L92)</f>
        <v>0</v>
      </c>
      <c r="M92" s="49">
        <f>AVERAGE('26.07 Kabusu-Kitebi-24'!M92,'27.07 Kabusu-Kitebi-24h'!M92)</f>
        <v>32.5</v>
      </c>
      <c r="N92" s="49">
        <f>AVERAGE('26.07 Kabusu-Kitebi-24'!N92,'27.07 Kabusu-Kitebi-24h'!N92)</f>
        <v>0</v>
      </c>
      <c r="O92" s="15">
        <f t="shared" ref="O92:P92" si="68">SUM(C92:L92,N92)</f>
        <v>12.5</v>
      </c>
      <c r="P92" s="15">
        <f t="shared" si="68"/>
        <v>51.5</v>
      </c>
      <c r="R92" s="8"/>
      <c r="T92"/>
    </row>
    <row r="93" spans="2:20" ht="23.1" customHeight="1" x14ac:dyDescent="0.25">
      <c r="B93" s="23" t="s">
        <v>133</v>
      </c>
      <c r="C93" s="49">
        <f>AVERAGE('26.07 Kabusu-Kitebi-24'!C93,'27.07 Kabusu-Kitebi-24h'!C93)</f>
        <v>7</v>
      </c>
      <c r="D93" s="49">
        <f>AVERAGE('26.07 Kabusu-Kitebi-24'!D93,'27.07 Kabusu-Kitebi-24h'!D93)</f>
        <v>1.5</v>
      </c>
      <c r="E93" s="49">
        <f>AVERAGE('26.07 Kabusu-Kitebi-24'!E93,'27.07 Kabusu-Kitebi-24h'!E93)</f>
        <v>0</v>
      </c>
      <c r="F93" s="49">
        <f>AVERAGE('26.07 Kabusu-Kitebi-24'!F93,'27.07 Kabusu-Kitebi-24h'!F93)</f>
        <v>4.5</v>
      </c>
      <c r="G93" s="49">
        <f>AVERAGE('26.07 Kabusu-Kitebi-24'!G93,'27.07 Kabusu-Kitebi-24h'!G93)</f>
        <v>0</v>
      </c>
      <c r="H93" s="49">
        <f>AVERAGE('26.07 Kabusu-Kitebi-24'!H93,'27.07 Kabusu-Kitebi-24h'!H93)</f>
        <v>0</v>
      </c>
      <c r="I93" s="49">
        <f>AVERAGE('26.07 Kabusu-Kitebi-24'!I93,'27.07 Kabusu-Kitebi-24h'!I93)</f>
        <v>0.5</v>
      </c>
      <c r="J93" s="49">
        <f>AVERAGE('26.07 Kabusu-Kitebi-24'!J93,'27.07 Kabusu-Kitebi-24h'!J93)</f>
        <v>0.5</v>
      </c>
      <c r="K93" s="49">
        <f>AVERAGE('26.07 Kabusu-Kitebi-24'!K93,'27.07 Kabusu-Kitebi-24h'!K93)</f>
        <v>0.5</v>
      </c>
      <c r="L93" s="49">
        <f>AVERAGE('26.07 Kabusu-Kitebi-24'!L93,'27.07 Kabusu-Kitebi-24h'!L93)</f>
        <v>0</v>
      </c>
      <c r="M93" s="49">
        <f>AVERAGE('26.07 Kabusu-Kitebi-24'!M93,'27.07 Kabusu-Kitebi-24h'!M93)</f>
        <v>35.5</v>
      </c>
      <c r="N93" s="49">
        <f>AVERAGE('26.07 Kabusu-Kitebi-24'!N93,'27.07 Kabusu-Kitebi-24h'!N93)</f>
        <v>0</v>
      </c>
      <c r="O93" s="15">
        <f t="shared" ref="O93:P93" si="69">SUM(C93:L93,N93)</f>
        <v>14.5</v>
      </c>
      <c r="P93" s="15">
        <f t="shared" si="69"/>
        <v>57.5</v>
      </c>
      <c r="R93" s="8"/>
      <c r="T93"/>
    </row>
    <row r="94" spans="2:20" ht="23.1" customHeight="1" x14ac:dyDescent="0.25">
      <c r="B94" s="24" t="s">
        <v>134</v>
      </c>
      <c r="C94" s="49">
        <f>AVERAGE('26.07 Kabusu-Kitebi-24'!C94,'27.07 Kabusu-Kitebi-24h'!C94)</f>
        <v>9</v>
      </c>
      <c r="D94" s="49">
        <f>AVERAGE('26.07 Kabusu-Kitebi-24'!D94,'27.07 Kabusu-Kitebi-24h'!D94)</f>
        <v>0</v>
      </c>
      <c r="E94" s="49">
        <f>AVERAGE('26.07 Kabusu-Kitebi-24'!E94,'27.07 Kabusu-Kitebi-24h'!E94)</f>
        <v>1</v>
      </c>
      <c r="F94" s="49">
        <f>AVERAGE('26.07 Kabusu-Kitebi-24'!F94,'27.07 Kabusu-Kitebi-24h'!F94)</f>
        <v>4</v>
      </c>
      <c r="G94" s="49">
        <f>AVERAGE('26.07 Kabusu-Kitebi-24'!G94,'27.07 Kabusu-Kitebi-24h'!G94)</f>
        <v>0</v>
      </c>
      <c r="H94" s="49">
        <f>AVERAGE('26.07 Kabusu-Kitebi-24'!H94,'27.07 Kabusu-Kitebi-24h'!H94)</f>
        <v>0</v>
      </c>
      <c r="I94" s="49">
        <f>AVERAGE('26.07 Kabusu-Kitebi-24'!I94,'27.07 Kabusu-Kitebi-24h'!I94)</f>
        <v>1.5</v>
      </c>
      <c r="J94" s="49">
        <f>AVERAGE('26.07 Kabusu-Kitebi-24'!J94,'27.07 Kabusu-Kitebi-24h'!J94)</f>
        <v>1</v>
      </c>
      <c r="K94" s="49">
        <f>AVERAGE('26.07 Kabusu-Kitebi-24'!K94,'27.07 Kabusu-Kitebi-24h'!K94)</f>
        <v>0</v>
      </c>
      <c r="L94" s="49">
        <f>AVERAGE('26.07 Kabusu-Kitebi-24'!L94,'27.07 Kabusu-Kitebi-24h'!L94)</f>
        <v>0</v>
      </c>
      <c r="M94" s="49">
        <f>AVERAGE('26.07 Kabusu-Kitebi-24'!M94,'27.07 Kabusu-Kitebi-24h'!M94)</f>
        <v>20</v>
      </c>
      <c r="N94" s="49">
        <f>AVERAGE('26.07 Kabusu-Kitebi-24'!N94,'27.07 Kabusu-Kitebi-24h'!N94)</f>
        <v>0</v>
      </c>
      <c r="O94" s="15">
        <f t="shared" ref="O94:P94" si="70">SUM(C94:L94,N94)</f>
        <v>16.5</v>
      </c>
      <c r="P94" s="15">
        <f t="shared" si="70"/>
        <v>44</v>
      </c>
      <c r="R94" s="8"/>
      <c r="T94"/>
    </row>
    <row r="95" spans="2:20" ht="23.1" customHeight="1" x14ac:dyDescent="0.25">
      <c r="B95" s="23" t="s">
        <v>135</v>
      </c>
      <c r="C95" s="49">
        <f>AVERAGE('26.07 Kabusu-Kitebi-24'!C95,'27.07 Kabusu-Kitebi-24h'!C95)</f>
        <v>13</v>
      </c>
      <c r="D95" s="49">
        <f>AVERAGE('26.07 Kabusu-Kitebi-24'!D95,'27.07 Kabusu-Kitebi-24h'!D95)</f>
        <v>0.5</v>
      </c>
      <c r="E95" s="49">
        <f>AVERAGE('26.07 Kabusu-Kitebi-24'!E95,'27.07 Kabusu-Kitebi-24h'!E95)</f>
        <v>1</v>
      </c>
      <c r="F95" s="49">
        <f>AVERAGE('26.07 Kabusu-Kitebi-24'!F95,'27.07 Kabusu-Kitebi-24h'!F95)</f>
        <v>2</v>
      </c>
      <c r="G95" s="49">
        <f>AVERAGE('26.07 Kabusu-Kitebi-24'!G95,'27.07 Kabusu-Kitebi-24h'!G95)</f>
        <v>0</v>
      </c>
      <c r="H95" s="49">
        <f>AVERAGE('26.07 Kabusu-Kitebi-24'!H95,'27.07 Kabusu-Kitebi-24h'!H95)</f>
        <v>0</v>
      </c>
      <c r="I95" s="49">
        <f>AVERAGE('26.07 Kabusu-Kitebi-24'!I95,'27.07 Kabusu-Kitebi-24h'!I95)</f>
        <v>1</v>
      </c>
      <c r="J95" s="49">
        <f>AVERAGE('26.07 Kabusu-Kitebi-24'!J95,'27.07 Kabusu-Kitebi-24h'!J95)</f>
        <v>0</v>
      </c>
      <c r="K95" s="49">
        <f>AVERAGE('26.07 Kabusu-Kitebi-24'!K95,'27.07 Kabusu-Kitebi-24h'!K95)</f>
        <v>0</v>
      </c>
      <c r="L95" s="49">
        <f>AVERAGE('26.07 Kabusu-Kitebi-24'!L95,'27.07 Kabusu-Kitebi-24h'!L95)</f>
        <v>0</v>
      </c>
      <c r="M95" s="49">
        <f>AVERAGE('26.07 Kabusu-Kitebi-24'!M95,'27.07 Kabusu-Kitebi-24h'!M95)</f>
        <v>36.5</v>
      </c>
      <c r="N95" s="49">
        <f>AVERAGE('26.07 Kabusu-Kitebi-24'!N95,'27.07 Kabusu-Kitebi-24h'!N95)</f>
        <v>0</v>
      </c>
      <c r="O95" s="15">
        <f t="shared" ref="O95:P95" si="71">SUM(C95:L95,N95)</f>
        <v>17.5</v>
      </c>
      <c r="P95" s="15">
        <f t="shared" si="71"/>
        <v>58.5</v>
      </c>
      <c r="R95" s="8"/>
      <c r="T95"/>
    </row>
    <row r="96" spans="2:20" ht="23.1" customHeight="1" x14ac:dyDescent="0.25">
      <c r="B96" s="25" t="s">
        <v>136</v>
      </c>
      <c r="C96" s="49">
        <f>AVERAGE('26.07 Kabusu-Kitebi-24'!C96,'27.07 Kabusu-Kitebi-24h'!C96)</f>
        <v>9.5</v>
      </c>
      <c r="D96" s="49">
        <f>AVERAGE('26.07 Kabusu-Kitebi-24'!D96,'27.07 Kabusu-Kitebi-24h'!D96)</f>
        <v>0.5</v>
      </c>
      <c r="E96" s="49">
        <f>AVERAGE('26.07 Kabusu-Kitebi-24'!E96,'27.07 Kabusu-Kitebi-24h'!E96)</f>
        <v>1.5</v>
      </c>
      <c r="F96" s="49">
        <f>AVERAGE('26.07 Kabusu-Kitebi-24'!F96,'27.07 Kabusu-Kitebi-24h'!F96)</f>
        <v>2</v>
      </c>
      <c r="G96" s="49">
        <f>AVERAGE('26.07 Kabusu-Kitebi-24'!G96,'27.07 Kabusu-Kitebi-24h'!G96)</f>
        <v>0</v>
      </c>
      <c r="H96" s="49">
        <f>AVERAGE('26.07 Kabusu-Kitebi-24'!H96,'27.07 Kabusu-Kitebi-24h'!H96)</f>
        <v>0</v>
      </c>
      <c r="I96" s="49">
        <f>AVERAGE('26.07 Kabusu-Kitebi-24'!I96,'27.07 Kabusu-Kitebi-24h'!I96)</f>
        <v>0.5</v>
      </c>
      <c r="J96" s="49">
        <f>AVERAGE('26.07 Kabusu-Kitebi-24'!J96,'27.07 Kabusu-Kitebi-24h'!J96)</f>
        <v>1.5</v>
      </c>
      <c r="K96" s="49">
        <f>AVERAGE('26.07 Kabusu-Kitebi-24'!K96,'27.07 Kabusu-Kitebi-24h'!K96)</f>
        <v>0</v>
      </c>
      <c r="L96" s="49">
        <f>AVERAGE('26.07 Kabusu-Kitebi-24'!L96,'27.07 Kabusu-Kitebi-24h'!L96)</f>
        <v>0</v>
      </c>
      <c r="M96" s="49">
        <f>AVERAGE('26.07 Kabusu-Kitebi-24'!M96,'27.07 Kabusu-Kitebi-24h'!M96)</f>
        <v>23.5</v>
      </c>
      <c r="N96" s="49">
        <f>AVERAGE('26.07 Kabusu-Kitebi-24'!N96,'27.07 Kabusu-Kitebi-24h'!N96)</f>
        <v>0</v>
      </c>
      <c r="O96" s="15">
        <f t="shared" ref="O96:P96" si="72">SUM(C96:L96,N96)</f>
        <v>15.5</v>
      </c>
      <c r="P96" s="15">
        <f t="shared" si="72"/>
        <v>45</v>
      </c>
      <c r="R96" s="8"/>
      <c r="T96"/>
    </row>
    <row r="97" spans="2:20" ht="23.1" customHeight="1" x14ac:dyDescent="0.25">
      <c r="B97" s="23" t="s">
        <v>137</v>
      </c>
      <c r="C97" s="49">
        <f>AVERAGE('26.07 Kabusu-Kitebi-24'!C97,'27.07 Kabusu-Kitebi-24h'!C97)</f>
        <v>11</v>
      </c>
      <c r="D97" s="49">
        <f>AVERAGE('26.07 Kabusu-Kitebi-24'!D97,'27.07 Kabusu-Kitebi-24h'!D97)</f>
        <v>2</v>
      </c>
      <c r="E97" s="49">
        <f>AVERAGE('26.07 Kabusu-Kitebi-24'!E97,'27.07 Kabusu-Kitebi-24h'!E97)</f>
        <v>2.5</v>
      </c>
      <c r="F97" s="49">
        <f>AVERAGE('26.07 Kabusu-Kitebi-24'!F97,'27.07 Kabusu-Kitebi-24h'!F97)</f>
        <v>3.5</v>
      </c>
      <c r="G97" s="49">
        <f>AVERAGE('26.07 Kabusu-Kitebi-24'!G97,'27.07 Kabusu-Kitebi-24h'!G97)</f>
        <v>0</v>
      </c>
      <c r="H97" s="49">
        <f>AVERAGE('26.07 Kabusu-Kitebi-24'!H97,'27.07 Kabusu-Kitebi-24h'!H97)</f>
        <v>0</v>
      </c>
      <c r="I97" s="49">
        <f>AVERAGE('26.07 Kabusu-Kitebi-24'!I97,'27.07 Kabusu-Kitebi-24h'!I97)</f>
        <v>2</v>
      </c>
      <c r="J97" s="49">
        <f>AVERAGE('26.07 Kabusu-Kitebi-24'!J97,'27.07 Kabusu-Kitebi-24h'!J97)</f>
        <v>1</v>
      </c>
      <c r="K97" s="49">
        <f>AVERAGE('26.07 Kabusu-Kitebi-24'!K97,'27.07 Kabusu-Kitebi-24h'!K97)</f>
        <v>0</v>
      </c>
      <c r="L97" s="49">
        <f>AVERAGE('26.07 Kabusu-Kitebi-24'!L97,'27.07 Kabusu-Kitebi-24h'!L97)</f>
        <v>0</v>
      </c>
      <c r="M97" s="49">
        <f>AVERAGE('26.07 Kabusu-Kitebi-24'!M97,'27.07 Kabusu-Kitebi-24h'!M97)</f>
        <v>26</v>
      </c>
      <c r="N97" s="49">
        <f>AVERAGE('26.07 Kabusu-Kitebi-24'!N97,'27.07 Kabusu-Kitebi-24h'!N97)</f>
        <v>0</v>
      </c>
      <c r="O97" s="15">
        <f t="shared" ref="O97:P97" si="73">SUM(C97:L97,N97)</f>
        <v>22</v>
      </c>
      <c r="P97" s="15">
        <f t="shared" si="73"/>
        <v>59</v>
      </c>
      <c r="R97" s="8"/>
      <c r="T97"/>
    </row>
    <row r="98" spans="2:20" ht="23.1" customHeight="1" x14ac:dyDescent="0.25">
      <c r="B98" s="24" t="s">
        <v>138</v>
      </c>
      <c r="C98" s="49">
        <f>AVERAGE('26.07 Kabusu-Kitebi-24'!C98,'27.07 Kabusu-Kitebi-24h'!C98)</f>
        <v>4.5</v>
      </c>
      <c r="D98" s="49">
        <f>AVERAGE('26.07 Kabusu-Kitebi-24'!D98,'27.07 Kabusu-Kitebi-24h'!D98)</f>
        <v>0</v>
      </c>
      <c r="E98" s="49">
        <f>AVERAGE('26.07 Kabusu-Kitebi-24'!E98,'27.07 Kabusu-Kitebi-24h'!E98)</f>
        <v>0</v>
      </c>
      <c r="F98" s="49">
        <f>AVERAGE('26.07 Kabusu-Kitebi-24'!F98,'27.07 Kabusu-Kitebi-24h'!F98)</f>
        <v>4.5</v>
      </c>
      <c r="G98" s="49">
        <f>AVERAGE('26.07 Kabusu-Kitebi-24'!G98,'27.07 Kabusu-Kitebi-24h'!G98)</f>
        <v>0</v>
      </c>
      <c r="H98" s="49">
        <f>AVERAGE('26.07 Kabusu-Kitebi-24'!H98,'27.07 Kabusu-Kitebi-24h'!H98)</f>
        <v>0</v>
      </c>
      <c r="I98" s="49">
        <f>AVERAGE('26.07 Kabusu-Kitebi-24'!I98,'27.07 Kabusu-Kitebi-24h'!I98)</f>
        <v>0.5</v>
      </c>
      <c r="J98" s="49">
        <f>AVERAGE('26.07 Kabusu-Kitebi-24'!J98,'27.07 Kabusu-Kitebi-24h'!J98)</f>
        <v>0.5</v>
      </c>
      <c r="K98" s="49">
        <f>AVERAGE('26.07 Kabusu-Kitebi-24'!K98,'27.07 Kabusu-Kitebi-24h'!K98)</f>
        <v>0</v>
      </c>
      <c r="L98" s="49">
        <f>AVERAGE('26.07 Kabusu-Kitebi-24'!L98,'27.07 Kabusu-Kitebi-24h'!L98)</f>
        <v>0.5</v>
      </c>
      <c r="M98" s="49">
        <f>AVERAGE('26.07 Kabusu-Kitebi-24'!M98,'27.07 Kabusu-Kitebi-24h'!M98)</f>
        <v>22.5</v>
      </c>
      <c r="N98" s="49">
        <f>AVERAGE('26.07 Kabusu-Kitebi-24'!N98,'27.07 Kabusu-Kitebi-24h'!N98)</f>
        <v>0</v>
      </c>
      <c r="O98" s="15">
        <f t="shared" ref="O98:P98" si="74">SUM(C98:L98,N98)</f>
        <v>10.5</v>
      </c>
      <c r="P98" s="15">
        <f t="shared" si="74"/>
        <v>39</v>
      </c>
      <c r="R98" s="8"/>
      <c r="T98"/>
    </row>
    <row r="99" spans="2:20" ht="23.1" customHeight="1" x14ac:dyDescent="0.25">
      <c r="B99" s="23" t="s">
        <v>139</v>
      </c>
      <c r="C99" s="49">
        <f>AVERAGE('26.07 Kabusu-Kitebi-24'!C99,'27.07 Kabusu-Kitebi-24h'!C99)</f>
        <v>6.5</v>
      </c>
      <c r="D99" s="49">
        <f>AVERAGE('26.07 Kabusu-Kitebi-24'!D99,'27.07 Kabusu-Kitebi-24h'!D99)</f>
        <v>0</v>
      </c>
      <c r="E99" s="49">
        <f>AVERAGE('26.07 Kabusu-Kitebi-24'!E99,'27.07 Kabusu-Kitebi-24h'!E99)</f>
        <v>0.5</v>
      </c>
      <c r="F99" s="49">
        <f>AVERAGE('26.07 Kabusu-Kitebi-24'!F99,'27.07 Kabusu-Kitebi-24h'!F99)</f>
        <v>4.5</v>
      </c>
      <c r="G99" s="49">
        <f>AVERAGE('26.07 Kabusu-Kitebi-24'!G99,'27.07 Kabusu-Kitebi-24h'!G99)</f>
        <v>0</v>
      </c>
      <c r="H99" s="49">
        <f>AVERAGE('26.07 Kabusu-Kitebi-24'!H99,'27.07 Kabusu-Kitebi-24h'!H99)</f>
        <v>0</v>
      </c>
      <c r="I99" s="49">
        <f>AVERAGE('26.07 Kabusu-Kitebi-24'!I99,'27.07 Kabusu-Kitebi-24h'!I99)</f>
        <v>2</v>
      </c>
      <c r="J99" s="49">
        <f>AVERAGE('26.07 Kabusu-Kitebi-24'!J99,'27.07 Kabusu-Kitebi-24h'!J99)</f>
        <v>0.5</v>
      </c>
      <c r="K99" s="49">
        <f>AVERAGE('26.07 Kabusu-Kitebi-24'!K99,'27.07 Kabusu-Kitebi-24h'!K99)</f>
        <v>0</v>
      </c>
      <c r="L99" s="49">
        <f>AVERAGE('26.07 Kabusu-Kitebi-24'!L99,'27.07 Kabusu-Kitebi-24h'!L99)</f>
        <v>0.5</v>
      </c>
      <c r="M99" s="49">
        <f>AVERAGE('26.07 Kabusu-Kitebi-24'!M99,'27.07 Kabusu-Kitebi-24h'!M99)</f>
        <v>27.5</v>
      </c>
      <c r="N99" s="49">
        <f>AVERAGE('26.07 Kabusu-Kitebi-24'!N99,'27.07 Kabusu-Kitebi-24h'!N99)</f>
        <v>0</v>
      </c>
      <c r="O99" s="15">
        <f t="shared" ref="O99:P99" si="75">SUM(C99:L99,N99)</f>
        <v>14.5</v>
      </c>
      <c r="P99" s="15">
        <f t="shared" si="75"/>
        <v>50</v>
      </c>
      <c r="R99" s="8"/>
      <c r="T99"/>
    </row>
    <row r="100" spans="2:20" ht="23.1" customHeight="1" x14ac:dyDescent="0.25">
      <c r="B100" s="25" t="s">
        <v>140</v>
      </c>
      <c r="C100" s="49">
        <f>AVERAGE('26.07 Kabusu-Kitebi-24'!C100,'27.07 Kabusu-Kitebi-24h'!C100)</f>
        <v>5.5</v>
      </c>
      <c r="D100" s="49">
        <f>AVERAGE('26.07 Kabusu-Kitebi-24'!D100,'27.07 Kabusu-Kitebi-24h'!D100)</f>
        <v>1</v>
      </c>
      <c r="E100" s="49">
        <f>AVERAGE('26.07 Kabusu-Kitebi-24'!E100,'27.07 Kabusu-Kitebi-24h'!E100)</f>
        <v>18</v>
      </c>
      <c r="F100" s="49">
        <f>AVERAGE('26.07 Kabusu-Kitebi-24'!F100,'27.07 Kabusu-Kitebi-24h'!F100)</f>
        <v>8.5</v>
      </c>
      <c r="G100" s="49">
        <f>AVERAGE('26.07 Kabusu-Kitebi-24'!G100,'27.07 Kabusu-Kitebi-24h'!G100)</f>
        <v>0</v>
      </c>
      <c r="H100" s="49">
        <f>AVERAGE('26.07 Kabusu-Kitebi-24'!H100,'27.07 Kabusu-Kitebi-24h'!H100)</f>
        <v>1</v>
      </c>
      <c r="I100" s="49">
        <f>AVERAGE('26.07 Kabusu-Kitebi-24'!I100,'27.07 Kabusu-Kitebi-24h'!I100)</f>
        <v>0</v>
      </c>
      <c r="J100" s="49">
        <f>AVERAGE('26.07 Kabusu-Kitebi-24'!J100,'27.07 Kabusu-Kitebi-24h'!J100)</f>
        <v>0.5</v>
      </c>
      <c r="K100" s="49">
        <f>AVERAGE('26.07 Kabusu-Kitebi-24'!K100,'27.07 Kabusu-Kitebi-24h'!K100)</f>
        <v>0.5</v>
      </c>
      <c r="L100" s="49">
        <f>AVERAGE('26.07 Kabusu-Kitebi-24'!L100,'27.07 Kabusu-Kitebi-24h'!L100)</f>
        <v>1</v>
      </c>
      <c r="M100" s="49">
        <f>AVERAGE('26.07 Kabusu-Kitebi-24'!M100,'27.07 Kabusu-Kitebi-24h'!M100)</f>
        <v>50</v>
      </c>
      <c r="N100" s="49">
        <f>AVERAGE('26.07 Kabusu-Kitebi-24'!N100,'27.07 Kabusu-Kitebi-24h'!N100)</f>
        <v>0</v>
      </c>
      <c r="O100" s="15">
        <f t="shared" ref="O100:P100" si="76">SUM(C100:L100,N100)</f>
        <v>36</v>
      </c>
      <c r="P100" s="15">
        <f t="shared" si="76"/>
        <v>116.5</v>
      </c>
      <c r="R100" s="8"/>
      <c r="T100"/>
    </row>
    <row r="101" spans="2:20" ht="23.1" customHeight="1" x14ac:dyDescent="0.25">
      <c r="B101" s="23" t="s">
        <v>141</v>
      </c>
      <c r="C101" s="49">
        <f>AVERAGE('26.07 Kabusu-Kitebi-24'!C101,'27.07 Kabusu-Kitebi-24h'!C101)</f>
        <v>4.5</v>
      </c>
      <c r="D101" s="49">
        <f>AVERAGE('26.07 Kabusu-Kitebi-24'!D101,'27.07 Kabusu-Kitebi-24h'!D101)</f>
        <v>2.5</v>
      </c>
      <c r="E101" s="49">
        <f>AVERAGE('26.07 Kabusu-Kitebi-24'!E101,'27.07 Kabusu-Kitebi-24h'!E101)</f>
        <v>1</v>
      </c>
      <c r="F101" s="49">
        <f>AVERAGE('26.07 Kabusu-Kitebi-24'!F101,'27.07 Kabusu-Kitebi-24h'!F101)</f>
        <v>8.5</v>
      </c>
      <c r="G101" s="49">
        <f>AVERAGE('26.07 Kabusu-Kitebi-24'!G101,'27.07 Kabusu-Kitebi-24h'!G101)</f>
        <v>0</v>
      </c>
      <c r="H101" s="49">
        <f>AVERAGE('26.07 Kabusu-Kitebi-24'!H101,'27.07 Kabusu-Kitebi-24h'!H101)</f>
        <v>0</v>
      </c>
      <c r="I101" s="49">
        <f>AVERAGE('26.07 Kabusu-Kitebi-24'!I101,'27.07 Kabusu-Kitebi-24h'!I101)</f>
        <v>0</v>
      </c>
      <c r="J101" s="49">
        <f>AVERAGE('26.07 Kabusu-Kitebi-24'!J101,'27.07 Kabusu-Kitebi-24h'!J101)</f>
        <v>0.5</v>
      </c>
      <c r="K101" s="49">
        <f>AVERAGE('26.07 Kabusu-Kitebi-24'!K101,'27.07 Kabusu-Kitebi-24h'!K101)</f>
        <v>1.5</v>
      </c>
      <c r="L101" s="49">
        <f>AVERAGE('26.07 Kabusu-Kitebi-24'!L101,'27.07 Kabusu-Kitebi-24h'!L101)</f>
        <v>0</v>
      </c>
      <c r="M101" s="49">
        <f>AVERAGE('26.07 Kabusu-Kitebi-24'!M101,'27.07 Kabusu-Kitebi-24h'!M101)</f>
        <v>28</v>
      </c>
      <c r="N101" s="49">
        <f>AVERAGE('26.07 Kabusu-Kitebi-24'!N101,'27.07 Kabusu-Kitebi-24h'!N101)</f>
        <v>0</v>
      </c>
      <c r="O101" s="15">
        <f t="shared" ref="O101:P101" si="77">SUM(C101:L101,N101)</f>
        <v>18.5</v>
      </c>
      <c r="P101" s="15">
        <f t="shared" si="77"/>
        <v>60.5</v>
      </c>
      <c r="R101" s="8"/>
      <c r="T101"/>
    </row>
    <row r="102" spans="2:20" ht="23.1" customHeight="1" x14ac:dyDescent="0.25">
      <c r="B102" s="24" t="s">
        <v>142</v>
      </c>
      <c r="C102" s="49">
        <f>AVERAGE('26.07 Kabusu-Kitebi-24'!C102,'27.07 Kabusu-Kitebi-24h'!C102)</f>
        <v>4</v>
      </c>
      <c r="D102" s="49">
        <f>AVERAGE('26.07 Kabusu-Kitebi-24'!D102,'27.07 Kabusu-Kitebi-24h'!D102)</f>
        <v>1.5</v>
      </c>
      <c r="E102" s="49">
        <f>AVERAGE('26.07 Kabusu-Kitebi-24'!E102,'27.07 Kabusu-Kitebi-24h'!E102)</f>
        <v>1.5</v>
      </c>
      <c r="F102" s="49">
        <f>AVERAGE('26.07 Kabusu-Kitebi-24'!F102,'27.07 Kabusu-Kitebi-24h'!F102)</f>
        <v>7</v>
      </c>
      <c r="G102" s="49">
        <f>AVERAGE('26.07 Kabusu-Kitebi-24'!G102,'27.07 Kabusu-Kitebi-24h'!G102)</f>
        <v>0.5</v>
      </c>
      <c r="H102" s="49">
        <f>AVERAGE('26.07 Kabusu-Kitebi-24'!H102,'27.07 Kabusu-Kitebi-24h'!H102)</f>
        <v>1.5</v>
      </c>
      <c r="I102" s="49">
        <f>AVERAGE('26.07 Kabusu-Kitebi-24'!I102,'27.07 Kabusu-Kitebi-24h'!I102)</f>
        <v>1</v>
      </c>
      <c r="J102" s="49">
        <f>AVERAGE('26.07 Kabusu-Kitebi-24'!J102,'27.07 Kabusu-Kitebi-24h'!J102)</f>
        <v>2.5</v>
      </c>
      <c r="K102" s="49">
        <f>AVERAGE('26.07 Kabusu-Kitebi-24'!K102,'27.07 Kabusu-Kitebi-24h'!K102)</f>
        <v>1</v>
      </c>
      <c r="L102" s="49">
        <f>AVERAGE('26.07 Kabusu-Kitebi-24'!L102,'27.07 Kabusu-Kitebi-24h'!L102)</f>
        <v>0</v>
      </c>
      <c r="M102" s="49">
        <f>AVERAGE('26.07 Kabusu-Kitebi-24'!M102,'27.07 Kabusu-Kitebi-24h'!M102)</f>
        <v>46</v>
      </c>
      <c r="N102" s="49">
        <f>AVERAGE('26.07 Kabusu-Kitebi-24'!N102,'27.07 Kabusu-Kitebi-24h'!N102)</f>
        <v>0</v>
      </c>
      <c r="O102" s="15">
        <f t="shared" ref="O102:P102" si="78">SUM(C102:L102,N102)</f>
        <v>20.5</v>
      </c>
      <c r="P102" s="15">
        <f t="shared" si="78"/>
        <v>83</v>
      </c>
      <c r="R102" s="8"/>
      <c r="T102"/>
    </row>
    <row r="103" spans="2:20" ht="23.1" customHeight="1" x14ac:dyDescent="0.25">
      <c r="B103" s="23" t="s">
        <v>143</v>
      </c>
      <c r="C103" s="49">
        <f>AVERAGE('26.07 Kabusu-Kitebi-24'!C103,'27.07 Kabusu-Kitebi-24h'!C103)</f>
        <v>6</v>
      </c>
      <c r="D103" s="49">
        <f>AVERAGE('26.07 Kabusu-Kitebi-24'!D103,'27.07 Kabusu-Kitebi-24h'!D103)</f>
        <v>1</v>
      </c>
      <c r="E103" s="49">
        <f>AVERAGE('26.07 Kabusu-Kitebi-24'!E103,'27.07 Kabusu-Kitebi-24h'!E103)</f>
        <v>2</v>
      </c>
      <c r="F103" s="49">
        <f>AVERAGE('26.07 Kabusu-Kitebi-24'!F103,'27.07 Kabusu-Kitebi-24h'!F103)</f>
        <v>11.5</v>
      </c>
      <c r="G103" s="49">
        <f>AVERAGE('26.07 Kabusu-Kitebi-24'!G103,'27.07 Kabusu-Kitebi-24h'!G103)</f>
        <v>0</v>
      </c>
      <c r="H103" s="49">
        <f>AVERAGE('26.07 Kabusu-Kitebi-24'!H103,'27.07 Kabusu-Kitebi-24h'!H103)</f>
        <v>0</v>
      </c>
      <c r="I103" s="49">
        <f>AVERAGE('26.07 Kabusu-Kitebi-24'!I103,'27.07 Kabusu-Kitebi-24h'!I103)</f>
        <v>0</v>
      </c>
      <c r="J103" s="49">
        <f>AVERAGE('26.07 Kabusu-Kitebi-24'!J103,'27.07 Kabusu-Kitebi-24h'!J103)</f>
        <v>3</v>
      </c>
      <c r="K103" s="49">
        <f>AVERAGE('26.07 Kabusu-Kitebi-24'!K103,'27.07 Kabusu-Kitebi-24h'!K103)</f>
        <v>0</v>
      </c>
      <c r="L103" s="49">
        <f>AVERAGE('26.07 Kabusu-Kitebi-24'!L103,'27.07 Kabusu-Kitebi-24h'!L103)</f>
        <v>0</v>
      </c>
      <c r="M103" s="49">
        <f>AVERAGE('26.07 Kabusu-Kitebi-24'!M103,'27.07 Kabusu-Kitebi-24h'!M103)</f>
        <v>55.5</v>
      </c>
      <c r="N103" s="49">
        <f>AVERAGE('26.07 Kabusu-Kitebi-24'!N103,'27.07 Kabusu-Kitebi-24h'!N103)</f>
        <v>0</v>
      </c>
      <c r="O103" s="15">
        <f t="shared" ref="O103:P103" si="79">SUM(C103:L103,N103)</f>
        <v>23.5</v>
      </c>
      <c r="P103" s="15">
        <f t="shared" si="79"/>
        <v>96.5</v>
      </c>
      <c r="R103" s="8"/>
      <c r="T103"/>
    </row>
    <row r="104" spans="2:20" ht="23.1" customHeight="1" x14ac:dyDescent="0.25">
      <c r="B104" s="25" t="s">
        <v>144</v>
      </c>
      <c r="C104" s="49">
        <f>AVERAGE('26.07 Kabusu-Kitebi-24'!C104,'27.07 Kabusu-Kitebi-24h'!C104)</f>
        <v>6.5</v>
      </c>
      <c r="D104" s="49">
        <f>AVERAGE('26.07 Kabusu-Kitebi-24'!D104,'27.07 Kabusu-Kitebi-24h'!D104)</f>
        <v>0.5</v>
      </c>
      <c r="E104" s="49">
        <f>AVERAGE('26.07 Kabusu-Kitebi-24'!E104,'27.07 Kabusu-Kitebi-24h'!E104)</f>
        <v>2</v>
      </c>
      <c r="F104" s="49">
        <f>AVERAGE('26.07 Kabusu-Kitebi-24'!F104,'27.07 Kabusu-Kitebi-24h'!F104)</f>
        <v>9.5</v>
      </c>
      <c r="G104" s="49">
        <f>AVERAGE('26.07 Kabusu-Kitebi-24'!G104,'27.07 Kabusu-Kitebi-24h'!G104)</f>
        <v>0</v>
      </c>
      <c r="H104" s="49">
        <f>AVERAGE('26.07 Kabusu-Kitebi-24'!H104,'27.07 Kabusu-Kitebi-24h'!H104)</f>
        <v>0.5</v>
      </c>
      <c r="I104" s="49">
        <f>AVERAGE('26.07 Kabusu-Kitebi-24'!I104,'27.07 Kabusu-Kitebi-24h'!I104)</f>
        <v>2</v>
      </c>
      <c r="J104" s="49">
        <f>AVERAGE('26.07 Kabusu-Kitebi-24'!J104,'27.07 Kabusu-Kitebi-24h'!J104)</f>
        <v>0</v>
      </c>
      <c r="K104" s="49">
        <f>AVERAGE('26.07 Kabusu-Kitebi-24'!K104,'27.07 Kabusu-Kitebi-24h'!K104)</f>
        <v>0</v>
      </c>
      <c r="L104" s="49">
        <f>AVERAGE('26.07 Kabusu-Kitebi-24'!L104,'27.07 Kabusu-Kitebi-24h'!L104)</f>
        <v>0</v>
      </c>
      <c r="M104" s="49">
        <f>AVERAGE('26.07 Kabusu-Kitebi-24'!M104,'27.07 Kabusu-Kitebi-24h'!M104)</f>
        <v>49.5</v>
      </c>
      <c r="N104" s="49">
        <f>AVERAGE('26.07 Kabusu-Kitebi-24'!N104,'27.07 Kabusu-Kitebi-24h'!N104)</f>
        <v>0</v>
      </c>
      <c r="O104" s="15">
        <f t="shared" ref="O104:P104" si="80">SUM(C104:L104,N104)</f>
        <v>21</v>
      </c>
      <c r="P104" s="15">
        <f t="shared" si="80"/>
        <v>85</v>
      </c>
      <c r="R104" s="8"/>
      <c r="T104"/>
    </row>
    <row r="105" spans="2:20" ht="23.1" customHeight="1" x14ac:dyDescent="0.25">
      <c r="B105" s="23" t="s">
        <v>145</v>
      </c>
      <c r="C105" s="49">
        <f>AVERAGE('26.07 Kabusu-Kitebi-24'!C105,'27.07 Kabusu-Kitebi-24h'!C105)</f>
        <v>10</v>
      </c>
      <c r="D105" s="49">
        <f>AVERAGE('26.07 Kabusu-Kitebi-24'!D105,'27.07 Kabusu-Kitebi-24h'!D105)</f>
        <v>0.5</v>
      </c>
      <c r="E105" s="49">
        <f>AVERAGE('26.07 Kabusu-Kitebi-24'!E105,'27.07 Kabusu-Kitebi-24h'!E105)</f>
        <v>1.5</v>
      </c>
      <c r="F105" s="49">
        <f>AVERAGE('26.07 Kabusu-Kitebi-24'!F105,'27.07 Kabusu-Kitebi-24h'!F105)</f>
        <v>14</v>
      </c>
      <c r="G105" s="49">
        <f>AVERAGE('26.07 Kabusu-Kitebi-24'!G105,'27.07 Kabusu-Kitebi-24h'!G105)</f>
        <v>0</v>
      </c>
      <c r="H105" s="49">
        <f>AVERAGE('26.07 Kabusu-Kitebi-24'!H105,'27.07 Kabusu-Kitebi-24h'!H105)</f>
        <v>1.5</v>
      </c>
      <c r="I105" s="49">
        <f>AVERAGE('26.07 Kabusu-Kitebi-24'!I105,'27.07 Kabusu-Kitebi-24h'!I105)</f>
        <v>1</v>
      </c>
      <c r="J105" s="49">
        <f>AVERAGE('26.07 Kabusu-Kitebi-24'!J105,'27.07 Kabusu-Kitebi-24h'!J105)</f>
        <v>2</v>
      </c>
      <c r="K105" s="49">
        <f>AVERAGE('26.07 Kabusu-Kitebi-24'!K105,'27.07 Kabusu-Kitebi-24h'!K105)</f>
        <v>0</v>
      </c>
      <c r="L105" s="49">
        <f>AVERAGE('26.07 Kabusu-Kitebi-24'!L105,'27.07 Kabusu-Kitebi-24h'!L105)</f>
        <v>0</v>
      </c>
      <c r="M105" s="49">
        <f>AVERAGE('26.07 Kabusu-Kitebi-24'!M105,'27.07 Kabusu-Kitebi-24h'!M105)</f>
        <v>58.5</v>
      </c>
      <c r="N105" s="49">
        <f>AVERAGE('26.07 Kabusu-Kitebi-24'!N105,'27.07 Kabusu-Kitebi-24h'!N105)</f>
        <v>0</v>
      </c>
      <c r="O105" s="15">
        <f t="shared" ref="O105" si="81">SUM(C105:L105,N105)</f>
        <v>30.5</v>
      </c>
      <c r="P105" s="15">
        <f>SUM(D105:M105,O105)</f>
        <v>109.5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3747.3571428571431</v>
      </c>
      <c r="D106" s="16">
        <f t="shared" ref="D106:L106" si="82">SUM(D10:D105)</f>
        <v>528.85714285714289</v>
      </c>
      <c r="E106" s="16">
        <f t="shared" si="82"/>
        <v>470.35714285714289</v>
      </c>
      <c r="F106" s="16">
        <f t="shared" si="82"/>
        <v>1543.9285714285716</v>
      </c>
      <c r="G106" s="16">
        <f t="shared" si="82"/>
        <v>42.142857142857132</v>
      </c>
      <c r="H106" s="16">
        <f t="shared" si="82"/>
        <v>20.285714285714288</v>
      </c>
      <c r="I106" s="16">
        <f t="shared" si="82"/>
        <v>313.07142857142856</v>
      </c>
      <c r="J106" s="16">
        <f t="shared" si="82"/>
        <v>103.71428571428572</v>
      </c>
      <c r="K106" s="16">
        <f t="shared" si="82"/>
        <v>90.285714285714263</v>
      </c>
      <c r="L106" s="16">
        <f t="shared" si="82"/>
        <v>40.571428571428569</v>
      </c>
      <c r="M106" s="16">
        <f>SUM(M10:M105)</f>
        <v>9341.7142857142844</v>
      </c>
      <c r="N106" s="16">
        <f t="shared" ref="N106:O106" si="83">SUM(N10:N105)</f>
        <v>0</v>
      </c>
      <c r="O106" s="16">
        <f t="shared" si="83"/>
        <v>6900.5714285714294</v>
      </c>
      <c r="P106" s="16">
        <f>SUM(P10:P105)</f>
        <v>17367.78571428571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84">C106/$P$106</f>
        <v>0.21576481910269019</v>
      </c>
      <c r="D107" s="43">
        <f t="shared" si="84"/>
        <v>3.0450464529979571E-2</v>
      </c>
      <c r="E107" s="43">
        <f t="shared" si="84"/>
        <v>2.7082159498908086E-2</v>
      </c>
      <c r="F107" s="43">
        <f t="shared" si="84"/>
        <v>8.8896108970219934E-2</v>
      </c>
      <c r="G107" s="43">
        <f t="shared" si="84"/>
        <v>2.4264956878292734E-3</v>
      </c>
      <c r="H107" s="43">
        <f t="shared" si="84"/>
        <v>1.1680080938025659E-3</v>
      </c>
      <c r="I107" s="43">
        <f t="shared" si="84"/>
        <v>1.8025984067382556E-2</v>
      </c>
      <c r="J107" s="43">
        <f t="shared" si="84"/>
        <v>5.9716470147934001E-3</v>
      </c>
      <c r="K107" s="43">
        <f t="shared" si="84"/>
        <v>5.1984585583325447E-3</v>
      </c>
      <c r="L107" s="43">
        <f t="shared" si="84"/>
        <v>2.3360161876051313E-3</v>
      </c>
      <c r="M107" s="43">
        <f t="shared" si="84"/>
        <v>0.53787595260519272</v>
      </c>
      <c r="N107" s="43">
        <f t="shared" si="84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0.54305026498840669</v>
      </c>
      <c r="D108" s="44">
        <f t="shared" ref="D108:N108" si="85">D106/$O$106</f>
        <v>7.6639615766810193E-2</v>
      </c>
      <c r="E108" s="44">
        <f t="shared" si="85"/>
        <v>6.8162056972507448E-2</v>
      </c>
      <c r="F108" s="44">
        <f t="shared" si="85"/>
        <v>0.22373923484597549</v>
      </c>
      <c r="G108" s="44">
        <f t="shared" si="85"/>
        <v>6.1071546869824423E-3</v>
      </c>
      <c r="H108" s="44">
        <f t="shared" si="85"/>
        <v>2.9397151374627359E-3</v>
      </c>
      <c r="I108" s="44">
        <f t="shared" si="85"/>
        <v>4.5368913547532287E-2</v>
      </c>
      <c r="J108" s="44">
        <f t="shared" si="85"/>
        <v>1.5029811195760185E-2</v>
      </c>
      <c r="K108" s="44">
        <f t="shared" si="85"/>
        <v>1.3083802583636962E-2</v>
      </c>
      <c r="L108" s="44">
        <f t="shared" si="85"/>
        <v>5.879430274925471E-3</v>
      </c>
      <c r="M108" s="44"/>
      <c r="N108" s="44">
        <f t="shared" si="85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tabSelected="1" view="pageBreakPreview" topLeftCell="G55" zoomScale="60" workbookViewId="0">
      <selection activeCell="AE58" sqref="AE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3" t="str">
        <f>'28.07 Kabusu-Kitebi'!C3:G3</f>
        <v>MCC - C1 - STN06-WANKULUKUKU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6" t="s">
        <v>169</v>
      </c>
      <c r="E5" s="67"/>
      <c r="F5" s="41" t="s">
        <v>1</v>
      </c>
      <c r="G5" s="64" t="str">
        <f>'Avg Week Kabusu-Kitebi'!G5:H5</f>
        <v>kobil head office</v>
      </c>
      <c r="H5" s="65"/>
      <c r="I5" s="14"/>
      <c r="J5" s="2" t="s">
        <v>5</v>
      </c>
      <c r="K5" s="64" t="str">
        <f>'Avg Week Kabusu-Kitebi'!K5:L5</f>
        <v>Ocaka Francis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8" t="s">
        <v>161</v>
      </c>
      <c r="E6" s="69"/>
      <c r="F6" s="2" t="s">
        <v>2</v>
      </c>
      <c r="G6" s="68" t="s">
        <v>161</v>
      </c>
      <c r="H6" s="69"/>
      <c r="J6" s="2" t="s">
        <v>21</v>
      </c>
      <c r="K6" s="64" t="str">
        <f>'Avg Week Kabusu-Kitebi'!K6:L6</f>
        <v>Oloya Felix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Kitebi-Kabusu'!C10+'Avg Week Kabusu-Kitebi'!C10</f>
        <v>141.57142857142856</v>
      </c>
      <c r="D10" s="49">
        <f>'Avg Kitebi-Kabusu'!D10+'Avg Week Kabusu-Kitebi'!D10</f>
        <v>19</v>
      </c>
      <c r="E10" s="49">
        <f>'Avg Kitebi-Kabusu'!E10+'Avg Week Kabusu-Kitebi'!E10</f>
        <v>14.714285714285715</v>
      </c>
      <c r="F10" s="49">
        <f>'Avg Kitebi-Kabusu'!F10+'Avg Week Kabusu-Kitebi'!F10</f>
        <v>53.142857142857139</v>
      </c>
      <c r="G10" s="49">
        <f>'Avg Kitebi-Kabusu'!G10+'Avg Week Kabusu-Kitebi'!G10</f>
        <v>0.5714285714285714</v>
      </c>
      <c r="H10" s="49">
        <f>'Avg Kitebi-Kabusu'!H10+'Avg Week Kabusu-Kitebi'!H10</f>
        <v>0.71428571428571419</v>
      </c>
      <c r="I10" s="49">
        <f>'Avg Kitebi-Kabusu'!I10+'Avg Week Kabusu-Kitebi'!I10</f>
        <v>5.8571428571428577</v>
      </c>
      <c r="J10" s="49">
        <f>'Avg Kitebi-Kabusu'!J10+'Avg Week Kabusu-Kitebi'!J10</f>
        <v>0.71428571428571419</v>
      </c>
      <c r="K10" s="49">
        <f>'Avg Kitebi-Kabusu'!K10+'Avg Week Kabusu-Kitebi'!K10</f>
        <v>0.71428571428571419</v>
      </c>
      <c r="L10" s="49">
        <f>'Avg Kitebi-Kabusu'!L10+'Avg Week Kabusu-Kitebi'!L10</f>
        <v>0.5714285714285714</v>
      </c>
      <c r="M10" s="49">
        <f>'Avg Kitebi-Kabusu'!M10+'Avg Week Kabusu-Kitebi'!M10</f>
        <v>245.42857142857142</v>
      </c>
      <c r="N10" s="49">
        <f>'Avg Kitebi-Kabusu'!N10+'Avg Week Kabusu-Kitebi'!N10</f>
        <v>0</v>
      </c>
      <c r="O10" s="15">
        <f t="shared" ref="O10:O57" si="0">SUM(C10:L10,N10)</f>
        <v>237.57142857142861</v>
      </c>
      <c r="P10" s="15">
        <f t="shared" ref="P10:P57" si="1">SUM(C10:N10)</f>
        <v>483</v>
      </c>
      <c r="R10" s="1" t="s">
        <v>6</v>
      </c>
      <c r="S10" s="17">
        <f t="shared" ref="S10:AF10" si="2">SUM(C10:C13)</f>
        <v>537.14285714285711</v>
      </c>
      <c r="T10" s="17">
        <f t="shared" si="2"/>
        <v>68.571428571428569</v>
      </c>
      <c r="U10" s="17">
        <f t="shared" si="2"/>
        <v>53.714285714285715</v>
      </c>
      <c r="V10" s="17">
        <f t="shared" si="2"/>
        <v>210.57142857142858</v>
      </c>
      <c r="W10" s="17">
        <f t="shared" si="2"/>
        <v>3.714285714285714</v>
      </c>
      <c r="X10" s="17">
        <f t="shared" si="2"/>
        <v>3</v>
      </c>
      <c r="Y10" s="17">
        <f t="shared" si="2"/>
        <v>23.714285714285715</v>
      </c>
      <c r="Z10" s="17">
        <f t="shared" si="2"/>
        <v>2.5714285714285712</v>
      </c>
      <c r="AA10" s="17">
        <f t="shared" si="2"/>
        <v>30.285714285714285</v>
      </c>
      <c r="AB10" s="17">
        <f t="shared" si="2"/>
        <v>3.5714285714285712</v>
      </c>
      <c r="AC10" s="17">
        <f t="shared" si="2"/>
        <v>1162</v>
      </c>
      <c r="AD10" s="17">
        <f t="shared" si="2"/>
        <v>0</v>
      </c>
      <c r="AE10" s="31">
        <f t="shared" si="2"/>
        <v>936.85714285714289</v>
      </c>
      <c r="AF10" s="31">
        <f t="shared" si="2"/>
        <v>2098.8571428571427</v>
      </c>
    </row>
    <row r="11" spans="2:32" s="6" customFormat="1" ht="23.1" customHeight="1" x14ac:dyDescent="0.25">
      <c r="B11" s="23" t="s">
        <v>38</v>
      </c>
      <c r="C11" s="49">
        <f>'Avg Kitebi-Kabusu'!C11+'Avg Week Kabusu-Kitebi'!C11</f>
        <v>134.42857142857142</v>
      </c>
      <c r="D11" s="49">
        <f>'Avg Kitebi-Kabusu'!D11+'Avg Week Kabusu-Kitebi'!D11</f>
        <v>13.714285714285715</v>
      </c>
      <c r="E11" s="49">
        <f>'Avg Kitebi-Kabusu'!E11+'Avg Week Kabusu-Kitebi'!E11</f>
        <v>13.285714285714286</v>
      </c>
      <c r="F11" s="49">
        <f>'Avg Kitebi-Kabusu'!F11+'Avg Week Kabusu-Kitebi'!F11</f>
        <v>54.857142857142861</v>
      </c>
      <c r="G11" s="49">
        <f>'Avg Kitebi-Kabusu'!G11+'Avg Week Kabusu-Kitebi'!G11</f>
        <v>0.8571428571428571</v>
      </c>
      <c r="H11" s="49">
        <f>'Avg Kitebi-Kabusu'!H11+'Avg Week Kabusu-Kitebi'!H11</f>
        <v>0.85714285714285721</v>
      </c>
      <c r="I11" s="49">
        <f>'Avg Kitebi-Kabusu'!I11+'Avg Week Kabusu-Kitebi'!I11</f>
        <v>4.1428571428571423</v>
      </c>
      <c r="J11" s="49">
        <f>'Avg Kitebi-Kabusu'!J11+'Avg Week Kabusu-Kitebi'!J11</f>
        <v>0.42857142857142855</v>
      </c>
      <c r="K11" s="49">
        <f>'Avg Kitebi-Kabusu'!K11+'Avg Week Kabusu-Kitebi'!K11</f>
        <v>1</v>
      </c>
      <c r="L11" s="49">
        <f>'Avg Kitebi-Kabusu'!L11+'Avg Week Kabusu-Kitebi'!L11</f>
        <v>0.7142857142857143</v>
      </c>
      <c r="M11" s="49">
        <f>'Avg Kitebi-Kabusu'!M11+'Avg Week Kabusu-Kitebi'!M11</f>
        <v>290.71428571428572</v>
      </c>
      <c r="N11" s="49">
        <f>'Avg Kitebi-Kabusu'!N11+'Avg Week Kabusu-Kitebi'!N11</f>
        <v>0</v>
      </c>
      <c r="O11" s="15">
        <f t="shared" si="0"/>
        <v>224.28571428571428</v>
      </c>
      <c r="P11" s="15">
        <f t="shared" si="1"/>
        <v>515</v>
      </c>
      <c r="R11" s="1" t="s">
        <v>7</v>
      </c>
      <c r="S11" s="17">
        <f t="shared" ref="S11:AF11" si="3">SUM(C14:C17)</f>
        <v>445.71428571428572</v>
      </c>
      <c r="T11" s="17">
        <f t="shared" si="3"/>
        <v>63.285714285714278</v>
      </c>
      <c r="U11" s="17">
        <f t="shared" si="3"/>
        <v>51.857142857142861</v>
      </c>
      <c r="V11" s="17">
        <f t="shared" si="3"/>
        <v>199</v>
      </c>
      <c r="W11" s="17">
        <f t="shared" si="3"/>
        <v>5.4285714285714288</v>
      </c>
      <c r="X11" s="17">
        <f t="shared" si="3"/>
        <v>3</v>
      </c>
      <c r="Y11" s="17">
        <f t="shared" si="3"/>
        <v>39.142857142857139</v>
      </c>
      <c r="Z11" s="17">
        <f t="shared" si="3"/>
        <v>6.1428571428571432</v>
      </c>
      <c r="AA11" s="17">
        <f t="shared" si="3"/>
        <v>5.4285714285714288</v>
      </c>
      <c r="AB11" s="17">
        <f t="shared" si="3"/>
        <v>4.8571428571428577</v>
      </c>
      <c r="AC11" s="17">
        <f t="shared" si="3"/>
        <v>1456</v>
      </c>
      <c r="AD11" s="17">
        <f t="shared" si="3"/>
        <v>0</v>
      </c>
      <c r="AE11" s="31">
        <f t="shared" si="3"/>
        <v>823.85714285714278</v>
      </c>
      <c r="AF11" s="31">
        <f t="shared" si="3"/>
        <v>2279.8571428571431</v>
      </c>
    </row>
    <row r="12" spans="2:32" ht="23.1" customHeight="1" x14ac:dyDescent="0.25">
      <c r="B12" s="23" t="s">
        <v>39</v>
      </c>
      <c r="C12" s="49">
        <f>'Avg Kitebi-Kabusu'!C12+'Avg Week Kabusu-Kitebi'!C12</f>
        <v>131.85714285714286</v>
      </c>
      <c r="D12" s="49">
        <f>'Avg Kitebi-Kabusu'!D12+'Avg Week Kabusu-Kitebi'!D12</f>
        <v>17.714285714285715</v>
      </c>
      <c r="E12" s="49">
        <f>'Avg Kitebi-Kabusu'!E12+'Avg Week Kabusu-Kitebi'!E12</f>
        <v>13.714285714285714</v>
      </c>
      <c r="F12" s="49">
        <f>'Avg Kitebi-Kabusu'!F12+'Avg Week Kabusu-Kitebi'!F12</f>
        <v>52.428571428571431</v>
      </c>
      <c r="G12" s="49">
        <f>'Avg Kitebi-Kabusu'!G12+'Avg Week Kabusu-Kitebi'!G12</f>
        <v>1.2857142857142856</v>
      </c>
      <c r="H12" s="49">
        <f>'Avg Kitebi-Kabusu'!H12+'Avg Week Kabusu-Kitebi'!H12</f>
        <v>0.42857142857142855</v>
      </c>
      <c r="I12" s="49">
        <f>'Avg Kitebi-Kabusu'!I12+'Avg Week Kabusu-Kitebi'!I12</f>
        <v>5.1428571428571423</v>
      </c>
      <c r="J12" s="49">
        <f>'Avg Kitebi-Kabusu'!J12+'Avg Week Kabusu-Kitebi'!J12</f>
        <v>0.71428571428571419</v>
      </c>
      <c r="K12" s="49">
        <f>'Avg Kitebi-Kabusu'!K12+'Avg Week Kabusu-Kitebi'!K12</f>
        <v>0.8571428571428571</v>
      </c>
      <c r="L12" s="49">
        <f>'Avg Kitebi-Kabusu'!L12+'Avg Week Kabusu-Kitebi'!L12</f>
        <v>1.4285714285714284</v>
      </c>
      <c r="M12" s="49">
        <f>'Avg Kitebi-Kabusu'!M12+'Avg Week Kabusu-Kitebi'!M12</f>
        <v>307</v>
      </c>
      <c r="N12" s="49">
        <f>'Avg Kitebi-Kabusu'!N12+'Avg Week Kabusu-Kitebi'!N12</f>
        <v>0</v>
      </c>
      <c r="O12" s="15">
        <f t="shared" si="0"/>
        <v>225.57142857142856</v>
      </c>
      <c r="P12" s="15">
        <f t="shared" si="1"/>
        <v>532.57142857142856</v>
      </c>
      <c r="R12" s="1" t="s">
        <v>8</v>
      </c>
      <c r="S12" s="17">
        <f t="shared" ref="S12:AF12" si="4">SUM(C18:C21)</f>
        <v>402.14285714285717</v>
      </c>
      <c r="T12" s="17">
        <f t="shared" si="4"/>
        <v>61.857142857142861</v>
      </c>
      <c r="U12" s="17">
        <f t="shared" si="4"/>
        <v>56.857142857142861</v>
      </c>
      <c r="V12" s="17">
        <f t="shared" si="4"/>
        <v>196</v>
      </c>
      <c r="W12" s="17">
        <f t="shared" si="4"/>
        <v>4.2857142857142847</v>
      </c>
      <c r="X12" s="17">
        <f t="shared" si="4"/>
        <v>1.4761904761904763</v>
      </c>
      <c r="Y12" s="17">
        <f t="shared" si="4"/>
        <v>42.428571428571431</v>
      </c>
      <c r="Z12" s="17">
        <f t="shared" si="4"/>
        <v>7.1428571428571423</v>
      </c>
      <c r="AA12" s="17">
        <f t="shared" si="4"/>
        <v>5.8571428571428568</v>
      </c>
      <c r="AB12" s="17">
        <f t="shared" si="4"/>
        <v>3.4285714285714284</v>
      </c>
      <c r="AC12" s="17">
        <f t="shared" si="4"/>
        <v>1442</v>
      </c>
      <c r="AD12" s="17">
        <f t="shared" si="4"/>
        <v>0</v>
      </c>
      <c r="AE12" s="31">
        <f t="shared" si="4"/>
        <v>781.47619047619048</v>
      </c>
      <c r="AF12" s="31">
        <f t="shared" si="4"/>
        <v>2223.4761904761904</v>
      </c>
    </row>
    <row r="13" spans="2:32" ht="23.1" customHeight="1" x14ac:dyDescent="0.25">
      <c r="B13" s="23" t="s">
        <v>40</v>
      </c>
      <c r="C13" s="49">
        <f>'Avg Kitebi-Kabusu'!C13+'Avg Week Kabusu-Kitebi'!C13</f>
        <v>129.28571428571428</v>
      </c>
      <c r="D13" s="49">
        <f>'Avg Kitebi-Kabusu'!D13+'Avg Week Kabusu-Kitebi'!D13</f>
        <v>18.142857142857142</v>
      </c>
      <c r="E13" s="49">
        <f>'Avg Kitebi-Kabusu'!E13+'Avg Week Kabusu-Kitebi'!E13</f>
        <v>12</v>
      </c>
      <c r="F13" s="49">
        <f>'Avg Kitebi-Kabusu'!F13+'Avg Week Kabusu-Kitebi'!F13</f>
        <v>50.142857142857139</v>
      </c>
      <c r="G13" s="49">
        <f>'Avg Kitebi-Kabusu'!G13+'Avg Week Kabusu-Kitebi'!G13</f>
        <v>1</v>
      </c>
      <c r="H13" s="49">
        <f>'Avg Kitebi-Kabusu'!H13+'Avg Week Kabusu-Kitebi'!H13</f>
        <v>1</v>
      </c>
      <c r="I13" s="49">
        <f>'Avg Kitebi-Kabusu'!I13+'Avg Week Kabusu-Kitebi'!I13</f>
        <v>8.5714285714285712</v>
      </c>
      <c r="J13" s="49">
        <f>'Avg Kitebi-Kabusu'!J13+'Avg Week Kabusu-Kitebi'!J13</f>
        <v>0.7142857142857143</v>
      </c>
      <c r="K13" s="49">
        <f>'Avg Kitebi-Kabusu'!K13+'Avg Week Kabusu-Kitebi'!K13</f>
        <v>27.714285714285715</v>
      </c>
      <c r="L13" s="49">
        <f>'Avg Kitebi-Kabusu'!L13+'Avg Week Kabusu-Kitebi'!L13</f>
        <v>0.8571428571428571</v>
      </c>
      <c r="M13" s="49">
        <f>'Avg Kitebi-Kabusu'!M13+'Avg Week Kabusu-Kitebi'!M13</f>
        <v>318.85714285714289</v>
      </c>
      <c r="N13" s="49">
        <f>'Avg Kitebi-Kabusu'!N13+'Avg Week Kabusu-Kitebi'!N13</f>
        <v>0</v>
      </c>
      <c r="O13" s="15">
        <f t="shared" si="0"/>
        <v>249.42857142857144</v>
      </c>
      <c r="P13" s="15">
        <f t="shared" si="1"/>
        <v>568.28571428571433</v>
      </c>
      <c r="R13" s="1" t="s">
        <v>9</v>
      </c>
      <c r="S13" s="17">
        <f t="shared" ref="S13:AF13" si="5">SUM(C22:C25)</f>
        <v>391.14285714285711</v>
      </c>
      <c r="T13" s="17">
        <f t="shared" si="5"/>
        <v>70.714285714285722</v>
      </c>
      <c r="U13" s="17">
        <f t="shared" si="5"/>
        <v>51.428571428571431</v>
      </c>
      <c r="V13" s="17">
        <f t="shared" si="5"/>
        <v>181.85714285714283</v>
      </c>
      <c r="W13" s="17">
        <f t="shared" si="5"/>
        <v>3.5714285714285712</v>
      </c>
      <c r="X13" s="17">
        <f t="shared" si="5"/>
        <v>1.2857142857142856</v>
      </c>
      <c r="Y13" s="17">
        <f t="shared" si="5"/>
        <v>47.714285714285722</v>
      </c>
      <c r="Z13" s="17">
        <f t="shared" si="5"/>
        <v>8.1428571428571423</v>
      </c>
      <c r="AA13" s="17">
        <f t="shared" si="5"/>
        <v>8.8571428571428559</v>
      </c>
      <c r="AB13" s="17">
        <f t="shared" si="5"/>
        <v>5.5714285714285712</v>
      </c>
      <c r="AC13" s="17">
        <f t="shared" si="5"/>
        <v>1368.1428571428569</v>
      </c>
      <c r="AD13" s="17">
        <f t="shared" si="5"/>
        <v>0</v>
      </c>
      <c r="AE13" s="31">
        <f t="shared" si="5"/>
        <v>770.28571428571422</v>
      </c>
      <c r="AF13" s="31">
        <f t="shared" si="5"/>
        <v>2138.4285714285716</v>
      </c>
    </row>
    <row r="14" spans="2:32" ht="23.1" customHeight="1" x14ac:dyDescent="0.25">
      <c r="B14" s="23" t="s">
        <v>41</v>
      </c>
      <c r="C14" s="49">
        <f>'Avg Kitebi-Kabusu'!C14+'Avg Week Kabusu-Kitebi'!C14</f>
        <v>119.85714285714285</v>
      </c>
      <c r="D14" s="49">
        <f>'Avg Kitebi-Kabusu'!D14+'Avg Week Kabusu-Kitebi'!D14</f>
        <v>13.857142857142858</v>
      </c>
      <c r="E14" s="49">
        <f>'Avg Kitebi-Kabusu'!E14+'Avg Week Kabusu-Kitebi'!E14</f>
        <v>11.571428571428573</v>
      </c>
      <c r="F14" s="49">
        <f>'Avg Kitebi-Kabusu'!F14+'Avg Week Kabusu-Kitebi'!F14</f>
        <v>51.285714285714285</v>
      </c>
      <c r="G14" s="49">
        <f>'Avg Kitebi-Kabusu'!G14+'Avg Week Kabusu-Kitebi'!G14</f>
        <v>1.5714285714285714</v>
      </c>
      <c r="H14" s="49">
        <f>'Avg Kitebi-Kabusu'!H14+'Avg Week Kabusu-Kitebi'!H14</f>
        <v>0.42857142857142855</v>
      </c>
      <c r="I14" s="49">
        <f>'Avg Kitebi-Kabusu'!I14+'Avg Week Kabusu-Kitebi'!I14</f>
        <v>9.2857142857142865</v>
      </c>
      <c r="J14" s="49">
        <f>'Avg Kitebi-Kabusu'!J14+'Avg Week Kabusu-Kitebi'!J14</f>
        <v>1.2857142857142856</v>
      </c>
      <c r="K14" s="49">
        <f>'Avg Kitebi-Kabusu'!K14+'Avg Week Kabusu-Kitebi'!K14</f>
        <v>1.5714285714285714</v>
      </c>
      <c r="L14" s="49">
        <f>'Avg Kitebi-Kabusu'!L14+'Avg Week Kabusu-Kitebi'!L14</f>
        <v>0.42857142857142855</v>
      </c>
      <c r="M14" s="49">
        <f>'Avg Kitebi-Kabusu'!M14+'Avg Week Kabusu-Kitebi'!M14</f>
        <v>358.28571428571433</v>
      </c>
      <c r="N14" s="49">
        <f>'Avg Kitebi-Kabusu'!N14+'Avg Week Kabusu-Kitebi'!N14</f>
        <v>0</v>
      </c>
      <c r="O14" s="15">
        <f t="shared" si="0"/>
        <v>211.14285714285711</v>
      </c>
      <c r="P14" s="15">
        <f t="shared" si="1"/>
        <v>569.42857142857144</v>
      </c>
      <c r="R14" s="1" t="s">
        <v>10</v>
      </c>
      <c r="S14" s="17">
        <f t="shared" ref="S14:AF14" si="6">SUM(C26:C29)</f>
        <v>359.28571428571428</v>
      </c>
      <c r="T14" s="17">
        <f t="shared" si="6"/>
        <v>57.285714285714285</v>
      </c>
      <c r="U14" s="17">
        <f t="shared" si="6"/>
        <v>59.142857142857139</v>
      </c>
      <c r="V14" s="17">
        <f t="shared" si="6"/>
        <v>169.28571428571428</v>
      </c>
      <c r="W14" s="17">
        <f t="shared" si="6"/>
        <v>5</v>
      </c>
      <c r="X14" s="17">
        <f t="shared" si="6"/>
        <v>1.4285714285714284</v>
      </c>
      <c r="Y14" s="17">
        <f t="shared" si="6"/>
        <v>47.428571428571431</v>
      </c>
      <c r="Z14" s="17">
        <f t="shared" si="6"/>
        <v>7.5714285714285712</v>
      </c>
      <c r="AA14" s="17">
        <f t="shared" si="6"/>
        <v>11.571428571428571</v>
      </c>
      <c r="AB14" s="17">
        <f t="shared" si="6"/>
        <v>5.1428571428571432</v>
      </c>
      <c r="AC14" s="17">
        <f t="shared" si="6"/>
        <v>1259.7142857142858</v>
      </c>
      <c r="AD14" s="17">
        <f t="shared" si="6"/>
        <v>0</v>
      </c>
      <c r="AE14" s="31">
        <f t="shared" si="6"/>
        <v>723.14285714285711</v>
      </c>
      <c r="AF14" s="31">
        <f t="shared" si="6"/>
        <v>1982.8571428571429</v>
      </c>
    </row>
    <row r="15" spans="2:32" ht="23.1" customHeight="1" x14ac:dyDescent="0.25">
      <c r="B15" s="23" t="s">
        <v>42</v>
      </c>
      <c r="C15" s="49">
        <f>'Avg Kitebi-Kabusu'!C15+'Avg Week Kabusu-Kitebi'!C15</f>
        <v>111</v>
      </c>
      <c r="D15" s="49">
        <f>'Avg Kitebi-Kabusu'!D15+'Avg Week Kabusu-Kitebi'!D15</f>
        <v>12.428571428571427</v>
      </c>
      <c r="E15" s="49">
        <f>'Avg Kitebi-Kabusu'!E15+'Avg Week Kabusu-Kitebi'!E15</f>
        <v>12.285714285714285</v>
      </c>
      <c r="F15" s="49">
        <f>'Avg Kitebi-Kabusu'!F15+'Avg Week Kabusu-Kitebi'!F15</f>
        <v>47.714285714285715</v>
      </c>
      <c r="G15" s="49">
        <f>'Avg Kitebi-Kabusu'!G15+'Avg Week Kabusu-Kitebi'!G15</f>
        <v>1.7142857142857142</v>
      </c>
      <c r="H15" s="49">
        <f>'Avg Kitebi-Kabusu'!H15+'Avg Week Kabusu-Kitebi'!H15</f>
        <v>0.42857142857142855</v>
      </c>
      <c r="I15" s="49">
        <f>'Avg Kitebi-Kabusu'!I15+'Avg Week Kabusu-Kitebi'!I15</f>
        <v>8.4285714285714288</v>
      </c>
      <c r="J15" s="49">
        <f>'Avg Kitebi-Kabusu'!J15+'Avg Week Kabusu-Kitebi'!J15</f>
        <v>0.71428571428571419</v>
      </c>
      <c r="K15" s="49">
        <f>'Avg Kitebi-Kabusu'!K15+'Avg Week Kabusu-Kitebi'!K15</f>
        <v>1</v>
      </c>
      <c r="L15" s="49">
        <f>'Avg Kitebi-Kabusu'!L15+'Avg Week Kabusu-Kitebi'!L15</f>
        <v>1.4285714285714286</v>
      </c>
      <c r="M15" s="49">
        <f>'Avg Kitebi-Kabusu'!M15+'Avg Week Kabusu-Kitebi'!M15</f>
        <v>345.57142857142856</v>
      </c>
      <c r="N15" s="49">
        <f>'Avg Kitebi-Kabusu'!N15+'Avg Week Kabusu-Kitebi'!N15</f>
        <v>0</v>
      </c>
      <c r="O15" s="15">
        <f t="shared" si="0"/>
        <v>197.14285714285714</v>
      </c>
      <c r="P15" s="15">
        <f t="shared" si="1"/>
        <v>542.71428571428567</v>
      </c>
      <c r="R15" s="1" t="s">
        <v>11</v>
      </c>
      <c r="S15" s="17">
        <f t="shared" ref="S15:AF15" si="7">SUM(C30:C33)</f>
        <v>328.42857142857139</v>
      </c>
      <c r="T15" s="17">
        <f t="shared" si="7"/>
        <v>51.285714285714278</v>
      </c>
      <c r="U15" s="17">
        <f>SUM(E30:E33)</f>
        <v>50.571428571428569</v>
      </c>
      <c r="V15" s="17">
        <f t="shared" si="7"/>
        <v>156</v>
      </c>
      <c r="W15" s="17">
        <f t="shared" si="7"/>
        <v>2.4285714285714288</v>
      </c>
      <c r="X15" s="17">
        <f t="shared" si="7"/>
        <v>0.71428571428571419</v>
      </c>
      <c r="Y15" s="17">
        <f t="shared" si="7"/>
        <v>49.571428571428577</v>
      </c>
      <c r="Z15" s="17">
        <f t="shared" si="7"/>
        <v>9.8571428571428577</v>
      </c>
      <c r="AA15" s="17">
        <f t="shared" si="7"/>
        <v>3.714285714285714</v>
      </c>
      <c r="AB15" s="17">
        <f t="shared" si="7"/>
        <v>3.5714285714285712</v>
      </c>
      <c r="AC15" s="17">
        <f t="shared" si="7"/>
        <v>1123.8571428571429</v>
      </c>
      <c r="AD15" s="17">
        <f t="shared" si="7"/>
        <v>0</v>
      </c>
      <c r="AE15" s="31">
        <f t="shared" si="7"/>
        <v>656.14285714285711</v>
      </c>
      <c r="AF15" s="31">
        <f t="shared" si="7"/>
        <v>1780</v>
      </c>
    </row>
    <row r="16" spans="2:32" ht="23.1" customHeight="1" x14ac:dyDescent="0.25">
      <c r="B16" s="23" t="s">
        <v>43</v>
      </c>
      <c r="C16" s="49">
        <f>'Avg Kitebi-Kabusu'!C16+'Avg Week Kabusu-Kitebi'!C16</f>
        <v>105.71428571428571</v>
      </c>
      <c r="D16" s="49">
        <f>'Avg Kitebi-Kabusu'!D16+'Avg Week Kabusu-Kitebi'!D16</f>
        <v>17.857142857142858</v>
      </c>
      <c r="E16" s="49">
        <f>'Avg Kitebi-Kabusu'!E16+'Avg Week Kabusu-Kitebi'!E16</f>
        <v>15</v>
      </c>
      <c r="F16" s="49">
        <f>'Avg Kitebi-Kabusu'!F16+'Avg Week Kabusu-Kitebi'!F16</f>
        <v>52.857142857142861</v>
      </c>
      <c r="G16" s="49">
        <f>'Avg Kitebi-Kabusu'!G16+'Avg Week Kabusu-Kitebi'!G16</f>
        <v>1.4285714285714286</v>
      </c>
      <c r="H16" s="49">
        <f>'Avg Kitebi-Kabusu'!H16+'Avg Week Kabusu-Kitebi'!H16</f>
        <v>0.2857142857142857</v>
      </c>
      <c r="I16" s="49">
        <f>'Avg Kitebi-Kabusu'!I16+'Avg Week Kabusu-Kitebi'!I16</f>
        <v>11.571428571428571</v>
      </c>
      <c r="J16" s="49">
        <f>'Avg Kitebi-Kabusu'!J16+'Avg Week Kabusu-Kitebi'!J16</f>
        <v>1.7142857142857144</v>
      </c>
      <c r="K16" s="49">
        <f>'Avg Kitebi-Kabusu'!K16+'Avg Week Kabusu-Kitebi'!K16</f>
        <v>1</v>
      </c>
      <c r="L16" s="49">
        <f>'Avg Kitebi-Kabusu'!L16+'Avg Week Kabusu-Kitebi'!L16</f>
        <v>1.7142857142857144</v>
      </c>
      <c r="M16" s="49">
        <f>'Avg Kitebi-Kabusu'!M16+'Avg Week Kabusu-Kitebi'!M16</f>
        <v>386.85714285714289</v>
      </c>
      <c r="N16" s="49">
        <f>'Avg Kitebi-Kabusu'!N16+'Avg Week Kabusu-Kitebi'!N16</f>
        <v>0</v>
      </c>
      <c r="O16" s="15">
        <f t="shared" si="0"/>
        <v>209.14285714285714</v>
      </c>
      <c r="P16" s="15">
        <f t="shared" si="1"/>
        <v>596</v>
      </c>
      <c r="R16" s="1" t="s">
        <v>12</v>
      </c>
      <c r="S16" s="17">
        <f t="shared" ref="S16:AF16" si="8">SUM(C34:C37)</f>
        <v>321.14285714285711</v>
      </c>
      <c r="T16" s="17">
        <f t="shared" si="8"/>
        <v>47.428571428571431</v>
      </c>
      <c r="U16" s="17">
        <f t="shared" si="8"/>
        <v>54.714285714285715</v>
      </c>
      <c r="V16" s="17">
        <f t="shared" si="8"/>
        <v>156.14285714285717</v>
      </c>
      <c r="W16" s="17">
        <f t="shared" si="8"/>
        <v>2.5714285714285712</v>
      </c>
      <c r="X16" s="17">
        <f t="shared" si="8"/>
        <v>2.1428571428571423</v>
      </c>
      <c r="Y16" s="17">
        <f t="shared" si="8"/>
        <v>44.285714285714285</v>
      </c>
      <c r="Z16" s="17">
        <f t="shared" si="8"/>
        <v>10.285714285714285</v>
      </c>
      <c r="AA16" s="17">
        <f t="shared" si="8"/>
        <v>7.4285714285714288</v>
      </c>
      <c r="AB16" s="17">
        <f t="shared" si="8"/>
        <v>6.1428571428571423</v>
      </c>
      <c r="AC16" s="17">
        <f t="shared" si="8"/>
        <v>1116.7142857142856</v>
      </c>
      <c r="AD16" s="17">
        <f t="shared" si="8"/>
        <v>0</v>
      </c>
      <c r="AE16" s="31">
        <f t="shared" si="8"/>
        <v>652.28571428571433</v>
      </c>
      <c r="AF16" s="31">
        <f t="shared" si="8"/>
        <v>1769</v>
      </c>
    </row>
    <row r="17" spans="2:32" ht="23.1" customHeight="1" x14ac:dyDescent="0.25">
      <c r="B17" s="23" t="s">
        <v>44</v>
      </c>
      <c r="C17" s="49">
        <f>'Avg Kitebi-Kabusu'!C17+'Avg Week Kabusu-Kitebi'!C17</f>
        <v>109.14285714285715</v>
      </c>
      <c r="D17" s="49">
        <f>'Avg Kitebi-Kabusu'!D17+'Avg Week Kabusu-Kitebi'!D17</f>
        <v>19.142857142857142</v>
      </c>
      <c r="E17" s="49">
        <f>'Avg Kitebi-Kabusu'!E17+'Avg Week Kabusu-Kitebi'!E17</f>
        <v>13</v>
      </c>
      <c r="F17" s="49">
        <f>'Avg Kitebi-Kabusu'!F17+'Avg Week Kabusu-Kitebi'!F17</f>
        <v>47.142857142857139</v>
      </c>
      <c r="G17" s="49">
        <f>'Avg Kitebi-Kabusu'!G17+'Avg Week Kabusu-Kitebi'!G17</f>
        <v>0.71428571428571419</v>
      </c>
      <c r="H17" s="49">
        <f>'Avg Kitebi-Kabusu'!H17+'Avg Week Kabusu-Kitebi'!H17</f>
        <v>1.857142857142857</v>
      </c>
      <c r="I17" s="49">
        <f>'Avg Kitebi-Kabusu'!I17+'Avg Week Kabusu-Kitebi'!I17</f>
        <v>9.8571428571428577</v>
      </c>
      <c r="J17" s="49">
        <f>'Avg Kitebi-Kabusu'!J17+'Avg Week Kabusu-Kitebi'!J17</f>
        <v>2.4285714285714288</v>
      </c>
      <c r="K17" s="49">
        <f>'Avg Kitebi-Kabusu'!K17+'Avg Week Kabusu-Kitebi'!K17</f>
        <v>1.8571428571428572</v>
      </c>
      <c r="L17" s="49">
        <f>'Avg Kitebi-Kabusu'!L17+'Avg Week Kabusu-Kitebi'!L17</f>
        <v>1.2857142857142856</v>
      </c>
      <c r="M17" s="49">
        <f>'Avg Kitebi-Kabusu'!M17+'Avg Week Kabusu-Kitebi'!M17</f>
        <v>365.28571428571428</v>
      </c>
      <c r="N17" s="49">
        <f>'Avg Kitebi-Kabusu'!N17+'Avg Week Kabusu-Kitebi'!N17</f>
        <v>0</v>
      </c>
      <c r="O17" s="15">
        <f t="shared" si="0"/>
        <v>206.42857142857144</v>
      </c>
      <c r="P17" s="15">
        <f t="shared" si="1"/>
        <v>571.71428571428578</v>
      </c>
      <c r="R17" s="1" t="s">
        <v>13</v>
      </c>
      <c r="S17" s="17">
        <f t="shared" ref="S17:AF17" si="9">SUM(C38:C41)</f>
        <v>357</v>
      </c>
      <c r="T17" s="17">
        <f t="shared" si="9"/>
        <v>59.428571428571431</v>
      </c>
      <c r="U17" s="17">
        <f t="shared" si="9"/>
        <v>48.714285714285708</v>
      </c>
      <c r="V17" s="17">
        <f t="shared" si="9"/>
        <v>137.42857142857144</v>
      </c>
      <c r="W17" s="17">
        <f t="shared" si="9"/>
        <v>2.4285714285714284</v>
      </c>
      <c r="X17" s="17">
        <f t="shared" si="9"/>
        <v>2.7142857142857144</v>
      </c>
      <c r="Y17" s="17">
        <f t="shared" si="9"/>
        <v>39.142857142857146</v>
      </c>
      <c r="Z17" s="17">
        <f t="shared" si="9"/>
        <v>12.857142857142858</v>
      </c>
      <c r="AA17" s="17">
        <f t="shared" si="9"/>
        <v>7</v>
      </c>
      <c r="AB17" s="17">
        <f t="shared" si="9"/>
        <v>5.1428571428571423</v>
      </c>
      <c r="AC17" s="17">
        <f t="shared" si="9"/>
        <v>1143.2857142857142</v>
      </c>
      <c r="AD17" s="17">
        <f t="shared" si="9"/>
        <v>0</v>
      </c>
      <c r="AE17" s="31">
        <f t="shared" si="9"/>
        <v>671.857142857143</v>
      </c>
      <c r="AF17" s="31">
        <f t="shared" si="9"/>
        <v>1815.1428571428571</v>
      </c>
    </row>
    <row r="18" spans="2:32" ht="23.1" customHeight="1" x14ac:dyDescent="0.25">
      <c r="B18" s="23" t="s">
        <v>45</v>
      </c>
      <c r="C18" s="49">
        <f>'Avg Kitebi-Kabusu'!C18+'Avg Week Kabusu-Kitebi'!C18</f>
        <v>108.42857142857143</v>
      </c>
      <c r="D18" s="49">
        <f>'Avg Kitebi-Kabusu'!D18+'Avg Week Kabusu-Kitebi'!D18</f>
        <v>16.428571428571431</v>
      </c>
      <c r="E18" s="49">
        <f>'Avg Kitebi-Kabusu'!E18+'Avg Week Kabusu-Kitebi'!E18</f>
        <v>14</v>
      </c>
      <c r="F18" s="49">
        <f>'Avg Kitebi-Kabusu'!F18+'Avg Week Kabusu-Kitebi'!F18</f>
        <v>48.571428571428569</v>
      </c>
      <c r="G18" s="49">
        <f>'Avg Kitebi-Kabusu'!G18+'Avg Week Kabusu-Kitebi'!G18</f>
        <v>1</v>
      </c>
      <c r="H18" s="49">
        <f>'Avg Kitebi-Kabusu'!H18+'Avg Week Kabusu-Kitebi'!H18</f>
        <v>0.42857142857142855</v>
      </c>
      <c r="I18" s="49">
        <f>'Avg Kitebi-Kabusu'!I18+'Avg Week Kabusu-Kitebi'!I18</f>
        <v>10</v>
      </c>
      <c r="J18" s="49">
        <f>'Avg Kitebi-Kabusu'!J18+'Avg Week Kabusu-Kitebi'!J18</f>
        <v>1.7142857142857144</v>
      </c>
      <c r="K18" s="49">
        <f>'Avg Kitebi-Kabusu'!K18+'Avg Week Kabusu-Kitebi'!K18</f>
        <v>1.2857142857142858</v>
      </c>
      <c r="L18" s="49">
        <f>'Avg Kitebi-Kabusu'!L18+'Avg Week Kabusu-Kitebi'!L18</f>
        <v>1.1428571428571428</v>
      </c>
      <c r="M18" s="49">
        <f>'Avg Kitebi-Kabusu'!M18+'Avg Week Kabusu-Kitebi'!M18</f>
        <v>384.85714285714289</v>
      </c>
      <c r="N18" s="49">
        <f>'Avg Kitebi-Kabusu'!N18+'Avg Week Kabusu-Kitebi'!N18</f>
        <v>0</v>
      </c>
      <c r="O18" s="15">
        <f t="shared" si="0"/>
        <v>203</v>
      </c>
      <c r="P18" s="15">
        <f t="shared" si="1"/>
        <v>587.85714285714289</v>
      </c>
      <c r="R18" s="1" t="s">
        <v>14</v>
      </c>
      <c r="S18" s="17">
        <f t="shared" ref="S18:AF18" si="10">SUM(C42:C45)</f>
        <v>342.28571428571428</v>
      </c>
      <c r="T18" s="17">
        <f t="shared" si="10"/>
        <v>54.142857142857146</v>
      </c>
      <c r="U18" s="17">
        <f t="shared" si="10"/>
        <v>51.428571428571423</v>
      </c>
      <c r="V18" s="17">
        <f t="shared" si="10"/>
        <v>127.71428571428572</v>
      </c>
      <c r="W18" s="17">
        <f t="shared" si="10"/>
        <v>2.5714285714285712</v>
      </c>
      <c r="X18" s="17">
        <f t="shared" si="10"/>
        <v>1.9999999999999996</v>
      </c>
      <c r="Y18" s="17">
        <f t="shared" si="10"/>
        <v>38.285714285714285</v>
      </c>
      <c r="Z18" s="17">
        <f t="shared" si="10"/>
        <v>9.2857142857142865</v>
      </c>
      <c r="AA18" s="17">
        <f t="shared" si="10"/>
        <v>6.2857142857142856</v>
      </c>
      <c r="AB18" s="17">
        <f t="shared" si="10"/>
        <v>4.4285714285714279</v>
      </c>
      <c r="AC18" s="17">
        <f t="shared" si="10"/>
        <v>1026.5714285714284</v>
      </c>
      <c r="AD18" s="17">
        <f t="shared" si="10"/>
        <v>0</v>
      </c>
      <c r="AE18" s="31">
        <f t="shared" si="10"/>
        <v>638.42857142857156</v>
      </c>
      <c r="AF18" s="31">
        <f t="shared" si="10"/>
        <v>1665</v>
      </c>
    </row>
    <row r="19" spans="2:32" ht="23.1" customHeight="1" x14ac:dyDescent="0.25">
      <c r="B19" s="23" t="s">
        <v>46</v>
      </c>
      <c r="C19" s="49">
        <f>'Avg Kitebi-Kabusu'!C19+'Avg Week Kabusu-Kitebi'!C19</f>
        <v>103.42857142857143</v>
      </c>
      <c r="D19" s="49">
        <f>'Avg Kitebi-Kabusu'!D19+'Avg Week Kabusu-Kitebi'!D19</f>
        <v>13.142857142857144</v>
      </c>
      <c r="E19" s="49">
        <f>'Avg Kitebi-Kabusu'!E19+'Avg Week Kabusu-Kitebi'!E19</f>
        <v>13.857142857142858</v>
      </c>
      <c r="F19" s="49">
        <f>'Avg Kitebi-Kabusu'!F19+'Avg Week Kabusu-Kitebi'!F19</f>
        <v>50</v>
      </c>
      <c r="G19" s="49">
        <f>'Avg Kitebi-Kabusu'!G19+'Avg Week Kabusu-Kitebi'!G19</f>
        <v>0.71428571428571419</v>
      </c>
      <c r="H19" s="49">
        <f>'Avg Kitebi-Kabusu'!H19+'Avg Week Kabusu-Kitebi'!H19</f>
        <v>0.14285714285714285</v>
      </c>
      <c r="I19" s="49">
        <f>'Avg Kitebi-Kabusu'!I19+'Avg Week Kabusu-Kitebi'!I19</f>
        <v>10.285714285714286</v>
      </c>
      <c r="J19" s="49">
        <f>'Avg Kitebi-Kabusu'!J19+'Avg Week Kabusu-Kitebi'!J19</f>
        <v>2.1428571428571428</v>
      </c>
      <c r="K19" s="49">
        <f>'Avg Kitebi-Kabusu'!K19+'Avg Week Kabusu-Kitebi'!K19</f>
        <v>1.2857142857142856</v>
      </c>
      <c r="L19" s="49">
        <f>'Avg Kitebi-Kabusu'!L19+'Avg Week Kabusu-Kitebi'!L19</f>
        <v>0.5714285714285714</v>
      </c>
      <c r="M19" s="49">
        <f>'Avg Kitebi-Kabusu'!M19+'Avg Week Kabusu-Kitebi'!M19</f>
        <v>370.14285714285711</v>
      </c>
      <c r="N19" s="49">
        <f>'Avg Kitebi-Kabusu'!N19+'Avg Week Kabusu-Kitebi'!N19</f>
        <v>0</v>
      </c>
      <c r="O19" s="15">
        <f t="shared" si="0"/>
        <v>195.57142857142856</v>
      </c>
      <c r="P19" s="15">
        <f t="shared" si="1"/>
        <v>565.71428571428567</v>
      </c>
      <c r="R19" s="1" t="s">
        <v>15</v>
      </c>
      <c r="S19" s="17">
        <f t="shared" ref="S19:AF19" si="11">SUM(C46:C49)</f>
        <v>413.71428571428578</v>
      </c>
      <c r="T19" s="17">
        <f t="shared" si="11"/>
        <v>54.571428571428577</v>
      </c>
      <c r="U19" s="17">
        <f t="shared" si="11"/>
        <v>55.428571428571431</v>
      </c>
      <c r="V19" s="17">
        <f t="shared" si="11"/>
        <v>140.85714285714283</v>
      </c>
      <c r="W19" s="17">
        <f t="shared" si="11"/>
        <v>3.7142857142857144</v>
      </c>
      <c r="X19" s="17">
        <f t="shared" si="11"/>
        <v>0.85714285714285698</v>
      </c>
      <c r="Y19" s="17">
        <f t="shared" si="11"/>
        <v>42.142857142857139</v>
      </c>
      <c r="Z19" s="17">
        <f t="shared" si="11"/>
        <v>9</v>
      </c>
      <c r="AA19" s="17">
        <f t="shared" si="11"/>
        <v>5.9999999999999991</v>
      </c>
      <c r="AB19" s="17">
        <f t="shared" si="11"/>
        <v>5</v>
      </c>
      <c r="AC19" s="17">
        <f t="shared" si="11"/>
        <v>1200</v>
      </c>
      <c r="AD19" s="17">
        <f t="shared" si="11"/>
        <v>0</v>
      </c>
      <c r="AE19" s="31">
        <f t="shared" si="11"/>
        <v>731.28571428571422</v>
      </c>
      <c r="AF19" s="31">
        <f t="shared" si="11"/>
        <v>1931.2857142857142</v>
      </c>
    </row>
    <row r="20" spans="2:32" ht="23.1" customHeight="1" x14ac:dyDescent="0.25">
      <c r="B20" s="23" t="s">
        <v>47</v>
      </c>
      <c r="C20" s="49">
        <f>'Avg Kitebi-Kabusu'!C20+'Avg Week Kabusu-Kitebi'!C20</f>
        <v>98.285714285714292</v>
      </c>
      <c r="D20" s="49">
        <f>'Avg Kitebi-Kabusu'!D20+'Avg Week Kabusu-Kitebi'!D20</f>
        <v>14.142857142857142</v>
      </c>
      <c r="E20" s="49">
        <f>'Avg Kitebi-Kabusu'!E20+'Avg Week Kabusu-Kitebi'!E20</f>
        <v>14.571428571428573</v>
      </c>
      <c r="F20" s="49">
        <f>'Avg Kitebi-Kabusu'!F20+'Avg Week Kabusu-Kitebi'!F20</f>
        <v>49.285714285714285</v>
      </c>
      <c r="G20" s="49">
        <f>'Avg Kitebi-Kabusu'!G20+'Avg Week Kabusu-Kitebi'!G20</f>
        <v>1.1428571428571428</v>
      </c>
      <c r="H20" s="49">
        <f>'Avg Kitebi-Kabusu'!H20+'Avg Week Kabusu-Kitebi'!H20</f>
        <v>0.61904761904761907</v>
      </c>
      <c r="I20" s="49">
        <f>'Avg Kitebi-Kabusu'!I20+'Avg Week Kabusu-Kitebi'!I20</f>
        <v>11.285714285714286</v>
      </c>
      <c r="J20" s="49">
        <f>'Avg Kitebi-Kabusu'!J20+'Avg Week Kabusu-Kitebi'!J20</f>
        <v>1.7142857142857144</v>
      </c>
      <c r="K20" s="49">
        <f>'Avg Kitebi-Kabusu'!K20+'Avg Week Kabusu-Kitebi'!K20</f>
        <v>1.5714285714285714</v>
      </c>
      <c r="L20" s="49">
        <f>'Avg Kitebi-Kabusu'!L20+'Avg Week Kabusu-Kitebi'!L20</f>
        <v>0.71428571428571419</v>
      </c>
      <c r="M20" s="49">
        <f>'Avg Kitebi-Kabusu'!M20+'Avg Week Kabusu-Kitebi'!M20</f>
        <v>348.42857142857144</v>
      </c>
      <c r="N20" s="49">
        <f>'Avg Kitebi-Kabusu'!N20+'Avg Week Kabusu-Kitebi'!N20</f>
        <v>0</v>
      </c>
      <c r="O20" s="15">
        <f t="shared" si="0"/>
        <v>193.33333333333334</v>
      </c>
      <c r="P20" s="15">
        <f t="shared" si="1"/>
        <v>541.76190476190482</v>
      </c>
      <c r="R20" s="1" t="s">
        <v>16</v>
      </c>
      <c r="S20" s="17">
        <f t="shared" ref="S20:AF20" si="12">SUM(C50:C53)</f>
        <v>487.28571428571433</v>
      </c>
      <c r="T20" s="17">
        <f t="shared" si="12"/>
        <v>71.285714285714278</v>
      </c>
      <c r="U20" s="17">
        <f t="shared" si="12"/>
        <v>77.428571428571416</v>
      </c>
      <c r="V20" s="17">
        <f t="shared" si="12"/>
        <v>159.28571428571428</v>
      </c>
      <c r="W20" s="17">
        <f t="shared" si="12"/>
        <v>4.2857142857142856</v>
      </c>
      <c r="X20" s="17">
        <f t="shared" si="12"/>
        <v>0.71428571428571419</v>
      </c>
      <c r="Y20" s="17">
        <f t="shared" si="12"/>
        <v>41.714285714285708</v>
      </c>
      <c r="Z20" s="17">
        <f t="shared" si="12"/>
        <v>8.2857142857142865</v>
      </c>
      <c r="AA20" s="17">
        <f t="shared" si="12"/>
        <v>6.5714285714285712</v>
      </c>
      <c r="AB20" s="17">
        <f t="shared" si="12"/>
        <v>6</v>
      </c>
      <c r="AC20" s="17">
        <f t="shared" si="12"/>
        <v>1379.7142857142858</v>
      </c>
      <c r="AD20" s="17">
        <f t="shared" si="12"/>
        <v>0</v>
      </c>
      <c r="AE20" s="31">
        <f t="shared" si="12"/>
        <v>862.85714285714278</v>
      </c>
      <c r="AF20" s="31">
        <f t="shared" si="12"/>
        <v>2242.5714285714284</v>
      </c>
    </row>
    <row r="21" spans="2:32" ht="23.1" customHeight="1" x14ac:dyDescent="0.25">
      <c r="B21" s="23" t="s">
        <v>48</v>
      </c>
      <c r="C21" s="49">
        <f>'Avg Kitebi-Kabusu'!C21+'Avg Week Kabusu-Kitebi'!C21</f>
        <v>92</v>
      </c>
      <c r="D21" s="49">
        <f>'Avg Kitebi-Kabusu'!D21+'Avg Week Kabusu-Kitebi'!D21</f>
        <v>18.142857142857142</v>
      </c>
      <c r="E21" s="49">
        <f>'Avg Kitebi-Kabusu'!E21+'Avg Week Kabusu-Kitebi'!E21</f>
        <v>14.428571428571429</v>
      </c>
      <c r="F21" s="49">
        <f>'Avg Kitebi-Kabusu'!F21+'Avg Week Kabusu-Kitebi'!F21</f>
        <v>48.142857142857139</v>
      </c>
      <c r="G21" s="49">
        <f>'Avg Kitebi-Kabusu'!G21+'Avg Week Kabusu-Kitebi'!G21</f>
        <v>1.4285714285714284</v>
      </c>
      <c r="H21" s="49">
        <f>'Avg Kitebi-Kabusu'!H21+'Avg Week Kabusu-Kitebi'!H21</f>
        <v>0.2857142857142857</v>
      </c>
      <c r="I21" s="49">
        <f>'Avg Kitebi-Kabusu'!I21+'Avg Week Kabusu-Kitebi'!I21</f>
        <v>10.857142857142858</v>
      </c>
      <c r="J21" s="49">
        <f>'Avg Kitebi-Kabusu'!J21+'Avg Week Kabusu-Kitebi'!J21</f>
        <v>1.5714285714285714</v>
      </c>
      <c r="K21" s="49">
        <f>'Avg Kitebi-Kabusu'!K21+'Avg Week Kabusu-Kitebi'!K21</f>
        <v>1.7142857142857142</v>
      </c>
      <c r="L21" s="49">
        <f>'Avg Kitebi-Kabusu'!L21+'Avg Week Kabusu-Kitebi'!L21</f>
        <v>1</v>
      </c>
      <c r="M21" s="49">
        <f>'Avg Kitebi-Kabusu'!M21+'Avg Week Kabusu-Kitebi'!M21</f>
        <v>338.57142857142856</v>
      </c>
      <c r="N21" s="49">
        <f>'Avg Kitebi-Kabusu'!N21+'Avg Week Kabusu-Kitebi'!N21</f>
        <v>0</v>
      </c>
      <c r="O21" s="15">
        <f t="shared" si="0"/>
        <v>189.57142857142858</v>
      </c>
      <c r="P21" s="15">
        <f t="shared" si="1"/>
        <v>528.14285714285711</v>
      </c>
      <c r="R21" s="36" t="s">
        <v>20</v>
      </c>
      <c r="S21" s="34">
        <f t="shared" ref="S21:AF21" si="13">SUM(C54:C57)</f>
        <v>588.71428571428578</v>
      </c>
      <c r="T21" s="17">
        <f t="shared" si="13"/>
        <v>78.285714285714278</v>
      </c>
      <c r="U21" s="17">
        <f>SUM(E54:E57)</f>
        <v>62.142857142857146</v>
      </c>
      <c r="V21" s="17">
        <f t="shared" si="13"/>
        <v>221</v>
      </c>
      <c r="W21" s="17">
        <f t="shared" si="13"/>
        <v>6.7142857142857144</v>
      </c>
      <c r="X21" s="17">
        <f t="shared" si="13"/>
        <v>1</v>
      </c>
      <c r="Y21" s="17">
        <f t="shared" si="13"/>
        <v>47.142857142857146</v>
      </c>
      <c r="Z21" s="17">
        <f t="shared" si="13"/>
        <v>9</v>
      </c>
      <c r="AA21" s="17">
        <f t="shared" si="13"/>
        <v>5</v>
      </c>
      <c r="AB21" s="17">
        <f t="shared" si="13"/>
        <v>5.5714285714285712</v>
      </c>
      <c r="AC21" s="17">
        <f t="shared" si="13"/>
        <v>1417.1428571428573</v>
      </c>
      <c r="AD21" s="17">
        <f t="shared" si="13"/>
        <v>0</v>
      </c>
      <c r="AE21" s="31">
        <f t="shared" si="13"/>
        <v>1024.5714285714287</v>
      </c>
      <c r="AF21" s="31">
        <f t="shared" si="13"/>
        <v>2441.7142857142858</v>
      </c>
    </row>
    <row r="22" spans="2:32" ht="23.1" customHeight="1" x14ac:dyDescent="0.25">
      <c r="B22" s="23" t="s">
        <v>49</v>
      </c>
      <c r="C22" s="49">
        <f>'Avg Kitebi-Kabusu'!C22+'Avg Week Kabusu-Kitebi'!C22</f>
        <v>97</v>
      </c>
      <c r="D22" s="49">
        <f>'Avg Kitebi-Kabusu'!D22+'Avg Week Kabusu-Kitebi'!D22</f>
        <v>18.714285714285715</v>
      </c>
      <c r="E22" s="49">
        <f>'Avg Kitebi-Kabusu'!E22+'Avg Week Kabusu-Kitebi'!E22</f>
        <v>13.714285714285715</v>
      </c>
      <c r="F22" s="49">
        <f>'Avg Kitebi-Kabusu'!F22+'Avg Week Kabusu-Kitebi'!F22</f>
        <v>47.285714285714285</v>
      </c>
      <c r="G22" s="49">
        <f>'Avg Kitebi-Kabusu'!G22+'Avg Week Kabusu-Kitebi'!G22</f>
        <v>1.2857142857142856</v>
      </c>
      <c r="H22" s="49">
        <f>'Avg Kitebi-Kabusu'!H22+'Avg Week Kabusu-Kitebi'!H22</f>
        <v>0.2857142857142857</v>
      </c>
      <c r="I22" s="49">
        <f>'Avg Kitebi-Kabusu'!I22+'Avg Week Kabusu-Kitebi'!I22</f>
        <v>12.571428571428573</v>
      </c>
      <c r="J22" s="49">
        <f>'Avg Kitebi-Kabusu'!J22+'Avg Week Kabusu-Kitebi'!J22</f>
        <v>1.5714285714285714</v>
      </c>
      <c r="K22" s="49">
        <f>'Avg Kitebi-Kabusu'!K22+'Avg Week Kabusu-Kitebi'!K22</f>
        <v>1.8571428571428572</v>
      </c>
      <c r="L22" s="49">
        <f>'Avg Kitebi-Kabusu'!L22+'Avg Week Kabusu-Kitebi'!L22</f>
        <v>1.4285714285714286</v>
      </c>
      <c r="M22" s="49">
        <f>'Avg Kitebi-Kabusu'!M22+'Avg Week Kabusu-Kitebi'!M22</f>
        <v>362.85714285714283</v>
      </c>
      <c r="N22" s="49">
        <f>'Avg Kitebi-Kabusu'!N22+'Avg Week Kabusu-Kitebi'!N22</f>
        <v>0</v>
      </c>
      <c r="O22" s="15">
        <f t="shared" si="0"/>
        <v>195.71428571428572</v>
      </c>
      <c r="P22" s="15">
        <f t="shared" si="1"/>
        <v>558.57142857142856</v>
      </c>
      <c r="R22" s="1" t="s">
        <v>146</v>
      </c>
      <c r="S22" s="34">
        <f>SUM(C58:C61)</f>
        <v>448</v>
      </c>
      <c r="T22" s="34">
        <f t="shared" ref="T22:AF22" si="14">SUM(D58:D61)</f>
        <v>64</v>
      </c>
      <c r="U22" s="34">
        <f t="shared" si="14"/>
        <v>45</v>
      </c>
      <c r="V22" s="34">
        <f t="shared" si="14"/>
        <v>209</v>
      </c>
      <c r="W22" s="34">
        <f t="shared" si="14"/>
        <v>13.5</v>
      </c>
      <c r="X22" s="34">
        <f t="shared" si="14"/>
        <v>1</v>
      </c>
      <c r="Y22" s="34">
        <f t="shared" si="14"/>
        <v>23</v>
      </c>
      <c r="Z22" s="34">
        <f t="shared" si="14"/>
        <v>8.5</v>
      </c>
      <c r="AA22" s="34">
        <f t="shared" si="14"/>
        <v>0</v>
      </c>
      <c r="AB22" s="34">
        <f t="shared" si="14"/>
        <v>2</v>
      </c>
      <c r="AC22" s="34">
        <f t="shared" si="14"/>
        <v>1263.5</v>
      </c>
      <c r="AD22" s="34">
        <f t="shared" si="14"/>
        <v>0</v>
      </c>
      <c r="AE22" s="31">
        <f t="shared" si="14"/>
        <v>814</v>
      </c>
      <c r="AF22" s="31">
        <f t="shared" si="14"/>
        <v>2077.5</v>
      </c>
    </row>
    <row r="23" spans="2:32" ht="23.1" customHeight="1" x14ac:dyDescent="0.25">
      <c r="B23" s="23" t="s">
        <v>50</v>
      </c>
      <c r="C23" s="49">
        <f>'Avg Kitebi-Kabusu'!C23+'Avg Week Kabusu-Kitebi'!C23</f>
        <v>101.57142857142858</v>
      </c>
      <c r="D23" s="49">
        <f>'Avg Kitebi-Kabusu'!D23+'Avg Week Kabusu-Kitebi'!D23</f>
        <v>17.428571428571431</v>
      </c>
      <c r="E23" s="49">
        <f>'Avg Kitebi-Kabusu'!E23+'Avg Week Kabusu-Kitebi'!E23</f>
        <v>14.285714285714285</v>
      </c>
      <c r="F23" s="49">
        <f>'Avg Kitebi-Kabusu'!F23+'Avg Week Kabusu-Kitebi'!F23</f>
        <v>46</v>
      </c>
      <c r="G23" s="49">
        <f>'Avg Kitebi-Kabusu'!G23+'Avg Week Kabusu-Kitebi'!G23</f>
        <v>1.2857142857142856</v>
      </c>
      <c r="H23" s="49">
        <f>'Avg Kitebi-Kabusu'!H23+'Avg Week Kabusu-Kitebi'!H23</f>
        <v>0.2857142857142857</v>
      </c>
      <c r="I23" s="49">
        <f>'Avg Kitebi-Kabusu'!I23+'Avg Week Kabusu-Kitebi'!I23</f>
        <v>12.857142857142858</v>
      </c>
      <c r="J23" s="49">
        <f>'Avg Kitebi-Kabusu'!J23+'Avg Week Kabusu-Kitebi'!J23</f>
        <v>2.7142857142857144</v>
      </c>
      <c r="K23" s="49">
        <f>'Avg Kitebi-Kabusu'!K23+'Avg Week Kabusu-Kitebi'!K23</f>
        <v>2.2857142857142856</v>
      </c>
      <c r="L23" s="49">
        <f>'Avg Kitebi-Kabusu'!L23+'Avg Week Kabusu-Kitebi'!L23</f>
        <v>1.7142857142857142</v>
      </c>
      <c r="M23" s="49">
        <f>'Avg Kitebi-Kabusu'!M23+'Avg Week Kabusu-Kitebi'!M23</f>
        <v>341.71428571428572</v>
      </c>
      <c r="N23" s="49">
        <f>'Avg Kitebi-Kabusu'!N23+'Avg Week Kabusu-Kitebi'!N23</f>
        <v>0</v>
      </c>
      <c r="O23" s="15">
        <f t="shared" si="0"/>
        <v>200.42857142857144</v>
      </c>
      <c r="P23" s="15">
        <f t="shared" si="1"/>
        <v>542.14285714285711</v>
      </c>
      <c r="R23" s="1" t="s">
        <v>147</v>
      </c>
      <c r="S23" s="34">
        <f>SUM(C62:C65)</f>
        <v>476</v>
      </c>
      <c r="T23" s="34">
        <f t="shared" ref="T23:AF23" si="15">SUM(D62:D65)</f>
        <v>65</v>
      </c>
      <c r="U23" s="34">
        <f t="shared" si="15"/>
        <v>36</v>
      </c>
      <c r="V23" s="34">
        <f t="shared" si="15"/>
        <v>237</v>
      </c>
      <c r="W23" s="34">
        <f t="shared" si="15"/>
        <v>6.5</v>
      </c>
      <c r="X23" s="34">
        <f t="shared" si="15"/>
        <v>1.5</v>
      </c>
      <c r="Y23" s="34">
        <f t="shared" si="15"/>
        <v>18.5</v>
      </c>
      <c r="Z23" s="34">
        <f t="shared" si="15"/>
        <v>12.5</v>
      </c>
      <c r="AA23" s="34">
        <f t="shared" si="15"/>
        <v>3.5</v>
      </c>
      <c r="AB23" s="34">
        <f t="shared" si="15"/>
        <v>2</v>
      </c>
      <c r="AC23" s="34">
        <f t="shared" si="15"/>
        <v>1205.5</v>
      </c>
      <c r="AD23" s="34">
        <f t="shared" si="15"/>
        <v>0</v>
      </c>
      <c r="AE23" s="31">
        <f t="shared" si="15"/>
        <v>858.5</v>
      </c>
      <c r="AF23" s="31">
        <f t="shared" si="15"/>
        <v>2064</v>
      </c>
    </row>
    <row r="24" spans="2:32" ht="23.1" customHeight="1" x14ac:dyDescent="0.25">
      <c r="B24" s="23" t="s">
        <v>51</v>
      </c>
      <c r="C24" s="49">
        <f>'Avg Kitebi-Kabusu'!C24+'Avg Week Kabusu-Kitebi'!C24</f>
        <v>102</v>
      </c>
      <c r="D24" s="49">
        <f>'Avg Kitebi-Kabusu'!D24+'Avg Week Kabusu-Kitebi'!D24</f>
        <v>18.142857142857142</v>
      </c>
      <c r="E24" s="49">
        <f>'Avg Kitebi-Kabusu'!E24+'Avg Week Kabusu-Kitebi'!E24</f>
        <v>13</v>
      </c>
      <c r="F24" s="49">
        <f>'Avg Kitebi-Kabusu'!F24+'Avg Week Kabusu-Kitebi'!F24</f>
        <v>44</v>
      </c>
      <c r="G24" s="49">
        <f>'Avg Kitebi-Kabusu'!G24+'Avg Week Kabusu-Kitebi'!G24</f>
        <v>0.71428571428571419</v>
      </c>
      <c r="H24" s="49">
        <f>'Avg Kitebi-Kabusu'!H24+'Avg Week Kabusu-Kitebi'!H24</f>
        <v>0.2857142857142857</v>
      </c>
      <c r="I24" s="49">
        <f>'Avg Kitebi-Kabusu'!I24+'Avg Week Kabusu-Kitebi'!I24</f>
        <v>12.428571428571429</v>
      </c>
      <c r="J24" s="49">
        <f>'Avg Kitebi-Kabusu'!J24+'Avg Week Kabusu-Kitebi'!J24</f>
        <v>2.1428571428571428</v>
      </c>
      <c r="K24" s="49">
        <f>'Avg Kitebi-Kabusu'!K24+'Avg Week Kabusu-Kitebi'!K24</f>
        <v>2.1428571428571428</v>
      </c>
      <c r="L24" s="49">
        <f>'Avg Kitebi-Kabusu'!L24+'Avg Week Kabusu-Kitebi'!L24</f>
        <v>1.5714285714285714</v>
      </c>
      <c r="M24" s="49">
        <f>'Avg Kitebi-Kabusu'!M24+'Avg Week Kabusu-Kitebi'!M24</f>
        <v>330</v>
      </c>
      <c r="N24" s="49">
        <f>'Avg Kitebi-Kabusu'!N24+'Avg Week Kabusu-Kitebi'!N24</f>
        <v>0</v>
      </c>
      <c r="O24" s="15">
        <f t="shared" si="0"/>
        <v>196.42857142857142</v>
      </c>
      <c r="P24" s="15">
        <f t="shared" si="1"/>
        <v>526.42857142857144</v>
      </c>
      <c r="R24" s="1" t="s">
        <v>148</v>
      </c>
      <c r="S24" s="34">
        <f>SUM(C66:C69)</f>
        <v>434.5</v>
      </c>
      <c r="T24" s="34">
        <f t="shared" ref="T24:AF24" si="16">SUM(D66:D69)</f>
        <v>40.5</v>
      </c>
      <c r="U24" s="34">
        <f t="shared" si="16"/>
        <v>39</v>
      </c>
      <c r="V24" s="34">
        <f t="shared" si="16"/>
        <v>215.5</v>
      </c>
      <c r="W24" s="34">
        <f t="shared" si="16"/>
        <v>9</v>
      </c>
      <c r="X24" s="34">
        <f t="shared" si="16"/>
        <v>1.5</v>
      </c>
      <c r="Y24" s="34">
        <f t="shared" si="16"/>
        <v>21</v>
      </c>
      <c r="Z24" s="34">
        <f t="shared" si="16"/>
        <v>6</v>
      </c>
      <c r="AA24" s="34">
        <f t="shared" si="16"/>
        <v>3</v>
      </c>
      <c r="AB24" s="34">
        <f t="shared" si="16"/>
        <v>1</v>
      </c>
      <c r="AC24" s="34">
        <f t="shared" si="16"/>
        <v>952</v>
      </c>
      <c r="AD24" s="34">
        <f t="shared" si="16"/>
        <v>0</v>
      </c>
      <c r="AE24" s="31">
        <f t="shared" si="16"/>
        <v>771</v>
      </c>
      <c r="AF24" s="31">
        <f t="shared" si="16"/>
        <v>1723</v>
      </c>
    </row>
    <row r="25" spans="2:32" ht="23.1" customHeight="1" x14ac:dyDescent="0.25">
      <c r="B25" s="23" t="s">
        <v>52</v>
      </c>
      <c r="C25" s="49">
        <f>'Avg Kitebi-Kabusu'!C25+'Avg Week Kabusu-Kitebi'!C25</f>
        <v>90.571428571428569</v>
      </c>
      <c r="D25" s="49">
        <f>'Avg Kitebi-Kabusu'!D25+'Avg Week Kabusu-Kitebi'!D25</f>
        <v>16.428571428571431</v>
      </c>
      <c r="E25" s="49">
        <f>'Avg Kitebi-Kabusu'!E25+'Avg Week Kabusu-Kitebi'!E25</f>
        <v>10.428571428571429</v>
      </c>
      <c r="F25" s="49">
        <f>'Avg Kitebi-Kabusu'!F25+'Avg Week Kabusu-Kitebi'!F25</f>
        <v>44.571428571428569</v>
      </c>
      <c r="G25" s="49">
        <f>'Avg Kitebi-Kabusu'!G25+'Avg Week Kabusu-Kitebi'!G25</f>
        <v>0.2857142857142857</v>
      </c>
      <c r="H25" s="49">
        <f>'Avg Kitebi-Kabusu'!H25+'Avg Week Kabusu-Kitebi'!H25</f>
        <v>0.42857142857142855</v>
      </c>
      <c r="I25" s="49">
        <f>'Avg Kitebi-Kabusu'!I25+'Avg Week Kabusu-Kitebi'!I25</f>
        <v>9.8571428571428577</v>
      </c>
      <c r="J25" s="49">
        <f>'Avg Kitebi-Kabusu'!J25+'Avg Week Kabusu-Kitebi'!J25</f>
        <v>1.7142857142857144</v>
      </c>
      <c r="K25" s="49">
        <f>'Avg Kitebi-Kabusu'!K25+'Avg Week Kabusu-Kitebi'!K25</f>
        <v>2.5714285714285712</v>
      </c>
      <c r="L25" s="49">
        <f>'Avg Kitebi-Kabusu'!L25+'Avg Week Kabusu-Kitebi'!L25</f>
        <v>0.8571428571428571</v>
      </c>
      <c r="M25" s="49">
        <f>'Avg Kitebi-Kabusu'!M25+'Avg Week Kabusu-Kitebi'!M25</f>
        <v>333.57142857142856</v>
      </c>
      <c r="N25" s="49">
        <f>'Avg Kitebi-Kabusu'!N25+'Avg Week Kabusu-Kitebi'!N25</f>
        <v>0</v>
      </c>
      <c r="O25" s="15">
        <f t="shared" si="0"/>
        <v>177.71428571428572</v>
      </c>
      <c r="P25" s="15">
        <f t="shared" si="1"/>
        <v>511.28571428571428</v>
      </c>
      <c r="R25" s="1" t="s">
        <v>149</v>
      </c>
      <c r="S25" s="34">
        <f>SUM(C70:C73)</f>
        <v>369</v>
      </c>
      <c r="T25" s="34">
        <f t="shared" ref="T25:AF25" si="17">SUM(D70:D73)</f>
        <v>52.5</v>
      </c>
      <c r="U25" s="34">
        <f t="shared" si="17"/>
        <v>42</v>
      </c>
      <c r="V25" s="34">
        <f t="shared" si="17"/>
        <v>140</v>
      </c>
      <c r="W25" s="34">
        <f t="shared" si="17"/>
        <v>1.5</v>
      </c>
      <c r="X25" s="34">
        <f t="shared" si="17"/>
        <v>0</v>
      </c>
      <c r="Y25" s="34">
        <f t="shared" si="17"/>
        <v>21.5</v>
      </c>
      <c r="Z25" s="34">
        <f t="shared" si="17"/>
        <v>4.5</v>
      </c>
      <c r="AA25" s="34">
        <f t="shared" si="17"/>
        <v>1</v>
      </c>
      <c r="AB25" s="34">
        <f t="shared" si="17"/>
        <v>1</v>
      </c>
      <c r="AC25" s="34">
        <f t="shared" si="17"/>
        <v>740.5</v>
      </c>
      <c r="AD25" s="34">
        <f t="shared" si="17"/>
        <v>0</v>
      </c>
      <c r="AE25" s="31">
        <f t="shared" si="17"/>
        <v>633</v>
      </c>
      <c r="AF25" s="31">
        <f t="shared" si="17"/>
        <v>1373.5</v>
      </c>
    </row>
    <row r="26" spans="2:32" ht="23.1" customHeight="1" x14ac:dyDescent="0.25">
      <c r="B26" s="23" t="s">
        <v>53</v>
      </c>
      <c r="C26" s="49">
        <f>'Avg Kitebi-Kabusu'!C26+'Avg Week Kabusu-Kitebi'!C26</f>
        <v>92.714285714285722</v>
      </c>
      <c r="D26" s="49">
        <f>'Avg Kitebi-Kabusu'!D26+'Avg Week Kabusu-Kitebi'!D26</f>
        <v>13.571428571428571</v>
      </c>
      <c r="E26" s="49">
        <f>'Avg Kitebi-Kabusu'!E26+'Avg Week Kabusu-Kitebi'!E26</f>
        <v>14.142857142857142</v>
      </c>
      <c r="F26" s="49">
        <f>'Avg Kitebi-Kabusu'!F26+'Avg Week Kabusu-Kitebi'!F26</f>
        <v>44</v>
      </c>
      <c r="G26" s="49">
        <f>'Avg Kitebi-Kabusu'!G26+'Avg Week Kabusu-Kitebi'!G26</f>
        <v>0.5714285714285714</v>
      </c>
      <c r="H26" s="49">
        <f>'Avg Kitebi-Kabusu'!H26+'Avg Week Kabusu-Kitebi'!H26</f>
        <v>0.42857142857142855</v>
      </c>
      <c r="I26" s="49">
        <f>'Avg Kitebi-Kabusu'!I26+'Avg Week Kabusu-Kitebi'!I26</f>
        <v>13.714285714285714</v>
      </c>
      <c r="J26" s="49">
        <f>'Avg Kitebi-Kabusu'!J26+'Avg Week Kabusu-Kitebi'!J26</f>
        <v>1.8571428571428572</v>
      </c>
      <c r="K26" s="49">
        <f>'Avg Kitebi-Kabusu'!K26+'Avg Week Kabusu-Kitebi'!K26</f>
        <v>2.4285714285714288</v>
      </c>
      <c r="L26" s="49">
        <f>'Avg Kitebi-Kabusu'!L26+'Avg Week Kabusu-Kitebi'!L26</f>
        <v>1.4285714285714286</v>
      </c>
      <c r="M26" s="49">
        <f>'Avg Kitebi-Kabusu'!M26+'Avg Week Kabusu-Kitebi'!M26</f>
        <v>347.42857142857144</v>
      </c>
      <c r="N26" s="49">
        <f>'Avg Kitebi-Kabusu'!N26+'Avg Week Kabusu-Kitebi'!N26</f>
        <v>0</v>
      </c>
      <c r="O26" s="15">
        <f t="shared" si="0"/>
        <v>184.85714285714286</v>
      </c>
      <c r="P26" s="15">
        <f t="shared" si="1"/>
        <v>532.28571428571433</v>
      </c>
      <c r="R26" s="1" t="s">
        <v>150</v>
      </c>
      <c r="S26" s="34">
        <f>SUM(C74:C77)</f>
        <v>218.5</v>
      </c>
      <c r="T26" s="34">
        <f t="shared" ref="T26:AF26" si="18">SUM(D74:D77)</f>
        <v>30.5</v>
      </c>
      <c r="U26" s="34">
        <f t="shared" si="18"/>
        <v>24</v>
      </c>
      <c r="V26" s="34">
        <f t="shared" si="18"/>
        <v>67.5</v>
      </c>
      <c r="W26" s="34">
        <f t="shared" si="18"/>
        <v>1.5</v>
      </c>
      <c r="X26" s="34">
        <f t="shared" si="18"/>
        <v>1</v>
      </c>
      <c r="Y26" s="34">
        <f t="shared" si="18"/>
        <v>13</v>
      </c>
      <c r="Z26" s="34">
        <f t="shared" si="18"/>
        <v>4.5</v>
      </c>
      <c r="AA26" s="34">
        <f t="shared" si="18"/>
        <v>1.5</v>
      </c>
      <c r="AB26" s="34">
        <f t="shared" si="18"/>
        <v>0.5</v>
      </c>
      <c r="AC26" s="34">
        <f t="shared" si="18"/>
        <v>650.5</v>
      </c>
      <c r="AD26" s="34">
        <f t="shared" si="18"/>
        <v>0</v>
      </c>
      <c r="AE26" s="31">
        <f t="shared" si="18"/>
        <v>362.5</v>
      </c>
      <c r="AF26" s="31">
        <f t="shared" si="18"/>
        <v>1013</v>
      </c>
    </row>
    <row r="27" spans="2:32" ht="23.1" customHeight="1" x14ac:dyDescent="0.25">
      <c r="B27" s="23" t="s">
        <v>54</v>
      </c>
      <c r="C27" s="49">
        <f>'Avg Kitebi-Kabusu'!C27+'Avg Week Kabusu-Kitebi'!C27</f>
        <v>99.285714285714278</v>
      </c>
      <c r="D27" s="49">
        <f>'Avg Kitebi-Kabusu'!D27+'Avg Week Kabusu-Kitebi'!D27</f>
        <v>14.285714285714285</v>
      </c>
      <c r="E27" s="49">
        <f>'Avg Kitebi-Kabusu'!E27+'Avg Week Kabusu-Kitebi'!E27</f>
        <v>11.857142857142858</v>
      </c>
      <c r="F27" s="49">
        <f>'Avg Kitebi-Kabusu'!F27+'Avg Week Kabusu-Kitebi'!F27</f>
        <v>45</v>
      </c>
      <c r="G27" s="49">
        <f>'Avg Kitebi-Kabusu'!G27+'Avg Week Kabusu-Kitebi'!G27</f>
        <v>1.4285714285714286</v>
      </c>
      <c r="H27" s="49">
        <f>'Avg Kitebi-Kabusu'!H27+'Avg Week Kabusu-Kitebi'!H27</f>
        <v>0.14285714285714285</v>
      </c>
      <c r="I27" s="49">
        <f>'Avg Kitebi-Kabusu'!I27+'Avg Week Kabusu-Kitebi'!I27</f>
        <v>12.428571428571429</v>
      </c>
      <c r="J27" s="49">
        <f>'Avg Kitebi-Kabusu'!J27+'Avg Week Kabusu-Kitebi'!J27</f>
        <v>1.1428571428571428</v>
      </c>
      <c r="K27" s="49">
        <f>'Avg Kitebi-Kabusu'!K27+'Avg Week Kabusu-Kitebi'!K27</f>
        <v>2.8571428571428572</v>
      </c>
      <c r="L27" s="49">
        <f>'Avg Kitebi-Kabusu'!L27+'Avg Week Kabusu-Kitebi'!L27</f>
        <v>1</v>
      </c>
      <c r="M27" s="49">
        <f>'Avg Kitebi-Kabusu'!M27+'Avg Week Kabusu-Kitebi'!M27</f>
        <v>330</v>
      </c>
      <c r="N27" s="49">
        <f>'Avg Kitebi-Kabusu'!N27+'Avg Week Kabusu-Kitebi'!N27</f>
        <v>0</v>
      </c>
      <c r="O27" s="15">
        <f t="shared" si="0"/>
        <v>189.42857142857139</v>
      </c>
      <c r="P27" s="15">
        <f t="shared" si="1"/>
        <v>519.42857142857133</v>
      </c>
      <c r="R27" s="1" t="s">
        <v>151</v>
      </c>
      <c r="S27" s="34">
        <f>SUM(C78:C81)</f>
        <v>142</v>
      </c>
      <c r="T27" s="34">
        <f t="shared" ref="T27:AF27" si="19">SUM(D78:D81)</f>
        <v>15</v>
      </c>
      <c r="U27" s="34">
        <f t="shared" si="19"/>
        <v>12</v>
      </c>
      <c r="V27" s="34">
        <f t="shared" si="19"/>
        <v>18</v>
      </c>
      <c r="W27" s="34">
        <f t="shared" si="19"/>
        <v>0</v>
      </c>
      <c r="X27" s="34">
        <f t="shared" si="19"/>
        <v>0</v>
      </c>
      <c r="Y27" s="34">
        <f t="shared" si="19"/>
        <v>7.5</v>
      </c>
      <c r="Z27" s="34">
        <f t="shared" si="19"/>
        <v>1</v>
      </c>
      <c r="AA27" s="34">
        <f t="shared" si="19"/>
        <v>1.5</v>
      </c>
      <c r="AB27" s="34">
        <f t="shared" si="19"/>
        <v>0</v>
      </c>
      <c r="AC27" s="34">
        <f t="shared" si="19"/>
        <v>456</v>
      </c>
      <c r="AD27" s="34">
        <f t="shared" si="19"/>
        <v>0</v>
      </c>
      <c r="AE27" s="31">
        <f t="shared" si="19"/>
        <v>197</v>
      </c>
      <c r="AF27" s="31">
        <f t="shared" si="19"/>
        <v>653</v>
      </c>
    </row>
    <row r="28" spans="2:32" ht="23.1" customHeight="1" x14ac:dyDescent="0.25">
      <c r="B28" s="23" t="s">
        <v>55</v>
      </c>
      <c r="C28" s="49">
        <f>'Avg Kitebi-Kabusu'!C28+'Avg Week Kabusu-Kitebi'!C28</f>
        <v>90.571428571428569</v>
      </c>
      <c r="D28" s="49">
        <f>'Avg Kitebi-Kabusu'!D28+'Avg Week Kabusu-Kitebi'!D28</f>
        <v>15.714285714285715</v>
      </c>
      <c r="E28" s="49">
        <f>'Avg Kitebi-Kabusu'!E28+'Avg Week Kabusu-Kitebi'!E28</f>
        <v>15.571428571428571</v>
      </c>
      <c r="F28" s="49">
        <f>'Avg Kitebi-Kabusu'!F28+'Avg Week Kabusu-Kitebi'!F28</f>
        <v>39.857142857142861</v>
      </c>
      <c r="G28" s="49">
        <f>'Avg Kitebi-Kabusu'!G28+'Avg Week Kabusu-Kitebi'!G28</f>
        <v>2.2857142857142856</v>
      </c>
      <c r="H28" s="49">
        <f>'Avg Kitebi-Kabusu'!H28+'Avg Week Kabusu-Kitebi'!H28</f>
        <v>0.14285714285714285</v>
      </c>
      <c r="I28" s="49">
        <f>'Avg Kitebi-Kabusu'!I28+'Avg Week Kabusu-Kitebi'!I28</f>
        <v>11.285714285714285</v>
      </c>
      <c r="J28" s="49">
        <f>'Avg Kitebi-Kabusu'!J28+'Avg Week Kabusu-Kitebi'!J28</f>
        <v>1.5714285714285714</v>
      </c>
      <c r="K28" s="49">
        <f>'Avg Kitebi-Kabusu'!K28+'Avg Week Kabusu-Kitebi'!K28</f>
        <v>3.7142857142857144</v>
      </c>
      <c r="L28" s="49">
        <f>'Avg Kitebi-Kabusu'!L28+'Avg Week Kabusu-Kitebi'!L28</f>
        <v>0.71428571428571419</v>
      </c>
      <c r="M28" s="49">
        <f>'Avg Kitebi-Kabusu'!M28+'Avg Week Kabusu-Kitebi'!M28</f>
        <v>295.85714285714289</v>
      </c>
      <c r="N28" s="49">
        <f>'Avg Kitebi-Kabusu'!N28+'Avg Week Kabusu-Kitebi'!N28</f>
        <v>0</v>
      </c>
      <c r="O28" s="15">
        <f t="shared" si="0"/>
        <v>181.42857142857144</v>
      </c>
      <c r="P28" s="15">
        <f t="shared" si="1"/>
        <v>477.28571428571433</v>
      </c>
      <c r="R28" s="1" t="s">
        <v>152</v>
      </c>
      <c r="S28" s="34">
        <f>SUM(C82:C85)</f>
        <v>65.5</v>
      </c>
      <c r="T28" s="34">
        <f t="shared" ref="T28:AF28" si="20">SUM(D82:D85)</f>
        <v>9</v>
      </c>
      <c r="U28" s="34">
        <f t="shared" si="20"/>
        <v>5</v>
      </c>
      <c r="V28" s="34">
        <f t="shared" si="20"/>
        <v>7</v>
      </c>
      <c r="W28" s="34">
        <f t="shared" si="20"/>
        <v>0.5</v>
      </c>
      <c r="X28" s="34">
        <f t="shared" si="20"/>
        <v>0</v>
      </c>
      <c r="Y28" s="34">
        <f t="shared" si="20"/>
        <v>7</v>
      </c>
      <c r="Z28" s="34">
        <f t="shared" si="20"/>
        <v>3</v>
      </c>
      <c r="AA28" s="34">
        <f t="shared" si="20"/>
        <v>1</v>
      </c>
      <c r="AB28" s="34">
        <f t="shared" si="20"/>
        <v>1.5</v>
      </c>
      <c r="AC28" s="34">
        <f t="shared" si="20"/>
        <v>318</v>
      </c>
      <c r="AD28" s="34">
        <f t="shared" si="20"/>
        <v>0</v>
      </c>
      <c r="AE28" s="31">
        <f t="shared" si="20"/>
        <v>99.5</v>
      </c>
      <c r="AF28" s="31">
        <f t="shared" si="20"/>
        <v>417.5</v>
      </c>
    </row>
    <row r="29" spans="2:32" ht="23.1" customHeight="1" x14ac:dyDescent="0.25">
      <c r="B29" s="23" t="s">
        <v>56</v>
      </c>
      <c r="C29" s="49">
        <f>'Avg Kitebi-Kabusu'!C29+'Avg Week Kabusu-Kitebi'!C29</f>
        <v>76.714285714285722</v>
      </c>
      <c r="D29" s="49">
        <f>'Avg Kitebi-Kabusu'!D29+'Avg Week Kabusu-Kitebi'!D29</f>
        <v>13.714285714285714</v>
      </c>
      <c r="E29" s="49">
        <f>'Avg Kitebi-Kabusu'!E29+'Avg Week Kabusu-Kitebi'!E29</f>
        <v>17.571428571428569</v>
      </c>
      <c r="F29" s="49">
        <f>'Avg Kitebi-Kabusu'!F29+'Avg Week Kabusu-Kitebi'!F29</f>
        <v>40.428571428571431</v>
      </c>
      <c r="G29" s="49">
        <f>'Avg Kitebi-Kabusu'!G29+'Avg Week Kabusu-Kitebi'!G29</f>
        <v>0.71428571428571419</v>
      </c>
      <c r="H29" s="49">
        <f>'Avg Kitebi-Kabusu'!H29+'Avg Week Kabusu-Kitebi'!H29</f>
        <v>0.71428571428571419</v>
      </c>
      <c r="I29" s="49">
        <f>'Avg Kitebi-Kabusu'!I29+'Avg Week Kabusu-Kitebi'!I29</f>
        <v>10</v>
      </c>
      <c r="J29" s="49">
        <f>'Avg Kitebi-Kabusu'!J29+'Avg Week Kabusu-Kitebi'!J29</f>
        <v>3</v>
      </c>
      <c r="K29" s="49">
        <f>'Avg Kitebi-Kabusu'!K29+'Avg Week Kabusu-Kitebi'!K29</f>
        <v>2.5714285714285712</v>
      </c>
      <c r="L29" s="49">
        <f>'Avg Kitebi-Kabusu'!L29+'Avg Week Kabusu-Kitebi'!L29</f>
        <v>2</v>
      </c>
      <c r="M29" s="49">
        <f>'Avg Kitebi-Kabusu'!M29+'Avg Week Kabusu-Kitebi'!M29</f>
        <v>286.42857142857144</v>
      </c>
      <c r="N29" s="49">
        <f>'Avg Kitebi-Kabusu'!N29+'Avg Week Kabusu-Kitebi'!N29</f>
        <v>0</v>
      </c>
      <c r="O29" s="15">
        <f t="shared" si="0"/>
        <v>167.42857142857147</v>
      </c>
      <c r="P29" s="15">
        <f t="shared" si="1"/>
        <v>453.85714285714289</v>
      </c>
      <c r="R29" s="1" t="s">
        <v>153</v>
      </c>
      <c r="S29" s="34">
        <f>SUM(C86:C89)</f>
        <v>53</v>
      </c>
      <c r="T29" s="34">
        <f t="shared" ref="T29:AF29" si="21">SUM(D86:D89)</f>
        <v>12.5</v>
      </c>
      <c r="U29" s="34">
        <f t="shared" si="21"/>
        <v>3.5</v>
      </c>
      <c r="V29" s="34">
        <f t="shared" si="21"/>
        <v>12.5</v>
      </c>
      <c r="W29" s="34">
        <f t="shared" si="21"/>
        <v>1</v>
      </c>
      <c r="X29" s="34">
        <f t="shared" si="21"/>
        <v>0</v>
      </c>
      <c r="Y29" s="34">
        <f t="shared" si="21"/>
        <v>3</v>
      </c>
      <c r="Z29" s="34">
        <f t="shared" si="21"/>
        <v>1.5</v>
      </c>
      <c r="AA29" s="34">
        <f t="shared" si="21"/>
        <v>1</v>
      </c>
      <c r="AB29" s="34">
        <f t="shared" si="21"/>
        <v>0.5</v>
      </c>
      <c r="AC29" s="34">
        <f t="shared" si="21"/>
        <v>234</v>
      </c>
      <c r="AD29" s="34">
        <f t="shared" si="21"/>
        <v>0</v>
      </c>
      <c r="AE29" s="31">
        <f t="shared" si="21"/>
        <v>88.5</v>
      </c>
      <c r="AF29" s="31">
        <f t="shared" si="21"/>
        <v>322.5</v>
      </c>
    </row>
    <row r="30" spans="2:32" ht="23.1" customHeight="1" x14ac:dyDescent="0.25">
      <c r="B30" s="23" t="s">
        <v>57</v>
      </c>
      <c r="C30" s="49">
        <f>'Avg Kitebi-Kabusu'!C30+'Avg Week Kabusu-Kitebi'!C30</f>
        <v>85.571428571428569</v>
      </c>
      <c r="D30" s="49">
        <f>'Avg Kitebi-Kabusu'!D30+'Avg Week Kabusu-Kitebi'!D30</f>
        <v>14.571428571428571</v>
      </c>
      <c r="E30" s="49">
        <f>'Avg Kitebi-Kabusu'!E30+'Avg Week Kabusu-Kitebi'!E30</f>
        <v>12.285714285714285</v>
      </c>
      <c r="F30" s="49">
        <f>'Avg Kitebi-Kabusu'!F30+'Avg Week Kabusu-Kitebi'!F30</f>
        <v>44.857142857142861</v>
      </c>
      <c r="G30" s="49">
        <f>'Avg Kitebi-Kabusu'!G30+'Avg Week Kabusu-Kitebi'!G30</f>
        <v>0.42857142857142855</v>
      </c>
      <c r="H30" s="49">
        <f>'Avg Kitebi-Kabusu'!H30+'Avg Week Kabusu-Kitebi'!H30</f>
        <v>0.42857142857142855</v>
      </c>
      <c r="I30" s="49">
        <f>'Avg Kitebi-Kabusu'!I30+'Avg Week Kabusu-Kitebi'!I30</f>
        <v>15.285714285714285</v>
      </c>
      <c r="J30" s="49">
        <f>'Avg Kitebi-Kabusu'!J30+'Avg Week Kabusu-Kitebi'!J30</f>
        <v>2.5714285714285716</v>
      </c>
      <c r="K30" s="49">
        <f>'Avg Kitebi-Kabusu'!K30+'Avg Week Kabusu-Kitebi'!K30</f>
        <v>0.5714285714285714</v>
      </c>
      <c r="L30" s="49">
        <f>'Avg Kitebi-Kabusu'!L30+'Avg Week Kabusu-Kitebi'!L30</f>
        <v>0.8571428571428571</v>
      </c>
      <c r="M30" s="49">
        <f>'Avg Kitebi-Kabusu'!M30+'Avg Week Kabusu-Kitebi'!M30</f>
        <v>286</v>
      </c>
      <c r="N30" s="49">
        <f>'Avg Kitebi-Kabusu'!N30+'Avg Week Kabusu-Kitebi'!N30</f>
        <v>0</v>
      </c>
      <c r="O30" s="15">
        <f t="shared" si="0"/>
        <v>177.42857142857142</v>
      </c>
      <c r="P30" s="15">
        <f t="shared" si="1"/>
        <v>463.42857142857144</v>
      </c>
      <c r="R30" s="1" t="s">
        <v>154</v>
      </c>
      <c r="S30" s="34">
        <f>SUM(C90:C93)</f>
        <v>87.5</v>
      </c>
      <c r="T30" s="34">
        <f t="shared" ref="T30:AF30" si="22">SUM(D90:D93)</f>
        <v>8.5</v>
      </c>
      <c r="U30" s="34">
        <f t="shared" si="22"/>
        <v>5</v>
      </c>
      <c r="V30" s="34">
        <f t="shared" si="22"/>
        <v>37</v>
      </c>
      <c r="W30" s="34">
        <f t="shared" si="22"/>
        <v>0</v>
      </c>
      <c r="X30" s="34">
        <f t="shared" si="22"/>
        <v>0</v>
      </c>
      <c r="Y30" s="34">
        <f t="shared" si="22"/>
        <v>8.5</v>
      </c>
      <c r="Z30" s="34">
        <f t="shared" si="22"/>
        <v>3</v>
      </c>
      <c r="AA30" s="34">
        <f t="shared" si="22"/>
        <v>1.5</v>
      </c>
      <c r="AB30" s="34">
        <f t="shared" si="22"/>
        <v>0.5</v>
      </c>
      <c r="AC30" s="34">
        <f t="shared" si="22"/>
        <v>286.5</v>
      </c>
      <c r="AD30" s="34">
        <f t="shared" si="22"/>
        <v>0</v>
      </c>
      <c r="AE30" s="31">
        <f t="shared" si="22"/>
        <v>151.5</v>
      </c>
      <c r="AF30" s="31">
        <f t="shared" si="22"/>
        <v>438</v>
      </c>
    </row>
    <row r="31" spans="2:32" ht="23.1" customHeight="1" x14ac:dyDescent="0.25">
      <c r="B31" s="24" t="s">
        <v>58</v>
      </c>
      <c r="C31" s="49">
        <f>'Avg Kitebi-Kabusu'!C31+'Avg Week Kabusu-Kitebi'!C31</f>
        <v>83.285714285714278</v>
      </c>
      <c r="D31" s="49">
        <f>'Avg Kitebi-Kabusu'!D31+'Avg Week Kabusu-Kitebi'!D31</f>
        <v>11.428571428571429</v>
      </c>
      <c r="E31" s="49">
        <f>'Avg Kitebi-Kabusu'!E31+'Avg Week Kabusu-Kitebi'!E31</f>
        <v>15.571428571428573</v>
      </c>
      <c r="F31" s="49">
        <f>'Avg Kitebi-Kabusu'!F31+'Avg Week Kabusu-Kitebi'!F31</f>
        <v>37.428571428571431</v>
      </c>
      <c r="G31" s="49">
        <f>'Avg Kitebi-Kabusu'!G31+'Avg Week Kabusu-Kitebi'!G31</f>
        <v>1</v>
      </c>
      <c r="H31" s="49">
        <f>'Avg Kitebi-Kabusu'!H31+'Avg Week Kabusu-Kitebi'!H31</f>
        <v>0</v>
      </c>
      <c r="I31" s="49">
        <f>'Avg Kitebi-Kabusu'!I31+'Avg Week Kabusu-Kitebi'!I31</f>
        <v>9.8571428571428577</v>
      </c>
      <c r="J31" s="49">
        <f>'Avg Kitebi-Kabusu'!J31+'Avg Week Kabusu-Kitebi'!J31</f>
        <v>2.8571428571428568</v>
      </c>
      <c r="K31" s="49">
        <f>'Avg Kitebi-Kabusu'!K31+'Avg Week Kabusu-Kitebi'!K31</f>
        <v>0.5714285714285714</v>
      </c>
      <c r="L31" s="49">
        <f>'Avg Kitebi-Kabusu'!L31+'Avg Week Kabusu-Kitebi'!L31</f>
        <v>0.8571428571428571</v>
      </c>
      <c r="M31" s="49">
        <f>'Avg Kitebi-Kabusu'!M31+'Avg Week Kabusu-Kitebi'!M31</f>
        <v>273.28571428571428</v>
      </c>
      <c r="N31" s="49">
        <f>'Avg Kitebi-Kabusu'!N31+'Avg Week Kabusu-Kitebi'!N31</f>
        <v>0</v>
      </c>
      <c r="O31" s="15">
        <f t="shared" si="0"/>
        <v>162.85714285714289</v>
      </c>
      <c r="P31" s="15">
        <f t="shared" si="1"/>
        <v>436.14285714285717</v>
      </c>
      <c r="R31" s="1" t="s">
        <v>155</v>
      </c>
      <c r="S31" s="34">
        <f>SUM(C94:C97)</f>
        <v>69</v>
      </c>
      <c r="T31" s="34">
        <f t="shared" ref="T31:AF31" si="23">SUM(D94:D97)</f>
        <v>4.5</v>
      </c>
      <c r="U31" s="34">
        <f t="shared" si="23"/>
        <v>9.5</v>
      </c>
      <c r="V31" s="34">
        <f t="shared" si="23"/>
        <v>23.5</v>
      </c>
      <c r="W31" s="34">
        <f t="shared" si="23"/>
        <v>2.5</v>
      </c>
      <c r="X31" s="34">
        <f t="shared" si="23"/>
        <v>0.5</v>
      </c>
      <c r="Y31" s="34">
        <f t="shared" si="23"/>
        <v>8.5</v>
      </c>
      <c r="Z31" s="34">
        <f t="shared" si="23"/>
        <v>4</v>
      </c>
      <c r="AA31" s="34">
        <f t="shared" si="23"/>
        <v>0.5</v>
      </c>
      <c r="AB31" s="34">
        <f t="shared" si="23"/>
        <v>0</v>
      </c>
      <c r="AC31" s="34">
        <f t="shared" si="23"/>
        <v>276</v>
      </c>
      <c r="AD31" s="34">
        <f t="shared" si="23"/>
        <v>0</v>
      </c>
      <c r="AE31" s="31">
        <f t="shared" si="23"/>
        <v>122.5</v>
      </c>
      <c r="AF31" s="31">
        <f t="shared" si="23"/>
        <v>398.5</v>
      </c>
    </row>
    <row r="32" spans="2:32" ht="23.1" customHeight="1" x14ac:dyDescent="0.25">
      <c r="B32" s="24" t="s">
        <v>59</v>
      </c>
      <c r="C32" s="49">
        <f>'Avg Kitebi-Kabusu'!C32+'Avg Week Kabusu-Kitebi'!C32</f>
        <v>79.571428571428569</v>
      </c>
      <c r="D32" s="49">
        <f>'Avg Kitebi-Kabusu'!D32+'Avg Week Kabusu-Kitebi'!D32</f>
        <v>13.142857142857142</v>
      </c>
      <c r="E32" s="49">
        <f>'Avg Kitebi-Kabusu'!E32+'Avg Week Kabusu-Kitebi'!E32</f>
        <v>11.714285714285715</v>
      </c>
      <c r="F32" s="49">
        <f>'Avg Kitebi-Kabusu'!F32+'Avg Week Kabusu-Kitebi'!F32</f>
        <v>36.714285714285715</v>
      </c>
      <c r="G32" s="49">
        <f>'Avg Kitebi-Kabusu'!G32+'Avg Week Kabusu-Kitebi'!G32</f>
        <v>0.42857142857142855</v>
      </c>
      <c r="H32" s="49">
        <f>'Avg Kitebi-Kabusu'!H32+'Avg Week Kabusu-Kitebi'!H32</f>
        <v>0.2857142857142857</v>
      </c>
      <c r="I32" s="49">
        <f>'Avg Kitebi-Kabusu'!I32+'Avg Week Kabusu-Kitebi'!I32</f>
        <v>12.714285714285715</v>
      </c>
      <c r="J32" s="49">
        <f>'Avg Kitebi-Kabusu'!J32+'Avg Week Kabusu-Kitebi'!J32</f>
        <v>3.1428571428571428</v>
      </c>
      <c r="K32" s="49">
        <f>'Avg Kitebi-Kabusu'!K32+'Avg Week Kabusu-Kitebi'!K32</f>
        <v>1.2857142857142856</v>
      </c>
      <c r="L32" s="49">
        <f>'Avg Kitebi-Kabusu'!L32+'Avg Week Kabusu-Kitebi'!L32</f>
        <v>1.1428571428571428</v>
      </c>
      <c r="M32" s="49">
        <f>'Avg Kitebi-Kabusu'!M32+'Avg Week Kabusu-Kitebi'!M32</f>
        <v>282.85714285714283</v>
      </c>
      <c r="N32" s="49">
        <f>'Avg Kitebi-Kabusu'!N32+'Avg Week Kabusu-Kitebi'!N32</f>
        <v>0</v>
      </c>
      <c r="O32" s="15">
        <f t="shared" si="0"/>
        <v>160.14285714285711</v>
      </c>
      <c r="P32" s="15">
        <f t="shared" si="1"/>
        <v>442.99999999999994</v>
      </c>
      <c r="R32" s="1" t="s">
        <v>156</v>
      </c>
      <c r="S32" s="34">
        <f>SUM(C98:C101)</f>
        <v>132</v>
      </c>
      <c r="T32" s="34">
        <f>SUM(D98:D101)</f>
        <v>9</v>
      </c>
      <c r="U32" s="34">
        <f t="shared" ref="U32:AF32" si="24">SUM(E98:E101)</f>
        <v>29</v>
      </c>
      <c r="V32" s="34">
        <f t="shared" si="24"/>
        <v>124.5</v>
      </c>
      <c r="W32" s="34">
        <f t="shared" si="24"/>
        <v>0.5</v>
      </c>
      <c r="X32" s="34">
        <f t="shared" si="24"/>
        <v>1</v>
      </c>
      <c r="Y32" s="34">
        <f t="shared" si="24"/>
        <v>10</v>
      </c>
      <c r="Z32" s="34">
        <f t="shared" si="24"/>
        <v>3</v>
      </c>
      <c r="AA32" s="34">
        <f t="shared" si="24"/>
        <v>3</v>
      </c>
      <c r="AB32" s="34">
        <f t="shared" si="24"/>
        <v>3</v>
      </c>
      <c r="AC32" s="34">
        <f t="shared" si="24"/>
        <v>388.5</v>
      </c>
      <c r="AD32" s="34">
        <f t="shared" si="24"/>
        <v>0</v>
      </c>
      <c r="AE32" s="31">
        <f t="shared" si="24"/>
        <v>315</v>
      </c>
      <c r="AF32" s="31">
        <f t="shared" si="24"/>
        <v>703.5</v>
      </c>
    </row>
    <row r="33" spans="2:32" ht="23.1" customHeight="1" x14ac:dyDescent="0.25">
      <c r="B33" s="23" t="s">
        <v>60</v>
      </c>
      <c r="C33" s="49">
        <f>'Avg Kitebi-Kabusu'!C33+'Avg Week Kabusu-Kitebi'!C33</f>
        <v>80</v>
      </c>
      <c r="D33" s="49">
        <f>'Avg Kitebi-Kabusu'!D33+'Avg Week Kabusu-Kitebi'!D33</f>
        <v>12.142857142857142</v>
      </c>
      <c r="E33" s="49">
        <f>'Avg Kitebi-Kabusu'!E33+'Avg Week Kabusu-Kitebi'!E33</f>
        <v>11</v>
      </c>
      <c r="F33" s="49">
        <f>'Avg Kitebi-Kabusu'!F33+'Avg Week Kabusu-Kitebi'!F33</f>
        <v>37</v>
      </c>
      <c r="G33" s="49">
        <f>'Avg Kitebi-Kabusu'!G33+'Avg Week Kabusu-Kitebi'!G33</f>
        <v>0.5714285714285714</v>
      </c>
      <c r="H33" s="49">
        <f>'Avg Kitebi-Kabusu'!H33+'Avg Week Kabusu-Kitebi'!H33</f>
        <v>0</v>
      </c>
      <c r="I33" s="49">
        <f>'Avg Kitebi-Kabusu'!I33+'Avg Week Kabusu-Kitebi'!I33</f>
        <v>11.714285714285715</v>
      </c>
      <c r="J33" s="49">
        <f>'Avg Kitebi-Kabusu'!J33+'Avg Week Kabusu-Kitebi'!J33</f>
        <v>1.2857142857142856</v>
      </c>
      <c r="K33" s="49">
        <f>'Avg Kitebi-Kabusu'!K33+'Avg Week Kabusu-Kitebi'!K33</f>
        <v>1.2857142857142856</v>
      </c>
      <c r="L33" s="49">
        <f>'Avg Kitebi-Kabusu'!L33+'Avg Week Kabusu-Kitebi'!L33</f>
        <v>0.71428571428571419</v>
      </c>
      <c r="M33" s="49">
        <f>'Avg Kitebi-Kabusu'!M33+'Avg Week Kabusu-Kitebi'!M33</f>
        <v>281.71428571428572</v>
      </c>
      <c r="N33" s="49">
        <f>'Avg Kitebi-Kabusu'!N33+'Avg Week Kabusu-Kitebi'!N33</f>
        <v>0</v>
      </c>
      <c r="O33" s="15">
        <f t="shared" si="0"/>
        <v>155.71428571428572</v>
      </c>
      <c r="P33" s="15">
        <f t="shared" si="1"/>
        <v>437.42857142857144</v>
      </c>
      <c r="R33" s="1" t="s">
        <v>157</v>
      </c>
      <c r="S33" s="34">
        <f>SUM(C102:C105)</f>
        <v>225</v>
      </c>
      <c r="T33" s="34">
        <f t="shared" ref="T33:AF33" si="25">SUM(D102:D105)</f>
        <v>13</v>
      </c>
      <c r="U33" s="34">
        <f t="shared" si="25"/>
        <v>16</v>
      </c>
      <c r="V33" s="34">
        <f t="shared" si="25"/>
        <v>145</v>
      </c>
      <c r="W33" s="34">
        <f t="shared" si="25"/>
        <v>2.5</v>
      </c>
      <c r="X33" s="34">
        <f t="shared" si="25"/>
        <v>4</v>
      </c>
      <c r="Y33" s="34">
        <f t="shared" si="25"/>
        <v>13.5</v>
      </c>
      <c r="Z33" s="34">
        <f t="shared" si="25"/>
        <v>10.5</v>
      </c>
      <c r="AA33" s="34">
        <f t="shared" si="25"/>
        <v>1.5</v>
      </c>
      <c r="AB33" s="34">
        <f t="shared" si="25"/>
        <v>0.5</v>
      </c>
      <c r="AC33" s="34">
        <f t="shared" si="25"/>
        <v>637.5</v>
      </c>
      <c r="AD33" s="34">
        <f t="shared" si="25"/>
        <v>0</v>
      </c>
      <c r="AE33" s="31">
        <f t="shared" si="25"/>
        <v>431.5</v>
      </c>
      <c r="AF33" s="31">
        <f t="shared" si="25"/>
        <v>1069</v>
      </c>
    </row>
    <row r="34" spans="2:32" ht="23.1" customHeight="1" x14ac:dyDescent="0.25">
      <c r="B34" s="24" t="s">
        <v>61</v>
      </c>
      <c r="C34" s="49">
        <f>'Avg Kitebi-Kabusu'!C34+'Avg Week Kabusu-Kitebi'!C34</f>
        <v>92.428571428571431</v>
      </c>
      <c r="D34" s="49">
        <f>'Avg Kitebi-Kabusu'!D34+'Avg Week Kabusu-Kitebi'!D34</f>
        <v>13</v>
      </c>
      <c r="E34" s="49">
        <f>'Avg Kitebi-Kabusu'!E34+'Avg Week Kabusu-Kitebi'!E34</f>
        <v>13.571428571428571</v>
      </c>
      <c r="F34" s="49">
        <f>'Avg Kitebi-Kabusu'!F34+'Avg Week Kabusu-Kitebi'!F34</f>
        <v>43.428571428571431</v>
      </c>
      <c r="G34" s="49">
        <f>'Avg Kitebi-Kabusu'!G34+'Avg Week Kabusu-Kitebi'!G34</f>
        <v>0.8571428571428571</v>
      </c>
      <c r="H34" s="49">
        <f>'Avg Kitebi-Kabusu'!H34+'Avg Week Kabusu-Kitebi'!H34</f>
        <v>0.8571428571428571</v>
      </c>
      <c r="I34" s="49">
        <f>'Avg Kitebi-Kabusu'!I34+'Avg Week Kabusu-Kitebi'!I34</f>
        <v>12.571428571428571</v>
      </c>
      <c r="J34" s="49">
        <f>'Avg Kitebi-Kabusu'!J34+'Avg Week Kabusu-Kitebi'!J34</f>
        <v>2.4285714285714288</v>
      </c>
      <c r="K34" s="49">
        <f>'Avg Kitebi-Kabusu'!K34+'Avg Week Kabusu-Kitebi'!K34</f>
        <v>2.7142857142857144</v>
      </c>
      <c r="L34" s="49">
        <f>'Avg Kitebi-Kabusu'!L34+'Avg Week Kabusu-Kitebi'!L34</f>
        <v>1.7142857142857144</v>
      </c>
      <c r="M34" s="49">
        <f>'Avg Kitebi-Kabusu'!M34+'Avg Week Kabusu-Kitebi'!M34</f>
        <v>290.14285714285711</v>
      </c>
      <c r="N34" s="49">
        <f>'Avg Kitebi-Kabusu'!N34+'Avg Week Kabusu-Kitebi'!N34</f>
        <v>0</v>
      </c>
      <c r="O34" s="15">
        <f t="shared" si="0"/>
        <v>183.57142857142861</v>
      </c>
      <c r="P34" s="15">
        <f t="shared" si="1"/>
        <v>473.71428571428572</v>
      </c>
      <c r="R34" s="38" t="s">
        <v>90</v>
      </c>
      <c r="S34" s="39">
        <f t="shared" ref="S34:AF34" si="26">MAX(S10:S12)</f>
        <v>537.14285714285711</v>
      </c>
      <c r="T34" s="39">
        <f t="shared" si="26"/>
        <v>68.571428571428569</v>
      </c>
      <c r="U34" s="39">
        <f t="shared" si="26"/>
        <v>56.857142857142861</v>
      </c>
      <c r="V34" s="39">
        <f t="shared" si="26"/>
        <v>210.57142857142858</v>
      </c>
      <c r="W34" s="39">
        <f t="shared" si="26"/>
        <v>5.4285714285714288</v>
      </c>
      <c r="X34" s="39">
        <f t="shared" si="26"/>
        <v>3</v>
      </c>
      <c r="Y34" s="39">
        <f t="shared" si="26"/>
        <v>42.428571428571431</v>
      </c>
      <c r="Z34" s="39">
        <f t="shared" si="26"/>
        <v>7.1428571428571423</v>
      </c>
      <c r="AA34" s="39">
        <f t="shared" si="26"/>
        <v>30.285714285714285</v>
      </c>
      <c r="AB34" s="39">
        <f t="shared" si="26"/>
        <v>4.8571428571428577</v>
      </c>
      <c r="AC34" s="39">
        <f t="shared" si="26"/>
        <v>1456</v>
      </c>
      <c r="AD34" s="39">
        <f t="shared" si="26"/>
        <v>0</v>
      </c>
      <c r="AE34" s="40">
        <f t="shared" si="26"/>
        <v>936.85714285714289</v>
      </c>
      <c r="AF34" s="40">
        <f t="shared" si="26"/>
        <v>2279.8571428571431</v>
      </c>
    </row>
    <row r="35" spans="2:32" ht="23.1" customHeight="1" x14ac:dyDescent="0.25">
      <c r="B35" s="24" t="s">
        <v>62</v>
      </c>
      <c r="C35" s="49">
        <f>'Avg Kitebi-Kabusu'!C35+'Avg Week Kabusu-Kitebi'!C35</f>
        <v>72.428571428571431</v>
      </c>
      <c r="D35" s="49">
        <f>'Avg Kitebi-Kabusu'!D35+'Avg Week Kabusu-Kitebi'!D35</f>
        <v>12.142857142857142</v>
      </c>
      <c r="E35" s="49">
        <f>'Avg Kitebi-Kabusu'!E35+'Avg Week Kabusu-Kitebi'!E35</f>
        <v>12.285714285714286</v>
      </c>
      <c r="F35" s="49">
        <f>'Avg Kitebi-Kabusu'!F35+'Avg Week Kabusu-Kitebi'!F35</f>
        <v>40.142857142857146</v>
      </c>
      <c r="G35" s="49">
        <f>'Avg Kitebi-Kabusu'!G35+'Avg Week Kabusu-Kitebi'!G35</f>
        <v>0.2857142857142857</v>
      </c>
      <c r="H35" s="49">
        <f>'Avg Kitebi-Kabusu'!H35+'Avg Week Kabusu-Kitebi'!H35</f>
        <v>0.2857142857142857</v>
      </c>
      <c r="I35" s="49">
        <f>'Avg Kitebi-Kabusu'!I35+'Avg Week Kabusu-Kitebi'!I35</f>
        <v>9.4285714285714288</v>
      </c>
      <c r="J35" s="49">
        <f>'Avg Kitebi-Kabusu'!J35+'Avg Week Kabusu-Kitebi'!J35</f>
        <v>2.1428571428571428</v>
      </c>
      <c r="K35" s="49">
        <f>'Avg Kitebi-Kabusu'!K35+'Avg Week Kabusu-Kitebi'!K35</f>
        <v>1.1428571428571428</v>
      </c>
      <c r="L35" s="49">
        <f>'Avg Kitebi-Kabusu'!L35+'Avg Week Kabusu-Kitebi'!L35</f>
        <v>1.1428571428571428</v>
      </c>
      <c r="M35" s="49">
        <f>'Avg Kitebi-Kabusu'!M35+'Avg Week Kabusu-Kitebi'!M35</f>
        <v>287</v>
      </c>
      <c r="N35" s="49">
        <f>'Avg Kitebi-Kabusu'!N35+'Avg Week Kabusu-Kitebi'!N35</f>
        <v>0</v>
      </c>
      <c r="O35" s="15">
        <f t="shared" si="0"/>
        <v>151.42857142857139</v>
      </c>
      <c r="P35" s="15">
        <f t="shared" si="1"/>
        <v>438.42857142857139</v>
      </c>
      <c r="R35" s="38" t="s">
        <v>91</v>
      </c>
      <c r="S35" s="39">
        <f t="shared" ref="S35:AF35" si="27">MAX(S13:S18)</f>
        <v>391.14285714285711</v>
      </c>
      <c r="T35" s="39">
        <f t="shared" si="27"/>
        <v>70.714285714285722</v>
      </c>
      <c r="U35" s="39">
        <f t="shared" si="27"/>
        <v>59.142857142857139</v>
      </c>
      <c r="V35" s="39">
        <f t="shared" si="27"/>
        <v>181.85714285714283</v>
      </c>
      <c r="W35" s="39">
        <f t="shared" si="27"/>
        <v>5</v>
      </c>
      <c r="X35" s="39">
        <f t="shared" si="27"/>
        <v>2.7142857142857144</v>
      </c>
      <c r="Y35" s="39">
        <f t="shared" si="27"/>
        <v>49.571428571428577</v>
      </c>
      <c r="Z35" s="39">
        <f t="shared" si="27"/>
        <v>12.857142857142858</v>
      </c>
      <c r="AA35" s="39">
        <f t="shared" si="27"/>
        <v>11.571428571428571</v>
      </c>
      <c r="AB35" s="39">
        <f t="shared" si="27"/>
        <v>6.1428571428571423</v>
      </c>
      <c r="AC35" s="39">
        <f t="shared" si="27"/>
        <v>1368.1428571428569</v>
      </c>
      <c r="AD35" s="39">
        <f t="shared" si="27"/>
        <v>0</v>
      </c>
      <c r="AE35" s="40">
        <f t="shared" si="27"/>
        <v>770.28571428571422</v>
      </c>
      <c r="AF35" s="40">
        <f t="shared" si="27"/>
        <v>2138.4285714285716</v>
      </c>
    </row>
    <row r="36" spans="2:32" ht="23.1" customHeight="1" x14ac:dyDescent="0.25">
      <c r="B36" s="24" t="s">
        <v>63</v>
      </c>
      <c r="C36" s="49">
        <f>'Avg Kitebi-Kabusu'!C36+'Avg Week Kabusu-Kitebi'!C36</f>
        <v>79</v>
      </c>
      <c r="D36" s="49">
        <f>'Avg Kitebi-Kabusu'!D36+'Avg Week Kabusu-Kitebi'!D36</f>
        <v>13.285714285714285</v>
      </c>
      <c r="E36" s="49">
        <f>'Avg Kitebi-Kabusu'!E36+'Avg Week Kabusu-Kitebi'!E36</f>
        <v>13.142857142857142</v>
      </c>
      <c r="F36" s="49">
        <f>'Avg Kitebi-Kabusu'!F36+'Avg Week Kabusu-Kitebi'!F36</f>
        <v>38</v>
      </c>
      <c r="G36" s="49">
        <f>'Avg Kitebi-Kabusu'!G36+'Avg Week Kabusu-Kitebi'!G36</f>
        <v>0.71428571428571419</v>
      </c>
      <c r="H36" s="49">
        <f>'Avg Kitebi-Kabusu'!H36+'Avg Week Kabusu-Kitebi'!H36</f>
        <v>0.2857142857142857</v>
      </c>
      <c r="I36" s="49">
        <f>'Avg Kitebi-Kabusu'!I36+'Avg Week Kabusu-Kitebi'!I36</f>
        <v>10.571428571428571</v>
      </c>
      <c r="J36" s="49">
        <f>'Avg Kitebi-Kabusu'!J36+'Avg Week Kabusu-Kitebi'!J36</f>
        <v>2.7142857142857144</v>
      </c>
      <c r="K36" s="49">
        <f>'Avg Kitebi-Kabusu'!K36+'Avg Week Kabusu-Kitebi'!K36</f>
        <v>1.7142857142857144</v>
      </c>
      <c r="L36" s="49">
        <f>'Avg Kitebi-Kabusu'!L36+'Avg Week Kabusu-Kitebi'!L36</f>
        <v>1.7142857142857142</v>
      </c>
      <c r="M36" s="49">
        <f>'Avg Kitebi-Kabusu'!M36+'Avg Week Kabusu-Kitebi'!M36</f>
        <v>280.28571428571428</v>
      </c>
      <c r="N36" s="49">
        <f>'Avg Kitebi-Kabusu'!N36+'Avg Week Kabusu-Kitebi'!N36</f>
        <v>0</v>
      </c>
      <c r="O36" s="15">
        <f t="shared" si="0"/>
        <v>161.14285714285717</v>
      </c>
      <c r="P36" s="15">
        <f t="shared" si="1"/>
        <v>441.42857142857144</v>
      </c>
      <c r="R36" s="38" t="s">
        <v>92</v>
      </c>
      <c r="S36" s="39">
        <f t="shared" ref="S36:AF36" si="28">MAX(S19:S21)</f>
        <v>588.71428571428578</v>
      </c>
      <c r="T36" s="39">
        <f t="shared" si="28"/>
        <v>78.285714285714278</v>
      </c>
      <c r="U36" s="39">
        <f t="shared" si="28"/>
        <v>77.428571428571416</v>
      </c>
      <c r="V36" s="39">
        <f t="shared" si="28"/>
        <v>221</v>
      </c>
      <c r="W36" s="39">
        <f t="shared" si="28"/>
        <v>6.7142857142857144</v>
      </c>
      <c r="X36" s="39">
        <f t="shared" si="28"/>
        <v>1</v>
      </c>
      <c r="Y36" s="39">
        <f t="shared" si="28"/>
        <v>47.142857142857146</v>
      </c>
      <c r="Z36" s="39">
        <f t="shared" si="28"/>
        <v>9</v>
      </c>
      <c r="AA36" s="39">
        <f t="shared" si="28"/>
        <v>6.5714285714285712</v>
      </c>
      <c r="AB36" s="39">
        <f t="shared" si="28"/>
        <v>6</v>
      </c>
      <c r="AC36" s="39">
        <f t="shared" si="28"/>
        <v>1417.1428571428573</v>
      </c>
      <c r="AD36" s="39">
        <f t="shared" si="28"/>
        <v>0</v>
      </c>
      <c r="AE36" s="40">
        <f t="shared" si="28"/>
        <v>1024.5714285714287</v>
      </c>
      <c r="AF36" s="40">
        <f t="shared" si="28"/>
        <v>2441.7142857142858</v>
      </c>
    </row>
    <row r="37" spans="2:32" ht="23.1" customHeight="1" x14ac:dyDescent="0.25">
      <c r="B37" s="23" t="s">
        <v>64</v>
      </c>
      <c r="C37" s="49">
        <f>'Avg Kitebi-Kabusu'!C37+'Avg Week Kabusu-Kitebi'!C37</f>
        <v>77.285714285714278</v>
      </c>
      <c r="D37" s="49">
        <f>'Avg Kitebi-Kabusu'!D37+'Avg Week Kabusu-Kitebi'!D37</f>
        <v>9</v>
      </c>
      <c r="E37" s="49">
        <f>'Avg Kitebi-Kabusu'!E37+'Avg Week Kabusu-Kitebi'!E37</f>
        <v>15.714285714285715</v>
      </c>
      <c r="F37" s="49">
        <f>'Avg Kitebi-Kabusu'!F37+'Avg Week Kabusu-Kitebi'!F37</f>
        <v>34.571428571428569</v>
      </c>
      <c r="G37" s="49">
        <f>'Avg Kitebi-Kabusu'!G37+'Avg Week Kabusu-Kitebi'!G37</f>
        <v>0.71428571428571419</v>
      </c>
      <c r="H37" s="49">
        <f>'Avg Kitebi-Kabusu'!H37+'Avg Week Kabusu-Kitebi'!H37</f>
        <v>0.71428571428571419</v>
      </c>
      <c r="I37" s="49">
        <f>'Avg Kitebi-Kabusu'!I37+'Avg Week Kabusu-Kitebi'!I37</f>
        <v>11.714285714285715</v>
      </c>
      <c r="J37" s="49">
        <f>'Avg Kitebi-Kabusu'!J37+'Avg Week Kabusu-Kitebi'!J37</f>
        <v>3</v>
      </c>
      <c r="K37" s="49">
        <f>'Avg Kitebi-Kabusu'!K37+'Avg Week Kabusu-Kitebi'!K37</f>
        <v>1.8571428571428572</v>
      </c>
      <c r="L37" s="49">
        <f>'Avg Kitebi-Kabusu'!L37+'Avg Week Kabusu-Kitebi'!L37</f>
        <v>1.5714285714285714</v>
      </c>
      <c r="M37" s="49">
        <f>'Avg Kitebi-Kabusu'!M37+'Avg Week Kabusu-Kitebi'!M37</f>
        <v>259.28571428571428</v>
      </c>
      <c r="N37" s="49">
        <f>'Avg Kitebi-Kabusu'!N37+'Avg Week Kabusu-Kitebi'!N37</f>
        <v>0</v>
      </c>
      <c r="O37" s="15">
        <f t="shared" si="0"/>
        <v>156.14285714285717</v>
      </c>
      <c r="P37" s="15">
        <f t="shared" si="1"/>
        <v>415.42857142857144</v>
      </c>
      <c r="R37" s="37" t="s">
        <v>85</v>
      </c>
      <c r="S37" s="35">
        <f t="shared" ref="S37:AF37" si="29">SUM(S10:S12)</f>
        <v>1385</v>
      </c>
      <c r="T37" s="16">
        <f t="shared" si="29"/>
        <v>193.71428571428569</v>
      </c>
      <c r="U37" s="16">
        <f t="shared" si="29"/>
        <v>162.42857142857144</v>
      </c>
      <c r="V37" s="16">
        <f t="shared" si="29"/>
        <v>605.57142857142856</v>
      </c>
      <c r="W37" s="16">
        <f t="shared" si="29"/>
        <v>13.428571428571427</v>
      </c>
      <c r="X37" s="16">
        <f t="shared" si="29"/>
        <v>7.4761904761904763</v>
      </c>
      <c r="Y37" s="16">
        <f t="shared" si="29"/>
        <v>105.28571428571428</v>
      </c>
      <c r="Z37" s="16">
        <f t="shared" si="29"/>
        <v>15.857142857142858</v>
      </c>
      <c r="AA37" s="16">
        <f t="shared" si="29"/>
        <v>41.571428571428569</v>
      </c>
      <c r="AB37" s="16">
        <f t="shared" si="29"/>
        <v>11.857142857142858</v>
      </c>
      <c r="AC37" s="16">
        <f t="shared" si="29"/>
        <v>4060</v>
      </c>
      <c r="AD37" s="16">
        <f t="shared" si="29"/>
        <v>0</v>
      </c>
      <c r="AE37" s="32">
        <f t="shared" si="29"/>
        <v>2542.1904761904761</v>
      </c>
      <c r="AF37" s="32">
        <f t="shared" si="29"/>
        <v>6602.1904761904771</v>
      </c>
    </row>
    <row r="38" spans="2:32" ht="23.1" customHeight="1" x14ac:dyDescent="0.25">
      <c r="B38" s="24" t="s">
        <v>65</v>
      </c>
      <c r="C38" s="49">
        <f>'Avg Kitebi-Kabusu'!C38+'Avg Week Kabusu-Kitebi'!C38</f>
        <v>90.857142857142861</v>
      </c>
      <c r="D38" s="49">
        <f>'Avg Kitebi-Kabusu'!D38+'Avg Week Kabusu-Kitebi'!D38</f>
        <v>15.142857142857142</v>
      </c>
      <c r="E38" s="49">
        <f>'Avg Kitebi-Kabusu'!E38+'Avg Week Kabusu-Kitebi'!E38</f>
        <v>12.428571428571429</v>
      </c>
      <c r="F38" s="49">
        <f>'Avg Kitebi-Kabusu'!F38+'Avg Week Kabusu-Kitebi'!F38</f>
        <v>35</v>
      </c>
      <c r="G38" s="49">
        <f>'Avg Kitebi-Kabusu'!G38+'Avg Week Kabusu-Kitebi'!G38</f>
        <v>0.2857142857142857</v>
      </c>
      <c r="H38" s="49">
        <f>'Avg Kitebi-Kabusu'!H38+'Avg Week Kabusu-Kitebi'!H38</f>
        <v>1.5714285714285714</v>
      </c>
      <c r="I38" s="49">
        <f>'Avg Kitebi-Kabusu'!I38+'Avg Week Kabusu-Kitebi'!I38</f>
        <v>6.8571428571428577</v>
      </c>
      <c r="J38" s="49">
        <f>'Avg Kitebi-Kabusu'!J38+'Avg Week Kabusu-Kitebi'!J38</f>
        <v>3.4285714285714288</v>
      </c>
      <c r="K38" s="49">
        <f>'Avg Kitebi-Kabusu'!K38+'Avg Week Kabusu-Kitebi'!K38</f>
        <v>1.2857142857142856</v>
      </c>
      <c r="L38" s="49">
        <f>'Avg Kitebi-Kabusu'!L38+'Avg Week Kabusu-Kitebi'!L38</f>
        <v>1</v>
      </c>
      <c r="M38" s="49">
        <f>'Avg Kitebi-Kabusu'!M38+'Avg Week Kabusu-Kitebi'!M38</f>
        <v>295.57142857142856</v>
      </c>
      <c r="N38" s="49">
        <f>'Avg Kitebi-Kabusu'!N38+'Avg Week Kabusu-Kitebi'!N38</f>
        <v>0</v>
      </c>
      <c r="O38" s="15">
        <f t="shared" si="0"/>
        <v>167.85714285714286</v>
      </c>
      <c r="P38" s="15">
        <f t="shared" si="1"/>
        <v>463.42857142857144</v>
      </c>
      <c r="R38" s="28" t="s">
        <v>86</v>
      </c>
      <c r="S38" s="16">
        <f t="shared" ref="S38:AF38" si="30">SUM(S13:S18)</f>
        <v>2099.2857142857142</v>
      </c>
      <c r="T38" s="16">
        <f t="shared" si="30"/>
        <v>340.28571428571433</v>
      </c>
      <c r="U38" s="16">
        <f t="shared" si="30"/>
        <v>316</v>
      </c>
      <c r="V38" s="16">
        <f t="shared" si="30"/>
        <v>928.42857142857133</v>
      </c>
      <c r="W38" s="16">
        <f t="shared" si="30"/>
        <v>18.571428571428569</v>
      </c>
      <c r="X38" s="16">
        <f t="shared" si="30"/>
        <v>10.285714285714285</v>
      </c>
      <c r="Y38" s="16">
        <f t="shared" si="30"/>
        <v>266.42857142857144</v>
      </c>
      <c r="Z38" s="16">
        <f t="shared" si="30"/>
        <v>57.999999999999993</v>
      </c>
      <c r="AA38" s="16">
        <f t="shared" si="30"/>
        <v>44.857142857142854</v>
      </c>
      <c r="AB38" s="16">
        <f t="shared" si="30"/>
        <v>30</v>
      </c>
      <c r="AC38" s="16">
        <f t="shared" si="30"/>
        <v>7038.2857142857129</v>
      </c>
      <c r="AD38" s="16">
        <f t="shared" si="30"/>
        <v>0</v>
      </c>
      <c r="AE38" s="32">
        <f t="shared" si="30"/>
        <v>4112.1428571428569</v>
      </c>
      <c r="AF38" s="32">
        <f t="shared" si="30"/>
        <v>11150.428571428572</v>
      </c>
    </row>
    <row r="39" spans="2:32" ht="23.1" customHeight="1" x14ac:dyDescent="0.25">
      <c r="B39" s="24" t="s">
        <v>66</v>
      </c>
      <c r="C39" s="49">
        <f>'Avg Kitebi-Kabusu'!C39+'Avg Week Kabusu-Kitebi'!C39</f>
        <v>94.285714285714278</v>
      </c>
      <c r="D39" s="49">
        <f>'Avg Kitebi-Kabusu'!D39+'Avg Week Kabusu-Kitebi'!D39</f>
        <v>14</v>
      </c>
      <c r="E39" s="49">
        <f>'Avg Kitebi-Kabusu'!E39+'Avg Week Kabusu-Kitebi'!E39</f>
        <v>13.571428571428571</v>
      </c>
      <c r="F39" s="49">
        <f>'Avg Kitebi-Kabusu'!F39+'Avg Week Kabusu-Kitebi'!F39</f>
        <v>34.857142857142861</v>
      </c>
      <c r="G39" s="49">
        <f>'Avg Kitebi-Kabusu'!G39+'Avg Week Kabusu-Kitebi'!G39</f>
        <v>0.8571428571428571</v>
      </c>
      <c r="H39" s="49">
        <f>'Avg Kitebi-Kabusu'!H39+'Avg Week Kabusu-Kitebi'!H39</f>
        <v>0.14285714285714285</v>
      </c>
      <c r="I39" s="49">
        <f>'Avg Kitebi-Kabusu'!I39+'Avg Week Kabusu-Kitebi'!I39</f>
        <v>9.7142857142857153</v>
      </c>
      <c r="J39" s="49">
        <f>'Avg Kitebi-Kabusu'!J39+'Avg Week Kabusu-Kitebi'!J39</f>
        <v>1.7142857142857142</v>
      </c>
      <c r="K39" s="49">
        <f>'Avg Kitebi-Kabusu'!K39+'Avg Week Kabusu-Kitebi'!K39</f>
        <v>1.4285714285714286</v>
      </c>
      <c r="L39" s="49">
        <f>'Avg Kitebi-Kabusu'!L39+'Avg Week Kabusu-Kitebi'!L39</f>
        <v>1.4285714285714284</v>
      </c>
      <c r="M39" s="49">
        <f>'Avg Kitebi-Kabusu'!M39+'Avg Week Kabusu-Kitebi'!M39</f>
        <v>275.71428571428572</v>
      </c>
      <c r="N39" s="49">
        <f>'Avg Kitebi-Kabusu'!N39+'Avg Week Kabusu-Kitebi'!N39</f>
        <v>0</v>
      </c>
      <c r="O39" s="15">
        <f t="shared" si="0"/>
        <v>172</v>
      </c>
      <c r="P39" s="15">
        <f t="shared" si="1"/>
        <v>447.71428571428572</v>
      </c>
      <c r="R39" s="29" t="s">
        <v>87</v>
      </c>
      <c r="S39" s="16">
        <f t="shared" ref="S39:AF39" si="31">SUM(S19:S21)</f>
        <v>1489.7142857142858</v>
      </c>
      <c r="T39" s="16">
        <f t="shared" si="31"/>
        <v>204.14285714285714</v>
      </c>
      <c r="U39" s="16">
        <f t="shared" si="31"/>
        <v>194.99999999999997</v>
      </c>
      <c r="V39" s="16">
        <f t="shared" si="31"/>
        <v>521.14285714285711</v>
      </c>
      <c r="W39" s="16">
        <f t="shared" si="31"/>
        <v>14.714285714285715</v>
      </c>
      <c r="X39" s="16">
        <f t="shared" si="31"/>
        <v>2.5714285714285712</v>
      </c>
      <c r="Y39" s="16">
        <f t="shared" si="31"/>
        <v>131</v>
      </c>
      <c r="Z39" s="16">
        <f t="shared" si="31"/>
        <v>26.285714285714285</v>
      </c>
      <c r="AA39" s="16">
        <f t="shared" si="31"/>
        <v>17.571428571428569</v>
      </c>
      <c r="AB39" s="16">
        <f t="shared" si="31"/>
        <v>16.571428571428569</v>
      </c>
      <c r="AC39" s="16">
        <f t="shared" si="31"/>
        <v>3996.8571428571431</v>
      </c>
      <c r="AD39" s="16">
        <f t="shared" si="31"/>
        <v>0</v>
      </c>
      <c r="AE39" s="32">
        <f t="shared" si="31"/>
        <v>2618.7142857142853</v>
      </c>
      <c r="AF39" s="32">
        <f t="shared" si="31"/>
        <v>6615.5714285714294</v>
      </c>
    </row>
    <row r="40" spans="2:32" ht="23.1" customHeight="1" x14ac:dyDescent="0.25">
      <c r="B40" s="24" t="s">
        <v>67</v>
      </c>
      <c r="C40" s="49">
        <f>'Avg Kitebi-Kabusu'!C40+'Avg Week Kabusu-Kitebi'!C40</f>
        <v>87</v>
      </c>
      <c r="D40" s="49">
        <f>'Avg Kitebi-Kabusu'!D40+'Avg Week Kabusu-Kitebi'!D40</f>
        <v>14.714285714285715</v>
      </c>
      <c r="E40" s="49">
        <f>'Avg Kitebi-Kabusu'!E40+'Avg Week Kabusu-Kitebi'!E40</f>
        <v>11.142857142857142</v>
      </c>
      <c r="F40" s="49">
        <f>'Avg Kitebi-Kabusu'!F40+'Avg Week Kabusu-Kitebi'!F40</f>
        <v>33.142857142857139</v>
      </c>
      <c r="G40" s="49">
        <f>'Avg Kitebi-Kabusu'!G40+'Avg Week Kabusu-Kitebi'!G40</f>
        <v>0.42857142857142855</v>
      </c>
      <c r="H40" s="49">
        <f>'Avg Kitebi-Kabusu'!H40+'Avg Week Kabusu-Kitebi'!H40</f>
        <v>0.42857142857142855</v>
      </c>
      <c r="I40" s="49">
        <f>'Avg Kitebi-Kabusu'!I40+'Avg Week Kabusu-Kitebi'!I40</f>
        <v>12</v>
      </c>
      <c r="J40" s="49">
        <f>'Avg Kitebi-Kabusu'!J40+'Avg Week Kabusu-Kitebi'!J40</f>
        <v>4</v>
      </c>
      <c r="K40" s="49">
        <f>'Avg Kitebi-Kabusu'!K40+'Avg Week Kabusu-Kitebi'!K40</f>
        <v>2.7142857142857144</v>
      </c>
      <c r="L40" s="49">
        <f>'Avg Kitebi-Kabusu'!L40+'Avg Week Kabusu-Kitebi'!L40</f>
        <v>0.8571428571428571</v>
      </c>
      <c r="M40" s="49">
        <f>'Avg Kitebi-Kabusu'!M40+'Avg Week Kabusu-Kitebi'!M40</f>
        <v>284.71428571428572</v>
      </c>
      <c r="N40" s="49">
        <f>'Avg Kitebi-Kabusu'!N40+'Avg Week Kabusu-Kitebi'!N40</f>
        <v>0</v>
      </c>
      <c r="O40" s="15">
        <f t="shared" si="0"/>
        <v>166.42857142857142</v>
      </c>
      <c r="P40" s="15">
        <f t="shared" si="1"/>
        <v>451.14285714285711</v>
      </c>
      <c r="R40" s="5" t="s">
        <v>17</v>
      </c>
      <c r="S40" s="16">
        <f t="shared" ref="S40:AF40" si="32">SUM(S10:S21)</f>
        <v>4974</v>
      </c>
      <c r="T40" s="16">
        <f t="shared" si="32"/>
        <v>738.14285714285711</v>
      </c>
      <c r="U40" s="16">
        <f t="shared" si="32"/>
        <v>673.42857142857144</v>
      </c>
      <c r="V40" s="16">
        <f t="shared" si="32"/>
        <v>2055.1428571428569</v>
      </c>
      <c r="W40" s="16">
        <f t="shared" si="32"/>
        <v>46.714285714285715</v>
      </c>
      <c r="X40" s="16">
        <f t="shared" si="32"/>
        <v>20.333333333333336</v>
      </c>
      <c r="Y40" s="16">
        <f t="shared" si="32"/>
        <v>502.71428571428578</v>
      </c>
      <c r="Z40" s="16">
        <f t="shared" si="32"/>
        <v>100.14285714285715</v>
      </c>
      <c r="AA40" s="16">
        <f t="shared" si="32"/>
        <v>104</v>
      </c>
      <c r="AB40" s="16">
        <f t="shared" si="32"/>
        <v>58.428571428571431</v>
      </c>
      <c r="AC40" s="16">
        <f t="shared" si="32"/>
        <v>15095.142857142857</v>
      </c>
      <c r="AD40" s="16">
        <f t="shared" si="32"/>
        <v>0</v>
      </c>
      <c r="AE40" s="32">
        <f t="shared" si="32"/>
        <v>9273.0476190476202</v>
      </c>
      <c r="AF40" s="32">
        <f t="shared" si="32"/>
        <v>24368.190476190477</v>
      </c>
    </row>
    <row r="41" spans="2:32" ht="23.1" customHeight="1" x14ac:dyDescent="0.25">
      <c r="B41" s="23" t="s">
        <v>68</v>
      </c>
      <c r="C41" s="49">
        <f>'Avg Kitebi-Kabusu'!C41+'Avg Week Kabusu-Kitebi'!C41</f>
        <v>84.857142857142861</v>
      </c>
      <c r="D41" s="49">
        <f>'Avg Kitebi-Kabusu'!D41+'Avg Week Kabusu-Kitebi'!D41</f>
        <v>15.571428571428571</v>
      </c>
      <c r="E41" s="49">
        <f>'Avg Kitebi-Kabusu'!E41+'Avg Week Kabusu-Kitebi'!E41</f>
        <v>11.571428571428571</v>
      </c>
      <c r="F41" s="49">
        <f>'Avg Kitebi-Kabusu'!F41+'Avg Week Kabusu-Kitebi'!F41</f>
        <v>34.428571428571431</v>
      </c>
      <c r="G41" s="49">
        <f>'Avg Kitebi-Kabusu'!G41+'Avg Week Kabusu-Kitebi'!G41</f>
        <v>0.8571428571428571</v>
      </c>
      <c r="H41" s="49">
        <f>'Avg Kitebi-Kabusu'!H41+'Avg Week Kabusu-Kitebi'!H41</f>
        <v>0.5714285714285714</v>
      </c>
      <c r="I41" s="49">
        <f>'Avg Kitebi-Kabusu'!I41+'Avg Week Kabusu-Kitebi'!I41</f>
        <v>10.571428571428571</v>
      </c>
      <c r="J41" s="49">
        <f>'Avg Kitebi-Kabusu'!J41+'Avg Week Kabusu-Kitebi'!J41</f>
        <v>3.7142857142857144</v>
      </c>
      <c r="K41" s="49">
        <f>'Avg Kitebi-Kabusu'!K41+'Avg Week Kabusu-Kitebi'!K41</f>
        <v>1.5714285714285714</v>
      </c>
      <c r="L41" s="49">
        <f>'Avg Kitebi-Kabusu'!L41+'Avg Week Kabusu-Kitebi'!L41</f>
        <v>1.8571428571428572</v>
      </c>
      <c r="M41" s="49">
        <f>'Avg Kitebi-Kabusu'!M41+'Avg Week Kabusu-Kitebi'!M41</f>
        <v>287.28571428571428</v>
      </c>
      <c r="N41" s="49">
        <f>'Avg Kitebi-Kabusu'!N41+'Avg Week Kabusu-Kitebi'!N41</f>
        <v>0</v>
      </c>
      <c r="O41" s="15">
        <f t="shared" si="0"/>
        <v>165.57142857142864</v>
      </c>
      <c r="P41" s="15">
        <f t="shared" si="1"/>
        <v>452.85714285714289</v>
      </c>
      <c r="R41" s="5" t="s">
        <v>178</v>
      </c>
      <c r="S41" s="53">
        <f>SUM(S10:S33)</f>
        <v>7694</v>
      </c>
      <c r="T41" s="53">
        <f t="shared" ref="T41:AD41" si="33">SUM(T10:T33)</f>
        <v>1062.1428571428571</v>
      </c>
      <c r="U41" s="53">
        <f t="shared" si="33"/>
        <v>939.42857142857144</v>
      </c>
      <c r="V41" s="53">
        <f t="shared" si="33"/>
        <v>3291.6428571428569</v>
      </c>
      <c r="W41" s="53">
        <f t="shared" si="33"/>
        <v>85.714285714285722</v>
      </c>
      <c r="X41" s="53">
        <f t="shared" si="33"/>
        <v>30.833333333333336</v>
      </c>
      <c r="Y41" s="53">
        <f t="shared" si="33"/>
        <v>657.71428571428578</v>
      </c>
      <c r="Z41" s="53">
        <f t="shared" si="33"/>
        <v>162.14285714285717</v>
      </c>
      <c r="AA41" s="53">
        <f t="shared" si="33"/>
        <v>123</v>
      </c>
      <c r="AB41" s="53">
        <f t="shared" si="33"/>
        <v>70.928571428571431</v>
      </c>
      <c r="AC41" s="53">
        <f t="shared" si="33"/>
        <v>22503.642857142855</v>
      </c>
      <c r="AD41" s="53">
        <f t="shared" si="33"/>
        <v>0</v>
      </c>
      <c r="AE41" s="54">
        <f>SUM(AE10:AE33)</f>
        <v>14117.54761904762</v>
      </c>
      <c r="AF41" s="54">
        <f>SUM(AF10:AF33)</f>
        <v>36621.190476190473</v>
      </c>
    </row>
    <row r="42" spans="2:32" ht="23.1" customHeight="1" x14ac:dyDescent="0.25">
      <c r="B42" s="24" t="s">
        <v>69</v>
      </c>
      <c r="C42" s="49">
        <f>'Avg Kitebi-Kabusu'!C42+'Avg Week Kabusu-Kitebi'!C42</f>
        <v>86.571428571428584</v>
      </c>
      <c r="D42" s="49">
        <f>'Avg Kitebi-Kabusu'!D42+'Avg Week Kabusu-Kitebi'!D42</f>
        <v>13.857142857142858</v>
      </c>
      <c r="E42" s="49">
        <f>'Avg Kitebi-Kabusu'!E42+'Avg Week Kabusu-Kitebi'!E42</f>
        <v>13</v>
      </c>
      <c r="F42" s="49">
        <f>'Avg Kitebi-Kabusu'!F42+'Avg Week Kabusu-Kitebi'!F42</f>
        <v>31.428571428571431</v>
      </c>
      <c r="G42" s="49">
        <f>'Avg Kitebi-Kabusu'!G42+'Avg Week Kabusu-Kitebi'!G42</f>
        <v>0.42857142857142855</v>
      </c>
      <c r="H42" s="49">
        <f>'Avg Kitebi-Kabusu'!H42+'Avg Week Kabusu-Kitebi'!H42</f>
        <v>0.71428571428571419</v>
      </c>
      <c r="I42" s="49">
        <f>'Avg Kitebi-Kabusu'!I42+'Avg Week Kabusu-Kitebi'!I42</f>
        <v>10.571428571428571</v>
      </c>
      <c r="J42" s="49">
        <f>'Avg Kitebi-Kabusu'!J42+'Avg Week Kabusu-Kitebi'!J42</f>
        <v>2.2857142857142856</v>
      </c>
      <c r="K42" s="49">
        <f>'Avg Kitebi-Kabusu'!K42+'Avg Week Kabusu-Kitebi'!K42</f>
        <v>2.1428571428571428</v>
      </c>
      <c r="L42" s="49">
        <f>'Avg Kitebi-Kabusu'!L42+'Avg Week Kabusu-Kitebi'!L42</f>
        <v>1.2857142857142856</v>
      </c>
      <c r="M42" s="49">
        <f>'Avg Kitebi-Kabusu'!M42+'Avg Week Kabusu-Kitebi'!M42</f>
        <v>291.14285714285711</v>
      </c>
      <c r="N42" s="49">
        <f>'Avg Kitebi-Kabusu'!N42+'Avg Week Kabusu-Kitebi'!N42</f>
        <v>0</v>
      </c>
      <c r="O42" s="15">
        <f t="shared" si="0"/>
        <v>162.28571428571431</v>
      </c>
      <c r="P42" s="15">
        <f t="shared" si="1"/>
        <v>453.42857142857144</v>
      </c>
      <c r="R42" s="5" t="s">
        <v>160</v>
      </c>
      <c r="S42" s="48">
        <f>S41/S40</f>
        <v>1.546843586650583</v>
      </c>
      <c r="T42" s="48">
        <f t="shared" ref="T42:AF42" si="34">T41/T40</f>
        <v>1.4389394232630153</v>
      </c>
      <c r="U42" s="48">
        <f t="shared" si="34"/>
        <v>1.394993635977938</v>
      </c>
      <c r="V42" s="48">
        <f t="shared" si="34"/>
        <v>1.6016613374113722</v>
      </c>
      <c r="W42" s="48">
        <f t="shared" si="34"/>
        <v>1.834862385321101</v>
      </c>
      <c r="X42" s="48">
        <f t="shared" si="34"/>
        <v>1.5163934426229508</v>
      </c>
      <c r="Y42" s="48">
        <f t="shared" si="34"/>
        <v>1.3083262290423416</v>
      </c>
      <c r="Z42" s="48">
        <f t="shared" si="34"/>
        <v>1.6191155492154066</v>
      </c>
      <c r="AA42" s="48">
        <f t="shared" si="34"/>
        <v>1.1826923076923077</v>
      </c>
      <c r="AB42" s="48">
        <f t="shared" si="34"/>
        <v>1.2139364303178484</v>
      </c>
      <c r="AC42" s="48">
        <f t="shared" si="34"/>
        <v>1.490787008119925</v>
      </c>
      <c r="AD42" s="48" t="e">
        <f t="shared" si="34"/>
        <v>#DIV/0!</v>
      </c>
      <c r="AE42" s="55">
        <f t="shared" si="34"/>
        <v>1.5224280300307085</v>
      </c>
      <c r="AF42" s="55">
        <f t="shared" si="34"/>
        <v>1.50282765197408</v>
      </c>
    </row>
    <row r="43" spans="2:32" ht="23.1" customHeight="1" x14ac:dyDescent="0.25">
      <c r="B43" s="23" t="s">
        <v>70</v>
      </c>
      <c r="C43" s="49">
        <f>'Avg Kitebi-Kabusu'!C43+'Avg Week Kabusu-Kitebi'!C43</f>
        <v>87.428571428571431</v>
      </c>
      <c r="D43" s="49">
        <f>'Avg Kitebi-Kabusu'!D43+'Avg Week Kabusu-Kitebi'!D43</f>
        <v>10.714285714285715</v>
      </c>
      <c r="E43" s="49">
        <f>'Avg Kitebi-Kabusu'!E43+'Avg Week Kabusu-Kitebi'!E43</f>
        <v>10.285714285714285</v>
      </c>
      <c r="F43" s="49">
        <f>'Avg Kitebi-Kabusu'!F43+'Avg Week Kabusu-Kitebi'!F43</f>
        <v>32</v>
      </c>
      <c r="G43" s="49">
        <f>'Avg Kitebi-Kabusu'!G43+'Avg Week Kabusu-Kitebi'!G43</f>
        <v>0.71428571428571419</v>
      </c>
      <c r="H43" s="49">
        <f>'Avg Kitebi-Kabusu'!H43+'Avg Week Kabusu-Kitebi'!H43</f>
        <v>0.2857142857142857</v>
      </c>
      <c r="I43" s="49">
        <f>'Avg Kitebi-Kabusu'!I43+'Avg Week Kabusu-Kitebi'!I43</f>
        <v>9</v>
      </c>
      <c r="J43" s="49">
        <f>'Avg Kitebi-Kabusu'!J43+'Avg Week Kabusu-Kitebi'!J43</f>
        <v>2.4285714285714288</v>
      </c>
      <c r="K43" s="49">
        <f>'Avg Kitebi-Kabusu'!K43+'Avg Week Kabusu-Kitebi'!K43</f>
        <v>1.5714285714285714</v>
      </c>
      <c r="L43" s="49">
        <f>'Avg Kitebi-Kabusu'!L43+'Avg Week Kabusu-Kitebi'!L43</f>
        <v>0.8571428571428571</v>
      </c>
      <c r="M43" s="49">
        <f>'Avg Kitebi-Kabusu'!M43+'Avg Week Kabusu-Kitebi'!M43</f>
        <v>265.28571428571428</v>
      </c>
      <c r="N43" s="49">
        <f>'Avg Kitebi-Kabusu'!N43+'Avg Week Kabusu-Kitebi'!N43</f>
        <v>0</v>
      </c>
      <c r="O43" s="15">
        <f t="shared" si="0"/>
        <v>155.28571428571428</v>
      </c>
      <c r="P43" s="15">
        <f t="shared" si="1"/>
        <v>420.57142857142856</v>
      </c>
    </row>
    <row r="44" spans="2:32" ht="23.1" customHeight="1" x14ac:dyDescent="0.25">
      <c r="B44" s="25" t="s">
        <v>71</v>
      </c>
      <c r="C44" s="49">
        <f>'Avg Kitebi-Kabusu'!C44+'Avg Week Kabusu-Kitebi'!C44</f>
        <v>85.571428571428584</v>
      </c>
      <c r="D44" s="49">
        <f>'Avg Kitebi-Kabusu'!D44+'Avg Week Kabusu-Kitebi'!D44</f>
        <v>12.857142857142858</v>
      </c>
      <c r="E44" s="49">
        <f>'Avg Kitebi-Kabusu'!E44+'Avg Week Kabusu-Kitebi'!E44</f>
        <v>15.571428571428571</v>
      </c>
      <c r="F44" s="49">
        <f>'Avg Kitebi-Kabusu'!F44+'Avg Week Kabusu-Kitebi'!F44</f>
        <v>31.571428571428569</v>
      </c>
      <c r="G44" s="49">
        <f>'Avg Kitebi-Kabusu'!G44+'Avg Week Kabusu-Kitebi'!G44</f>
        <v>0.2857142857142857</v>
      </c>
      <c r="H44" s="49">
        <f>'Avg Kitebi-Kabusu'!H44+'Avg Week Kabusu-Kitebi'!H44</f>
        <v>0.71428571428571419</v>
      </c>
      <c r="I44" s="49">
        <f>'Avg Kitebi-Kabusu'!I44+'Avg Week Kabusu-Kitebi'!I44</f>
        <v>8.8571428571428577</v>
      </c>
      <c r="J44" s="49">
        <f>'Avg Kitebi-Kabusu'!J44+'Avg Week Kabusu-Kitebi'!J44</f>
        <v>2.7142857142857144</v>
      </c>
      <c r="K44" s="49">
        <f>'Avg Kitebi-Kabusu'!K44+'Avg Week Kabusu-Kitebi'!K44</f>
        <v>0.8571428571428571</v>
      </c>
      <c r="L44" s="49">
        <f>'Avg Kitebi-Kabusu'!L44+'Avg Week Kabusu-Kitebi'!L44</f>
        <v>0.71428571428571419</v>
      </c>
      <c r="M44" s="49">
        <f>'Avg Kitebi-Kabusu'!M44+'Avg Week Kabusu-Kitebi'!M44</f>
        <v>235.57142857142856</v>
      </c>
      <c r="N44" s="49">
        <f>'Avg Kitebi-Kabusu'!N44+'Avg Week Kabusu-Kitebi'!N44</f>
        <v>0</v>
      </c>
      <c r="O44" s="15">
        <f t="shared" si="0"/>
        <v>159.71428571428575</v>
      </c>
      <c r="P44" s="15">
        <f t="shared" si="1"/>
        <v>395.28571428571433</v>
      </c>
    </row>
    <row r="45" spans="2:32" ht="23.1" customHeight="1" x14ac:dyDescent="0.25">
      <c r="B45" s="23" t="s">
        <v>72</v>
      </c>
      <c r="C45" s="49">
        <f>'Avg Kitebi-Kabusu'!C45+'Avg Week Kabusu-Kitebi'!C45</f>
        <v>82.714285714285722</v>
      </c>
      <c r="D45" s="49">
        <f>'Avg Kitebi-Kabusu'!D45+'Avg Week Kabusu-Kitebi'!D45</f>
        <v>16.714285714285715</v>
      </c>
      <c r="E45" s="49">
        <f>'Avg Kitebi-Kabusu'!E45+'Avg Week Kabusu-Kitebi'!E45</f>
        <v>12.571428571428571</v>
      </c>
      <c r="F45" s="49">
        <f>'Avg Kitebi-Kabusu'!F45+'Avg Week Kabusu-Kitebi'!F45</f>
        <v>32.714285714285715</v>
      </c>
      <c r="G45" s="49">
        <f>'Avg Kitebi-Kabusu'!G45+'Avg Week Kabusu-Kitebi'!G45</f>
        <v>1.1428571428571428</v>
      </c>
      <c r="H45" s="49">
        <f>'Avg Kitebi-Kabusu'!H45+'Avg Week Kabusu-Kitebi'!H45</f>
        <v>0.2857142857142857</v>
      </c>
      <c r="I45" s="49">
        <f>'Avg Kitebi-Kabusu'!I45+'Avg Week Kabusu-Kitebi'!I45</f>
        <v>9.8571428571428577</v>
      </c>
      <c r="J45" s="49">
        <f>'Avg Kitebi-Kabusu'!J45+'Avg Week Kabusu-Kitebi'!J45</f>
        <v>1.8571428571428572</v>
      </c>
      <c r="K45" s="49">
        <f>'Avg Kitebi-Kabusu'!K45+'Avg Week Kabusu-Kitebi'!K45</f>
        <v>1.7142857142857144</v>
      </c>
      <c r="L45" s="49">
        <f>'Avg Kitebi-Kabusu'!L45+'Avg Week Kabusu-Kitebi'!L45</f>
        <v>1.5714285714285714</v>
      </c>
      <c r="M45" s="49">
        <f>'Avg Kitebi-Kabusu'!M45+'Avg Week Kabusu-Kitebi'!M45</f>
        <v>234.57142857142856</v>
      </c>
      <c r="N45" s="49">
        <f>'Avg Kitebi-Kabusu'!N45+'Avg Week Kabusu-Kitebi'!N45</f>
        <v>0</v>
      </c>
      <c r="O45" s="15">
        <f t="shared" si="0"/>
        <v>161.14285714285717</v>
      </c>
      <c r="P45" s="15">
        <f t="shared" si="1"/>
        <v>395.71428571428572</v>
      </c>
    </row>
    <row r="46" spans="2:32" ht="23.1" customHeight="1" x14ac:dyDescent="0.25">
      <c r="B46" s="24" t="s">
        <v>73</v>
      </c>
      <c r="C46" s="49">
        <f>'Avg Kitebi-Kabusu'!C46+'Avg Week Kabusu-Kitebi'!C46</f>
        <v>100.42857142857143</v>
      </c>
      <c r="D46" s="49">
        <f>'Avg Kitebi-Kabusu'!D46+'Avg Week Kabusu-Kitebi'!D46</f>
        <v>13.571428571428571</v>
      </c>
      <c r="E46" s="49">
        <f>'Avg Kitebi-Kabusu'!E46+'Avg Week Kabusu-Kitebi'!E46</f>
        <v>10.714285714285715</v>
      </c>
      <c r="F46" s="49">
        <f>'Avg Kitebi-Kabusu'!F46+'Avg Week Kabusu-Kitebi'!F46</f>
        <v>32.857142857142854</v>
      </c>
      <c r="G46" s="49">
        <f>'Avg Kitebi-Kabusu'!G46+'Avg Week Kabusu-Kitebi'!G46</f>
        <v>0.5714285714285714</v>
      </c>
      <c r="H46" s="49">
        <f>'Avg Kitebi-Kabusu'!H46+'Avg Week Kabusu-Kitebi'!H46</f>
        <v>0.42857142857142855</v>
      </c>
      <c r="I46" s="49">
        <f>'Avg Kitebi-Kabusu'!I46+'Avg Week Kabusu-Kitebi'!I46</f>
        <v>10.714285714285715</v>
      </c>
      <c r="J46" s="49">
        <f>'Avg Kitebi-Kabusu'!J46+'Avg Week Kabusu-Kitebi'!J46</f>
        <v>2</v>
      </c>
      <c r="K46" s="49">
        <f>'Avg Kitebi-Kabusu'!K46+'Avg Week Kabusu-Kitebi'!K46</f>
        <v>1.4285714285714284</v>
      </c>
      <c r="L46" s="49">
        <f>'Avg Kitebi-Kabusu'!L46+'Avg Week Kabusu-Kitebi'!L46</f>
        <v>0.8571428571428571</v>
      </c>
      <c r="M46" s="49">
        <f>'Avg Kitebi-Kabusu'!M46+'Avg Week Kabusu-Kitebi'!M46</f>
        <v>279.42857142857144</v>
      </c>
      <c r="N46" s="49">
        <f>'Avg Kitebi-Kabusu'!N46+'Avg Week Kabusu-Kitebi'!N46</f>
        <v>0</v>
      </c>
      <c r="O46" s="15">
        <f t="shared" si="0"/>
        <v>173.57142857142858</v>
      </c>
      <c r="P46" s="15">
        <f t="shared" si="1"/>
        <v>453</v>
      </c>
      <c r="R46" s="8"/>
      <c r="T46"/>
    </row>
    <row r="47" spans="2:32" ht="23.1" customHeight="1" x14ac:dyDescent="0.25">
      <c r="B47" s="24" t="s">
        <v>74</v>
      </c>
      <c r="C47" s="49">
        <f>'Avg Kitebi-Kabusu'!C47+'Avg Week Kabusu-Kitebi'!C47</f>
        <v>100.28571428571428</v>
      </c>
      <c r="D47" s="49">
        <f>'Avg Kitebi-Kabusu'!D47+'Avg Week Kabusu-Kitebi'!D47</f>
        <v>13.857142857142858</v>
      </c>
      <c r="E47" s="49">
        <f>'Avg Kitebi-Kabusu'!E47+'Avg Week Kabusu-Kitebi'!E47</f>
        <v>13.857142857142858</v>
      </c>
      <c r="F47" s="49">
        <f>'Avg Kitebi-Kabusu'!F47+'Avg Week Kabusu-Kitebi'!F47</f>
        <v>34.714285714285715</v>
      </c>
      <c r="G47" s="49">
        <f>'Avg Kitebi-Kabusu'!G47+'Avg Week Kabusu-Kitebi'!G47</f>
        <v>1.1428571428571428</v>
      </c>
      <c r="H47" s="49">
        <f>'Avg Kitebi-Kabusu'!H47+'Avg Week Kabusu-Kitebi'!H47</f>
        <v>0.2857142857142857</v>
      </c>
      <c r="I47" s="49">
        <f>'Avg Kitebi-Kabusu'!I47+'Avg Week Kabusu-Kitebi'!I47</f>
        <v>11</v>
      </c>
      <c r="J47" s="49">
        <f>'Avg Kitebi-Kabusu'!J47+'Avg Week Kabusu-Kitebi'!J47</f>
        <v>3.1428571428571428</v>
      </c>
      <c r="K47" s="49">
        <f>'Avg Kitebi-Kabusu'!K47+'Avg Week Kabusu-Kitebi'!K47</f>
        <v>2</v>
      </c>
      <c r="L47" s="49">
        <f>'Avg Kitebi-Kabusu'!L47+'Avg Week Kabusu-Kitebi'!L47</f>
        <v>1.7142857142857144</v>
      </c>
      <c r="M47" s="49">
        <f>'Avg Kitebi-Kabusu'!M47+'Avg Week Kabusu-Kitebi'!M47</f>
        <v>299.42857142857144</v>
      </c>
      <c r="N47" s="49">
        <f>'Avg Kitebi-Kabusu'!N47+'Avg Week Kabusu-Kitebi'!N47</f>
        <v>0</v>
      </c>
      <c r="O47" s="15">
        <f t="shared" si="0"/>
        <v>182</v>
      </c>
      <c r="P47" s="15">
        <f t="shared" si="1"/>
        <v>481.42857142857144</v>
      </c>
      <c r="R47" s="8"/>
      <c r="T47"/>
    </row>
    <row r="48" spans="2:32" ht="23.1" customHeight="1" x14ac:dyDescent="0.25">
      <c r="B48" s="24" t="s">
        <v>75</v>
      </c>
      <c r="C48" s="49">
        <f>'Avg Kitebi-Kabusu'!C48+'Avg Week Kabusu-Kitebi'!C48</f>
        <v>107.14285714285714</v>
      </c>
      <c r="D48" s="49">
        <f>'Avg Kitebi-Kabusu'!D48+'Avg Week Kabusu-Kitebi'!D48</f>
        <v>13.428571428571429</v>
      </c>
      <c r="E48" s="49">
        <f>'Avg Kitebi-Kabusu'!E48+'Avg Week Kabusu-Kitebi'!E48</f>
        <v>17.428571428571427</v>
      </c>
      <c r="F48" s="49">
        <f>'Avg Kitebi-Kabusu'!F48+'Avg Week Kabusu-Kitebi'!F48</f>
        <v>39.714285714285715</v>
      </c>
      <c r="G48" s="49">
        <f>'Avg Kitebi-Kabusu'!G48+'Avg Week Kabusu-Kitebi'!G48</f>
        <v>1.2857142857142856</v>
      </c>
      <c r="H48" s="49">
        <f>'Avg Kitebi-Kabusu'!H48+'Avg Week Kabusu-Kitebi'!H48</f>
        <v>0.14285714285714285</v>
      </c>
      <c r="I48" s="49">
        <f>'Avg Kitebi-Kabusu'!I48+'Avg Week Kabusu-Kitebi'!I48</f>
        <v>10.285714285714285</v>
      </c>
      <c r="J48" s="49">
        <f>'Avg Kitebi-Kabusu'!J48+'Avg Week Kabusu-Kitebi'!J48</f>
        <v>1.4285714285714284</v>
      </c>
      <c r="K48" s="49">
        <f>'Avg Kitebi-Kabusu'!K48+'Avg Week Kabusu-Kitebi'!K48</f>
        <v>1.2857142857142856</v>
      </c>
      <c r="L48" s="49">
        <f>'Avg Kitebi-Kabusu'!L48+'Avg Week Kabusu-Kitebi'!L48</f>
        <v>0.8571428571428571</v>
      </c>
      <c r="M48" s="49">
        <f>'Avg Kitebi-Kabusu'!M48+'Avg Week Kabusu-Kitebi'!M48</f>
        <v>308.71428571428567</v>
      </c>
      <c r="N48" s="49">
        <f>'Avg Kitebi-Kabusu'!N48+'Avg Week Kabusu-Kitebi'!N48</f>
        <v>0</v>
      </c>
      <c r="O48" s="15">
        <f t="shared" si="0"/>
        <v>192.99999999999997</v>
      </c>
      <c r="P48" s="15">
        <f t="shared" si="1"/>
        <v>501.71428571428567</v>
      </c>
      <c r="R48" s="8"/>
      <c r="T48"/>
    </row>
    <row r="49" spans="2:20" ht="23.1" customHeight="1" x14ac:dyDescent="0.25">
      <c r="B49" s="23" t="s">
        <v>76</v>
      </c>
      <c r="C49" s="49">
        <f>'Avg Kitebi-Kabusu'!C49+'Avg Week Kabusu-Kitebi'!C49</f>
        <v>105.85714285714286</v>
      </c>
      <c r="D49" s="49">
        <f>'Avg Kitebi-Kabusu'!D49+'Avg Week Kabusu-Kitebi'!D49</f>
        <v>13.714285714285715</v>
      </c>
      <c r="E49" s="49">
        <f>'Avg Kitebi-Kabusu'!E49+'Avg Week Kabusu-Kitebi'!E49</f>
        <v>13.428571428571429</v>
      </c>
      <c r="F49" s="49">
        <f>'Avg Kitebi-Kabusu'!F49+'Avg Week Kabusu-Kitebi'!F49</f>
        <v>33.571428571428569</v>
      </c>
      <c r="G49" s="49">
        <f>'Avg Kitebi-Kabusu'!G49+'Avg Week Kabusu-Kitebi'!G49</f>
        <v>0.71428571428571419</v>
      </c>
      <c r="H49" s="49">
        <f>'Avg Kitebi-Kabusu'!H49+'Avg Week Kabusu-Kitebi'!H49</f>
        <v>0</v>
      </c>
      <c r="I49" s="49">
        <f>'Avg Kitebi-Kabusu'!I49+'Avg Week Kabusu-Kitebi'!I49</f>
        <v>10.142857142857142</v>
      </c>
      <c r="J49" s="49">
        <f>'Avg Kitebi-Kabusu'!J49+'Avg Week Kabusu-Kitebi'!J49</f>
        <v>2.4285714285714288</v>
      </c>
      <c r="K49" s="49">
        <f>'Avg Kitebi-Kabusu'!K49+'Avg Week Kabusu-Kitebi'!K49</f>
        <v>1.2857142857142856</v>
      </c>
      <c r="L49" s="49">
        <f>'Avg Kitebi-Kabusu'!L49+'Avg Week Kabusu-Kitebi'!L49</f>
        <v>1.5714285714285714</v>
      </c>
      <c r="M49" s="49">
        <f>'Avg Kitebi-Kabusu'!M49+'Avg Week Kabusu-Kitebi'!M49</f>
        <v>312.42857142857144</v>
      </c>
      <c r="N49" s="49">
        <f>'Avg Kitebi-Kabusu'!N49+'Avg Week Kabusu-Kitebi'!N49</f>
        <v>0</v>
      </c>
      <c r="O49" s="15">
        <f t="shared" si="0"/>
        <v>182.71428571428569</v>
      </c>
      <c r="P49" s="15">
        <f t="shared" si="1"/>
        <v>495.14285714285711</v>
      </c>
      <c r="R49" s="8"/>
      <c r="T49"/>
    </row>
    <row r="50" spans="2:20" ht="23.1" customHeight="1" x14ac:dyDescent="0.25">
      <c r="B50" s="24" t="s">
        <v>77</v>
      </c>
      <c r="C50" s="49">
        <f>'Avg Kitebi-Kabusu'!C50+'Avg Week Kabusu-Kitebi'!C50</f>
        <v>113.71428571428572</v>
      </c>
      <c r="D50" s="49">
        <f>'Avg Kitebi-Kabusu'!D50+'Avg Week Kabusu-Kitebi'!D50</f>
        <v>18.428571428571427</v>
      </c>
      <c r="E50" s="49">
        <f>'Avg Kitebi-Kabusu'!E50+'Avg Week Kabusu-Kitebi'!E50</f>
        <v>26.428571428571427</v>
      </c>
      <c r="F50" s="49">
        <f>'Avg Kitebi-Kabusu'!F50+'Avg Week Kabusu-Kitebi'!F50</f>
        <v>35</v>
      </c>
      <c r="G50" s="49">
        <f>'Avg Kitebi-Kabusu'!G50+'Avg Week Kabusu-Kitebi'!G50</f>
        <v>0.5714285714285714</v>
      </c>
      <c r="H50" s="49">
        <f>'Avg Kitebi-Kabusu'!H50+'Avg Week Kabusu-Kitebi'!H50</f>
        <v>0.14285714285714285</v>
      </c>
      <c r="I50" s="49">
        <f>'Avg Kitebi-Kabusu'!I50+'Avg Week Kabusu-Kitebi'!I50</f>
        <v>10.428571428571427</v>
      </c>
      <c r="J50" s="49">
        <f>'Avg Kitebi-Kabusu'!J50+'Avg Week Kabusu-Kitebi'!J50</f>
        <v>2.4285714285714288</v>
      </c>
      <c r="K50" s="49">
        <f>'Avg Kitebi-Kabusu'!K50+'Avg Week Kabusu-Kitebi'!K50</f>
        <v>2.8571428571428568</v>
      </c>
      <c r="L50" s="49">
        <f>'Avg Kitebi-Kabusu'!L50+'Avg Week Kabusu-Kitebi'!L50</f>
        <v>1.7142857142857142</v>
      </c>
      <c r="M50" s="49">
        <f>'Avg Kitebi-Kabusu'!M50+'Avg Week Kabusu-Kitebi'!M50</f>
        <v>331.28571428571428</v>
      </c>
      <c r="N50" s="49">
        <f>'Avg Kitebi-Kabusu'!N50+'Avg Week Kabusu-Kitebi'!N50</f>
        <v>0</v>
      </c>
      <c r="O50" s="15">
        <f t="shared" si="0"/>
        <v>211.71428571428569</v>
      </c>
      <c r="P50" s="15">
        <f t="shared" si="1"/>
        <v>543</v>
      </c>
      <c r="R50" s="8"/>
      <c r="T50"/>
    </row>
    <row r="51" spans="2:20" ht="23.1" customHeight="1" x14ac:dyDescent="0.25">
      <c r="B51" s="24" t="s">
        <v>78</v>
      </c>
      <c r="C51" s="49">
        <f>'Avg Kitebi-Kabusu'!C51+'Avg Week Kabusu-Kitebi'!C51</f>
        <v>116</v>
      </c>
      <c r="D51" s="49">
        <f>'Avg Kitebi-Kabusu'!D51+'Avg Week Kabusu-Kitebi'!D51</f>
        <v>14.714285714285715</v>
      </c>
      <c r="E51" s="49">
        <f>'Avg Kitebi-Kabusu'!E51+'Avg Week Kabusu-Kitebi'!E51</f>
        <v>16.428571428571427</v>
      </c>
      <c r="F51" s="49">
        <f>'Avg Kitebi-Kabusu'!F51+'Avg Week Kabusu-Kitebi'!F51</f>
        <v>41.142857142857139</v>
      </c>
      <c r="G51" s="49">
        <f>'Avg Kitebi-Kabusu'!G51+'Avg Week Kabusu-Kitebi'!G51</f>
        <v>0.8571428571428571</v>
      </c>
      <c r="H51" s="49">
        <f>'Avg Kitebi-Kabusu'!H51+'Avg Week Kabusu-Kitebi'!H51</f>
        <v>0.14285714285714285</v>
      </c>
      <c r="I51" s="49">
        <f>'Avg Kitebi-Kabusu'!I51+'Avg Week Kabusu-Kitebi'!I51</f>
        <v>11.428571428571429</v>
      </c>
      <c r="J51" s="49">
        <f>'Avg Kitebi-Kabusu'!J51+'Avg Week Kabusu-Kitebi'!J51</f>
        <v>1.8571428571428572</v>
      </c>
      <c r="K51" s="49">
        <f>'Avg Kitebi-Kabusu'!K51+'Avg Week Kabusu-Kitebi'!K51</f>
        <v>1.7142857142857142</v>
      </c>
      <c r="L51" s="49">
        <f>'Avg Kitebi-Kabusu'!L51+'Avg Week Kabusu-Kitebi'!L51</f>
        <v>1.5714285714285716</v>
      </c>
      <c r="M51" s="49">
        <f>'Avg Kitebi-Kabusu'!M51+'Avg Week Kabusu-Kitebi'!M51</f>
        <v>335.28571428571428</v>
      </c>
      <c r="N51" s="49">
        <f>'Avg Kitebi-Kabusu'!N51+'Avg Week Kabusu-Kitebi'!N51</f>
        <v>0</v>
      </c>
      <c r="O51" s="15">
        <f t="shared" si="0"/>
        <v>205.85714285714286</v>
      </c>
      <c r="P51" s="15">
        <f t="shared" si="1"/>
        <v>541.14285714285711</v>
      </c>
      <c r="R51" s="8"/>
      <c r="T51"/>
    </row>
    <row r="52" spans="2:20" ht="23.1" customHeight="1" x14ac:dyDescent="0.25">
      <c r="B52" s="24" t="s">
        <v>79</v>
      </c>
      <c r="C52" s="49">
        <f>'Avg Kitebi-Kabusu'!C52+'Avg Week Kabusu-Kitebi'!C52</f>
        <v>121.14285714285714</v>
      </c>
      <c r="D52" s="49">
        <f>'Avg Kitebi-Kabusu'!D52+'Avg Week Kabusu-Kitebi'!D52</f>
        <v>23.428571428571427</v>
      </c>
      <c r="E52" s="49">
        <f>'Avg Kitebi-Kabusu'!E52+'Avg Week Kabusu-Kitebi'!E52</f>
        <v>16.571428571428569</v>
      </c>
      <c r="F52" s="49">
        <f>'Avg Kitebi-Kabusu'!F52+'Avg Week Kabusu-Kitebi'!F52</f>
        <v>40</v>
      </c>
      <c r="G52" s="49">
        <f>'Avg Kitebi-Kabusu'!G52+'Avg Week Kabusu-Kitebi'!G52</f>
        <v>1.4285714285714286</v>
      </c>
      <c r="H52" s="49">
        <f>'Avg Kitebi-Kabusu'!H52+'Avg Week Kabusu-Kitebi'!H52</f>
        <v>0.42857142857142855</v>
      </c>
      <c r="I52" s="49">
        <f>'Avg Kitebi-Kabusu'!I52+'Avg Week Kabusu-Kitebi'!I52</f>
        <v>8.7142857142857135</v>
      </c>
      <c r="J52" s="49">
        <f>'Avg Kitebi-Kabusu'!J52+'Avg Week Kabusu-Kitebi'!J52</f>
        <v>2.2857142857142856</v>
      </c>
      <c r="K52" s="49">
        <f>'Avg Kitebi-Kabusu'!K52+'Avg Week Kabusu-Kitebi'!K52</f>
        <v>1.2857142857142856</v>
      </c>
      <c r="L52" s="49">
        <f>'Avg Kitebi-Kabusu'!L52+'Avg Week Kabusu-Kitebi'!L52</f>
        <v>2</v>
      </c>
      <c r="M52" s="49">
        <f>'Avg Kitebi-Kabusu'!M52+'Avg Week Kabusu-Kitebi'!M52</f>
        <v>364.42857142857144</v>
      </c>
      <c r="N52" s="49">
        <f>'Avg Kitebi-Kabusu'!N52+'Avg Week Kabusu-Kitebi'!N52</f>
        <v>0</v>
      </c>
      <c r="O52" s="15">
        <f t="shared" si="0"/>
        <v>217.28571428571422</v>
      </c>
      <c r="P52" s="15">
        <f t="shared" si="1"/>
        <v>581.71428571428567</v>
      </c>
      <c r="R52" s="8"/>
      <c r="T52"/>
    </row>
    <row r="53" spans="2:20" ht="23.1" customHeight="1" x14ac:dyDescent="0.25">
      <c r="B53" s="23" t="s">
        <v>80</v>
      </c>
      <c r="C53" s="49">
        <f>'Avg Kitebi-Kabusu'!C53+'Avg Week Kabusu-Kitebi'!C53</f>
        <v>136.42857142857142</v>
      </c>
      <c r="D53" s="49">
        <f>'Avg Kitebi-Kabusu'!D53+'Avg Week Kabusu-Kitebi'!D53</f>
        <v>14.714285714285715</v>
      </c>
      <c r="E53" s="49">
        <f>'Avg Kitebi-Kabusu'!E53+'Avg Week Kabusu-Kitebi'!E53</f>
        <v>18</v>
      </c>
      <c r="F53" s="49">
        <f>'Avg Kitebi-Kabusu'!F53+'Avg Week Kabusu-Kitebi'!F53</f>
        <v>43.142857142857139</v>
      </c>
      <c r="G53" s="49">
        <f>'Avg Kitebi-Kabusu'!G53+'Avg Week Kabusu-Kitebi'!G53</f>
        <v>1.4285714285714286</v>
      </c>
      <c r="H53" s="49">
        <f>'Avg Kitebi-Kabusu'!H53+'Avg Week Kabusu-Kitebi'!H53</f>
        <v>0</v>
      </c>
      <c r="I53" s="49">
        <f>'Avg Kitebi-Kabusu'!I53+'Avg Week Kabusu-Kitebi'!I53</f>
        <v>11.142857142857142</v>
      </c>
      <c r="J53" s="49">
        <f>'Avg Kitebi-Kabusu'!J53+'Avg Week Kabusu-Kitebi'!J53</f>
        <v>1.7142857142857144</v>
      </c>
      <c r="K53" s="49">
        <f>'Avg Kitebi-Kabusu'!K53+'Avg Week Kabusu-Kitebi'!K53</f>
        <v>0.71428571428571419</v>
      </c>
      <c r="L53" s="49">
        <f>'Avg Kitebi-Kabusu'!L53+'Avg Week Kabusu-Kitebi'!L53</f>
        <v>0.71428571428571419</v>
      </c>
      <c r="M53" s="49">
        <f>'Avg Kitebi-Kabusu'!M53+'Avg Week Kabusu-Kitebi'!M53</f>
        <v>348.71428571428572</v>
      </c>
      <c r="N53" s="49">
        <f>'Avg Kitebi-Kabusu'!N53+'Avg Week Kabusu-Kitebi'!N53</f>
        <v>0</v>
      </c>
      <c r="O53" s="15">
        <f t="shared" si="0"/>
        <v>228</v>
      </c>
      <c r="P53" s="15">
        <f t="shared" si="1"/>
        <v>576.71428571428578</v>
      </c>
      <c r="R53" s="8"/>
      <c r="T53"/>
    </row>
    <row r="54" spans="2:20" ht="23.1" customHeight="1" x14ac:dyDescent="0.25">
      <c r="B54" s="23" t="s">
        <v>81</v>
      </c>
      <c r="C54" s="49">
        <f>'Avg Kitebi-Kabusu'!C54+'Avg Week Kabusu-Kitebi'!C54</f>
        <v>155.57142857142856</v>
      </c>
      <c r="D54" s="49">
        <f>'Avg Kitebi-Kabusu'!D54+'Avg Week Kabusu-Kitebi'!D54</f>
        <v>23.571428571428569</v>
      </c>
      <c r="E54" s="49">
        <f>'Avg Kitebi-Kabusu'!E54+'Avg Week Kabusu-Kitebi'!E54</f>
        <v>14.142857142857142</v>
      </c>
      <c r="F54" s="49">
        <f>'Avg Kitebi-Kabusu'!F54+'Avg Week Kabusu-Kitebi'!F54</f>
        <v>51.571428571428569</v>
      </c>
      <c r="G54" s="49">
        <f>'Avg Kitebi-Kabusu'!G54+'Avg Week Kabusu-Kitebi'!G54</f>
        <v>1.7142857142857144</v>
      </c>
      <c r="H54" s="49">
        <f>'Avg Kitebi-Kabusu'!H54+'Avg Week Kabusu-Kitebi'!H54</f>
        <v>0.42857142857142855</v>
      </c>
      <c r="I54" s="49">
        <f>'Avg Kitebi-Kabusu'!I54+'Avg Week Kabusu-Kitebi'!I54</f>
        <v>11.142857142857142</v>
      </c>
      <c r="J54" s="49">
        <f>'Avg Kitebi-Kabusu'!J54+'Avg Week Kabusu-Kitebi'!J54</f>
        <v>1.4285714285714286</v>
      </c>
      <c r="K54" s="49">
        <f>'Avg Kitebi-Kabusu'!K54+'Avg Week Kabusu-Kitebi'!K54</f>
        <v>1.5714285714285714</v>
      </c>
      <c r="L54" s="49">
        <f>'Avg Kitebi-Kabusu'!L54+'Avg Week Kabusu-Kitebi'!L54</f>
        <v>1.5714285714285714</v>
      </c>
      <c r="M54" s="49">
        <f>'Avg Kitebi-Kabusu'!M54+'Avg Week Kabusu-Kitebi'!M54</f>
        <v>362.57142857142856</v>
      </c>
      <c r="N54" s="49">
        <f>'Avg Kitebi-Kabusu'!N54+'Avg Week Kabusu-Kitebi'!N54</f>
        <v>0</v>
      </c>
      <c r="O54" s="15">
        <f t="shared" si="0"/>
        <v>262.71428571428567</v>
      </c>
      <c r="P54" s="15">
        <f t="shared" si="1"/>
        <v>625.28571428571422</v>
      </c>
      <c r="R54" s="8"/>
      <c r="T54"/>
    </row>
    <row r="55" spans="2:20" ht="23.1" customHeight="1" x14ac:dyDescent="0.25">
      <c r="B55" s="23" t="s">
        <v>82</v>
      </c>
      <c r="C55" s="49">
        <f>'Avg Kitebi-Kabusu'!C55+'Avg Week Kabusu-Kitebi'!C55</f>
        <v>147.85714285714286</v>
      </c>
      <c r="D55" s="49">
        <f>'Avg Kitebi-Kabusu'!D55+'Avg Week Kabusu-Kitebi'!D55</f>
        <v>18.714285714285715</v>
      </c>
      <c r="E55" s="49">
        <f>'Avg Kitebi-Kabusu'!E55+'Avg Week Kabusu-Kitebi'!E55</f>
        <v>16.714285714285715</v>
      </c>
      <c r="F55" s="49">
        <f>'Avg Kitebi-Kabusu'!F55+'Avg Week Kabusu-Kitebi'!F55</f>
        <v>53.142857142857139</v>
      </c>
      <c r="G55" s="49">
        <f>'Avg Kitebi-Kabusu'!G55+'Avg Week Kabusu-Kitebi'!G55</f>
        <v>0.8571428571428571</v>
      </c>
      <c r="H55" s="49">
        <f>'Avg Kitebi-Kabusu'!H55+'Avg Week Kabusu-Kitebi'!H55</f>
        <v>0.42857142857142855</v>
      </c>
      <c r="I55" s="49">
        <f>'Avg Kitebi-Kabusu'!I55+'Avg Week Kabusu-Kitebi'!I55</f>
        <v>13.571428571428573</v>
      </c>
      <c r="J55" s="49">
        <f>'Avg Kitebi-Kabusu'!J55+'Avg Week Kabusu-Kitebi'!J55</f>
        <v>3.2857142857142856</v>
      </c>
      <c r="K55" s="49">
        <f>'Avg Kitebi-Kabusu'!K55+'Avg Week Kabusu-Kitebi'!K55</f>
        <v>1.1428571428571428</v>
      </c>
      <c r="L55" s="49">
        <f>'Avg Kitebi-Kabusu'!L55+'Avg Week Kabusu-Kitebi'!L55</f>
        <v>1.5714285714285714</v>
      </c>
      <c r="M55" s="49">
        <f>'Avg Kitebi-Kabusu'!M55+'Avg Week Kabusu-Kitebi'!M55</f>
        <v>349</v>
      </c>
      <c r="N55" s="49">
        <f>'Avg Kitebi-Kabusu'!N55+'Avg Week Kabusu-Kitebi'!N55</f>
        <v>0</v>
      </c>
      <c r="O55" s="15">
        <f t="shared" si="0"/>
        <v>257.28571428571428</v>
      </c>
      <c r="P55" s="15">
        <f t="shared" si="1"/>
        <v>606.28571428571422</v>
      </c>
      <c r="R55" s="8"/>
      <c r="T55"/>
    </row>
    <row r="56" spans="2:20" ht="23.1" customHeight="1" x14ac:dyDescent="0.25">
      <c r="B56" s="23" t="s">
        <v>83</v>
      </c>
      <c r="C56" s="49">
        <f>'Avg Kitebi-Kabusu'!C56+'Avg Week Kabusu-Kitebi'!C56</f>
        <v>144.85714285714286</v>
      </c>
      <c r="D56" s="49">
        <f>'Avg Kitebi-Kabusu'!D56+'Avg Week Kabusu-Kitebi'!D56</f>
        <v>18.571428571428569</v>
      </c>
      <c r="E56" s="49">
        <f>'Avg Kitebi-Kabusu'!E56+'Avg Week Kabusu-Kitebi'!E56</f>
        <v>15.571428571428573</v>
      </c>
      <c r="F56" s="49">
        <f>'Avg Kitebi-Kabusu'!F56+'Avg Week Kabusu-Kitebi'!F56</f>
        <v>57.428571428571431</v>
      </c>
      <c r="G56" s="49">
        <f>'Avg Kitebi-Kabusu'!G56+'Avg Week Kabusu-Kitebi'!G56</f>
        <v>2.1428571428571428</v>
      </c>
      <c r="H56" s="49">
        <f>'Avg Kitebi-Kabusu'!H56+'Avg Week Kabusu-Kitebi'!H56</f>
        <v>0</v>
      </c>
      <c r="I56" s="49">
        <f>'Avg Kitebi-Kabusu'!I56+'Avg Week Kabusu-Kitebi'!I56</f>
        <v>10.142857142857142</v>
      </c>
      <c r="J56" s="49">
        <f>'Avg Kitebi-Kabusu'!J56+'Avg Week Kabusu-Kitebi'!J56</f>
        <v>1.8571428571428572</v>
      </c>
      <c r="K56" s="49">
        <f>'Avg Kitebi-Kabusu'!K56+'Avg Week Kabusu-Kitebi'!K56</f>
        <v>0.8571428571428571</v>
      </c>
      <c r="L56" s="49">
        <f>'Avg Kitebi-Kabusu'!L56+'Avg Week Kabusu-Kitebi'!L56</f>
        <v>1.5714285714285714</v>
      </c>
      <c r="M56" s="49">
        <f>'Avg Kitebi-Kabusu'!M56+'Avg Week Kabusu-Kitebi'!M56</f>
        <v>374.85714285714289</v>
      </c>
      <c r="N56" s="49">
        <f>'Avg Kitebi-Kabusu'!N56+'Avg Week Kabusu-Kitebi'!N56</f>
        <v>0</v>
      </c>
      <c r="O56" s="15">
        <f t="shared" si="0"/>
        <v>253.00000000000003</v>
      </c>
      <c r="P56" s="15">
        <f t="shared" si="1"/>
        <v>627.85714285714289</v>
      </c>
      <c r="R56" s="8"/>
      <c r="T56"/>
    </row>
    <row r="57" spans="2:20" ht="23.1" customHeight="1" x14ac:dyDescent="0.25">
      <c r="B57" s="23" t="s">
        <v>84</v>
      </c>
      <c r="C57" s="49">
        <f>'Avg Kitebi-Kabusu'!C57+'Avg Week Kabusu-Kitebi'!C57</f>
        <v>140.42857142857144</v>
      </c>
      <c r="D57" s="49">
        <f>'Avg Kitebi-Kabusu'!D57+'Avg Week Kabusu-Kitebi'!D57</f>
        <v>17.428571428571431</v>
      </c>
      <c r="E57" s="49">
        <f>'Avg Kitebi-Kabusu'!E57+'Avg Week Kabusu-Kitebi'!E57</f>
        <v>15.714285714285714</v>
      </c>
      <c r="F57" s="49">
        <f>'Avg Kitebi-Kabusu'!F57+'Avg Week Kabusu-Kitebi'!F57</f>
        <v>58.857142857142854</v>
      </c>
      <c r="G57" s="49">
        <f>'Avg Kitebi-Kabusu'!G57+'Avg Week Kabusu-Kitebi'!G57</f>
        <v>2</v>
      </c>
      <c r="H57" s="49">
        <f>'Avg Kitebi-Kabusu'!H57+'Avg Week Kabusu-Kitebi'!H57</f>
        <v>0.14285714285714285</v>
      </c>
      <c r="I57" s="49">
        <f>'Avg Kitebi-Kabusu'!I57+'Avg Week Kabusu-Kitebi'!I57</f>
        <v>12.285714285714285</v>
      </c>
      <c r="J57" s="49">
        <f>'Avg Kitebi-Kabusu'!J57+'Avg Week Kabusu-Kitebi'!J57</f>
        <v>2.4285714285714284</v>
      </c>
      <c r="K57" s="49">
        <f>'Avg Kitebi-Kabusu'!K57+'Avg Week Kabusu-Kitebi'!K57</f>
        <v>1.4285714285714286</v>
      </c>
      <c r="L57" s="49">
        <f>'Avg Kitebi-Kabusu'!L57+'Avg Week Kabusu-Kitebi'!L57</f>
        <v>0.8571428571428571</v>
      </c>
      <c r="M57" s="49">
        <f>'Avg Kitebi-Kabusu'!M57+'Avg Week Kabusu-Kitebi'!M57</f>
        <v>330.71428571428572</v>
      </c>
      <c r="N57" s="49">
        <f>'Avg Kitebi-Kabusu'!N57+'Avg Week Kabusu-Kitebi'!N57</f>
        <v>0</v>
      </c>
      <c r="O57" s="15">
        <f t="shared" si="0"/>
        <v>251.57142857142858</v>
      </c>
      <c r="P57" s="15">
        <f t="shared" si="1"/>
        <v>582.28571428571433</v>
      </c>
      <c r="R57" s="8"/>
      <c r="T57"/>
    </row>
    <row r="58" spans="2:20" ht="23.1" customHeight="1" x14ac:dyDescent="0.25">
      <c r="B58" s="23" t="s">
        <v>99</v>
      </c>
      <c r="C58" s="49">
        <f>'Avg Kitebi-Kabusu'!C58+'Avg Week Kabusu-Kitebi'!C58</f>
        <v>116</v>
      </c>
      <c r="D58" s="49">
        <f>'Avg Kitebi-Kabusu'!D58+'Avg Week Kabusu-Kitebi'!D58</f>
        <v>16.5</v>
      </c>
      <c r="E58" s="49">
        <f>'Avg Kitebi-Kabusu'!E58+'Avg Week Kabusu-Kitebi'!E58</f>
        <v>11</v>
      </c>
      <c r="F58" s="49">
        <f>'Avg Kitebi-Kabusu'!F58+'Avg Week Kabusu-Kitebi'!F58</f>
        <v>55.5</v>
      </c>
      <c r="G58" s="49">
        <f>'Avg Kitebi-Kabusu'!G58+'Avg Week Kabusu-Kitebi'!G58</f>
        <v>9</v>
      </c>
      <c r="H58" s="49">
        <f>'Avg Kitebi-Kabusu'!H58+'Avg Week Kabusu-Kitebi'!H58</f>
        <v>0</v>
      </c>
      <c r="I58" s="49">
        <f>'Avg Kitebi-Kabusu'!I58+'Avg Week Kabusu-Kitebi'!I58</f>
        <v>4</v>
      </c>
      <c r="J58" s="49">
        <f>'Avg Kitebi-Kabusu'!J58+'Avg Week Kabusu-Kitebi'!J58</f>
        <v>1.5</v>
      </c>
      <c r="K58" s="49">
        <f>'Avg Kitebi-Kabusu'!K58+'Avg Week Kabusu-Kitebi'!K58</f>
        <v>0</v>
      </c>
      <c r="L58" s="49">
        <f>'Avg Kitebi-Kabusu'!L58+'Avg Week Kabusu-Kitebi'!L58</f>
        <v>1.5</v>
      </c>
      <c r="M58" s="49">
        <f>'Avg Kitebi-Kabusu'!M58+'Avg Week Kabusu-Kitebi'!M58</f>
        <v>332.5</v>
      </c>
      <c r="N58" s="49">
        <f>'Avg Kitebi-Kabusu'!N58+'Avg Week Kabusu-Kitebi'!N58</f>
        <v>0</v>
      </c>
      <c r="O58" s="15">
        <f t="shared" ref="O58:O105" si="35">SUM(C58:L58,N58)</f>
        <v>215</v>
      </c>
      <c r="P58" s="15">
        <f t="shared" ref="P58:P105" si="36">SUM(C58:N58)</f>
        <v>547.5</v>
      </c>
      <c r="R58" s="8"/>
      <c r="T58"/>
    </row>
    <row r="59" spans="2:20" ht="23.1" customHeight="1" x14ac:dyDescent="0.25">
      <c r="B59" s="23" t="s">
        <v>100</v>
      </c>
      <c r="C59" s="49">
        <f>'Avg Kitebi-Kabusu'!C59+'Avg Week Kabusu-Kitebi'!C59</f>
        <v>136.5</v>
      </c>
      <c r="D59" s="49">
        <f>'Avg Kitebi-Kabusu'!D59+'Avg Week Kabusu-Kitebi'!D59</f>
        <v>16.5</v>
      </c>
      <c r="E59" s="49">
        <f>'Avg Kitebi-Kabusu'!E59+'Avg Week Kabusu-Kitebi'!E59</f>
        <v>11</v>
      </c>
      <c r="F59" s="49">
        <f>'Avg Kitebi-Kabusu'!F59+'Avg Week Kabusu-Kitebi'!F59</f>
        <v>65</v>
      </c>
      <c r="G59" s="49">
        <f>'Avg Kitebi-Kabusu'!G59+'Avg Week Kabusu-Kitebi'!G59</f>
        <v>0.5</v>
      </c>
      <c r="H59" s="49">
        <f>'Avg Kitebi-Kabusu'!H59+'Avg Week Kabusu-Kitebi'!H59</f>
        <v>0.5</v>
      </c>
      <c r="I59" s="49">
        <f>'Avg Kitebi-Kabusu'!I59+'Avg Week Kabusu-Kitebi'!I59</f>
        <v>6.5</v>
      </c>
      <c r="J59" s="49">
        <f>'Avg Kitebi-Kabusu'!J59+'Avg Week Kabusu-Kitebi'!J59</f>
        <v>2.5</v>
      </c>
      <c r="K59" s="49">
        <f>'Avg Kitebi-Kabusu'!K59+'Avg Week Kabusu-Kitebi'!K59</f>
        <v>0</v>
      </c>
      <c r="L59" s="49">
        <f>'Avg Kitebi-Kabusu'!L59+'Avg Week Kabusu-Kitebi'!L59</f>
        <v>0</v>
      </c>
      <c r="M59" s="49">
        <f>'Avg Kitebi-Kabusu'!M59+'Avg Week Kabusu-Kitebi'!M59</f>
        <v>325</v>
      </c>
      <c r="N59" s="49">
        <f>'Avg Kitebi-Kabusu'!N59+'Avg Week Kabusu-Kitebi'!N59</f>
        <v>0</v>
      </c>
      <c r="O59" s="15">
        <f t="shared" si="35"/>
        <v>239</v>
      </c>
      <c r="P59" s="15">
        <f t="shared" si="36"/>
        <v>564</v>
      </c>
      <c r="R59" s="8"/>
      <c r="T59"/>
    </row>
    <row r="60" spans="2:20" ht="23.1" customHeight="1" x14ac:dyDescent="0.25">
      <c r="B60" s="23" t="s">
        <v>101</v>
      </c>
      <c r="C60" s="49">
        <f>'Avg Kitebi-Kabusu'!C60+'Avg Week Kabusu-Kitebi'!C60</f>
        <v>98.5</v>
      </c>
      <c r="D60" s="49">
        <f>'Avg Kitebi-Kabusu'!D60+'Avg Week Kabusu-Kitebi'!D60</f>
        <v>15</v>
      </c>
      <c r="E60" s="49">
        <f>'Avg Kitebi-Kabusu'!E60+'Avg Week Kabusu-Kitebi'!E60</f>
        <v>11.5</v>
      </c>
      <c r="F60" s="49">
        <f>'Avg Kitebi-Kabusu'!F60+'Avg Week Kabusu-Kitebi'!F60</f>
        <v>34.5</v>
      </c>
      <c r="G60" s="49">
        <f>'Avg Kitebi-Kabusu'!G60+'Avg Week Kabusu-Kitebi'!G60</f>
        <v>3.5</v>
      </c>
      <c r="H60" s="49">
        <f>'Avg Kitebi-Kabusu'!H60+'Avg Week Kabusu-Kitebi'!H60</f>
        <v>0.5</v>
      </c>
      <c r="I60" s="49">
        <f>'Avg Kitebi-Kabusu'!I60+'Avg Week Kabusu-Kitebi'!I60</f>
        <v>6</v>
      </c>
      <c r="J60" s="49">
        <f>'Avg Kitebi-Kabusu'!J60+'Avg Week Kabusu-Kitebi'!J60</f>
        <v>1.5</v>
      </c>
      <c r="K60" s="49">
        <f>'Avg Kitebi-Kabusu'!K60+'Avg Week Kabusu-Kitebi'!K60</f>
        <v>0</v>
      </c>
      <c r="L60" s="49">
        <f>'Avg Kitebi-Kabusu'!L60+'Avg Week Kabusu-Kitebi'!L60</f>
        <v>0</v>
      </c>
      <c r="M60" s="49">
        <f>'Avg Kitebi-Kabusu'!M60+'Avg Week Kabusu-Kitebi'!M60</f>
        <v>307</v>
      </c>
      <c r="N60" s="49">
        <f>'Avg Kitebi-Kabusu'!N60+'Avg Week Kabusu-Kitebi'!N60</f>
        <v>0</v>
      </c>
      <c r="O60" s="15">
        <f t="shared" si="35"/>
        <v>171</v>
      </c>
      <c r="P60" s="15">
        <f t="shared" si="36"/>
        <v>478</v>
      </c>
      <c r="R60" s="8"/>
      <c r="T60"/>
    </row>
    <row r="61" spans="2:20" ht="23.1" customHeight="1" x14ac:dyDescent="0.25">
      <c r="B61" s="23" t="s">
        <v>102</v>
      </c>
      <c r="C61" s="49">
        <f>'Avg Kitebi-Kabusu'!C61+'Avg Week Kabusu-Kitebi'!C61</f>
        <v>97</v>
      </c>
      <c r="D61" s="49">
        <f>'Avg Kitebi-Kabusu'!D61+'Avg Week Kabusu-Kitebi'!D61</f>
        <v>16</v>
      </c>
      <c r="E61" s="49">
        <f>'Avg Kitebi-Kabusu'!E61+'Avg Week Kabusu-Kitebi'!E61</f>
        <v>11.5</v>
      </c>
      <c r="F61" s="49">
        <f>'Avg Kitebi-Kabusu'!F61+'Avg Week Kabusu-Kitebi'!F61</f>
        <v>54</v>
      </c>
      <c r="G61" s="49">
        <f>'Avg Kitebi-Kabusu'!G61+'Avg Week Kabusu-Kitebi'!G61</f>
        <v>0.5</v>
      </c>
      <c r="H61" s="49">
        <f>'Avg Kitebi-Kabusu'!H61+'Avg Week Kabusu-Kitebi'!H61</f>
        <v>0</v>
      </c>
      <c r="I61" s="49">
        <f>'Avg Kitebi-Kabusu'!I61+'Avg Week Kabusu-Kitebi'!I61</f>
        <v>6.5</v>
      </c>
      <c r="J61" s="49">
        <f>'Avg Kitebi-Kabusu'!J61+'Avg Week Kabusu-Kitebi'!J61</f>
        <v>3</v>
      </c>
      <c r="K61" s="49">
        <f>'Avg Kitebi-Kabusu'!K61+'Avg Week Kabusu-Kitebi'!K61</f>
        <v>0</v>
      </c>
      <c r="L61" s="49">
        <f>'Avg Kitebi-Kabusu'!L61+'Avg Week Kabusu-Kitebi'!L61</f>
        <v>0.5</v>
      </c>
      <c r="M61" s="49">
        <f>'Avg Kitebi-Kabusu'!M61+'Avg Week Kabusu-Kitebi'!M61</f>
        <v>299</v>
      </c>
      <c r="N61" s="49">
        <f>'Avg Kitebi-Kabusu'!N61+'Avg Week Kabusu-Kitebi'!N61</f>
        <v>0</v>
      </c>
      <c r="O61" s="15">
        <f t="shared" si="35"/>
        <v>189</v>
      </c>
      <c r="P61" s="15">
        <f t="shared" si="36"/>
        <v>488</v>
      </c>
      <c r="R61" s="8"/>
      <c r="T61"/>
    </row>
    <row r="62" spans="2:20" ht="23.1" customHeight="1" x14ac:dyDescent="0.25">
      <c r="B62" s="23" t="s">
        <v>107</v>
      </c>
      <c r="C62" s="49">
        <f>'Avg Kitebi-Kabusu'!C62+'Avg Week Kabusu-Kitebi'!C62</f>
        <v>118</v>
      </c>
      <c r="D62" s="49">
        <f>'Avg Kitebi-Kabusu'!D62+'Avg Week Kabusu-Kitebi'!D62</f>
        <v>14</v>
      </c>
      <c r="E62" s="49">
        <f>'Avg Kitebi-Kabusu'!E62+'Avg Week Kabusu-Kitebi'!E62</f>
        <v>10.5</v>
      </c>
      <c r="F62" s="49">
        <f>'Avg Kitebi-Kabusu'!F62+'Avg Week Kabusu-Kitebi'!F62</f>
        <v>60.5</v>
      </c>
      <c r="G62" s="49">
        <f>'Avg Kitebi-Kabusu'!G62+'Avg Week Kabusu-Kitebi'!G62</f>
        <v>2</v>
      </c>
      <c r="H62" s="49">
        <f>'Avg Kitebi-Kabusu'!H62+'Avg Week Kabusu-Kitebi'!H62</f>
        <v>0.5</v>
      </c>
      <c r="I62" s="49">
        <f>'Avg Kitebi-Kabusu'!I62+'Avg Week Kabusu-Kitebi'!I62</f>
        <v>5.5</v>
      </c>
      <c r="J62" s="49">
        <f>'Avg Kitebi-Kabusu'!J62+'Avg Week Kabusu-Kitebi'!J62</f>
        <v>1</v>
      </c>
      <c r="K62" s="49">
        <f>'Avg Kitebi-Kabusu'!K62+'Avg Week Kabusu-Kitebi'!K62</f>
        <v>1</v>
      </c>
      <c r="L62" s="49">
        <f>'Avg Kitebi-Kabusu'!L62+'Avg Week Kabusu-Kitebi'!L62</f>
        <v>1</v>
      </c>
      <c r="M62" s="49">
        <f>'Avg Kitebi-Kabusu'!M62+'Avg Week Kabusu-Kitebi'!M62</f>
        <v>306</v>
      </c>
      <c r="N62" s="49">
        <f>'Avg Kitebi-Kabusu'!N62+'Avg Week Kabusu-Kitebi'!N62</f>
        <v>0</v>
      </c>
      <c r="O62" s="15">
        <f t="shared" si="35"/>
        <v>214</v>
      </c>
      <c r="P62" s="15">
        <f t="shared" si="36"/>
        <v>520</v>
      </c>
      <c r="R62" s="8"/>
      <c r="T62"/>
    </row>
    <row r="63" spans="2:20" ht="23.1" customHeight="1" x14ac:dyDescent="0.25">
      <c r="B63" s="23" t="s">
        <v>108</v>
      </c>
      <c r="C63" s="49">
        <f>'Avg Kitebi-Kabusu'!C63+'Avg Week Kabusu-Kitebi'!C63</f>
        <v>120</v>
      </c>
      <c r="D63" s="49">
        <f>'Avg Kitebi-Kabusu'!D63+'Avg Week Kabusu-Kitebi'!D63</f>
        <v>9.5</v>
      </c>
      <c r="E63" s="49">
        <f>'Avg Kitebi-Kabusu'!E63+'Avg Week Kabusu-Kitebi'!E63</f>
        <v>7.5</v>
      </c>
      <c r="F63" s="49">
        <f>'Avg Kitebi-Kabusu'!F63+'Avg Week Kabusu-Kitebi'!F63</f>
        <v>52</v>
      </c>
      <c r="G63" s="49">
        <f>'Avg Kitebi-Kabusu'!G63+'Avg Week Kabusu-Kitebi'!G63</f>
        <v>1</v>
      </c>
      <c r="H63" s="49">
        <f>'Avg Kitebi-Kabusu'!H63+'Avg Week Kabusu-Kitebi'!H63</f>
        <v>1</v>
      </c>
      <c r="I63" s="49">
        <f>'Avg Kitebi-Kabusu'!I63+'Avg Week Kabusu-Kitebi'!I63</f>
        <v>3</v>
      </c>
      <c r="J63" s="49">
        <f>'Avg Kitebi-Kabusu'!J63+'Avg Week Kabusu-Kitebi'!J63</f>
        <v>5.5</v>
      </c>
      <c r="K63" s="49">
        <f>'Avg Kitebi-Kabusu'!K63+'Avg Week Kabusu-Kitebi'!K63</f>
        <v>1</v>
      </c>
      <c r="L63" s="49">
        <f>'Avg Kitebi-Kabusu'!L63+'Avg Week Kabusu-Kitebi'!L63</f>
        <v>0</v>
      </c>
      <c r="M63" s="49">
        <f>'Avg Kitebi-Kabusu'!M63+'Avg Week Kabusu-Kitebi'!M63</f>
        <v>308</v>
      </c>
      <c r="N63" s="49">
        <f>'Avg Kitebi-Kabusu'!N63+'Avg Week Kabusu-Kitebi'!N63</f>
        <v>0</v>
      </c>
      <c r="O63" s="15">
        <f t="shared" si="35"/>
        <v>200.5</v>
      </c>
      <c r="P63" s="15">
        <f t="shared" si="36"/>
        <v>508.5</v>
      </c>
      <c r="R63" s="8"/>
      <c r="T63"/>
    </row>
    <row r="64" spans="2:20" ht="23.1" customHeight="1" x14ac:dyDescent="0.25">
      <c r="B64" s="23" t="s">
        <v>109</v>
      </c>
      <c r="C64" s="49">
        <f>'Avg Kitebi-Kabusu'!C64+'Avg Week Kabusu-Kitebi'!C64</f>
        <v>117</v>
      </c>
      <c r="D64" s="49">
        <f>'Avg Kitebi-Kabusu'!D64+'Avg Week Kabusu-Kitebi'!D64</f>
        <v>28</v>
      </c>
      <c r="E64" s="49">
        <f>'Avg Kitebi-Kabusu'!E64+'Avg Week Kabusu-Kitebi'!E64</f>
        <v>10.5</v>
      </c>
      <c r="F64" s="49">
        <f>'Avg Kitebi-Kabusu'!F64+'Avg Week Kabusu-Kitebi'!F64</f>
        <v>58</v>
      </c>
      <c r="G64" s="49">
        <f>'Avg Kitebi-Kabusu'!G64+'Avg Week Kabusu-Kitebi'!G64</f>
        <v>1</v>
      </c>
      <c r="H64" s="49">
        <f>'Avg Kitebi-Kabusu'!H64+'Avg Week Kabusu-Kitebi'!H64</f>
        <v>0</v>
      </c>
      <c r="I64" s="49">
        <f>'Avg Kitebi-Kabusu'!I64+'Avg Week Kabusu-Kitebi'!I64</f>
        <v>7.5</v>
      </c>
      <c r="J64" s="49">
        <f>'Avg Kitebi-Kabusu'!J64+'Avg Week Kabusu-Kitebi'!J64</f>
        <v>2.5</v>
      </c>
      <c r="K64" s="49">
        <f>'Avg Kitebi-Kabusu'!K64+'Avg Week Kabusu-Kitebi'!K64</f>
        <v>1.5</v>
      </c>
      <c r="L64" s="49">
        <f>'Avg Kitebi-Kabusu'!L64+'Avg Week Kabusu-Kitebi'!L64</f>
        <v>0</v>
      </c>
      <c r="M64" s="49">
        <f>'Avg Kitebi-Kabusu'!M64+'Avg Week Kabusu-Kitebi'!M64</f>
        <v>302.5</v>
      </c>
      <c r="N64" s="49">
        <f>'Avg Kitebi-Kabusu'!N64+'Avg Week Kabusu-Kitebi'!N64</f>
        <v>0</v>
      </c>
      <c r="O64" s="15">
        <f t="shared" si="35"/>
        <v>226</v>
      </c>
      <c r="P64" s="15">
        <f t="shared" si="36"/>
        <v>528.5</v>
      </c>
      <c r="R64" s="8"/>
      <c r="T64"/>
    </row>
    <row r="65" spans="2:20" ht="23.1" customHeight="1" x14ac:dyDescent="0.25">
      <c r="B65" s="23" t="s">
        <v>158</v>
      </c>
      <c r="C65" s="49">
        <f>'Avg Kitebi-Kabusu'!C65+'Avg Week Kabusu-Kitebi'!C65</f>
        <v>121</v>
      </c>
      <c r="D65" s="49">
        <f>'Avg Kitebi-Kabusu'!D65+'Avg Week Kabusu-Kitebi'!D65</f>
        <v>13.5</v>
      </c>
      <c r="E65" s="49">
        <f>'Avg Kitebi-Kabusu'!E65+'Avg Week Kabusu-Kitebi'!E65</f>
        <v>7.5</v>
      </c>
      <c r="F65" s="49">
        <f>'Avg Kitebi-Kabusu'!F65+'Avg Week Kabusu-Kitebi'!F65</f>
        <v>66.5</v>
      </c>
      <c r="G65" s="49">
        <f>'Avg Kitebi-Kabusu'!G65+'Avg Week Kabusu-Kitebi'!G65</f>
        <v>2.5</v>
      </c>
      <c r="H65" s="49">
        <f>'Avg Kitebi-Kabusu'!H65+'Avg Week Kabusu-Kitebi'!H65</f>
        <v>0</v>
      </c>
      <c r="I65" s="49">
        <f>'Avg Kitebi-Kabusu'!I65+'Avg Week Kabusu-Kitebi'!I65</f>
        <v>2.5</v>
      </c>
      <c r="J65" s="49">
        <f>'Avg Kitebi-Kabusu'!J65+'Avg Week Kabusu-Kitebi'!J65</f>
        <v>3.5</v>
      </c>
      <c r="K65" s="49">
        <f>'Avg Kitebi-Kabusu'!K65+'Avg Week Kabusu-Kitebi'!K65</f>
        <v>0</v>
      </c>
      <c r="L65" s="49">
        <f>'Avg Kitebi-Kabusu'!L65+'Avg Week Kabusu-Kitebi'!L65</f>
        <v>1</v>
      </c>
      <c r="M65" s="49">
        <f>'Avg Kitebi-Kabusu'!M65+'Avg Week Kabusu-Kitebi'!M65</f>
        <v>289</v>
      </c>
      <c r="N65" s="49">
        <f>'Avg Kitebi-Kabusu'!N65+'Avg Week Kabusu-Kitebi'!N65</f>
        <v>0</v>
      </c>
      <c r="O65" s="15">
        <f t="shared" si="35"/>
        <v>218</v>
      </c>
      <c r="P65" s="15">
        <f t="shared" si="36"/>
        <v>507</v>
      </c>
      <c r="R65" s="8"/>
      <c r="T65"/>
    </row>
    <row r="66" spans="2:20" ht="23.1" customHeight="1" x14ac:dyDescent="0.25">
      <c r="B66" s="23" t="s">
        <v>103</v>
      </c>
      <c r="C66" s="49">
        <f>'Avg Kitebi-Kabusu'!C66+'Avg Week Kabusu-Kitebi'!C66</f>
        <v>120</v>
      </c>
      <c r="D66" s="49">
        <f>'Avg Kitebi-Kabusu'!D66+'Avg Week Kabusu-Kitebi'!D66</f>
        <v>11.5</v>
      </c>
      <c r="E66" s="49">
        <f>'Avg Kitebi-Kabusu'!E66+'Avg Week Kabusu-Kitebi'!E66</f>
        <v>9</v>
      </c>
      <c r="F66" s="49">
        <f>'Avg Kitebi-Kabusu'!F66+'Avg Week Kabusu-Kitebi'!F66</f>
        <v>49.5</v>
      </c>
      <c r="G66" s="49">
        <f>'Avg Kitebi-Kabusu'!G66+'Avg Week Kabusu-Kitebi'!G66</f>
        <v>5.5</v>
      </c>
      <c r="H66" s="49">
        <f>'Avg Kitebi-Kabusu'!H66+'Avg Week Kabusu-Kitebi'!H66</f>
        <v>0.5</v>
      </c>
      <c r="I66" s="49">
        <f>'Avg Kitebi-Kabusu'!I66+'Avg Week Kabusu-Kitebi'!I66</f>
        <v>6.5</v>
      </c>
      <c r="J66" s="49">
        <f>'Avg Kitebi-Kabusu'!J66+'Avg Week Kabusu-Kitebi'!J66</f>
        <v>0.5</v>
      </c>
      <c r="K66" s="49">
        <f>'Avg Kitebi-Kabusu'!K66+'Avg Week Kabusu-Kitebi'!K66</f>
        <v>0</v>
      </c>
      <c r="L66" s="49">
        <f>'Avg Kitebi-Kabusu'!L66+'Avg Week Kabusu-Kitebi'!L66</f>
        <v>0.5</v>
      </c>
      <c r="M66" s="49">
        <f>'Avg Kitebi-Kabusu'!M66+'Avg Week Kabusu-Kitebi'!M66</f>
        <v>245</v>
      </c>
      <c r="N66" s="49">
        <f>'Avg Kitebi-Kabusu'!N66+'Avg Week Kabusu-Kitebi'!N66</f>
        <v>0</v>
      </c>
      <c r="O66" s="15">
        <f t="shared" si="35"/>
        <v>203.5</v>
      </c>
      <c r="P66" s="15">
        <f t="shared" si="36"/>
        <v>448.5</v>
      </c>
      <c r="R66" s="8"/>
      <c r="T66"/>
    </row>
    <row r="67" spans="2:20" ht="23.1" customHeight="1" x14ac:dyDescent="0.25">
      <c r="B67" s="23" t="s">
        <v>104</v>
      </c>
      <c r="C67" s="49">
        <f>'Avg Kitebi-Kabusu'!C67+'Avg Week Kabusu-Kitebi'!C67</f>
        <v>107</v>
      </c>
      <c r="D67" s="49">
        <f>'Avg Kitebi-Kabusu'!D67+'Avg Week Kabusu-Kitebi'!D67</f>
        <v>13</v>
      </c>
      <c r="E67" s="49">
        <f>'Avg Kitebi-Kabusu'!E67+'Avg Week Kabusu-Kitebi'!E67</f>
        <v>11</v>
      </c>
      <c r="F67" s="49">
        <f>'Avg Kitebi-Kabusu'!F67+'Avg Week Kabusu-Kitebi'!F67</f>
        <v>55.5</v>
      </c>
      <c r="G67" s="49">
        <f>'Avg Kitebi-Kabusu'!G67+'Avg Week Kabusu-Kitebi'!G67</f>
        <v>3</v>
      </c>
      <c r="H67" s="49">
        <f>'Avg Kitebi-Kabusu'!H67+'Avg Week Kabusu-Kitebi'!H67</f>
        <v>0</v>
      </c>
      <c r="I67" s="49">
        <f>'Avg Kitebi-Kabusu'!I67+'Avg Week Kabusu-Kitebi'!I67</f>
        <v>4.5</v>
      </c>
      <c r="J67" s="49">
        <f>'Avg Kitebi-Kabusu'!J67+'Avg Week Kabusu-Kitebi'!J67</f>
        <v>2.5</v>
      </c>
      <c r="K67" s="49">
        <f>'Avg Kitebi-Kabusu'!K67+'Avg Week Kabusu-Kitebi'!K67</f>
        <v>0</v>
      </c>
      <c r="L67" s="49">
        <f>'Avg Kitebi-Kabusu'!L67+'Avg Week Kabusu-Kitebi'!L67</f>
        <v>0</v>
      </c>
      <c r="M67" s="49">
        <f>'Avg Kitebi-Kabusu'!M67+'Avg Week Kabusu-Kitebi'!M67</f>
        <v>264.5</v>
      </c>
      <c r="N67" s="49">
        <f>'Avg Kitebi-Kabusu'!N67+'Avg Week Kabusu-Kitebi'!N67</f>
        <v>0</v>
      </c>
      <c r="O67" s="15">
        <f t="shared" si="35"/>
        <v>196.5</v>
      </c>
      <c r="P67" s="15">
        <f t="shared" si="36"/>
        <v>461</v>
      </c>
      <c r="R67" s="8"/>
      <c r="T67"/>
    </row>
    <row r="68" spans="2:20" ht="23.1" customHeight="1" x14ac:dyDescent="0.25">
      <c r="B68" s="23" t="s">
        <v>105</v>
      </c>
      <c r="C68" s="49">
        <f>'Avg Kitebi-Kabusu'!C68+'Avg Week Kabusu-Kitebi'!C68</f>
        <v>118.5</v>
      </c>
      <c r="D68" s="49">
        <f>'Avg Kitebi-Kabusu'!D68+'Avg Week Kabusu-Kitebi'!D68</f>
        <v>8</v>
      </c>
      <c r="E68" s="49">
        <f>'Avg Kitebi-Kabusu'!E68+'Avg Week Kabusu-Kitebi'!E68</f>
        <v>9.5</v>
      </c>
      <c r="F68" s="49">
        <f>'Avg Kitebi-Kabusu'!F68+'Avg Week Kabusu-Kitebi'!F68</f>
        <v>56.5</v>
      </c>
      <c r="G68" s="49">
        <f>'Avg Kitebi-Kabusu'!G68+'Avg Week Kabusu-Kitebi'!G68</f>
        <v>0</v>
      </c>
      <c r="H68" s="49">
        <f>'Avg Kitebi-Kabusu'!H68+'Avg Week Kabusu-Kitebi'!H68</f>
        <v>0</v>
      </c>
      <c r="I68" s="49">
        <f>'Avg Kitebi-Kabusu'!I68+'Avg Week Kabusu-Kitebi'!I68</f>
        <v>3</v>
      </c>
      <c r="J68" s="49">
        <f>'Avg Kitebi-Kabusu'!J68+'Avg Week Kabusu-Kitebi'!J68</f>
        <v>1.5</v>
      </c>
      <c r="K68" s="49">
        <f>'Avg Kitebi-Kabusu'!K68+'Avg Week Kabusu-Kitebi'!K68</f>
        <v>0.5</v>
      </c>
      <c r="L68" s="49">
        <f>'Avg Kitebi-Kabusu'!L68+'Avg Week Kabusu-Kitebi'!L68</f>
        <v>0.5</v>
      </c>
      <c r="M68" s="49">
        <f>'Avg Kitebi-Kabusu'!M68+'Avg Week Kabusu-Kitebi'!M68</f>
        <v>236</v>
      </c>
      <c r="N68" s="49">
        <f>'Avg Kitebi-Kabusu'!N68+'Avg Week Kabusu-Kitebi'!N68</f>
        <v>0</v>
      </c>
      <c r="O68" s="15">
        <f t="shared" si="35"/>
        <v>198</v>
      </c>
      <c r="P68" s="15">
        <f t="shared" si="36"/>
        <v>434</v>
      </c>
      <c r="R68" s="8"/>
      <c r="T68"/>
    </row>
    <row r="69" spans="2:20" ht="23.1" customHeight="1" x14ac:dyDescent="0.25">
      <c r="B69" s="23" t="s">
        <v>106</v>
      </c>
      <c r="C69" s="49">
        <f>'Avg Kitebi-Kabusu'!C69+'Avg Week Kabusu-Kitebi'!C69</f>
        <v>89</v>
      </c>
      <c r="D69" s="49">
        <f>'Avg Kitebi-Kabusu'!D69+'Avg Week Kabusu-Kitebi'!D69</f>
        <v>8</v>
      </c>
      <c r="E69" s="49">
        <f>'Avg Kitebi-Kabusu'!E69+'Avg Week Kabusu-Kitebi'!E69</f>
        <v>9.5</v>
      </c>
      <c r="F69" s="49">
        <f>'Avg Kitebi-Kabusu'!F69+'Avg Week Kabusu-Kitebi'!F69</f>
        <v>54</v>
      </c>
      <c r="G69" s="49">
        <f>'Avg Kitebi-Kabusu'!G69+'Avg Week Kabusu-Kitebi'!G69</f>
        <v>0.5</v>
      </c>
      <c r="H69" s="49">
        <f>'Avg Kitebi-Kabusu'!H69+'Avg Week Kabusu-Kitebi'!H69</f>
        <v>1</v>
      </c>
      <c r="I69" s="49">
        <f>'Avg Kitebi-Kabusu'!I69+'Avg Week Kabusu-Kitebi'!I69</f>
        <v>7</v>
      </c>
      <c r="J69" s="49">
        <f>'Avg Kitebi-Kabusu'!J69+'Avg Week Kabusu-Kitebi'!J69</f>
        <v>1.5</v>
      </c>
      <c r="K69" s="49">
        <f>'Avg Kitebi-Kabusu'!K69+'Avg Week Kabusu-Kitebi'!K69</f>
        <v>2.5</v>
      </c>
      <c r="L69" s="49">
        <f>'Avg Kitebi-Kabusu'!L69+'Avg Week Kabusu-Kitebi'!L69</f>
        <v>0</v>
      </c>
      <c r="M69" s="49">
        <f>'Avg Kitebi-Kabusu'!M69+'Avg Week Kabusu-Kitebi'!M69</f>
        <v>206.5</v>
      </c>
      <c r="N69" s="49">
        <f>'Avg Kitebi-Kabusu'!N69+'Avg Week Kabusu-Kitebi'!N69</f>
        <v>0</v>
      </c>
      <c r="O69" s="15">
        <f t="shared" si="35"/>
        <v>173</v>
      </c>
      <c r="P69" s="15">
        <f t="shared" si="36"/>
        <v>379.5</v>
      </c>
      <c r="R69" s="8"/>
      <c r="T69"/>
    </row>
    <row r="70" spans="2:20" ht="23.1" customHeight="1" x14ac:dyDescent="0.25">
      <c r="B70" s="23" t="s">
        <v>110</v>
      </c>
      <c r="C70" s="49">
        <f>'Avg Kitebi-Kabusu'!C70+'Avg Week Kabusu-Kitebi'!C70</f>
        <v>98.5</v>
      </c>
      <c r="D70" s="49">
        <f>'Avg Kitebi-Kabusu'!D70+'Avg Week Kabusu-Kitebi'!D70</f>
        <v>17</v>
      </c>
      <c r="E70" s="49">
        <f>'Avg Kitebi-Kabusu'!E70+'Avg Week Kabusu-Kitebi'!E70</f>
        <v>10</v>
      </c>
      <c r="F70" s="49">
        <f>'Avg Kitebi-Kabusu'!F70+'Avg Week Kabusu-Kitebi'!F70</f>
        <v>37</v>
      </c>
      <c r="G70" s="49">
        <f>'Avg Kitebi-Kabusu'!G70+'Avg Week Kabusu-Kitebi'!G70</f>
        <v>1</v>
      </c>
      <c r="H70" s="49">
        <f>'Avg Kitebi-Kabusu'!H70+'Avg Week Kabusu-Kitebi'!H70</f>
        <v>0</v>
      </c>
      <c r="I70" s="49">
        <f>'Avg Kitebi-Kabusu'!I70+'Avg Week Kabusu-Kitebi'!I70</f>
        <v>4</v>
      </c>
      <c r="J70" s="49">
        <f>'Avg Kitebi-Kabusu'!J70+'Avg Week Kabusu-Kitebi'!J70</f>
        <v>1.5</v>
      </c>
      <c r="K70" s="49">
        <f>'Avg Kitebi-Kabusu'!K70+'Avg Week Kabusu-Kitebi'!K70</f>
        <v>1</v>
      </c>
      <c r="L70" s="49">
        <f>'Avg Kitebi-Kabusu'!L70+'Avg Week Kabusu-Kitebi'!L70</f>
        <v>0</v>
      </c>
      <c r="M70" s="49">
        <f>'Avg Kitebi-Kabusu'!M70+'Avg Week Kabusu-Kitebi'!M70</f>
        <v>197</v>
      </c>
      <c r="N70" s="49">
        <f>'Avg Kitebi-Kabusu'!N70+'Avg Week Kabusu-Kitebi'!N70</f>
        <v>0</v>
      </c>
      <c r="O70" s="15">
        <f t="shared" si="35"/>
        <v>170</v>
      </c>
      <c r="P70" s="15">
        <f t="shared" si="36"/>
        <v>367</v>
      </c>
      <c r="R70" s="8"/>
      <c r="T70"/>
    </row>
    <row r="71" spans="2:20" ht="23.1" customHeight="1" x14ac:dyDescent="0.25">
      <c r="B71" s="23" t="s">
        <v>111</v>
      </c>
      <c r="C71" s="49">
        <f>'Avg Kitebi-Kabusu'!C71+'Avg Week Kabusu-Kitebi'!C71</f>
        <v>90.5</v>
      </c>
      <c r="D71" s="49">
        <f>'Avg Kitebi-Kabusu'!D71+'Avg Week Kabusu-Kitebi'!D71</f>
        <v>17</v>
      </c>
      <c r="E71" s="49">
        <f>'Avg Kitebi-Kabusu'!E71+'Avg Week Kabusu-Kitebi'!E71</f>
        <v>8.5</v>
      </c>
      <c r="F71" s="49">
        <f>'Avg Kitebi-Kabusu'!F71+'Avg Week Kabusu-Kitebi'!F71</f>
        <v>38</v>
      </c>
      <c r="G71" s="49">
        <f>'Avg Kitebi-Kabusu'!G71+'Avg Week Kabusu-Kitebi'!G71</f>
        <v>0.5</v>
      </c>
      <c r="H71" s="49">
        <f>'Avg Kitebi-Kabusu'!H71+'Avg Week Kabusu-Kitebi'!H71</f>
        <v>0</v>
      </c>
      <c r="I71" s="49">
        <f>'Avg Kitebi-Kabusu'!I71+'Avg Week Kabusu-Kitebi'!I71</f>
        <v>7</v>
      </c>
      <c r="J71" s="49">
        <f>'Avg Kitebi-Kabusu'!J71+'Avg Week Kabusu-Kitebi'!J71</f>
        <v>1.5</v>
      </c>
      <c r="K71" s="49">
        <f>'Avg Kitebi-Kabusu'!K71+'Avg Week Kabusu-Kitebi'!K71</f>
        <v>0</v>
      </c>
      <c r="L71" s="49">
        <f>'Avg Kitebi-Kabusu'!L71+'Avg Week Kabusu-Kitebi'!L71</f>
        <v>0.5</v>
      </c>
      <c r="M71" s="49">
        <f>'Avg Kitebi-Kabusu'!M71+'Avg Week Kabusu-Kitebi'!M71</f>
        <v>186.5</v>
      </c>
      <c r="N71" s="49">
        <f>'Avg Kitebi-Kabusu'!N71+'Avg Week Kabusu-Kitebi'!N71</f>
        <v>0</v>
      </c>
      <c r="O71" s="15">
        <f t="shared" si="35"/>
        <v>163.5</v>
      </c>
      <c r="P71" s="15">
        <f t="shared" si="36"/>
        <v>350</v>
      </c>
      <c r="R71" s="8"/>
      <c r="T71"/>
    </row>
    <row r="72" spans="2:20" ht="23.1" customHeight="1" x14ac:dyDescent="0.25">
      <c r="B72" s="23" t="s">
        <v>112</v>
      </c>
      <c r="C72" s="49">
        <f>'Avg Kitebi-Kabusu'!C72+'Avg Week Kabusu-Kitebi'!C72</f>
        <v>92</v>
      </c>
      <c r="D72" s="49">
        <f>'Avg Kitebi-Kabusu'!D72+'Avg Week Kabusu-Kitebi'!D72</f>
        <v>10</v>
      </c>
      <c r="E72" s="49">
        <f>'Avg Kitebi-Kabusu'!E72+'Avg Week Kabusu-Kitebi'!E72</f>
        <v>10.5</v>
      </c>
      <c r="F72" s="49">
        <f>'Avg Kitebi-Kabusu'!F72+'Avg Week Kabusu-Kitebi'!F72</f>
        <v>37.5</v>
      </c>
      <c r="G72" s="49">
        <f>'Avg Kitebi-Kabusu'!G72+'Avg Week Kabusu-Kitebi'!G72</f>
        <v>0</v>
      </c>
      <c r="H72" s="49">
        <f>'Avg Kitebi-Kabusu'!H72+'Avg Week Kabusu-Kitebi'!H72</f>
        <v>0</v>
      </c>
      <c r="I72" s="49">
        <f>'Avg Kitebi-Kabusu'!I72+'Avg Week Kabusu-Kitebi'!I72</f>
        <v>6</v>
      </c>
      <c r="J72" s="49">
        <f>'Avg Kitebi-Kabusu'!J72+'Avg Week Kabusu-Kitebi'!J72</f>
        <v>0</v>
      </c>
      <c r="K72" s="49">
        <f>'Avg Kitebi-Kabusu'!K72+'Avg Week Kabusu-Kitebi'!K72</f>
        <v>0</v>
      </c>
      <c r="L72" s="49">
        <f>'Avg Kitebi-Kabusu'!L72+'Avg Week Kabusu-Kitebi'!L72</f>
        <v>0.5</v>
      </c>
      <c r="M72" s="49">
        <f>'Avg Kitebi-Kabusu'!M72+'Avg Week Kabusu-Kitebi'!M72</f>
        <v>182.5</v>
      </c>
      <c r="N72" s="49">
        <f>'Avg Kitebi-Kabusu'!N72+'Avg Week Kabusu-Kitebi'!N72</f>
        <v>0</v>
      </c>
      <c r="O72" s="15">
        <f t="shared" si="35"/>
        <v>156.5</v>
      </c>
      <c r="P72" s="15">
        <f t="shared" si="36"/>
        <v>339</v>
      </c>
      <c r="R72" s="8"/>
      <c r="T72"/>
    </row>
    <row r="73" spans="2:20" ht="23.1" customHeight="1" x14ac:dyDescent="0.25">
      <c r="B73" s="23" t="s">
        <v>113</v>
      </c>
      <c r="C73" s="49">
        <f>'Avg Kitebi-Kabusu'!C73+'Avg Week Kabusu-Kitebi'!C73</f>
        <v>88</v>
      </c>
      <c r="D73" s="49">
        <f>'Avg Kitebi-Kabusu'!D73+'Avg Week Kabusu-Kitebi'!D73</f>
        <v>8.5</v>
      </c>
      <c r="E73" s="49">
        <f>'Avg Kitebi-Kabusu'!E73+'Avg Week Kabusu-Kitebi'!E73</f>
        <v>13</v>
      </c>
      <c r="F73" s="49">
        <f>'Avg Kitebi-Kabusu'!F73+'Avg Week Kabusu-Kitebi'!F73</f>
        <v>27.5</v>
      </c>
      <c r="G73" s="49">
        <f>'Avg Kitebi-Kabusu'!G73+'Avg Week Kabusu-Kitebi'!G73</f>
        <v>0</v>
      </c>
      <c r="H73" s="49">
        <f>'Avg Kitebi-Kabusu'!H73+'Avg Week Kabusu-Kitebi'!H73</f>
        <v>0</v>
      </c>
      <c r="I73" s="49">
        <f>'Avg Kitebi-Kabusu'!I73+'Avg Week Kabusu-Kitebi'!I73</f>
        <v>4.5</v>
      </c>
      <c r="J73" s="49">
        <f>'Avg Kitebi-Kabusu'!J73+'Avg Week Kabusu-Kitebi'!J73</f>
        <v>1.5</v>
      </c>
      <c r="K73" s="49">
        <f>'Avg Kitebi-Kabusu'!K73+'Avg Week Kabusu-Kitebi'!K73</f>
        <v>0</v>
      </c>
      <c r="L73" s="49">
        <f>'Avg Kitebi-Kabusu'!L73+'Avg Week Kabusu-Kitebi'!L73</f>
        <v>0</v>
      </c>
      <c r="M73" s="49">
        <f>'Avg Kitebi-Kabusu'!M73+'Avg Week Kabusu-Kitebi'!M73</f>
        <v>174.5</v>
      </c>
      <c r="N73" s="49">
        <f>'Avg Kitebi-Kabusu'!N73+'Avg Week Kabusu-Kitebi'!N73</f>
        <v>0</v>
      </c>
      <c r="O73" s="15">
        <f t="shared" si="35"/>
        <v>143</v>
      </c>
      <c r="P73" s="15">
        <f t="shared" si="36"/>
        <v>317.5</v>
      </c>
      <c r="R73" s="8"/>
      <c r="T73"/>
    </row>
    <row r="74" spans="2:20" ht="23.1" customHeight="1" x14ac:dyDescent="0.25">
      <c r="B74" s="23" t="s">
        <v>114</v>
      </c>
      <c r="C74" s="49">
        <f>'Avg Kitebi-Kabusu'!C74+'Avg Week Kabusu-Kitebi'!C74</f>
        <v>68</v>
      </c>
      <c r="D74" s="49">
        <f>'Avg Kitebi-Kabusu'!D74+'Avg Week Kabusu-Kitebi'!D74</f>
        <v>4.5</v>
      </c>
      <c r="E74" s="49">
        <f>'Avg Kitebi-Kabusu'!E74+'Avg Week Kabusu-Kitebi'!E74</f>
        <v>5.5</v>
      </c>
      <c r="F74" s="49">
        <f>'Avg Kitebi-Kabusu'!F74+'Avg Week Kabusu-Kitebi'!F74</f>
        <v>17</v>
      </c>
      <c r="G74" s="49">
        <f>'Avg Kitebi-Kabusu'!G74+'Avg Week Kabusu-Kitebi'!G74</f>
        <v>0</v>
      </c>
      <c r="H74" s="49">
        <f>'Avg Kitebi-Kabusu'!H74+'Avg Week Kabusu-Kitebi'!H74</f>
        <v>0.5</v>
      </c>
      <c r="I74" s="49">
        <f>'Avg Kitebi-Kabusu'!I74+'Avg Week Kabusu-Kitebi'!I74</f>
        <v>3</v>
      </c>
      <c r="J74" s="49">
        <f>'Avg Kitebi-Kabusu'!J74+'Avg Week Kabusu-Kitebi'!J74</f>
        <v>0.5</v>
      </c>
      <c r="K74" s="49">
        <f>'Avg Kitebi-Kabusu'!K74+'Avg Week Kabusu-Kitebi'!K74</f>
        <v>0.5</v>
      </c>
      <c r="L74" s="49">
        <f>'Avg Kitebi-Kabusu'!L74+'Avg Week Kabusu-Kitebi'!L74</f>
        <v>0.5</v>
      </c>
      <c r="M74" s="49">
        <f>'Avg Kitebi-Kabusu'!M74+'Avg Week Kabusu-Kitebi'!M74</f>
        <v>176.5</v>
      </c>
      <c r="N74" s="49">
        <f>'Avg Kitebi-Kabusu'!N74+'Avg Week Kabusu-Kitebi'!N74</f>
        <v>0</v>
      </c>
      <c r="O74" s="15">
        <f t="shared" si="35"/>
        <v>100</v>
      </c>
      <c r="P74" s="15">
        <f t="shared" si="36"/>
        <v>276.5</v>
      </c>
      <c r="R74" s="8"/>
      <c r="T74"/>
    </row>
    <row r="75" spans="2:20" ht="23.1" customHeight="1" x14ac:dyDescent="0.25">
      <c r="B75" s="23" t="s">
        <v>115</v>
      </c>
      <c r="C75" s="49">
        <f>'Avg Kitebi-Kabusu'!C75+'Avg Week Kabusu-Kitebi'!C75</f>
        <v>63.5</v>
      </c>
      <c r="D75" s="49">
        <f>'Avg Kitebi-Kabusu'!D75+'Avg Week Kabusu-Kitebi'!D75</f>
        <v>10</v>
      </c>
      <c r="E75" s="49">
        <f>'Avg Kitebi-Kabusu'!E75+'Avg Week Kabusu-Kitebi'!E75</f>
        <v>5</v>
      </c>
      <c r="F75" s="49">
        <f>'Avg Kitebi-Kabusu'!F75+'Avg Week Kabusu-Kitebi'!F75</f>
        <v>25</v>
      </c>
      <c r="G75" s="49">
        <f>'Avg Kitebi-Kabusu'!G75+'Avg Week Kabusu-Kitebi'!G75</f>
        <v>1</v>
      </c>
      <c r="H75" s="49">
        <f>'Avg Kitebi-Kabusu'!H75+'Avg Week Kabusu-Kitebi'!H75</f>
        <v>0</v>
      </c>
      <c r="I75" s="49">
        <f>'Avg Kitebi-Kabusu'!I75+'Avg Week Kabusu-Kitebi'!I75</f>
        <v>5.5</v>
      </c>
      <c r="J75" s="49">
        <f>'Avg Kitebi-Kabusu'!J75+'Avg Week Kabusu-Kitebi'!J75</f>
        <v>1.5</v>
      </c>
      <c r="K75" s="49">
        <f>'Avg Kitebi-Kabusu'!K75+'Avg Week Kabusu-Kitebi'!K75</f>
        <v>1</v>
      </c>
      <c r="L75" s="49">
        <f>'Avg Kitebi-Kabusu'!L75+'Avg Week Kabusu-Kitebi'!L75</f>
        <v>0</v>
      </c>
      <c r="M75" s="49">
        <f>'Avg Kitebi-Kabusu'!M75+'Avg Week Kabusu-Kitebi'!M75</f>
        <v>160.5</v>
      </c>
      <c r="N75" s="49">
        <f>'Avg Kitebi-Kabusu'!N75+'Avg Week Kabusu-Kitebi'!N75</f>
        <v>0</v>
      </c>
      <c r="O75" s="15">
        <f t="shared" si="35"/>
        <v>112.5</v>
      </c>
      <c r="P75" s="15">
        <f t="shared" si="36"/>
        <v>273</v>
      </c>
      <c r="R75" s="8"/>
      <c r="T75"/>
    </row>
    <row r="76" spans="2:20" ht="23.1" customHeight="1" x14ac:dyDescent="0.25">
      <c r="B76" s="23" t="s">
        <v>116</v>
      </c>
      <c r="C76" s="49">
        <f>'Avg Kitebi-Kabusu'!C76+'Avg Week Kabusu-Kitebi'!C76</f>
        <v>48</v>
      </c>
      <c r="D76" s="49">
        <f>'Avg Kitebi-Kabusu'!D76+'Avg Week Kabusu-Kitebi'!D76</f>
        <v>9.5</v>
      </c>
      <c r="E76" s="49">
        <f>'Avg Kitebi-Kabusu'!E76+'Avg Week Kabusu-Kitebi'!E76</f>
        <v>8</v>
      </c>
      <c r="F76" s="49">
        <f>'Avg Kitebi-Kabusu'!F76+'Avg Week Kabusu-Kitebi'!F76</f>
        <v>12.5</v>
      </c>
      <c r="G76" s="49">
        <f>'Avg Kitebi-Kabusu'!G76+'Avg Week Kabusu-Kitebi'!G76</f>
        <v>0</v>
      </c>
      <c r="H76" s="49">
        <f>'Avg Kitebi-Kabusu'!H76+'Avg Week Kabusu-Kitebi'!H76</f>
        <v>0.5</v>
      </c>
      <c r="I76" s="49">
        <f>'Avg Kitebi-Kabusu'!I76+'Avg Week Kabusu-Kitebi'!I76</f>
        <v>1</v>
      </c>
      <c r="J76" s="49">
        <f>'Avg Kitebi-Kabusu'!J76+'Avg Week Kabusu-Kitebi'!J76</f>
        <v>2</v>
      </c>
      <c r="K76" s="49">
        <f>'Avg Kitebi-Kabusu'!K76+'Avg Week Kabusu-Kitebi'!K76</f>
        <v>0</v>
      </c>
      <c r="L76" s="49">
        <f>'Avg Kitebi-Kabusu'!L76+'Avg Week Kabusu-Kitebi'!L76</f>
        <v>0</v>
      </c>
      <c r="M76" s="49">
        <f>'Avg Kitebi-Kabusu'!M76+'Avg Week Kabusu-Kitebi'!M76</f>
        <v>163</v>
      </c>
      <c r="N76" s="49">
        <f>'Avg Kitebi-Kabusu'!N76+'Avg Week Kabusu-Kitebi'!N76</f>
        <v>0</v>
      </c>
      <c r="O76" s="15">
        <f t="shared" si="35"/>
        <v>81.5</v>
      </c>
      <c r="P76" s="15">
        <f t="shared" si="36"/>
        <v>244.5</v>
      </c>
      <c r="R76" s="8"/>
      <c r="T76"/>
    </row>
    <row r="77" spans="2:20" ht="23.1" customHeight="1" x14ac:dyDescent="0.25">
      <c r="B77" s="23" t="s">
        <v>117</v>
      </c>
      <c r="C77" s="49">
        <f>'Avg Kitebi-Kabusu'!C77+'Avg Week Kabusu-Kitebi'!C77</f>
        <v>39</v>
      </c>
      <c r="D77" s="49">
        <f>'Avg Kitebi-Kabusu'!D77+'Avg Week Kabusu-Kitebi'!D77</f>
        <v>6.5</v>
      </c>
      <c r="E77" s="49">
        <f>'Avg Kitebi-Kabusu'!E77+'Avg Week Kabusu-Kitebi'!E77</f>
        <v>5.5</v>
      </c>
      <c r="F77" s="49">
        <f>'Avg Kitebi-Kabusu'!F77+'Avg Week Kabusu-Kitebi'!F77</f>
        <v>13</v>
      </c>
      <c r="G77" s="49">
        <f>'Avg Kitebi-Kabusu'!G77+'Avg Week Kabusu-Kitebi'!G77</f>
        <v>0.5</v>
      </c>
      <c r="H77" s="49">
        <f>'Avg Kitebi-Kabusu'!H77+'Avg Week Kabusu-Kitebi'!H77</f>
        <v>0</v>
      </c>
      <c r="I77" s="49">
        <f>'Avg Kitebi-Kabusu'!I77+'Avg Week Kabusu-Kitebi'!I77</f>
        <v>3.5</v>
      </c>
      <c r="J77" s="49">
        <f>'Avg Kitebi-Kabusu'!J77+'Avg Week Kabusu-Kitebi'!J77</f>
        <v>0.5</v>
      </c>
      <c r="K77" s="49">
        <f>'Avg Kitebi-Kabusu'!K77+'Avg Week Kabusu-Kitebi'!K77</f>
        <v>0</v>
      </c>
      <c r="L77" s="49">
        <f>'Avg Kitebi-Kabusu'!L77+'Avg Week Kabusu-Kitebi'!L77</f>
        <v>0</v>
      </c>
      <c r="M77" s="49">
        <f>'Avg Kitebi-Kabusu'!M77+'Avg Week Kabusu-Kitebi'!M77</f>
        <v>150.5</v>
      </c>
      <c r="N77" s="49">
        <f>'Avg Kitebi-Kabusu'!N77+'Avg Week Kabusu-Kitebi'!N77</f>
        <v>0</v>
      </c>
      <c r="O77" s="15">
        <f t="shared" si="35"/>
        <v>68.5</v>
      </c>
      <c r="P77" s="15">
        <f t="shared" si="36"/>
        <v>219</v>
      </c>
      <c r="R77" s="8"/>
      <c r="T77"/>
    </row>
    <row r="78" spans="2:20" ht="23.1" customHeight="1" x14ac:dyDescent="0.25">
      <c r="B78" s="24" t="s">
        <v>118</v>
      </c>
      <c r="C78" s="49">
        <f>'Avg Kitebi-Kabusu'!C78+'Avg Week Kabusu-Kitebi'!C78</f>
        <v>37</v>
      </c>
      <c r="D78" s="49">
        <f>'Avg Kitebi-Kabusu'!D78+'Avg Week Kabusu-Kitebi'!D78</f>
        <v>6</v>
      </c>
      <c r="E78" s="49">
        <f>'Avg Kitebi-Kabusu'!E78+'Avg Week Kabusu-Kitebi'!E78</f>
        <v>4.5</v>
      </c>
      <c r="F78" s="49">
        <f>'Avg Kitebi-Kabusu'!F78+'Avg Week Kabusu-Kitebi'!F78</f>
        <v>5.5</v>
      </c>
      <c r="G78" s="49">
        <f>'Avg Kitebi-Kabusu'!G78+'Avg Week Kabusu-Kitebi'!G78</f>
        <v>0</v>
      </c>
      <c r="H78" s="49">
        <f>'Avg Kitebi-Kabusu'!H78+'Avg Week Kabusu-Kitebi'!H78</f>
        <v>0</v>
      </c>
      <c r="I78" s="49">
        <f>'Avg Kitebi-Kabusu'!I78+'Avg Week Kabusu-Kitebi'!I78</f>
        <v>2.5</v>
      </c>
      <c r="J78" s="49">
        <f>'Avg Kitebi-Kabusu'!J78+'Avg Week Kabusu-Kitebi'!J78</f>
        <v>0</v>
      </c>
      <c r="K78" s="49">
        <f>'Avg Kitebi-Kabusu'!K78+'Avg Week Kabusu-Kitebi'!K78</f>
        <v>0.5</v>
      </c>
      <c r="L78" s="49">
        <f>'Avg Kitebi-Kabusu'!L78+'Avg Week Kabusu-Kitebi'!L78</f>
        <v>0</v>
      </c>
      <c r="M78" s="49">
        <f>'Avg Kitebi-Kabusu'!M78+'Avg Week Kabusu-Kitebi'!M78</f>
        <v>143</v>
      </c>
      <c r="N78" s="49">
        <f>'Avg Kitebi-Kabusu'!N78+'Avg Week Kabusu-Kitebi'!N78</f>
        <v>0</v>
      </c>
      <c r="O78" s="15">
        <f t="shared" si="35"/>
        <v>56</v>
      </c>
      <c r="P78" s="15">
        <f t="shared" si="36"/>
        <v>199</v>
      </c>
      <c r="R78" s="8"/>
      <c r="T78"/>
    </row>
    <row r="79" spans="2:20" ht="23.1" customHeight="1" x14ac:dyDescent="0.25">
      <c r="B79" s="23" t="s">
        <v>119</v>
      </c>
      <c r="C79" s="49">
        <f>'Avg Kitebi-Kabusu'!C79+'Avg Week Kabusu-Kitebi'!C79</f>
        <v>40.5</v>
      </c>
      <c r="D79" s="49">
        <f>'Avg Kitebi-Kabusu'!D79+'Avg Week Kabusu-Kitebi'!D79</f>
        <v>3</v>
      </c>
      <c r="E79" s="49">
        <f>'Avg Kitebi-Kabusu'!E79+'Avg Week Kabusu-Kitebi'!E79</f>
        <v>3.5</v>
      </c>
      <c r="F79" s="49">
        <f>'Avg Kitebi-Kabusu'!F79+'Avg Week Kabusu-Kitebi'!F79</f>
        <v>6</v>
      </c>
      <c r="G79" s="49">
        <f>'Avg Kitebi-Kabusu'!G79+'Avg Week Kabusu-Kitebi'!G79</f>
        <v>0</v>
      </c>
      <c r="H79" s="49">
        <f>'Avg Kitebi-Kabusu'!H79+'Avg Week Kabusu-Kitebi'!H79</f>
        <v>0</v>
      </c>
      <c r="I79" s="49">
        <f>'Avg Kitebi-Kabusu'!I79+'Avg Week Kabusu-Kitebi'!I79</f>
        <v>1.5</v>
      </c>
      <c r="J79" s="49">
        <f>'Avg Kitebi-Kabusu'!J79+'Avg Week Kabusu-Kitebi'!J79</f>
        <v>0</v>
      </c>
      <c r="K79" s="49">
        <f>'Avg Kitebi-Kabusu'!K79+'Avg Week Kabusu-Kitebi'!K79</f>
        <v>0.5</v>
      </c>
      <c r="L79" s="49">
        <f>'Avg Kitebi-Kabusu'!L79+'Avg Week Kabusu-Kitebi'!L79</f>
        <v>0</v>
      </c>
      <c r="M79" s="49">
        <f>'Avg Kitebi-Kabusu'!M79+'Avg Week Kabusu-Kitebi'!M79</f>
        <v>124.5</v>
      </c>
      <c r="N79" s="49">
        <f>'Avg Kitebi-Kabusu'!N79+'Avg Week Kabusu-Kitebi'!N79</f>
        <v>0</v>
      </c>
      <c r="O79" s="15">
        <f t="shared" si="35"/>
        <v>55</v>
      </c>
      <c r="P79" s="15">
        <f t="shared" si="36"/>
        <v>179.5</v>
      </c>
      <c r="R79" s="8"/>
      <c r="T79"/>
    </row>
    <row r="80" spans="2:20" ht="23.1" customHeight="1" x14ac:dyDescent="0.25">
      <c r="B80" s="25" t="s">
        <v>120</v>
      </c>
      <c r="C80" s="49">
        <f>'Avg Kitebi-Kabusu'!C80+'Avg Week Kabusu-Kitebi'!C80</f>
        <v>35.5</v>
      </c>
      <c r="D80" s="49">
        <f>'Avg Kitebi-Kabusu'!D80+'Avg Week Kabusu-Kitebi'!D80</f>
        <v>4.5</v>
      </c>
      <c r="E80" s="49">
        <f>'Avg Kitebi-Kabusu'!E80+'Avg Week Kabusu-Kitebi'!E80</f>
        <v>1</v>
      </c>
      <c r="F80" s="49">
        <f>'Avg Kitebi-Kabusu'!F80+'Avg Week Kabusu-Kitebi'!F80</f>
        <v>3.5</v>
      </c>
      <c r="G80" s="49">
        <f>'Avg Kitebi-Kabusu'!G80+'Avg Week Kabusu-Kitebi'!G80</f>
        <v>0</v>
      </c>
      <c r="H80" s="49">
        <f>'Avg Kitebi-Kabusu'!H80+'Avg Week Kabusu-Kitebi'!H80</f>
        <v>0</v>
      </c>
      <c r="I80" s="49">
        <f>'Avg Kitebi-Kabusu'!I80+'Avg Week Kabusu-Kitebi'!I80</f>
        <v>2</v>
      </c>
      <c r="J80" s="49">
        <f>'Avg Kitebi-Kabusu'!J80+'Avg Week Kabusu-Kitebi'!J80</f>
        <v>0.5</v>
      </c>
      <c r="K80" s="49">
        <f>'Avg Kitebi-Kabusu'!K80+'Avg Week Kabusu-Kitebi'!K80</f>
        <v>0</v>
      </c>
      <c r="L80" s="49">
        <f>'Avg Kitebi-Kabusu'!L80+'Avg Week Kabusu-Kitebi'!L80</f>
        <v>0</v>
      </c>
      <c r="M80" s="49">
        <f>'Avg Kitebi-Kabusu'!M80+'Avg Week Kabusu-Kitebi'!M80</f>
        <v>97</v>
      </c>
      <c r="N80" s="49">
        <f>'Avg Kitebi-Kabusu'!N80+'Avg Week Kabusu-Kitebi'!N80</f>
        <v>0</v>
      </c>
      <c r="O80" s="15">
        <f t="shared" si="35"/>
        <v>47</v>
      </c>
      <c r="P80" s="15">
        <f t="shared" si="36"/>
        <v>144</v>
      </c>
      <c r="R80" s="8"/>
      <c r="T80"/>
    </row>
    <row r="81" spans="2:20" ht="23.1" customHeight="1" x14ac:dyDescent="0.25">
      <c r="B81" s="23" t="s">
        <v>121</v>
      </c>
      <c r="C81" s="49">
        <f>'Avg Kitebi-Kabusu'!C81+'Avg Week Kabusu-Kitebi'!C81</f>
        <v>29</v>
      </c>
      <c r="D81" s="49">
        <f>'Avg Kitebi-Kabusu'!D81+'Avg Week Kabusu-Kitebi'!D81</f>
        <v>1.5</v>
      </c>
      <c r="E81" s="49">
        <f>'Avg Kitebi-Kabusu'!E81+'Avg Week Kabusu-Kitebi'!E81</f>
        <v>3</v>
      </c>
      <c r="F81" s="49">
        <f>'Avg Kitebi-Kabusu'!F81+'Avg Week Kabusu-Kitebi'!F81</f>
        <v>3</v>
      </c>
      <c r="G81" s="49">
        <f>'Avg Kitebi-Kabusu'!G81+'Avg Week Kabusu-Kitebi'!G81</f>
        <v>0</v>
      </c>
      <c r="H81" s="49">
        <f>'Avg Kitebi-Kabusu'!H81+'Avg Week Kabusu-Kitebi'!H81</f>
        <v>0</v>
      </c>
      <c r="I81" s="49">
        <f>'Avg Kitebi-Kabusu'!I81+'Avg Week Kabusu-Kitebi'!I81</f>
        <v>1.5</v>
      </c>
      <c r="J81" s="49">
        <f>'Avg Kitebi-Kabusu'!J81+'Avg Week Kabusu-Kitebi'!J81</f>
        <v>0.5</v>
      </c>
      <c r="K81" s="49">
        <f>'Avg Kitebi-Kabusu'!K81+'Avg Week Kabusu-Kitebi'!K81</f>
        <v>0.5</v>
      </c>
      <c r="L81" s="49">
        <f>'Avg Kitebi-Kabusu'!L81+'Avg Week Kabusu-Kitebi'!L81</f>
        <v>0</v>
      </c>
      <c r="M81" s="49">
        <f>'Avg Kitebi-Kabusu'!M81+'Avg Week Kabusu-Kitebi'!M81</f>
        <v>91.5</v>
      </c>
      <c r="N81" s="49">
        <f>'Avg Kitebi-Kabusu'!N81+'Avg Week Kabusu-Kitebi'!N81</f>
        <v>0</v>
      </c>
      <c r="O81" s="15">
        <f t="shared" si="35"/>
        <v>39</v>
      </c>
      <c r="P81" s="15">
        <f t="shared" si="36"/>
        <v>130.5</v>
      </c>
      <c r="R81" s="8"/>
      <c r="T81"/>
    </row>
    <row r="82" spans="2:20" ht="23.1" customHeight="1" x14ac:dyDescent="0.25">
      <c r="B82" s="24" t="s">
        <v>122</v>
      </c>
      <c r="C82" s="49">
        <f>'Avg Kitebi-Kabusu'!C82+'Avg Week Kabusu-Kitebi'!C82</f>
        <v>19</v>
      </c>
      <c r="D82" s="49">
        <f>'Avg Kitebi-Kabusu'!D82+'Avg Week Kabusu-Kitebi'!D82</f>
        <v>3.5</v>
      </c>
      <c r="E82" s="49">
        <f>'Avg Kitebi-Kabusu'!E82+'Avg Week Kabusu-Kitebi'!E82</f>
        <v>2</v>
      </c>
      <c r="F82" s="49">
        <f>'Avg Kitebi-Kabusu'!F82+'Avg Week Kabusu-Kitebi'!F82</f>
        <v>3</v>
      </c>
      <c r="G82" s="49">
        <f>'Avg Kitebi-Kabusu'!G82+'Avg Week Kabusu-Kitebi'!G82</f>
        <v>0.5</v>
      </c>
      <c r="H82" s="49">
        <f>'Avg Kitebi-Kabusu'!H82+'Avg Week Kabusu-Kitebi'!H82</f>
        <v>0</v>
      </c>
      <c r="I82" s="49">
        <f>'Avg Kitebi-Kabusu'!I82+'Avg Week Kabusu-Kitebi'!I82</f>
        <v>2</v>
      </c>
      <c r="J82" s="49">
        <f>'Avg Kitebi-Kabusu'!J82+'Avg Week Kabusu-Kitebi'!J82</f>
        <v>0.5</v>
      </c>
      <c r="K82" s="49">
        <f>'Avg Kitebi-Kabusu'!K82+'Avg Week Kabusu-Kitebi'!K82</f>
        <v>0</v>
      </c>
      <c r="L82" s="49">
        <f>'Avg Kitebi-Kabusu'!L82+'Avg Week Kabusu-Kitebi'!L82</f>
        <v>0</v>
      </c>
      <c r="M82" s="49">
        <f>'Avg Kitebi-Kabusu'!M82+'Avg Week Kabusu-Kitebi'!M82</f>
        <v>92.5</v>
      </c>
      <c r="N82" s="49">
        <f>'Avg Kitebi-Kabusu'!N82+'Avg Week Kabusu-Kitebi'!N82</f>
        <v>0</v>
      </c>
      <c r="O82" s="15">
        <f t="shared" si="35"/>
        <v>30.5</v>
      </c>
      <c r="P82" s="15">
        <f t="shared" si="36"/>
        <v>123</v>
      </c>
      <c r="R82" s="8"/>
      <c r="T82"/>
    </row>
    <row r="83" spans="2:20" ht="23.1" customHeight="1" x14ac:dyDescent="0.25">
      <c r="B83" s="23" t="s">
        <v>123</v>
      </c>
      <c r="C83" s="49">
        <f>'Avg Kitebi-Kabusu'!C83+'Avg Week Kabusu-Kitebi'!C83</f>
        <v>16.5</v>
      </c>
      <c r="D83" s="49">
        <f>'Avg Kitebi-Kabusu'!D83+'Avg Week Kabusu-Kitebi'!D83</f>
        <v>1.5</v>
      </c>
      <c r="E83" s="49">
        <f>'Avg Kitebi-Kabusu'!E83+'Avg Week Kabusu-Kitebi'!E83</f>
        <v>1</v>
      </c>
      <c r="F83" s="49">
        <f>'Avg Kitebi-Kabusu'!F83+'Avg Week Kabusu-Kitebi'!F83</f>
        <v>2</v>
      </c>
      <c r="G83" s="49">
        <f>'Avg Kitebi-Kabusu'!G83+'Avg Week Kabusu-Kitebi'!G83</f>
        <v>0</v>
      </c>
      <c r="H83" s="49">
        <f>'Avg Kitebi-Kabusu'!H83+'Avg Week Kabusu-Kitebi'!H83</f>
        <v>0</v>
      </c>
      <c r="I83" s="49">
        <f>'Avg Kitebi-Kabusu'!I83+'Avg Week Kabusu-Kitebi'!I83</f>
        <v>1.5</v>
      </c>
      <c r="J83" s="49">
        <f>'Avg Kitebi-Kabusu'!J83+'Avg Week Kabusu-Kitebi'!J83</f>
        <v>0.5</v>
      </c>
      <c r="K83" s="49">
        <f>'Avg Kitebi-Kabusu'!K83+'Avg Week Kabusu-Kitebi'!K83</f>
        <v>1</v>
      </c>
      <c r="L83" s="49">
        <f>'Avg Kitebi-Kabusu'!L83+'Avg Week Kabusu-Kitebi'!L83</f>
        <v>0.5</v>
      </c>
      <c r="M83" s="49">
        <f>'Avg Kitebi-Kabusu'!M83+'Avg Week Kabusu-Kitebi'!M83</f>
        <v>66</v>
      </c>
      <c r="N83" s="49">
        <f>'Avg Kitebi-Kabusu'!N83+'Avg Week Kabusu-Kitebi'!N83</f>
        <v>0</v>
      </c>
      <c r="O83" s="15">
        <f t="shared" si="35"/>
        <v>24.5</v>
      </c>
      <c r="P83" s="15">
        <f t="shared" si="36"/>
        <v>90.5</v>
      </c>
      <c r="R83" s="8"/>
      <c r="T83"/>
    </row>
    <row r="84" spans="2:20" ht="23.1" customHeight="1" x14ac:dyDescent="0.25">
      <c r="B84" s="25" t="s">
        <v>124</v>
      </c>
      <c r="C84" s="49">
        <f>'Avg Kitebi-Kabusu'!C84+'Avg Week Kabusu-Kitebi'!C84</f>
        <v>18.5</v>
      </c>
      <c r="D84" s="49">
        <f>'Avg Kitebi-Kabusu'!D84+'Avg Week Kabusu-Kitebi'!D84</f>
        <v>3.5</v>
      </c>
      <c r="E84" s="49">
        <f>'Avg Kitebi-Kabusu'!E84+'Avg Week Kabusu-Kitebi'!E84</f>
        <v>0.5</v>
      </c>
      <c r="F84" s="49">
        <f>'Avg Kitebi-Kabusu'!F84+'Avg Week Kabusu-Kitebi'!F84</f>
        <v>0.5</v>
      </c>
      <c r="G84" s="49">
        <f>'Avg Kitebi-Kabusu'!G84+'Avg Week Kabusu-Kitebi'!G84</f>
        <v>0</v>
      </c>
      <c r="H84" s="49">
        <f>'Avg Kitebi-Kabusu'!H84+'Avg Week Kabusu-Kitebi'!H84</f>
        <v>0</v>
      </c>
      <c r="I84" s="49">
        <f>'Avg Kitebi-Kabusu'!I84+'Avg Week Kabusu-Kitebi'!I84</f>
        <v>1</v>
      </c>
      <c r="J84" s="49">
        <f>'Avg Kitebi-Kabusu'!J84+'Avg Week Kabusu-Kitebi'!J84</f>
        <v>0.5</v>
      </c>
      <c r="K84" s="49">
        <f>'Avg Kitebi-Kabusu'!K84+'Avg Week Kabusu-Kitebi'!K84</f>
        <v>0</v>
      </c>
      <c r="L84" s="49">
        <f>'Avg Kitebi-Kabusu'!L84+'Avg Week Kabusu-Kitebi'!L84</f>
        <v>1</v>
      </c>
      <c r="M84" s="49">
        <f>'Avg Kitebi-Kabusu'!M84+'Avg Week Kabusu-Kitebi'!M84</f>
        <v>84.5</v>
      </c>
      <c r="N84" s="49">
        <f>'Avg Kitebi-Kabusu'!N84+'Avg Week Kabusu-Kitebi'!N84</f>
        <v>0</v>
      </c>
      <c r="O84" s="15">
        <f t="shared" si="35"/>
        <v>25.5</v>
      </c>
      <c r="P84" s="15">
        <f t="shared" si="36"/>
        <v>110</v>
      </c>
      <c r="R84" s="8"/>
      <c r="T84"/>
    </row>
    <row r="85" spans="2:20" ht="23.1" customHeight="1" x14ac:dyDescent="0.25">
      <c r="B85" s="23" t="s">
        <v>125</v>
      </c>
      <c r="C85" s="49">
        <f>'Avg Kitebi-Kabusu'!C85+'Avg Week Kabusu-Kitebi'!C85</f>
        <v>11.5</v>
      </c>
      <c r="D85" s="49">
        <f>'Avg Kitebi-Kabusu'!D85+'Avg Week Kabusu-Kitebi'!D85</f>
        <v>0.5</v>
      </c>
      <c r="E85" s="49">
        <f>'Avg Kitebi-Kabusu'!E85+'Avg Week Kabusu-Kitebi'!E85</f>
        <v>1.5</v>
      </c>
      <c r="F85" s="49">
        <f>'Avg Kitebi-Kabusu'!F85+'Avg Week Kabusu-Kitebi'!F85</f>
        <v>1.5</v>
      </c>
      <c r="G85" s="49">
        <f>'Avg Kitebi-Kabusu'!G85+'Avg Week Kabusu-Kitebi'!G85</f>
        <v>0</v>
      </c>
      <c r="H85" s="49">
        <f>'Avg Kitebi-Kabusu'!H85+'Avg Week Kabusu-Kitebi'!H85</f>
        <v>0</v>
      </c>
      <c r="I85" s="49">
        <f>'Avg Kitebi-Kabusu'!I85+'Avg Week Kabusu-Kitebi'!I85</f>
        <v>2.5</v>
      </c>
      <c r="J85" s="49">
        <f>'Avg Kitebi-Kabusu'!J85+'Avg Week Kabusu-Kitebi'!J85</f>
        <v>1.5</v>
      </c>
      <c r="K85" s="49">
        <f>'Avg Kitebi-Kabusu'!K85+'Avg Week Kabusu-Kitebi'!K85</f>
        <v>0</v>
      </c>
      <c r="L85" s="49">
        <f>'Avg Kitebi-Kabusu'!L85+'Avg Week Kabusu-Kitebi'!L85</f>
        <v>0</v>
      </c>
      <c r="M85" s="49">
        <f>'Avg Kitebi-Kabusu'!M85+'Avg Week Kabusu-Kitebi'!M85</f>
        <v>75</v>
      </c>
      <c r="N85" s="49">
        <f>'Avg Kitebi-Kabusu'!N85+'Avg Week Kabusu-Kitebi'!N85</f>
        <v>0</v>
      </c>
      <c r="O85" s="15">
        <f t="shared" si="35"/>
        <v>19</v>
      </c>
      <c r="P85" s="15">
        <f t="shared" si="36"/>
        <v>94</v>
      </c>
      <c r="R85" s="8"/>
      <c r="T85"/>
    </row>
    <row r="86" spans="2:20" ht="23.1" customHeight="1" x14ac:dyDescent="0.25">
      <c r="B86" s="24" t="s">
        <v>126</v>
      </c>
      <c r="C86" s="49">
        <f>'Avg Kitebi-Kabusu'!C86+'Avg Week Kabusu-Kitebi'!C86</f>
        <v>10</v>
      </c>
      <c r="D86" s="49">
        <f>'Avg Kitebi-Kabusu'!D86+'Avg Week Kabusu-Kitebi'!D86</f>
        <v>4.5</v>
      </c>
      <c r="E86" s="49">
        <f>'Avg Kitebi-Kabusu'!E86+'Avg Week Kabusu-Kitebi'!E86</f>
        <v>1</v>
      </c>
      <c r="F86" s="49">
        <f>'Avg Kitebi-Kabusu'!F86+'Avg Week Kabusu-Kitebi'!F86</f>
        <v>2.5</v>
      </c>
      <c r="G86" s="49">
        <f>'Avg Kitebi-Kabusu'!G86+'Avg Week Kabusu-Kitebi'!G86</f>
        <v>1</v>
      </c>
      <c r="H86" s="49">
        <f>'Avg Kitebi-Kabusu'!H86+'Avg Week Kabusu-Kitebi'!H86</f>
        <v>0</v>
      </c>
      <c r="I86" s="49">
        <f>'Avg Kitebi-Kabusu'!I86+'Avg Week Kabusu-Kitebi'!I86</f>
        <v>1</v>
      </c>
      <c r="J86" s="49">
        <f>'Avg Kitebi-Kabusu'!J86+'Avg Week Kabusu-Kitebi'!J86</f>
        <v>0</v>
      </c>
      <c r="K86" s="49">
        <f>'Avg Kitebi-Kabusu'!K86+'Avg Week Kabusu-Kitebi'!K86</f>
        <v>0.5</v>
      </c>
      <c r="L86" s="49">
        <f>'Avg Kitebi-Kabusu'!L86+'Avg Week Kabusu-Kitebi'!L86</f>
        <v>0</v>
      </c>
      <c r="M86" s="49">
        <f>'Avg Kitebi-Kabusu'!M86+'Avg Week Kabusu-Kitebi'!M86</f>
        <v>64</v>
      </c>
      <c r="N86" s="49">
        <f>'Avg Kitebi-Kabusu'!N86+'Avg Week Kabusu-Kitebi'!N86</f>
        <v>0</v>
      </c>
      <c r="O86" s="15">
        <f t="shared" si="35"/>
        <v>20.5</v>
      </c>
      <c r="P86" s="15">
        <f t="shared" si="36"/>
        <v>84.5</v>
      </c>
      <c r="R86" s="8"/>
      <c r="T86"/>
    </row>
    <row r="87" spans="2:20" ht="23.1" customHeight="1" x14ac:dyDescent="0.25">
      <c r="B87" s="23" t="s">
        <v>127</v>
      </c>
      <c r="C87" s="49">
        <f>'Avg Kitebi-Kabusu'!C87+'Avg Week Kabusu-Kitebi'!C87</f>
        <v>10.5</v>
      </c>
      <c r="D87" s="49">
        <f>'Avg Kitebi-Kabusu'!D87+'Avg Week Kabusu-Kitebi'!D87</f>
        <v>4</v>
      </c>
      <c r="E87" s="49">
        <f>'Avg Kitebi-Kabusu'!E87+'Avg Week Kabusu-Kitebi'!E87</f>
        <v>1</v>
      </c>
      <c r="F87" s="49">
        <f>'Avg Kitebi-Kabusu'!F87+'Avg Week Kabusu-Kitebi'!F87</f>
        <v>5</v>
      </c>
      <c r="G87" s="49">
        <f>'Avg Kitebi-Kabusu'!G87+'Avg Week Kabusu-Kitebi'!G87</f>
        <v>0</v>
      </c>
      <c r="H87" s="49">
        <f>'Avg Kitebi-Kabusu'!H87+'Avg Week Kabusu-Kitebi'!H87</f>
        <v>0</v>
      </c>
      <c r="I87" s="49">
        <f>'Avg Kitebi-Kabusu'!I87+'Avg Week Kabusu-Kitebi'!I87</f>
        <v>1</v>
      </c>
      <c r="J87" s="49">
        <f>'Avg Kitebi-Kabusu'!J87+'Avg Week Kabusu-Kitebi'!J87</f>
        <v>1</v>
      </c>
      <c r="K87" s="49">
        <f>'Avg Kitebi-Kabusu'!K87+'Avg Week Kabusu-Kitebi'!K87</f>
        <v>0</v>
      </c>
      <c r="L87" s="49">
        <f>'Avg Kitebi-Kabusu'!L87+'Avg Week Kabusu-Kitebi'!L87</f>
        <v>0</v>
      </c>
      <c r="M87" s="49">
        <f>'Avg Kitebi-Kabusu'!M87+'Avg Week Kabusu-Kitebi'!M87</f>
        <v>56.5</v>
      </c>
      <c r="N87" s="49">
        <f>'Avg Kitebi-Kabusu'!N87+'Avg Week Kabusu-Kitebi'!N87</f>
        <v>0</v>
      </c>
      <c r="O87" s="15">
        <f t="shared" si="35"/>
        <v>22.5</v>
      </c>
      <c r="P87" s="15">
        <f t="shared" si="36"/>
        <v>79</v>
      </c>
      <c r="R87" s="8"/>
      <c r="T87"/>
    </row>
    <row r="88" spans="2:20" ht="23.1" customHeight="1" x14ac:dyDescent="0.25">
      <c r="B88" s="25" t="s">
        <v>128</v>
      </c>
      <c r="C88" s="49">
        <f>'Avg Kitebi-Kabusu'!C88+'Avg Week Kabusu-Kitebi'!C88</f>
        <v>16.5</v>
      </c>
      <c r="D88" s="49">
        <f>'Avg Kitebi-Kabusu'!D88+'Avg Week Kabusu-Kitebi'!D88</f>
        <v>3</v>
      </c>
      <c r="E88" s="49">
        <f>'Avg Kitebi-Kabusu'!E88+'Avg Week Kabusu-Kitebi'!E88</f>
        <v>0.5</v>
      </c>
      <c r="F88" s="49">
        <f>'Avg Kitebi-Kabusu'!F88+'Avg Week Kabusu-Kitebi'!F88</f>
        <v>4</v>
      </c>
      <c r="G88" s="49">
        <f>'Avg Kitebi-Kabusu'!G88+'Avg Week Kabusu-Kitebi'!G88</f>
        <v>0</v>
      </c>
      <c r="H88" s="49">
        <f>'Avg Kitebi-Kabusu'!H88+'Avg Week Kabusu-Kitebi'!H88</f>
        <v>0</v>
      </c>
      <c r="I88" s="49">
        <f>'Avg Kitebi-Kabusu'!I88+'Avg Week Kabusu-Kitebi'!I88</f>
        <v>1</v>
      </c>
      <c r="J88" s="49">
        <f>'Avg Kitebi-Kabusu'!J88+'Avg Week Kabusu-Kitebi'!J88</f>
        <v>0.5</v>
      </c>
      <c r="K88" s="49">
        <f>'Avg Kitebi-Kabusu'!K88+'Avg Week Kabusu-Kitebi'!K88</f>
        <v>0</v>
      </c>
      <c r="L88" s="49">
        <f>'Avg Kitebi-Kabusu'!L88+'Avg Week Kabusu-Kitebi'!L88</f>
        <v>0.5</v>
      </c>
      <c r="M88" s="49">
        <f>'Avg Kitebi-Kabusu'!M88+'Avg Week Kabusu-Kitebi'!M88</f>
        <v>63</v>
      </c>
      <c r="N88" s="49">
        <f>'Avg Kitebi-Kabusu'!N88+'Avg Week Kabusu-Kitebi'!N88</f>
        <v>0</v>
      </c>
      <c r="O88" s="15">
        <f t="shared" si="35"/>
        <v>26</v>
      </c>
      <c r="P88" s="15">
        <f t="shared" si="36"/>
        <v>89</v>
      </c>
      <c r="R88" s="8"/>
      <c r="T88"/>
    </row>
    <row r="89" spans="2:20" ht="23.1" customHeight="1" x14ac:dyDescent="0.25">
      <c r="B89" s="23" t="s">
        <v>129</v>
      </c>
      <c r="C89" s="49">
        <f>'Avg Kitebi-Kabusu'!C89+'Avg Week Kabusu-Kitebi'!C89</f>
        <v>16</v>
      </c>
      <c r="D89" s="49">
        <f>'Avg Kitebi-Kabusu'!D89+'Avg Week Kabusu-Kitebi'!D89</f>
        <v>1</v>
      </c>
      <c r="E89" s="49">
        <f>'Avg Kitebi-Kabusu'!E89+'Avg Week Kabusu-Kitebi'!E89</f>
        <v>1</v>
      </c>
      <c r="F89" s="49">
        <f>'Avg Kitebi-Kabusu'!F89+'Avg Week Kabusu-Kitebi'!F89</f>
        <v>1</v>
      </c>
      <c r="G89" s="49">
        <f>'Avg Kitebi-Kabusu'!G89+'Avg Week Kabusu-Kitebi'!G89</f>
        <v>0</v>
      </c>
      <c r="H89" s="49">
        <f>'Avg Kitebi-Kabusu'!H89+'Avg Week Kabusu-Kitebi'!H89</f>
        <v>0</v>
      </c>
      <c r="I89" s="49">
        <f>'Avg Kitebi-Kabusu'!I89+'Avg Week Kabusu-Kitebi'!I89</f>
        <v>0</v>
      </c>
      <c r="J89" s="49">
        <f>'Avg Kitebi-Kabusu'!J89+'Avg Week Kabusu-Kitebi'!J89</f>
        <v>0</v>
      </c>
      <c r="K89" s="49">
        <f>'Avg Kitebi-Kabusu'!K89+'Avg Week Kabusu-Kitebi'!K89</f>
        <v>0.5</v>
      </c>
      <c r="L89" s="49">
        <f>'Avg Kitebi-Kabusu'!L89+'Avg Week Kabusu-Kitebi'!L89</f>
        <v>0</v>
      </c>
      <c r="M89" s="49">
        <f>'Avg Kitebi-Kabusu'!M89+'Avg Week Kabusu-Kitebi'!M89</f>
        <v>50.5</v>
      </c>
      <c r="N89" s="49">
        <f>'Avg Kitebi-Kabusu'!N89+'Avg Week Kabusu-Kitebi'!N89</f>
        <v>0</v>
      </c>
      <c r="O89" s="15">
        <f t="shared" si="35"/>
        <v>19.5</v>
      </c>
      <c r="P89" s="15">
        <f t="shared" si="36"/>
        <v>70</v>
      </c>
      <c r="R89" s="8"/>
      <c r="T89"/>
    </row>
    <row r="90" spans="2:20" ht="23.1" customHeight="1" x14ac:dyDescent="0.25">
      <c r="B90" s="24" t="s">
        <v>130</v>
      </c>
      <c r="C90" s="49">
        <f>'Avg Kitebi-Kabusu'!C90+'Avg Week Kabusu-Kitebi'!C90</f>
        <v>18</v>
      </c>
      <c r="D90" s="49">
        <f>'Avg Kitebi-Kabusu'!D90+'Avg Week Kabusu-Kitebi'!D90</f>
        <v>4</v>
      </c>
      <c r="E90" s="49">
        <f>'Avg Kitebi-Kabusu'!E90+'Avg Week Kabusu-Kitebi'!E90</f>
        <v>0.5</v>
      </c>
      <c r="F90" s="49">
        <f>'Avg Kitebi-Kabusu'!F90+'Avg Week Kabusu-Kitebi'!F90</f>
        <v>1.5</v>
      </c>
      <c r="G90" s="49">
        <f>'Avg Kitebi-Kabusu'!G90+'Avg Week Kabusu-Kitebi'!G90</f>
        <v>0</v>
      </c>
      <c r="H90" s="49">
        <f>'Avg Kitebi-Kabusu'!H90+'Avg Week Kabusu-Kitebi'!H90</f>
        <v>0</v>
      </c>
      <c r="I90" s="49">
        <f>'Avg Kitebi-Kabusu'!I90+'Avg Week Kabusu-Kitebi'!I90</f>
        <v>2</v>
      </c>
      <c r="J90" s="49">
        <f>'Avg Kitebi-Kabusu'!J90+'Avg Week Kabusu-Kitebi'!J90</f>
        <v>1</v>
      </c>
      <c r="K90" s="49">
        <f>'Avg Kitebi-Kabusu'!K90+'Avg Week Kabusu-Kitebi'!K90</f>
        <v>0</v>
      </c>
      <c r="L90" s="49">
        <f>'Avg Kitebi-Kabusu'!L90+'Avg Week Kabusu-Kitebi'!L90</f>
        <v>0</v>
      </c>
      <c r="M90" s="49">
        <f>'Avg Kitebi-Kabusu'!M90+'Avg Week Kabusu-Kitebi'!M90</f>
        <v>55</v>
      </c>
      <c r="N90" s="49">
        <f>'Avg Kitebi-Kabusu'!N90+'Avg Week Kabusu-Kitebi'!N90</f>
        <v>0</v>
      </c>
      <c r="O90" s="15">
        <f t="shared" si="35"/>
        <v>27</v>
      </c>
      <c r="P90" s="15">
        <f t="shared" si="36"/>
        <v>82</v>
      </c>
      <c r="R90" s="8"/>
      <c r="T90"/>
    </row>
    <row r="91" spans="2:20" ht="23.1" customHeight="1" x14ac:dyDescent="0.25">
      <c r="B91" s="23" t="s">
        <v>131</v>
      </c>
      <c r="C91" s="49">
        <f>'Avg Kitebi-Kabusu'!C91+'Avg Week Kabusu-Kitebi'!C91</f>
        <v>24</v>
      </c>
      <c r="D91" s="49">
        <f>'Avg Kitebi-Kabusu'!D91+'Avg Week Kabusu-Kitebi'!D91</f>
        <v>0.5</v>
      </c>
      <c r="E91" s="49">
        <f>'Avg Kitebi-Kabusu'!E91+'Avg Week Kabusu-Kitebi'!E91</f>
        <v>1</v>
      </c>
      <c r="F91" s="49">
        <f>'Avg Kitebi-Kabusu'!F91+'Avg Week Kabusu-Kitebi'!F91</f>
        <v>17.5</v>
      </c>
      <c r="G91" s="49">
        <f>'Avg Kitebi-Kabusu'!G91+'Avg Week Kabusu-Kitebi'!G91</f>
        <v>0</v>
      </c>
      <c r="H91" s="49">
        <f>'Avg Kitebi-Kabusu'!H91+'Avg Week Kabusu-Kitebi'!H91</f>
        <v>0</v>
      </c>
      <c r="I91" s="49">
        <f>'Avg Kitebi-Kabusu'!I91+'Avg Week Kabusu-Kitebi'!I91</f>
        <v>1</v>
      </c>
      <c r="J91" s="49">
        <f>'Avg Kitebi-Kabusu'!J91+'Avg Week Kabusu-Kitebi'!J91</f>
        <v>0.5</v>
      </c>
      <c r="K91" s="49">
        <f>'Avg Kitebi-Kabusu'!K91+'Avg Week Kabusu-Kitebi'!K91</f>
        <v>0.5</v>
      </c>
      <c r="L91" s="49">
        <f>'Avg Kitebi-Kabusu'!L91+'Avg Week Kabusu-Kitebi'!L91</f>
        <v>0.5</v>
      </c>
      <c r="M91" s="49">
        <f>'Avg Kitebi-Kabusu'!M91+'Avg Week Kabusu-Kitebi'!M91</f>
        <v>78</v>
      </c>
      <c r="N91" s="49">
        <f>'Avg Kitebi-Kabusu'!N91+'Avg Week Kabusu-Kitebi'!N91</f>
        <v>0</v>
      </c>
      <c r="O91" s="15">
        <f t="shared" si="35"/>
        <v>45.5</v>
      </c>
      <c r="P91" s="15">
        <f t="shared" si="36"/>
        <v>123.5</v>
      </c>
      <c r="R91" s="8"/>
      <c r="T91"/>
    </row>
    <row r="92" spans="2:20" ht="23.1" customHeight="1" x14ac:dyDescent="0.25">
      <c r="B92" s="25" t="s">
        <v>132</v>
      </c>
      <c r="C92" s="49">
        <f>'Avg Kitebi-Kabusu'!C92+'Avg Week Kabusu-Kitebi'!C92</f>
        <v>32.5</v>
      </c>
      <c r="D92" s="49">
        <f>'Avg Kitebi-Kabusu'!D92+'Avg Week Kabusu-Kitebi'!D92</f>
        <v>2</v>
      </c>
      <c r="E92" s="49">
        <f>'Avg Kitebi-Kabusu'!E92+'Avg Week Kabusu-Kitebi'!E92</f>
        <v>2.5</v>
      </c>
      <c r="F92" s="49">
        <f>'Avg Kitebi-Kabusu'!F92+'Avg Week Kabusu-Kitebi'!F92</f>
        <v>10.5</v>
      </c>
      <c r="G92" s="49">
        <f>'Avg Kitebi-Kabusu'!G92+'Avg Week Kabusu-Kitebi'!G92</f>
        <v>0</v>
      </c>
      <c r="H92" s="49">
        <f>'Avg Kitebi-Kabusu'!H92+'Avg Week Kabusu-Kitebi'!H92</f>
        <v>0</v>
      </c>
      <c r="I92" s="49">
        <f>'Avg Kitebi-Kabusu'!I92+'Avg Week Kabusu-Kitebi'!I92</f>
        <v>4</v>
      </c>
      <c r="J92" s="49">
        <f>'Avg Kitebi-Kabusu'!J92+'Avg Week Kabusu-Kitebi'!J92</f>
        <v>0.5</v>
      </c>
      <c r="K92" s="49">
        <f>'Avg Kitebi-Kabusu'!K92+'Avg Week Kabusu-Kitebi'!K92</f>
        <v>0.5</v>
      </c>
      <c r="L92" s="49">
        <f>'Avg Kitebi-Kabusu'!L92+'Avg Week Kabusu-Kitebi'!L92</f>
        <v>0</v>
      </c>
      <c r="M92" s="49">
        <f>'Avg Kitebi-Kabusu'!M92+'Avg Week Kabusu-Kitebi'!M92</f>
        <v>75.5</v>
      </c>
      <c r="N92" s="49">
        <f>'Avg Kitebi-Kabusu'!N92+'Avg Week Kabusu-Kitebi'!N92</f>
        <v>0</v>
      </c>
      <c r="O92" s="15">
        <f t="shared" si="35"/>
        <v>52.5</v>
      </c>
      <c r="P92" s="15">
        <f t="shared" si="36"/>
        <v>128</v>
      </c>
      <c r="R92" s="8"/>
      <c r="T92"/>
    </row>
    <row r="93" spans="2:20" ht="23.1" customHeight="1" x14ac:dyDescent="0.25">
      <c r="B93" s="23" t="s">
        <v>133</v>
      </c>
      <c r="C93" s="49">
        <f>'Avg Kitebi-Kabusu'!C93+'Avg Week Kabusu-Kitebi'!C93</f>
        <v>13</v>
      </c>
      <c r="D93" s="49">
        <f>'Avg Kitebi-Kabusu'!D93+'Avg Week Kabusu-Kitebi'!D93</f>
        <v>2</v>
      </c>
      <c r="E93" s="49">
        <f>'Avg Kitebi-Kabusu'!E93+'Avg Week Kabusu-Kitebi'!E93</f>
        <v>1</v>
      </c>
      <c r="F93" s="49">
        <f>'Avg Kitebi-Kabusu'!F93+'Avg Week Kabusu-Kitebi'!F93</f>
        <v>7.5</v>
      </c>
      <c r="G93" s="49">
        <f>'Avg Kitebi-Kabusu'!G93+'Avg Week Kabusu-Kitebi'!G93</f>
        <v>0</v>
      </c>
      <c r="H93" s="49">
        <f>'Avg Kitebi-Kabusu'!H93+'Avg Week Kabusu-Kitebi'!H93</f>
        <v>0</v>
      </c>
      <c r="I93" s="49">
        <f>'Avg Kitebi-Kabusu'!I93+'Avg Week Kabusu-Kitebi'!I93</f>
        <v>1.5</v>
      </c>
      <c r="J93" s="49">
        <f>'Avg Kitebi-Kabusu'!J93+'Avg Week Kabusu-Kitebi'!J93</f>
        <v>1</v>
      </c>
      <c r="K93" s="49">
        <f>'Avg Kitebi-Kabusu'!K93+'Avg Week Kabusu-Kitebi'!K93</f>
        <v>0.5</v>
      </c>
      <c r="L93" s="49">
        <f>'Avg Kitebi-Kabusu'!L93+'Avg Week Kabusu-Kitebi'!L93</f>
        <v>0</v>
      </c>
      <c r="M93" s="49">
        <f>'Avg Kitebi-Kabusu'!M93+'Avg Week Kabusu-Kitebi'!M93</f>
        <v>78</v>
      </c>
      <c r="N93" s="49">
        <f>'Avg Kitebi-Kabusu'!N93+'Avg Week Kabusu-Kitebi'!N93</f>
        <v>0</v>
      </c>
      <c r="O93" s="15">
        <f>SUM(C93:L93,N93)</f>
        <v>26.5</v>
      </c>
      <c r="P93" s="15">
        <f t="shared" si="36"/>
        <v>104.5</v>
      </c>
      <c r="R93" s="8"/>
      <c r="T93"/>
    </row>
    <row r="94" spans="2:20" ht="23.1" customHeight="1" x14ac:dyDescent="0.25">
      <c r="B94" s="24" t="s">
        <v>134</v>
      </c>
      <c r="C94" s="49">
        <f>'Avg Kitebi-Kabusu'!C94+'Avg Week Kabusu-Kitebi'!C94</f>
        <v>16</v>
      </c>
      <c r="D94" s="49">
        <f>'Avg Kitebi-Kabusu'!D94+'Avg Week Kabusu-Kitebi'!D94</f>
        <v>0.5</v>
      </c>
      <c r="E94" s="49">
        <f>'Avg Kitebi-Kabusu'!E94+'Avg Week Kabusu-Kitebi'!E94</f>
        <v>1.5</v>
      </c>
      <c r="F94" s="49">
        <f>'Avg Kitebi-Kabusu'!F94+'Avg Week Kabusu-Kitebi'!F94</f>
        <v>7</v>
      </c>
      <c r="G94" s="49">
        <f>'Avg Kitebi-Kabusu'!G94+'Avg Week Kabusu-Kitebi'!G94</f>
        <v>0</v>
      </c>
      <c r="H94" s="49">
        <f>'Avg Kitebi-Kabusu'!H94+'Avg Week Kabusu-Kitebi'!H94</f>
        <v>0</v>
      </c>
      <c r="I94" s="49">
        <f>'Avg Kitebi-Kabusu'!I94+'Avg Week Kabusu-Kitebi'!I94</f>
        <v>3</v>
      </c>
      <c r="J94" s="49">
        <f>'Avg Kitebi-Kabusu'!J94+'Avg Week Kabusu-Kitebi'!J94</f>
        <v>1</v>
      </c>
      <c r="K94" s="49">
        <f>'Avg Kitebi-Kabusu'!K94+'Avg Week Kabusu-Kitebi'!K94</f>
        <v>0</v>
      </c>
      <c r="L94" s="49">
        <f>'Avg Kitebi-Kabusu'!L94+'Avg Week Kabusu-Kitebi'!L94</f>
        <v>0</v>
      </c>
      <c r="M94" s="49">
        <f>'Avg Kitebi-Kabusu'!M94+'Avg Week Kabusu-Kitebi'!M94</f>
        <v>61</v>
      </c>
      <c r="N94" s="49">
        <f>'Avg Kitebi-Kabusu'!N94+'Avg Week Kabusu-Kitebi'!N94</f>
        <v>0</v>
      </c>
      <c r="O94" s="15">
        <f t="shared" si="35"/>
        <v>29</v>
      </c>
      <c r="P94" s="15">
        <f t="shared" si="36"/>
        <v>90</v>
      </c>
      <c r="R94" s="8"/>
      <c r="T94"/>
    </row>
    <row r="95" spans="2:20" ht="23.1" customHeight="1" x14ac:dyDescent="0.25">
      <c r="B95" s="23" t="s">
        <v>135</v>
      </c>
      <c r="C95" s="49">
        <f>'Avg Kitebi-Kabusu'!C95+'Avg Week Kabusu-Kitebi'!C95</f>
        <v>19</v>
      </c>
      <c r="D95" s="49">
        <f>'Avg Kitebi-Kabusu'!D95+'Avg Week Kabusu-Kitebi'!D95</f>
        <v>1.5</v>
      </c>
      <c r="E95" s="49">
        <f>'Avg Kitebi-Kabusu'!E95+'Avg Week Kabusu-Kitebi'!E95</f>
        <v>1.5</v>
      </c>
      <c r="F95" s="49">
        <f>'Avg Kitebi-Kabusu'!F95+'Avg Week Kabusu-Kitebi'!F95</f>
        <v>4.5</v>
      </c>
      <c r="G95" s="49">
        <f>'Avg Kitebi-Kabusu'!G95+'Avg Week Kabusu-Kitebi'!G95</f>
        <v>0</v>
      </c>
      <c r="H95" s="49">
        <f>'Avg Kitebi-Kabusu'!H95+'Avg Week Kabusu-Kitebi'!H95</f>
        <v>0</v>
      </c>
      <c r="I95" s="49">
        <f>'Avg Kitebi-Kabusu'!I95+'Avg Week Kabusu-Kitebi'!I95</f>
        <v>1.5</v>
      </c>
      <c r="J95" s="49">
        <f>'Avg Kitebi-Kabusu'!J95+'Avg Week Kabusu-Kitebi'!J95</f>
        <v>0</v>
      </c>
      <c r="K95" s="49">
        <f>'Avg Kitebi-Kabusu'!K95+'Avg Week Kabusu-Kitebi'!K95</f>
        <v>0</v>
      </c>
      <c r="L95" s="49">
        <f>'Avg Kitebi-Kabusu'!L95+'Avg Week Kabusu-Kitebi'!L95</f>
        <v>0</v>
      </c>
      <c r="M95" s="49">
        <f>'Avg Kitebi-Kabusu'!M95+'Avg Week Kabusu-Kitebi'!M95</f>
        <v>74.5</v>
      </c>
      <c r="N95" s="49">
        <f>'Avg Kitebi-Kabusu'!N95+'Avg Week Kabusu-Kitebi'!N95</f>
        <v>0</v>
      </c>
      <c r="O95" s="15">
        <f t="shared" si="35"/>
        <v>28</v>
      </c>
      <c r="P95" s="15">
        <f t="shared" si="36"/>
        <v>102.5</v>
      </c>
      <c r="R95" s="8"/>
      <c r="T95"/>
    </row>
    <row r="96" spans="2:20" ht="23.1" customHeight="1" x14ac:dyDescent="0.25">
      <c r="B96" s="25" t="s">
        <v>136</v>
      </c>
      <c r="C96" s="49">
        <f>'Avg Kitebi-Kabusu'!C96+'Avg Week Kabusu-Kitebi'!C96</f>
        <v>14</v>
      </c>
      <c r="D96" s="49">
        <f>'Avg Kitebi-Kabusu'!D96+'Avg Week Kabusu-Kitebi'!D96</f>
        <v>0.5</v>
      </c>
      <c r="E96" s="49">
        <f>'Avg Kitebi-Kabusu'!E96+'Avg Week Kabusu-Kitebi'!E96</f>
        <v>2.5</v>
      </c>
      <c r="F96" s="49">
        <f>'Avg Kitebi-Kabusu'!F96+'Avg Week Kabusu-Kitebi'!F96</f>
        <v>5</v>
      </c>
      <c r="G96" s="49">
        <f>'Avg Kitebi-Kabusu'!G96+'Avg Week Kabusu-Kitebi'!G96</f>
        <v>2.5</v>
      </c>
      <c r="H96" s="49">
        <f>'Avg Kitebi-Kabusu'!H96+'Avg Week Kabusu-Kitebi'!H96</f>
        <v>0.5</v>
      </c>
      <c r="I96" s="49">
        <f>'Avg Kitebi-Kabusu'!I96+'Avg Week Kabusu-Kitebi'!I96</f>
        <v>1.5</v>
      </c>
      <c r="J96" s="49">
        <f>'Avg Kitebi-Kabusu'!J96+'Avg Week Kabusu-Kitebi'!J96</f>
        <v>1.5</v>
      </c>
      <c r="K96" s="49">
        <f>'Avg Kitebi-Kabusu'!K96+'Avg Week Kabusu-Kitebi'!K96</f>
        <v>0.5</v>
      </c>
      <c r="L96" s="49">
        <f>'Avg Kitebi-Kabusu'!L96+'Avg Week Kabusu-Kitebi'!L96</f>
        <v>0</v>
      </c>
      <c r="M96" s="49">
        <f>'Avg Kitebi-Kabusu'!M96+'Avg Week Kabusu-Kitebi'!M96</f>
        <v>64</v>
      </c>
      <c r="N96" s="49">
        <f>'Avg Kitebi-Kabusu'!N96+'Avg Week Kabusu-Kitebi'!N96</f>
        <v>0</v>
      </c>
      <c r="O96" s="15">
        <f t="shared" si="35"/>
        <v>28.5</v>
      </c>
      <c r="P96" s="15">
        <f t="shared" si="36"/>
        <v>92.5</v>
      </c>
      <c r="R96" s="8"/>
      <c r="T96"/>
    </row>
    <row r="97" spans="2:20" ht="23.1" customHeight="1" x14ac:dyDescent="0.25">
      <c r="B97" s="23" t="s">
        <v>137</v>
      </c>
      <c r="C97" s="49">
        <f>'Avg Kitebi-Kabusu'!C97+'Avg Week Kabusu-Kitebi'!C97</f>
        <v>20</v>
      </c>
      <c r="D97" s="49">
        <f>'Avg Kitebi-Kabusu'!D97+'Avg Week Kabusu-Kitebi'!D97</f>
        <v>2</v>
      </c>
      <c r="E97" s="49">
        <f>'Avg Kitebi-Kabusu'!E97+'Avg Week Kabusu-Kitebi'!E97</f>
        <v>4</v>
      </c>
      <c r="F97" s="49">
        <f>'Avg Kitebi-Kabusu'!F97+'Avg Week Kabusu-Kitebi'!F97</f>
        <v>7</v>
      </c>
      <c r="G97" s="49">
        <f>'Avg Kitebi-Kabusu'!G97+'Avg Week Kabusu-Kitebi'!G97</f>
        <v>0</v>
      </c>
      <c r="H97" s="49">
        <f>'Avg Kitebi-Kabusu'!H97+'Avg Week Kabusu-Kitebi'!H97</f>
        <v>0</v>
      </c>
      <c r="I97" s="49">
        <f>'Avg Kitebi-Kabusu'!I97+'Avg Week Kabusu-Kitebi'!I97</f>
        <v>2.5</v>
      </c>
      <c r="J97" s="49">
        <f>'Avg Kitebi-Kabusu'!J97+'Avg Week Kabusu-Kitebi'!J97</f>
        <v>1.5</v>
      </c>
      <c r="K97" s="49">
        <f>'Avg Kitebi-Kabusu'!K97+'Avg Week Kabusu-Kitebi'!K97</f>
        <v>0</v>
      </c>
      <c r="L97" s="49">
        <f>'Avg Kitebi-Kabusu'!L97+'Avg Week Kabusu-Kitebi'!L97</f>
        <v>0</v>
      </c>
      <c r="M97" s="49">
        <f>'Avg Kitebi-Kabusu'!M97+'Avg Week Kabusu-Kitebi'!M97</f>
        <v>76.5</v>
      </c>
      <c r="N97" s="49">
        <f>'Avg Kitebi-Kabusu'!N97+'Avg Week Kabusu-Kitebi'!N97</f>
        <v>0</v>
      </c>
      <c r="O97" s="15">
        <f t="shared" si="35"/>
        <v>37</v>
      </c>
      <c r="P97" s="15">
        <f t="shared" si="36"/>
        <v>113.5</v>
      </c>
      <c r="R97" s="8"/>
      <c r="T97"/>
    </row>
    <row r="98" spans="2:20" ht="23.1" customHeight="1" x14ac:dyDescent="0.25">
      <c r="B98" s="24" t="s">
        <v>138</v>
      </c>
      <c r="C98" s="49">
        <f>'Avg Kitebi-Kabusu'!C98+'Avg Week Kabusu-Kitebi'!C98</f>
        <v>13</v>
      </c>
      <c r="D98" s="49">
        <f>'Avg Kitebi-Kabusu'!D98+'Avg Week Kabusu-Kitebi'!D98</f>
        <v>0</v>
      </c>
      <c r="E98" s="49">
        <f>'Avg Kitebi-Kabusu'!E98+'Avg Week Kabusu-Kitebi'!E98</f>
        <v>2</v>
      </c>
      <c r="F98" s="49">
        <f>'Avg Kitebi-Kabusu'!F98+'Avg Week Kabusu-Kitebi'!F98</f>
        <v>18</v>
      </c>
      <c r="G98" s="49">
        <f>'Avg Kitebi-Kabusu'!G98+'Avg Week Kabusu-Kitebi'!G98</f>
        <v>0</v>
      </c>
      <c r="H98" s="49">
        <f>'Avg Kitebi-Kabusu'!H98+'Avg Week Kabusu-Kitebi'!H98</f>
        <v>0</v>
      </c>
      <c r="I98" s="49">
        <f>'Avg Kitebi-Kabusu'!I98+'Avg Week Kabusu-Kitebi'!I98</f>
        <v>1</v>
      </c>
      <c r="J98" s="49">
        <f>'Avg Kitebi-Kabusu'!J98+'Avg Week Kabusu-Kitebi'!J98</f>
        <v>0.5</v>
      </c>
      <c r="K98" s="49">
        <f>'Avg Kitebi-Kabusu'!K98+'Avg Week Kabusu-Kitebi'!K98</f>
        <v>0</v>
      </c>
      <c r="L98" s="49">
        <f>'Avg Kitebi-Kabusu'!L98+'Avg Week Kabusu-Kitebi'!L98</f>
        <v>0.5</v>
      </c>
      <c r="M98" s="49">
        <f>'Avg Kitebi-Kabusu'!M98+'Avg Week Kabusu-Kitebi'!M98</f>
        <v>69</v>
      </c>
      <c r="N98" s="49">
        <f>'Avg Kitebi-Kabusu'!N98+'Avg Week Kabusu-Kitebi'!N98</f>
        <v>0</v>
      </c>
      <c r="O98" s="15">
        <f t="shared" si="35"/>
        <v>35</v>
      </c>
      <c r="P98" s="15">
        <f t="shared" si="36"/>
        <v>104</v>
      </c>
      <c r="R98" s="8"/>
      <c r="T98"/>
    </row>
    <row r="99" spans="2:20" ht="23.1" customHeight="1" x14ac:dyDescent="0.25">
      <c r="B99" s="23" t="s">
        <v>139</v>
      </c>
      <c r="C99" s="49">
        <f>'Avg Kitebi-Kabusu'!C99+'Avg Week Kabusu-Kitebi'!C99</f>
        <v>33.5</v>
      </c>
      <c r="D99" s="49">
        <f>'Avg Kitebi-Kabusu'!D99+'Avg Week Kabusu-Kitebi'!D99</f>
        <v>1</v>
      </c>
      <c r="E99" s="49">
        <f>'Avg Kitebi-Kabusu'!E99+'Avg Week Kabusu-Kitebi'!E99</f>
        <v>2</v>
      </c>
      <c r="F99" s="49">
        <f>'Avg Kitebi-Kabusu'!F99+'Avg Week Kabusu-Kitebi'!F99</f>
        <v>32</v>
      </c>
      <c r="G99" s="49">
        <f>'Avg Kitebi-Kabusu'!G99+'Avg Week Kabusu-Kitebi'!G99</f>
        <v>0</v>
      </c>
      <c r="H99" s="49">
        <f>'Avg Kitebi-Kabusu'!H99+'Avg Week Kabusu-Kitebi'!H99</f>
        <v>0</v>
      </c>
      <c r="I99" s="49">
        <f>'Avg Kitebi-Kabusu'!I99+'Avg Week Kabusu-Kitebi'!I99</f>
        <v>3.5</v>
      </c>
      <c r="J99" s="49">
        <f>'Avg Kitebi-Kabusu'!J99+'Avg Week Kabusu-Kitebi'!J99</f>
        <v>1</v>
      </c>
      <c r="K99" s="49">
        <f>'Avg Kitebi-Kabusu'!K99+'Avg Week Kabusu-Kitebi'!K99</f>
        <v>0</v>
      </c>
      <c r="L99" s="49">
        <f>'Avg Kitebi-Kabusu'!L99+'Avg Week Kabusu-Kitebi'!L99</f>
        <v>0.5</v>
      </c>
      <c r="M99" s="49">
        <f>'Avg Kitebi-Kabusu'!M99+'Avg Week Kabusu-Kitebi'!M99</f>
        <v>94.5</v>
      </c>
      <c r="N99" s="49">
        <f>'Avg Kitebi-Kabusu'!N99+'Avg Week Kabusu-Kitebi'!N99</f>
        <v>0</v>
      </c>
      <c r="O99" s="15">
        <f t="shared" si="35"/>
        <v>73.5</v>
      </c>
      <c r="P99" s="15">
        <f t="shared" si="36"/>
        <v>168</v>
      </c>
      <c r="R99" s="8"/>
      <c r="T99"/>
    </row>
    <row r="100" spans="2:20" ht="23.1" customHeight="1" x14ac:dyDescent="0.25">
      <c r="B100" s="25" t="s">
        <v>140</v>
      </c>
      <c r="C100" s="49">
        <f>'Avg Kitebi-Kabusu'!C100+'Avg Week Kabusu-Kitebi'!C100</f>
        <v>50.5</v>
      </c>
      <c r="D100" s="49">
        <f>'Avg Kitebi-Kabusu'!D100+'Avg Week Kabusu-Kitebi'!D100</f>
        <v>3</v>
      </c>
      <c r="E100" s="49">
        <f>'Avg Kitebi-Kabusu'!E100+'Avg Week Kabusu-Kitebi'!E100</f>
        <v>20.5</v>
      </c>
      <c r="F100" s="49">
        <f>'Avg Kitebi-Kabusu'!F100+'Avg Week Kabusu-Kitebi'!F100</f>
        <v>41</v>
      </c>
      <c r="G100" s="49">
        <f>'Avg Kitebi-Kabusu'!G100+'Avg Week Kabusu-Kitebi'!G100</f>
        <v>0</v>
      </c>
      <c r="H100" s="49">
        <f>'Avg Kitebi-Kabusu'!H100+'Avg Week Kabusu-Kitebi'!H100</f>
        <v>1</v>
      </c>
      <c r="I100" s="49">
        <f>'Avg Kitebi-Kabusu'!I100+'Avg Week Kabusu-Kitebi'!I100</f>
        <v>1.5</v>
      </c>
      <c r="J100" s="49">
        <f>'Avg Kitebi-Kabusu'!J100+'Avg Week Kabusu-Kitebi'!J100</f>
        <v>1</v>
      </c>
      <c r="K100" s="49">
        <f>'Avg Kitebi-Kabusu'!K100+'Avg Week Kabusu-Kitebi'!K100</f>
        <v>0.5</v>
      </c>
      <c r="L100" s="49">
        <f>'Avg Kitebi-Kabusu'!L100+'Avg Week Kabusu-Kitebi'!L100</f>
        <v>1</v>
      </c>
      <c r="M100" s="49">
        <f>'Avg Kitebi-Kabusu'!M100+'Avg Week Kabusu-Kitebi'!M100</f>
        <v>119</v>
      </c>
      <c r="N100" s="49">
        <f>'Avg Kitebi-Kabusu'!N100+'Avg Week Kabusu-Kitebi'!N100</f>
        <v>0</v>
      </c>
      <c r="O100" s="15">
        <f t="shared" si="35"/>
        <v>120</v>
      </c>
      <c r="P100" s="15">
        <f t="shared" si="36"/>
        <v>239</v>
      </c>
      <c r="R100" s="8"/>
      <c r="T100"/>
    </row>
    <row r="101" spans="2:20" ht="23.1" customHeight="1" x14ac:dyDescent="0.25">
      <c r="B101" s="23" t="s">
        <v>141</v>
      </c>
      <c r="C101" s="49">
        <f>'Avg Kitebi-Kabusu'!C101+'Avg Week Kabusu-Kitebi'!C101</f>
        <v>35</v>
      </c>
      <c r="D101" s="49">
        <f>'Avg Kitebi-Kabusu'!D101+'Avg Week Kabusu-Kitebi'!D101</f>
        <v>5</v>
      </c>
      <c r="E101" s="49">
        <f>'Avg Kitebi-Kabusu'!E101+'Avg Week Kabusu-Kitebi'!E101</f>
        <v>4.5</v>
      </c>
      <c r="F101" s="49">
        <f>'Avg Kitebi-Kabusu'!F101+'Avg Week Kabusu-Kitebi'!F101</f>
        <v>33.5</v>
      </c>
      <c r="G101" s="49">
        <f>'Avg Kitebi-Kabusu'!G101+'Avg Week Kabusu-Kitebi'!G101</f>
        <v>0.5</v>
      </c>
      <c r="H101" s="49">
        <f>'Avg Kitebi-Kabusu'!H101+'Avg Week Kabusu-Kitebi'!H101</f>
        <v>0</v>
      </c>
      <c r="I101" s="49">
        <f>'Avg Kitebi-Kabusu'!I101+'Avg Week Kabusu-Kitebi'!I101</f>
        <v>4</v>
      </c>
      <c r="J101" s="49">
        <f>'Avg Kitebi-Kabusu'!J101+'Avg Week Kabusu-Kitebi'!J101</f>
        <v>0.5</v>
      </c>
      <c r="K101" s="49">
        <f>'Avg Kitebi-Kabusu'!K101+'Avg Week Kabusu-Kitebi'!K101</f>
        <v>2.5</v>
      </c>
      <c r="L101" s="49">
        <f>'Avg Kitebi-Kabusu'!L101+'Avg Week Kabusu-Kitebi'!L101</f>
        <v>1</v>
      </c>
      <c r="M101" s="49">
        <f>'Avg Kitebi-Kabusu'!M101+'Avg Week Kabusu-Kitebi'!M101</f>
        <v>106</v>
      </c>
      <c r="N101" s="49">
        <f>'Avg Kitebi-Kabusu'!N101+'Avg Week Kabusu-Kitebi'!N101</f>
        <v>0</v>
      </c>
      <c r="O101" s="15">
        <f t="shared" si="35"/>
        <v>86.5</v>
      </c>
      <c r="P101" s="15">
        <f t="shared" si="36"/>
        <v>192.5</v>
      </c>
      <c r="R101" s="8"/>
      <c r="T101"/>
    </row>
    <row r="102" spans="2:20" ht="23.1" customHeight="1" x14ac:dyDescent="0.25">
      <c r="B102" s="24" t="s">
        <v>142</v>
      </c>
      <c r="C102" s="49">
        <f>'Avg Kitebi-Kabusu'!C102+'Avg Week Kabusu-Kitebi'!C102</f>
        <v>43.5</v>
      </c>
      <c r="D102" s="49">
        <f>'Avg Kitebi-Kabusu'!D102+'Avg Week Kabusu-Kitebi'!D102</f>
        <v>1.5</v>
      </c>
      <c r="E102" s="49">
        <f>'Avg Kitebi-Kabusu'!E102+'Avg Week Kabusu-Kitebi'!E102</f>
        <v>4</v>
      </c>
      <c r="F102" s="49">
        <f>'Avg Kitebi-Kabusu'!F102+'Avg Week Kabusu-Kitebi'!F102</f>
        <v>33.5</v>
      </c>
      <c r="G102" s="49">
        <f>'Avg Kitebi-Kabusu'!G102+'Avg Week Kabusu-Kitebi'!G102</f>
        <v>1</v>
      </c>
      <c r="H102" s="49">
        <f>'Avg Kitebi-Kabusu'!H102+'Avg Week Kabusu-Kitebi'!H102</f>
        <v>1.5</v>
      </c>
      <c r="I102" s="49">
        <f>'Avg Kitebi-Kabusu'!I102+'Avg Week Kabusu-Kitebi'!I102</f>
        <v>4.5</v>
      </c>
      <c r="J102" s="49">
        <f>'Avg Kitebi-Kabusu'!J102+'Avg Week Kabusu-Kitebi'!J102</f>
        <v>3</v>
      </c>
      <c r="K102" s="49">
        <f>'Avg Kitebi-Kabusu'!K102+'Avg Week Kabusu-Kitebi'!K102</f>
        <v>1</v>
      </c>
      <c r="L102" s="49">
        <f>'Avg Kitebi-Kabusu'!L102+'Avg Week Kabusu-Kitebi'!L102</f>
        <v>0</v>
      </c>
      <c r="M102" s="49">
        <f>'Avg Kitebi-Kabusu'!M102+'Avg Week Kabusu-Kitebi'!M102</f>
        <v>136.5</v>
      </c>
      <c r="N102" s="49">
        <f>'Avg Kitebi-Kabusu'!N102+'Avg Week Kabusu-Kitebi'!N102</f>
        <v>0</v>
      </c>
      <c r="O102" s="15">
        <f t="shared" si="35"/>
        <v>93.5</v>
      </c>
      <c r="P102" s="15">
        <f t="shared" si="36"/>
        <v>230</v>
      </c>
      <c r="R102" s="8"/>
      <c r="T102"/>
    </row>
    <row r="103" spans="2:20" ht="23.1" customHeight="1" x14ac:dyDescent="0.25">
      <c r="B103" s="23" t="s">
        <v>143</v>
      </c>
      <c r="C103" s="49">
        <f>'Avg Kitebi-Kabusu'!C103+'Avg Week Kabusu-Kitebi'!C103</f>
        <v>51.5</v>
      </c>
      <c r="D103" s="49">
        <f>'Avg Kitebi-Kabusu'!D103+'Avg Week Kabusu-Kitebi'!D103</f>
        <v>4</v>
      </c>
      <c r="E103" s="49">
        <f>'Avg Kitebi-Kabusu'!E103+'Avg Week Kabusu-Kitebi'!E103</f>
        <v>3</v>
      </c>
      <c r="F103" s="49">
        <f>'Avg Kitebi-Kabusu'!F103+'Avg Week Kabusu-Kitebi'!F103</f>
        <v>32</v>
      </c>
      <c r="G103" s="49">
        <f>'Avg Kitebi-Kabusu'!G103+'Avg Week Kabusu-Kitebi'!G103</f>
        <v>0</v>
      </c>
      <c r="H103" s="49">
        <f>'Avg Kitebi-Kabusu'!H103+'Avg Week Kabusu-Kitebi'!H103</f>
        <v>0.5</v>
      </c>
      <c r="I103" s="49">
        <f>'Avg Kitebi-Kabusu'!I103+'Avg Week Kabusu-Kitebi'!I103</f>
        <v>2.5</v>
      </c>
      <c r="J103" s="49">
        <f>'Avg Kitebi-Kabusu'!J103+'Avg Week Kabusu-Kitebi'!J103</f>
        <v>5</v>
      </c>
      <c r="K103" s="49">
        <f>'Avg Kitebi-Kabusu'!K103+'Avg Week Kabusu-Kitebi'!K103</f>
        <v>0.5</v>
      </c>
      <c r="L103" s="49">
        <f>'Avg Kitebi-Kabusu'!L103+'Avg Week Kabusu-Kitebi'!L103</f>
        <v>0</v>
      </c>
      <c r="M103" s="49">
        <f>'Avg Kitebi-Kabusu'!M103+'Avg Week Kabusu-Kitebi'!M103</f>
        <v>162</v>
      </c>
      <c r="N103" s="49">
        <f>'Avg Kitebi-Kabusu'!N103+'Avg Week Kabusu-Kitebi'!N103</f>
        <v>0</v>
      </c>
      <c r="O103" s="15">
        <f t="shared" si="35"/>
        <v>99</v>
      </c>
      <c r="P103" s="15">
        <f t="shared" si="36"/>
        <v>261</v>
      </c>
      <c r="R103" s="8"/>
      <c r="T103"/>
    </row>
    <row r="104" spans="2:20" ht="23.1" customHeight="1" x14ac:dyDescent="0.25">
      <c r="B104" s="25" t="s">
        <v>144</v>
      </c>
      <c r="C104" s="49">
        <f>'Avg Kitebi-Kabusu'!C104+'Avg Week Kabusu-Kitebi'!C104</f>
        <v>59</v>
      </c>
      <c r="D104" s="49">
        <f>'Avg Kitebi-Kabusu'!D104+'Avg Week Kabusu-Kitebi'!D104</f>
        <v>2</v>
      </c>
      <c r="E104" s="49">
        <f>'Avg Kitebi-Kabusu'!E104+'Avg Week Kabusu-Kitebi'!E104</f>
        <v>5</v>
      </c>
      <c r="F104" s="49">
        <f>'Avg Kitebi-Kabusu'!F104+'Avg Week Kabusu-Kitebi'!F104</f>
        <v>37.5</v>
      </c>
      <c r="G104" s="49">
        <f>'Avg Kitebi-Kabusu'!G104+'Avg Week Kabusu-Kitebi'!G104</f>
        <v>1</v>
      </c>
      <c r="H104" s="49">
        <f>'Avg Kitebi-Kabusu'!H104+'Avg Week Kabusu-Kitebi'!H104</f>
        <v>0.5</v>
      </c>
      <c r="I104" s="49">
        <f>'Avg Kitebi-Kabusu'!I104+'Avg Week Kabusu-Kitebi'!I104</f>
        <v>2.5</v>
      </c>
      <c r="J104" s="49">
        <f>'Avg Kitebi-Kabusu'!J104+'Avg Week Kabusu-Kitebi'!J104</f>
        <v>0</v>
      </c>
      <c r="K104" s="49">
        <f>'Avg Kitebi-Kabusu'!K104+'Avg Week Kabusu-Kitebi'!K104</f>
        <v>0</v>
      </c>
      <c r="L104" s="49">
        <f>'Avg Kitebi-Kabusu'!L104+'Avg Week Kabusu-Kitebi'!L104</f>
        <v>0.5</v>
      </c>
      <c r="M104" s="49">
        <f>'Avg Kitebi-Kabusu'!M104+'Avg Week Kabusu-Kitebi'!M104</f>
        <v>155.5</v>
      </c>
      <c r="N104" s="49">
        <f>'Avg Kitebi-Kabusu'!N104+'Avg Week Kabusu-Kitebi'!N104</f>
        <v>0</v>
      </c>
      <c r="O104" s="15">
        <f t="shared" si="35"/>
        <v>108</v>
      </c>
      <c r="P104" s="15">
        <f t="shared" si="36"/>
        <v>263.5</v>
      </c>
      <c r="R104" s="8"/>
      <c r="T104"/>
    </row>
    <row r="105" spans="2:20" ht="23.1" customHeight="1" x14ac:dyDescent="0.25">
      <c r="B105" s="23" t="s">
        <v>145</v>
      </c>
      <c r="C105" s="49">
        <f>'Avg Kitebi-Kabusu'!C105+'Avg Week Kabusu-Kitebi'!C105</f>
        <v>71</v>
      </c>
      <c r="D105" s="49">
        <f>'Avg Kitebi-Kabusu'!D105+'Avg Week Kabusu-Kitebi'!D105</f>
        <v>5.5</v>
      </c>
      <c r="E105" s="49">
        <f>'Avg Kitebi-Kabusu'!E105+'Avg Week Kabusu-Kitebi'!E105</f>
        <v>4</v>
      </c>
      <c r="F105" s="49">
        <f>'Avg Kitebi-Kabusu'!F105+'Avg Week Kabusu-Kitebi'!F105</f>
        <v>42</v>
      </c>
      <c r="G105" s="49">
        <f>'Avg Kitebi-Kabusu'!G105+'Avg Week Kabusu-Kitebi'!G105</f>
        <v>0.5</v>
      </c>
      <c r="H105" s="49">
        <f>'Avg Kitebi-Kabusu'!H105+'Avg Week Kabusu-Kitebi'!H105</f>
        <v>1.5</v>
      </c>
      <c r="I105" s="49">
        <f>'Avg Kitebi-Kabusu'!I105+'Avg Week Kabusu-Kitebi'!I105</f>
        <v>4</v>
      </c>
      <c r="J105" s="49">
        <f>'Avg Kitebi-Kabusu'!J105+'Avg Week Kabusu-Kitebi'!J105</f>
        <v>2.5</v>
      </c>
      <c r="K105" s="49">
        <f>'Avg Kitebi-Kabusu'!K105+'Avg Week Kabusu-Kitebi'!K105</f>
        <v>0</v>
      </c>
      <c r="L105" s="49">
        <f>'Avg Kitebi-Kabusu'!L105+'Avg Week Kabusu-Kitebi'!L105</f>
        <v>0</v>
      </c>
      <c r="M105" s="49">
        <f>'Avg Kitebi-Kabusu'!M105+'Avg Week Kabusu-Kitebi'!M105</f>
        <v>183.5</v>
      </c>
      <c r="N105" s="49">
        <f>'Avg Kitebi-Kabusu'!N105+'Avg Week Kabusu-Kitebi'!N105</f>
        <v>0</v>
      </c>
      <c r="O105" s="15">
        <f t="shared" si="35"/>
        <v>131</v>
      </c>
      <c r="P105" s="15">
        <f t="shared" si="36"/>
        <v>314.5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7694</v>
      </c>
      <c r="D106" s="16">
        <f t="shared" ref="D106:M106" si="37">SUM(D10:D105)</f>
        <v>1062.1428571428569</v>
      </c>
      <c r="E106" s="16">
        <f>SUM(E10:E105)</f>
        <v>939.42857142857122</v>
      </c>
      <c r="F106" s="16">
        <f t="shared" si="37"/>
        <v>3291.6428571428573</v>
      </c>
      <c r="G106" s="16">
        <f t="shared" si="37"/>
        <v>85.714285714285708</v>
      </c>
      <c r="H106" s="16">
        <f t="shared" si="37"/>
        <v>30.833333333333325</v>
      </c>
      <c r="I106" s="16">
        <f t="shared" si="37"/>
        <v>657.71428571428578</v>
      </c>
      <c r="J106" s="16">
        <f t="shared" si="37"/>
        <v>162.14285714285717</v>
      </c>
      <c r="K106" s="16">
        <f t="shared" si="37"/>
        <v>122.99999999999999</v>
      </c>
      <c r="L106" s="16">
        <f t="shared" si="37"/>
        <v>70.928571428571402</v>
      </c>
      <c r="M106" s="16">
        <f t="shared" si="37"/>
        <v>22503.642857142855</v>
      </c>
      <c r="N106" s="16">
        <f t="shared" ref="N106" si="38">SUM(N10:N105)</f>
        <v>0</v>
      </c>
      <c r="O106" s="16">
        <f>SUM(O10:O105)</f>
        <v>14117.547619047618</v>
      </c>
      <c r="P106" s="16">
        <f>SUM(P10:P105)</f>
        <v>36621.190476190473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9">C106/$P$106</f>
        <v>0.21009693841062618</v>
      </c>
      <c r="D107" s="43">
        <f t="shared" si="39"/>
        <v>2.9003504346299627E-2</v>
      </c>
      <c r="E107" s="43">
        <f t="shared" si="39"/>
        <v>2.5652595101717062E-2</v>
      </c>
      <c r="F107" s="43">
        <f t="shared" si="39"/>
        <v>8.988355687898629E-2</v>
      </c>
      <c r="G107" s="43">
        <f t="shared" si="39"/>
        <v>2.3405652465070315E-3</v>
      </c>
      <c r="H107" s="43">
        <f t="shared" si="39"/>
        <v>8.4195333172961252E-4</v>
      </c>
      <c r="I107" s="43">
        <f t="shared" si="39"/>
        <v>1.7959937324863957E-2</v>
      </c>
      <c r="J107" s="43">
        <f t="shared" si="39"/>
        <v>4.4275692579758023E-3</v>
      </c>
      <c r="K107" s="43">
        <f t="shared" si="39"/>
        <v>3.3587111287375899E-3</v>
      </c>
      <c r="L107" s="43">
        <f t="shared" si="39"/>
        <v>1.9368177414845679E-3</v>
      </c>
      <c r="M107" s="43">
        <f t="shared" si="39"/>
        <v>0.61449785123107226</v>
      </c>
      <c r="N107" s="43">
        <f t="shared" si="39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0.544995505424691</v>
      </c>
      <c r="D108" s="44">
        <f t="shared" ref="D108:N108" si="40">D106/$O$106</f>
        <v>7.5235648981257688E-2</v>
      </c>
      <c r="E108" s="44">
        <f t="shared" si="40"/>
        <v>6.6543325850807078E-2</v>
      </c>
      <c r="F108" s="44">
        <f t="shared" si="40"/>
        <v>0.2331596780096368</v>
      </c>
      <c r="G108" s="44">
        <f t="shared" si="40"/>
        <v>6.0714713367524707E-3</v>
      </c>
      <c r="H108" s="44">
        <f t="shared" si="40"/>
        <v>2.1840431614151244E-3</v>
      </c>
      <c r="I108" s="44">
        <f t="shared" si="40"/>
        <v>4.6588423390680637E-2</v>
      </c>
      <c r="J108" s="44">
        <f t="shared" si="40"/>
        <v>1.148519994535676E-2</v>
      </c>
      <c r="K108" s="44">
        <f t="shared" si="40"/>
        <v>8.7125613682397952E-3</v>
      </c>
      <c r="L108" s="44">
        <f t="shared" si="40"/>
        <v>5.0241425311626682E-3</v>
      </c>
      <c r="M108" s="44"/>
      <c r="N108" s="44">
        <f t="shared" si="40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22.07 Kitebi-Kabusu</vt:lpstr>
      <vt:lpstr>22.07 Kabusu-Kitebi</vt:lpstr>
      <vt:lpstr>23.07 Kitebi-Kabusu</vt:lpstr>
      <vt:lpstr>23.07 Kabusu-Kitebi</vt:lpstr>
      <vt:lpstr>24.07 Kitebi-Kabusu</vt:lpstr>
      <vt:lpstr>24.07 Kabusu-Kitebi</vt:lpstr>
      <vt:lpstr>25.07 Kabusu-Kitebi</vt:lpstr>
      <vt:lpstr>25.07 Kitebi-Kabusu</vt:lpstr>
      <vt:lpstr>26.07 Kitebi-Kabusu-24</vt:lpstr>
      <vt:lpstr>26.07 Kabusu-Kitebi-24</vt:lpstr>
      <vt:lpstr>27.07 Kitebi-Kabusu-24h</vt:lpstr>
      <vt:lpstr>27.07 Kabusu-Kitebi-24h</vt:lpstr>
      <vt:lpstr>28.07 Kitebi-Kabusu</vt:lpstr>
      <vt:lpstr>28.07 Kabusu-Kitebi</vt:lpstr>
      <vt:lpstr>Avg Kitebi-Kabusu</vt:lpstr>
      <vt:lpstr>Avg Week Kabusu-Kitebi</vt:lpstr>
      <vt:lpstr>Avg Week Kitebi-Kabusu-2Dir</vt:lpstr>
      <vt:lpstr>'22.07 Kabusu-Kitebi'!Print_Area</vt:lpstr>
      <vt:lpstr>'22.07 Kitebi-Kabusu'!Print_Area</vt:lpstr>
      <vt:lpstr>'23.07 Kabusu-Kitebi'!Print_Area</vt:lpstr>
      <vt:lpstr>'23.07 Kitebi-Kabusu'!Print_Area</vt:lpstr>
      <vt:lpstr>'24.07 Kabusu-Kitebi'!Print_Area</vt:lpstr>
      <vt:lpstr>'24.07 Kitebi-Kabusu'!Print_Area</vt:lpstr>
      <vt:lpstr>'25.07 Kabusu-Kitebi'!Print_Area</vt:lpstr>
      <vt:lpstr>'25.07 Kitebi-Kabusu'!Print_Area</vt:lpstr>
      <vt:lpstr>'26.07 Kabusu-Kitebi-24'!Print_Area</vt:lpstr>
      <vt:lpstr>'26.07 Kitebi-Kabusu-24'!Print_Area</vt:lpstr>
      <vt:lpstr>'27.07 Kabusu-Kitebi-24h'!Print_Area</vt:lpstr>
      <vt:lpstr>'27.07 Kitebi-Kabusu-24h'!Print_Area</vt:lpstr>
      <vt:lpstr>'28.07 Kabusu-Kitebi'!Print_Area</vt:lpstr>
      <vt:lpstr>'28.07 Kitebi-Kabusu'!Print_Area</vt:lpstr>
      <vt:lpstr>'Avg Kitebi-Kabusu'!Print_Area</vt:lpstr>
      <vt:lpstr>'Avg Week Kabusu-Kitebi'!Print_Area</vt:lpstr>
      <vt:lpstr>'Avg Week Kitebi-Kabusu-2Dir'!Print_Area</vt:lpstr>
      <vt:lpstr>'22.07 Kabusu-Kitebi'!Print_Titles</vt:lpstr>
      <vt:lpstr>'22.07 Kitebi-Kabusu'!Print_Titles</vt:lpstr>
      <vt:lpstr>'23.07 Kabusu-Kitebi'!Print_Titles</vt:lpstr>
      <vt:lpstr>'23.07 Kitebi-Kabusu'!Print_Titles</vt:lpstr>
      <vt:lpstr>'24.07 Kabusu-Kitebi'!Print_Titles</vt:lpstr>
      <vt:lpstr>'24.07 Kitebi-Kabusu'!Print_Titles</vt:lpstr>
      <vt:lpstr>'25.07 Kabusu-Kitebi'!Print_Titles</vt:lpstr>
      <vt:lpstr>'25.07 Kitebi-Kabusu'!Print_Titles</vt:lpstr>
      <vt:lpstr>'26.07 Kabusu-Kitebi-24'!Print_Titles</vt:lpstr>
      <vt:lpstr>'26.07 Kitebi-Kabusu-24'!Print_Titles</vt:lpstr>
      <vt:lpstr>'27.07 Kabusu-Kitebi-24h'!Print_Titles</vt:lpstr>
      <vt:lpstr>'27.07 Kitebi-Kabusu-24h'!Print_Titles</vt:lpstr>
      <vt:lpstr>'28.07 Kabusu-Kitebi'!Print_Titles</vt:lpstr>
      <vt:lpstr>'28.07 Kitebi-Kabusu'!Print_Titles</vt:lpstr>
      <vt:lpstr>'Avg Kitebi-Kabusu'!Print_Titles</vt:lpstr>
      <vt:lpstr>'Avg Week Kabusu-Kitebi'!Print_Titles</vt:lpstr>
      <vt:lpstr>'Avg Week Kitebi-Kabusu-2Dir'!Print_Titles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ALLAN</cp:lastModifiedBy>
  <cp:lastPrinted>2019-07-25T18:18:41Z</cp:lastPrinted>
  <dcterms:created xsi:type="dcterms:W3CDTF">2010-07-06T07:39:49Z</dcterms:created>
  <dcterms:modified xsi:type="dcterms:W3CDTF">2020-01-15T18:53:07Z</dcterms:modified>
</cp:coreProperties>
</file>